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/>
  <bookViews>
    <workbookView xWindow="380" yWindow="580" windowWidth="19420" windowHeight="11020" tabRatio="570"/>
  </bookViews>
  <sheets>
    <sheet name="Normative data" sheetId="1" r:id="rId1"/>
    <sheet name="RAVLT_Learning" sheetId="2" state="hidden" r:id="rId2"/>
    <sheet name="SEM" sheetId="18" state="hidden" r:id="rId3"/>
    <sheet name="SD_PERC_SEM" sheetId="19" state="hidden" r:id="rId4"/>
    <sheet name="FONO" sheetId="16" state="hidden" r:id="rId5"/>
    <sheet name="SD_PERC_FONO" sheetId="17" state="hidden" r:id="rId6"/>
    <sheet name="TMTB" sheetId="14" state="hidden" r:id="rId7"/>
    <sheet name="SD_PERC_TMTB" sheetId="15" state="hidden" r:id="rId8"/>
    <sheet name="TMTA" sheetId="12" state="hidden" r:id="rId9"/>
    <sheet name="SD_PERC_TMTA" sheetId="13" state="hidden" r:id="rId10"/>
    <sheet name="DigInv" sheetId="23" r:id="rId11"/>
    <sheet name="DigDir" sheetId="10" state="hidden" r:id="rId12"/>
    <sheet name="SD_PERC_DigInv" sheetId="24" r:id="rId13"/>
    <sheet name="SD_PERC_DigDir" sheetId="11" state="hidden" r:id="rId14"/>
    <sheet name="RAVLT_Rec" sheetId="20" state="hidden" r:id="rId15"/>
    <sheet name="SD_PERC_RAVLTL" sheetId="3" state="hidden" r:id="rId16"/>
    <sheet name="RAVLT_Delayed" sheetId="4" state="hidden" r:id="rId17"/>
    <sheet name="SD_PERC_RAVLTR" sheetId="21" state="hidden" r:id="rId18"/>
    <sheet name="SD_PERC_RAVLTD" sheetId="6" state="hidden" r:id="rId19"/>
  </sheets>
  <calcPr calcId="144525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7" i="23" l="1"/>
  <c r="D15" i="1" s="1"/>
  <c r="D43" i="1"/>
  <c r="C27" i="12"/>
  <c r="D27" i="12" s="1"/>
  <c r="B8" i="24" l="1"/>
  <c r="C27" i="18"/>
  <c r="C27" i="16"/>
  <c r="C27" i="2"/>
  <c r="C33" i="23" l="1"/>
  <c r="L10" i="24"/>
  <c r="L11" i="24"/>
  <c r="L12" i="24"/>
  <c r="L13" i="24"/>
  <c r="L14" i="24"/>
  <c r="L15" i="24"/>
  <c r="L16" i="24"/>
  <c r="L17" i="24"/>
  <c r="L18" i="24"/>
  <c r="L19" i="24"/>
  <c r="L20" i="24"/>
  <c r="L21" i="24"/>
  <c r="L22" i="24"/>
  <c r="L23" i="24"/>
  <c r="L24" i="24"/>
  <c r="L25" i="24"/>
  <c r="L26" i="24"/>
  <c r="L27" i="24"/>
  <c r="L28" i="24"/>
  <c r="L29" i="24"/>
  <c r="L30" i="24"/>
  <c r="L31" i="24"/>
  <c r="L32" i="24"/>
  <c r="L33" i="24"/>
  <c r="L34" i="24"/>
  <c r="L35" i="24"/>
  <c r="L36" i="24"/>
  <c r="L37" i="24"/>
  <c r="L38" i="24"/>
  <c r="L39" i="24"/>
  <c r="L40" i="24"/>
  <c r="L41" i="24"/>
  <c r="L42" i="24"/>
  <c r="L43" i="24"/>
  <c r="L44" i="24"/>
  <c r="L45" i="24"/>
  <c r="L46" i="24"/>
  <c r="L47" i="24"/>
  <c r="L48" i="24"/>
  <c r="L49" i="24"/>
  <c r="L50" i="24"/>
  <c r="L51" i="24"/>
  <c r="L52" i="24"/>
  <c r="L53" i="24"/>
  <c r="L54" i="24"/>
  <c r="L55" i="24"/>
  <c r="L56" i="24"/>
  <c r="L57" i="24"/>
  <c r="L58" i="24"/>
  <c r="L59" i="24"/>
  <c r="L60" i="24"/>
  <c r="L61" i="24"/>
  <c r="L62" i="24"/>
  <c r="L63" i="24"/>
  <c r="L64" i="24"/>
  <c r="L65" i="24"/>
  <c r="L66" i="24"/>
  <c r="L67" i="24"/>
  <c r="L68" i="24"/>
  <c r="L69" i="24"/>
  <c r="L70" i="24"/>
  <c r="L71" i="24"/>
  <c r="L72" i="24"/>
  <c r="L73" i="24"/>
  <c r="L74" i="24"/>
  <c r="L75" i="24"/>
  <c r="L76" i="24"/>
  <c r="L77" i="24"/>
  <c r="L78" i="24"/>
  <c r="L79" i="24"/>
  <c r="L80" i="24"/>
  <c r="L81" i="24"/>
  <c r="L82" i="24"/>
  <c r="L83" i="24"/>
  <c r="L84" i="24"/>
  <c r="L85" i="24"/>
  <c r="L86" i="24"/>
  <c r="L87" i="24"/>
  <c r="L88" i="24"/>
  <c r="L89" i="24"/>
  <c r="L90" i="24"/>
  <c r="L91" i="24"/>
  <c r="L92" i="24"/>
  <c r="L93" i="24"/>
  <c r="L94" i="24"/>
  <c r="L95" i="24"/>
  <c r="L96" i="24"/>
  <c r="L97" i="24"/>
  <c r="L98" i="24"/>
  <c r="L99" i="24"/>
  <c r="L100" i="24"/>
  <c r="L101" i="24"/>
  <c r="L102" i="24"/>
  <c r="L103" i="24"/>
  <c r="L104" i="24"/>
  <c r="L105" i="24"/>
  <c r="L106" i="24"/>
  <c r="L107" i="24"/>
  <c r="L108" i="24"/>
  <c r="L109" i="24"/>
  <c r="L110" i="24"/>
  <c r="L111" i="24"/>
  <c r="L112" i="24"/>
  <c r="L113" i="24"/>
  <c r="L114" i="24"/>
  <c r="L115" i="24"/>
  <c r="L116" i="24"/>
  <c r="L117" i="24"/>
  <c r="L118" i="24"/>
  <c r="L119" i="24"/>
  <c r="L120" i="24"/>
  <c r="L121" i="24"/>
  <c r="L122" i="24"/>
  <c r="L123" i="24"/>
  <c r="L124" i="24"/>
  <c r="L125" i="24"/>
  <c r="L126" i="24"/>
  <c r="L127" i="24"/>
  <c r="L128" i="24"/>
  <c r="L129" i="24"/>
  <c r="L130" i="24"/>
  <c r="L131" i="24"/>
  <c r="L132" i="24"/>
  <c r="L133" i="24"/>
  <c r="L134" i="24"/>
  <c r="L135" i="24"/>
  <c r="L136" i="24"/>
  <c r="L137" i="24"/>
  <c r="L138" i="24"/>
  <c r="L139" i="24"/>
  <c r="L140" i="24"/>
  <c r="L141" i="24"/>
  <c r="L142" i="24"/>
  <c r="L143" i="24"/>
  <c r="L144" i="24"/>
  <c r="L145" i="24"/>
  <c r="L146" i="24"/>
  <c r="L147" i="24"/>
  <c r="L148" i="24"/>
  <c r="L149" i="24"/>
  <c r="L150" i="24"/>
  <c r="L151" i="24"/>
  <c r="L152" i="24"/>
  <c r="L153" i="24"/>
  <c r="L154" i="24"/>
  <c r="L155" i="24"/>
  <c r="L156" i="24"/>
  <c r="L157" i="24"/>
  <c r="L158" i="24"/>
  <c r="L159" i="24"/>
  <c r="L160" i="24"/>
  <c r="L161" i="24"/>
  <c r="L162" i="24"/>
  <c r="L163" i="24"/>
  <c r="L164" i="24"/>
  <c r="L165" i="24"/>
  <c r="L166" i="24"/>
  <c r="L167" i="24"/>
  <c r="L168" i="24"/>
  <c r="L169" i="24"/>
  <c r="L170" i="24"/>
  <c r="L171" i="24"/>
  <c r="L172" i="24"/>
  <c r="L173" i="24"/>
  <c r="L174" i="24"/>
  <c r="L175" i="24"/>
  <c r="L176" i="24"/>
  <c r="L177" i="24"/>
  <c r="L178" i="24"/>
  <c r="L179" i="24"/>
  <c r="L180" i="24"/>
  <c r="L181" i="24"/>
  <c r="L182" i="24"/>
  <c r="L183" i="24"/>
  <c r="L184" i="24"/>
  <c r="L185" i="24"/>
  <c r="L186" i="24"/>
  <c r="L187" i="24"/>
  <c r="L188" i="24"/>
  <c r="L189" i="24"/>
  <c r="L190" i="24"/>
  <c r="L191" i="24"/>
  <c r="L192" i="24"/>
  <c r="L193" i="24"/>
  <c r="L194" i="24"/>
  <c r="L195" i="24"/>
  <c r="L196" i="24"/>
  <c r="L197" i="24"/>
  <c r="L198" i="24"/>
  <c r="L199" i="24"/>
  <c r="L200" i="24"/>
  <c r="L201" i="24"/>
  <c r="L202" i="24"/>
  <c r="L203" i="24"/>
  <c r="L204" i="24"/>
  <c r="L205" i="24"/>
  <c r="L206" i="24"/>
  <c r="L207" i="24"/>
  <c r="L208" i="24"/>
  <c r="L209" i="24"/>
  <c r="L210" i="24"/>
  <c r="L211" i="24"/>
  <c r="L212" i="24"/>
  <c r="L213" i="24"/>
  <c r="L214" i="24"/>
  <c r="L215" i="24"/>
  <c r="L216" i="24"/>
  <c r="L217" i="24"/>
  <c r="L218" i="24"/>
  <c r="L219" i="24"/>
  <c r="L220" i="24"/>
  <c r="L221" i="24"/>
  <c r="L222" i="24"/>
  <c r="L223" i="24"/>
  <c r="L224" i="24"/>
  <c r="L225" i="24"/>
  <c r="L226" i="24"/>
  <c r="L227" i="24"/>
  <c r="L228" i="24"/>
  <c r="L229" i="24"/>
  <c r="L230" i="24"/>
  <c r="L231" i="24"/>
  <c r="L232" i="24"/>
  <c r="L233" i="24"/>
  <c r="L234" i="24"/>
  <c r="L235" i="24"/>
  <c r="L236" i="24"/>
  <c r="L237" i="24"/>
  <c r="L238" i="24"/>
  <c r="L239" i="24"/>
  <c r="L240" i="24"/>
  <c r="L241" i="24"/>
  <c r="L242" i="24"/>
  <c r="L243" i="24"/>
  <c r="L244" i="24"/>
  <c r="L245" i="24"/>
  <c r="L246" i="24"/>
  <c r="L247" i="24"/>
  <c r="L248" i="24"/>
  <c r="L249" i="24"/>
  <c r="L250" i="24"/>
  <c r="L251" i="24"/>
  <c r="L252" i="24"/>
  <c r="L253" i="24"/>
  <c r="L254" i="24"/>
  <c r="L255" i="24"/>
  <c r="L256" i="24"/>
  <c r="L257" i="24"/>
  <c r="L258" i="24"/>
  <c r="L259" i="24"/>
  <c r="L260" i="24"/>
  <c r="L261" i="24"/>
  <c r="L262" i="24"/>
  <c r="L263" i="24"/>
  <c r="L264" i="24"/>
  <c r="L265" i="24"/>
  <c r="L266" i="24"/>
  <c r="L267" i="24"/>
  <c r="L268" i="24"/>
  <c r="L269" i="24"/>
  <c r="L270" i="24"/>
  <c r="L271" i="24"/>
  <c r="L272" i="24"/>
  <c r="L273" i="24"/>
  <c r="L274" i="24"/>
  <c r="L275" i="24"/>
  <c r="L276" i="24"/>
  <c r="L277" i="24"/>
  <c r="L278" i="24"/>
  <c r="L279" i="24"/>
  <c r="L280" i="24"/>
  <c r="L281" i="24"/>
  <c r="L282" i="24"/>
  <c r="L283" i="24"/>
  <c r="L284" i="24"/>
  <c r="L285" i="24"/>
  <c r="L286" i="24"/>
  <c r="L287" i="24"/>
  <c r="L288" i="24"/>
  <c r="L289" i="24"/>
  <c r="L290" i="24"/>
  <c r="L291" i="24"/>
  <c r="L292" i="24"/>
  <c r="L293" i="24"/>
  <c r="L294" i="24"/>
  <c r="L295" i="24"/>
  <c r="L296" i="24"/>
  <c r="L297" i="24"/>
  <c r="L298" i="24"/>
  <c r="L299" i="24"/>
  <c r="L300" i="24"/>
  <c r="L301" i="24"/>
  <c r="L302" i="24"/>
  <c r="L303" i="24"/>
  <c r="L304" i="24"/>
  <c r="L305" i="24"/>
  <c r="L306" i="24"/>
  <c r="L307" i="24"/>
  <c r="L308" i="24"/>
  <c r="L309" i="24"/>
  <c r="L310" i="24"/>
  <c r="L311" i="24"/>
  <c r="L312" i="24"/>
  <c r="L313" i="24"/>
  <c r="L314" i="24"/>
  <c r="L315" i="24"/>
  <c r="L316" i="24"/>
  <c r="L317" i="24"/>
  <c r="L318" i="24"/>
  <c r="L319" i="24"/>
  <c r="L320" i="24"/>
  <c r="L321" i="24"/>
  <c r="L322" i="24"/>
  <c r="L323" i="24"/>
  <c r="L324" i="24"/>
  <c r="L325" i="24"/>
  <c r="L326" i="24"/>
  <c r="L327" i="24"/>
  <c r="L328" i="24"/>
  <c r="L329" i="24"/>
  <c r="L330" i="24"/>
  <c r="L331" i="24"/>
  <c r="L332" i="24"/>
  <c r="L333" i="24"/>
  <c r="L334" i="24"/>
  <c r="L335" i="24"/>
  <c r="L336" i="24"/>
  <c r="L337" i="24"/>
  <c r="L338" i="24"/>
  <c r="L339" i="24"/>
  <c r="L340" i="24"/>
  <c r="L341" i="24"/>
  <c r="L342" i="24"/>
  <c r="L343" i="24"/>
  <c r="L344" i="24"/>
  <c r="L345" i="24"/>
  <c r="L346" i="24"/>
  <c r="L347" i="24"/>
  <c r="L348" i="24"/>
  <c r="L349" i="24"/>
  <c r="L350" i="24"/>
  <c r="L351" i="24"/>
  <c r="L352" i="24"/>
  <c r="L353" i="24"/>
  <c r="L354" i="24"/>
  <c r="L355" i="24"/>
  <c r="L356" i="24"/>
  <c r="L357" i="24"/>
  <c r="L358" i="24"/>
  <c r="L359" i="24"/>
  <c r="L360" i="24"/>
  <c r="L361" i="24"/>
  <c r="L362" i="24"/>
  <c r="L363" i="24"/>
  <c r="L364" i="24"/>
  <c r="L365" i="24"/>
  <c r="L366" i="24"/>
  <c r="L367" i="24"/>
  <c r="L368" i="24"/>
  <c r="L369" i="24"/>
  <c r="L370" i="24"/>
  <c r="L371" i="24"/>
  <c r="L372" i="24"/>
  <c r="L373" i="24"/>
  <c r="L374" i="24"/>
  <c r="L375" i="24"/>
  <c r="L376" i="24"/>
  <c r="L377" i="24"/>
  <c r="L378" i="24"/>
  <c r="L379" i="24"/>
  <c r="L380" i="24"/>
  <c r="L381" i="24"/>
  <c r="L382" i="24"/>
  <c r="L383" i="24"/>
  <c r="L384" i="24"/>
  <c r="L385" i="24"/>
  <c r="L386" i="24"/>
  <c r="L387" i="24"/>
  <c r="L388" i="24"/>
  <c r="L389" i="24"/>
  <c r="L390" i="24"/>
  <c r="L391" i="24"/>
  <c r="L392" i="24"/>
  <c r="L393" i="24"/>
  <c r="L394" i="24"/>
  <c r="L395" i="24"/>
  <c r="L396" i="24"/>
  <c r="L397" i="24"/>
  <c r="L398" i="24"/>
  <c r="L399" i="24"/>
  <c r="L400" i="24"/>
  <c r="L401" i="24"/>
  <c r="L402" i="24"/>
  <c r="L403" i="24"/>
  <c r="L404" i="24"/>
  <c r="L405" i="24"/>
  <c r="L406" i="24"/>
  <c r="L407" i="24"/>
  <c r="L408" i="24"/>
  <c r="L409" i="24"/>
  <c r="L410" i="24"/>
  <c r="L411" i="24"/>
  <c r="L412" i="24"/>
  <c r="L413" i="24"/>
  <c r="L414" i="24"/>
  <c r="L415" i="24"/>
  <c r="L416" i="24"/>
  <c r="L417" i="24"/>
  <c r="L418" i="24"/>
  <c r="L419" i="24"/>
  <c r="L420" i="24"/>
  <c r="L421" i="24"/>
  <c r="L422" i="24"/>
  <c r="L423" i="24"/>
  <c r="L424" i="24"/>
  <c r="L425" i="24"/>
  <c r="L426" i="24"/>
  <c r="L427" i="24"/>
  <c r="L428" i="24"/>
  <c r="L429" i="24"/>
  <c r="L430" i="24"/>
  <c r="L431" i="24"/>
  <c r="L432" i="24"/>
  <c r="L433" i="24"/>
  <c r="L434" i="24"/>
  <c r="L435" i="24"/>
  <c r="L436" i="24"/>
  <c r="L437" i="24"/>
  <c r="L438" i="24"/>
  <c r="L439" i="24"/>
  <c r="L440" i="24"/>
  <c r="L441" i="24"/>
  <c r="L442" i="24"/>
  <c r="L443" i="24"/>
  <c r="L444" i="24"/>
  <c r="L445" i="24"/>
  <c r="L446" i="24"/>
  <c r="L447" i="24"/>
  <c r="L448" i="24"/>
  <c r="L449" i="24"/>
  <c r="L450" i="24"/>
  <c r="L451" i="24"/>
  <c r="L452" i="24"/>
  <c r="L453" i="24"/>
  <c r="L454" i="24"/>
  <c r="L455" i="24"/>
  <c r="L456" i="24"/>
  <c r="L457" i="24"/>
  <c r="L458" i="24"/>
  <c r="L459" i="24"/>
  <c r="L460" i="24"/>
  <c r="L461" i="24"/>
  <c r="L462" i="24"/>
  <c r="L463" i="24"/>
  <c r="L464" i="24"/>
  <c r="L465" i="24"/>
  <c r="L466" i="24"/>
  <c r="L467" i="24"/>
  <c r="L468" i="24"/>
  <c r="L469" i="24"/>
  <c r="L470" i="24"/>
  <c r="L471" i="24"/>
  <c r="L472" i="24"/>
  <c r="L473" i="24"/>
  <c r="L474" i="24"/>
  <c r="L475" i="24"/>
  <c r="L476" i="24"/>
  <c r="L477" i="24"/>
  <c r="L478" i="24"/>
  <c r="L479" i="24"/>
  <c r="L480" i="24"/>
  <c r="L481" i="24"/>
  <c r="L482" i="24"/>
  <c r="L483" i="24"/>
  <c r="L484" i="24"/>
  <c r="L485" i="24"/>
  <c r="L486" i="24"/>
  <c r="L487" i="24"/>
  <c r="L488" i="24"/>
  <c r="L489" i="24"/>
  <c r="L490" i="24"/>
  <c r="L491" i="24"/>
  <c r="L492" i="24"/>
  <c r="L493" i="24"/>
  <c r="L494" i="24"/>
  <c r="L495" i="24"/>
  <c r="L496" i="24"/>
  <c r="L497" i="24"/>
  <c r="L498" i="24"/>
  <c r="L499" i="24"/>
  <c r="L500" i="24"/>
  <c r="L501" i="24"/>
  <c r="L502" i="24"/>
  <c r="L503" i="24"/>
  <c r="L504" i="24"/>
  <c r="L505" i="24"/>
  <c r="L506" i="24"/>
  <c r="L507" i="24"/>
  <c r="L508" i="24"/>
  <c r="L509" i="24"/>
  <c r="L510" i="24"/>
  <c r="L511" i="24"/>
  <c r="L512" i="24"/>
  <c r="L513" i="24"/>
  <c r="L514" i="24"/>
  <c r="L515" i="24"/>
  <c r="L516" i="24"/>
  <c r="L517" i="24"/>
  <c r="L518" i="24"/>
  <c r="L519" i="24"/>
  <c r="L520" i="24"/>
  <c r="L521" i="24"/>
  <c r="L522" i="24"/>
  <c r="L523" i="24"/>
  <c r="L524" i="24"/>
  <c r="L525" i="24"/>
  <c r="L526" i="24"/>
  <c r="L527" i="24"/>
  <c r="L528" i="24"/>
  <c r="L529" i="24"/>
  <c r="L530" i="24"/>
  <c r="L531" i="24"/>
  <c r="L532" i="24"/>
  <c r="L533" i="24"/>
  <c r="L534" i="24"/>
  <c r="L535" i="24"/>
  <c r="L536" i="24"/>
  <c r="L537" i="24"/>
  <c r="L538" i="24"/>
  <c r="L539" i="24"/>
  <c r="L540" i="24"/>
  <c r="L541" i="24"/>
  <c r="L542" i="24"/>
  <c r="L543" i="24"/>
  <c r="L544" i="24"/>
  <c r="L545" i="24"/>
  <c r="L546" i="24"/>
  <c r="L547" i="24"/>
  <c r="L548" i="24"/>
  <c r="L549" i="24"/>
  <c r="L550" i="24"/>
  <c r="L551" i="24"/>
  <c r="L552" i="24"/>
  <c r="L553" i="24"/>
  <c r="L554" i="24"/>
  <c r="L555" i="24"/>
  <c r="L556" i="24"/>
  <c r="L557" i="24"/>
  <c r="L558" i="24"/>
  <c r="L559" i="24"/>
  <c r="L560" i="24"/>
  <c r="L561" i="24"/>
  <c r="L562" i="24"/>
  <c r="L563" i="24"/>
  <c r="L564" i="24"/>
  <c r="L565" i="24"/>
  <c r="L566" i="24"/>
  <c r="L567" i="24"/>
  <c r="L568" i="24"/>
  <c r="L569" i="24"/>
  <c r="L570" i="24"/>
  <c r="L571" i="24"/>
  <c r="L572" i="24"/>
  <c r="L573" i="24"/>
  <c r="L574" i="24"/>
  <c r="L575" i="24"/>
  <c r="L576" i="24"/>
  <c r="L577" i="24"/>
  <c r="L578" i="24"/>
  <c r="L579" i="24"/>
  <c r="L580" i="24"/>
  <c r="L581" i="24"/>
  <c r="L582" i="24"/>
  <c r="L583" i="24"/>
  <c r="L584" i="24"/>
  <c r="L585" i="24"/>
  <c r="L586" i="24"/>
  <c r="L587" i="24"/>
  <c r="L588" i="24"/>
  <c r="L589" i="24"/>
  <c r="L590" i="24"/>
  <c r="L591" i="24"/>
  <c r="L592" i="24"/>
  <c r="L593" i="24"/>
  <c r="L594" i="24"/>
  <c r="L595" i="24"/>
  <c r="L596" i="24"/>
  <c r="L597" i="24"/>
  <c r="L598" i="24"/>
  <c r="L599" i="24"/>
  <c r="L600" i="24"/>
  <c r="L601" i="24"/>
  <c r="L602" i="24"/>
  <c r="L603" i="24"/>
  <c r="L604" i="24"/>
  <c r="L605" i="24"/>
  <c r="L606" i="24"/>
  <c r="L607" i="24"/>
  <c r="L608" i="24"/>
  <c r="L609" i="24"/>
  <c r="L610" i="24"/>
  <c r="L611" i="24"/>
  <c r="L612" i="24"/>
  <c r="L613" i="24"/>
  <c r="L614" i="24"/>
  <c r="L615" i="24"/>
  <c r="L616" i="24"/>
  <c r="L617" i="24"/>
  <c r="L618" i="24"/>
  <c r="L619" i="24"/>
  <c r="L620" i="24"/>
  <c r="L621" i="24"/>
  <c r="L622" i="24"/>
  <c r="L623" i="24"/>
  <c r="L624" i="24"/>
  <c r="L625" i="24"/>
  <c r="L626" i="24"/>
  <c r="L627" i="24"/>
  <c r="L628" i="24"/>
  <c r="L629" i="24"/>
  <c r="L630" i="24"/>
  <c r="L631" i="24"/>
  <c r="L632" i="24"/>
  <c r="L633" i="24"/>
  <c r="L634" i="24"/>
  <c r="L635" i="24"/>
  <c r="L636" i="24"/>
  <c r="L637" i="24"/>
  <c r="L638" i="24"/>
  <c r="L639" i="24"/>
  <c r="L640" i="24"/>
  <c r="L641" i="24"/>
  <c r="L642" i="24"/>
  <c r="L643" i="24"/>
  <c r="L644" i="24"/>
  <c r="L645" i="24"/>
  <c r="L646" i="24"/>
  <c r="L647" i="24"/>
  <c r="L648" i="24"/>
  <c r="L649" i="24"/>
  <c r="L650" i="24"/>
  <c r="L651" i="24"/>
  <c r="L652" i="24"/>
  <c r="L653" i="24"/>
  <c r="L654" i="24"/>
  <c r="L655" i="24"/>
  <c r="L656" i="24"/>
  <c r="L657" i="24"/>
  <c r="L658" i="24"/>
  <c r="L659" i="24"/>
  <c r="L660" i="24"/>
  <c r="L661" i="24"/>
  <c r="L662" i="24"/>
  <c r="L663" i="24"/>
  <c r="L664" i="24"/>
  <c r="L665" i="24"/>
  <c r="L666" i="24"/>
  <c r="L667" i="24"/>
  <c r="L668" i="24"/>
  <c r="L669" i="24"/>
  <c r="L670" i="24"/>
  <c r="L671" i="24"/>
  <c r="L672" i="24"/>
  <c r="L673" i="24"/>
  <c r="L674" i="24"/>
  <c r="L675" i="24"/>
  <c r="L676" i="24"/>
  <c r="L677" i="24"/>
  <c r="L678" i="24"/>
  <c r="L679" i="24"/>
  <c r="L680" i="24"/>
  <c r="L681" i="24"/>
  <c r="L682" i="24"/>
  <c r="L683" i="24"/>
  <c r="L684" i="24"/>
  <c r="L685" i="24"/>
  <c r="L686" i="24"/>
  <c r="L687" i="24"/>
  <c r="L688" i="24"/>
  <c r="L689" i="24"/>
  <c r="L690" i="24"/>
  <c r="L691" i="24"/>
  <c r="L692" i="24"/>
  <c r="L693" i="24"/>
  <c r="L694" i="24"/>
  <c r="L695" i="24"/>
  <c r="L696" i="24"/>
  <c r="L697" i="24"/>
  <c r="L698" i="24"/>
  <c r="L699" i="24"/>
  <c r="L700" i="24"/>
  <c r="L701" i="24"/>
  <c r="L702" i="24"/>
  <c r="L703" i="24"/>
  <c r="L704" i="24"/>
  <c r="L705" i="24"/>
  <c r="L706" i="24"/>
  <c r="L707" i="24"/>
  <c r="L708" i="24"/>
  <c r="L709" i="24"/>
  <c r="L710" i="24"/>
  <c r="L711" i="24"/>
  <c r="L712" i="24"/>
  <c r="L713" i="24"/>
  <c r="L714" i="24"/>
  <c r="L715" i="24"/>
  <c r="L716" i="24"/>
  <c r="L717" i="24"/>
  <c r="L718" i="24"/>
  <c r="L719" i="24"/>
  <c r="L720" i="24"/>
  <c r="L721" i="24"/>
  <c r="L722" i="24"/>
  <c r="L723" i="24"/>
  <c r="L724" i="24"/>
  <c r="L725" i="24"/>
  <c r="L726" i="24"/>
  <c r="L727" i="24"/>
  <c r="L728" i="24"/>
  <c r="L729" i="24"/>
  <c r="L730" i="24"/>
  <c r="L731" i="24"/>
  <c r="L732" i="24"/>
  <c r="L733" i="24"/>
  <c r="L734" i="24"/>
  <c r="L735" i="24"/>
  <c r="L736" i="24"/>
  <c r="L737" i="24"/>
  <c r="L738" i="24"/>
  <c r="L739" i="24"/>
  <c r="L740" i="24"/>
  <c r="L741" i="24"/>
  <c r="L742" i="24"/>
  <c r="L743" i="24"/>
  <c r="L744" i="24"/>
  <c r="L745" i="24"/>
  <c r="L746" i="24"/>
  <c r="L747" i="24"/>
  <c r="L748" i="24"/>
  <c r="L749" i="24"/>
  <c r="L750" i="24"/>
  <c r="L751" i="24"/>
  <c r="L752" i="24"/>
  <c r="L753" i="24"/>
  <c r="L754" i="24"/>
  <c r="L755" i="24"/>
  <c r="L756" i="24"/>
  <c r="L757" i="24"/>
  <c r="L758" i="24"/>
  <c r="L759" i="24"/>
  <c r="L760" i="24"/>
  <c r="L761" i="24"/>
  <c r="L762" i="24"/>
  <c r="L763" i="24"/>
  <c r="L764" i="24"/>
  <c r="L765" i="24"/>
  <c r="L766" i="24"/>
  <c r="L767" i="24"/>
  <c r="L768" i="24"/>
  <c r="L769" i="24"/>
  <c r="L770" i="24"/>
  <c r="L771" i="24"/>
  <c r="L772" i="24"/>
  <c r="L773" i="24"/>
  <c r="L774" i="24"/>
  <c r="L775" i="24"/>
  <c r="L776" i="24"/>
  <c r="L777" i="24"/>
  <c r="L778" i="24"/>
  <c r="L779" i="24"/>
  <c r="L780" i="24"/>
  <c r="L781" i="24"/>
  <c r="L782" i="24"/>
  <c r="L783" i="24"/>
  <c r="L784" i="24"/>
  <c r="L785" i="24"/>
  <c r="L786" i="24"/>
  <c r="L787" i="24"/>
  <c r="L788" i="24"/>
  <c r="L789" i="24"/>
  <c r="L790" i="24"/>
  <c r="L791" i="24"/>
  <c r="L792" i="24"/>
  <c r="L793" i="24"/>
  <c r="L794" i="24"/>
  <c r="L795" i="24"/>
  <c r="L796" i="24"/>
  <c r="L797" i="24"/>
  <c r="L798" i="24"/>
  <c r="L799" i="24"/>
  <c r="L800" i="24"/>
  <c r="L801" i="24"/>
  <c r="L802" i="24"/>
  <c r="L803" i="24"/>
  <c r="L804" i="24"/>
  <c r="L805" i="24"/>
  <c r="L806" i="24"/>
  <c r="L807" i="24"/>
  <c r="L808" i="24"/>
  <c r="L809" i="24"/>
  <c r="L810" i="24"/>
  <c r="L811" i="24"/>
  <c r="L812" i="24"/>
  <c r="L813" i="24"/>
  <c r="L814" i="24"/>
  <c r="L815" i="24"/>
  <c r="L816" i="24"/>
  <c r="L817" i="24"/>
  <c r="L818" i="24"/>
  <c r="L819" i="24"/>
  <c r="L820" i="24"/>
  <c r="L821" i="24"/>
  <c r="L822" i="24"/>
  <c r="L823" i="24"/>
  <c r="L824" i="24"/>
  <c r="L825" i="24"/>
  <c r="L826" i="24"/>
  <c r="L827" i="24"/>
  <c r="L828" i="24"/>
  <c r="L829" i="24"/>
  <c r="L830" i="24"/>
  <c r="L831" i="24"/>
  <c r="L832" i="24"/>
  <c r="L833" i="24"/>
  <c r="L834" i="24"/>
  <c r="L835" i="24"/>
  <c r="L836" i="24"/>
  <c r="L837" i="24"/>
  <c r="L838" i="24"/>
  <c r="L839" i="24"/>
  <c r="L840" i="24"/>
  <c r="L841" i="24"/>
  <c r="L842" i="24"/>
  <c r="L843" i="24"/>
  <c r="L844" i="24"/>
  <c r="L845" i="24"/>
  <c r="L846" i="24"/>
  <c r="L847" i="24"/>
  <c r="L848" i="24"/>
  <c r="L849" i="24"/>
  <c r="L850" i="24"/>
  <c r="L851" i="24"/>
  <c r="L852" i="24"/>
  <c r="L853" i="24"/>
  <c r="L854" i="24"/>
  <c r="L855" i="24"/>
  <c r="L856" i="24"/>
  <c r="L857" i="24"/>
  <c r="L858" i="24"/>
  <c r="L859" i="24"/>
  <c r="L860" i="24"/>
  <c r="L861" i="24"/>
  <c r="L862" i="24"/>
  <c r="L863" i="24"/>
  <c r="L864" i="24"/>
  <c r="L865" i="24"/>
  <c r="L866" i="24"/>
  <c r="L867" i="24"/>
  <c r="L868" i="24"/>
  <c r="L869" i="24"/>
  <c r="L870" i="24"/>
  <c r="L871" i="24"/>
  <c r="L872" i="24"/>
  <c r="L873" i="24"/>
  <c r="L874" i="24"/>
  <c r="L875" i="24"/>
  <c r="L876" i="24"/>
  <c r="L877" i="24"/>
  <c r="L878" i="24"/>
  <c r="L879" i="24"/>
  <c r="L880" i="24"/>
  <c r="L881" i="24"/>
  <c r="L882" i="24"/>
  <c r="L883" i="24"/>
  <c r="L884" i="24"/>
  <c r="L885" i="24"/>
  <c r="L886" i="24"/>
  <c r="L887" i="24"/>
  <c r="L888" i="24"/>
  <c r="L889" i="24"/>
  <c r="L890" i="24"/>
  <c r="L891" i="24"/>
  <c r="L892" i="24"/>
  <c r="L893" i="24"/>
  <c r="L894" i="24"/>
  <c r="L895" i="24"/>
  <c r="L896" i="24"/>
  <c r="L897" i="24"/>
  <c r="L898" i="24"/>
  <c r="L899" i="24"/>
  <c r="L900" i="24"/>
  <c r="L901" i="24"/>
  <c r="L902" i="24"/>
  <c r="L903" i="24"/>
  <c r="L904" i="24"/>
  <c r="L905" i="24"/>
  <c r="L906" i="24"/>
  <c r="L907" i="24"/>
  <c r="L908" i="24"/>
  <c r="L909" i="24"/>
  <c r="L910" i="24"/>
  <c r="L911" i="24"/>
  <c r="L912" i="24"/>
  <c r="L913" i="24"/>
  <c r="L914" i="24"/>
  <c r="L915" i="24"/>
  <c r="L916" i="24"/>
  <c r="L917" i="24"/>
  <c r="L918" i="24"/>
  <c r="L919" i="24"/>
  <c r="L920" i="24"/>
  <c r="L921" i="24"/>
  <c r="L922" i="24"/>
  <c r="L923" i="24"/>
  <c r="L924" i="24"/>
  <c r="L925" i="24"/>
  <c r="L926" i="24"/>
  <c r="L927" i="24"/>
  <c r="L928" i="24"/>
  <c r="L929" i="24"/>
  <c r="L930" i="24"/>
  <c r="L931" i="24"/>
  <c r="L932" i="24"/>
  <c r="L933" i="24"/>
  <c r="L934" i="24"/>
  <c r="L935" i="24"/>
  <c r="L936" i="24"/>
  <c r="L937" i="24"/>
  <c r="L938" i="24"/>
  <c r="L939" i="24"/>
  <c r="L940" i="24"/>
  <c r="L941" i="24"/>
  <c r="L942" i="24"/>
  <c r="L943" i="24"/>
  <c r="L944" i="24"/>
  <c r="L945" i="24"/>
  <c r="L946" i="24"/>
  <c r="L947" i="24"/>
  <c r="L948" i="24"/>
  <c r="L949" i="24"/>
  <c r="L950" i="24"/>
  <c r="L951" i="24"/>
  <c r="L952" i="24"/>
  <c r="L953" i="24"/>
  <c r="L954" i="24"/>
  <c r="L955" i="24"/>
  <c r="L956" i="24"/>
  <c r="L957" i="24"/>
  <c r="L958" i="24"/>
  <c r="L959" i="24"/>
  <c r="L960" i="24"/>
  <c r="L961" i="24"/>
  <c r="L962" i="24"/>
  <c r="L963" i="24"/>
  <c r="L964" i="24"/>
  <c r="L965" i="24"/>
  <c r="L966" i="24"/>
  <c r="L967" i="24"/>
  <c r="L968" i="24"/>
  <c r="L969" i="24"/>
  <c r="L970" i="24"/>
  <c r="L971" i="24"/>
  <c r="L972" i="24"/>
  <c r="L973" i="24"/>
  <c r="L974" i="24"/>
  <c r="L975" i="24"/>
  <c r="L976" i="24"/>
  <c r="L977" i="24"/>
  <c r="L978" i="24"/>
  <c r="L979" i="24"/>
  <c r="L980" i="24"/>
  <c r="L981" i="24"/>
  <c r="L982" i="24"/>
  <c r="L983" i="24"/>
  <c r="L984" i="24"/>
  <c r="L985" i="24"/>
  <c r="L986" i="24"/>
  <c r="L987" i="24"/>
  <c r="L988" i="24"/>
  <c r="L989" i="24"/>
  <c r="L990" i="24"/>
  <c r="L991" i="24"/>
  <c r="L992" i="24"/>
  <c r="L993" i="24"/>
  <c r="L994" i="24"/>
  <c r="L995" i="24"/>
  <c r="L996" i="24"/>
  <c r="L997" i="24"/>
  <c r="L998" i="24"/>
  <c r="L999" i="24"/>
  <c r="L1000" i="24"/>
  <c r="L1001" i="24"/>
  <c r="L1002" i="24"/>
  <c r="L1003" i="24"/>
  <c r="L1004" i="24"/>
  <c r="L1005" i="24"/>
  <c r="L1006" i="24"/>
  <c r="L9" i="24"/>
  <c r="L6" i="24"/>
  <c r="L7" i="24"/>
  <c r="L5" i="24"/>
  <c r="B29" i="24"/>
  <c r="B30" i="24"/>
  <c r="B31" i="24"/>
  <c r="B32" i="24"/>
  <c r="B33" i="24"/>
  <c r="B28" i="24"/>
  <c r="D28" i="24" s="1"/>
  <c r="A29" i="24"/>
  <c r="A30" i="24"/>
  <c r="A31" i="24"/>
  <c r="A32" i="24"/>
  <c r="A33" i="24"/>
  <c r="A28" i="24"/>
  <c r="C12" i="24"/>
  <c r="C13" i="24"/>
  <c r="C14" i="24"/>
  <c r="C15" i="24"/>
  <c r="C16" i="24"/>
  <c r="C17" i="24"/>
  <c r="C18" i="24"/>
  <c r="C19" i="24"/>
  <c r="C20" i="24"/>
  <c r="C21" i="24"/>
  <c r="C22" i="24"/>
  <c r="C11" i="24"/>
  <c r="B12" i="24"/>
  <c r="B13" i="24"/>
  <c r="B14" i="24"/>
  <c r="B15" i="24"/>
  <c r="B16" i="24"/>
  <c r="B17" i="24"/>
  <c r="B18" i="24"/>
  <c r="B19" i="24"/>
  <c r="B20" i="24"/>
  <c r="B21" i="24"/>
  <c r="B22" i="24"/>
  <c r="B11" i="24"/>
  <c r="G3" i="24"/>
  <c r="M1006" i="24"/>
  <c r="P1006" i="24" s="1"/>
  <c r="M1005" i="24"/>
  <c r="P1005" i="24" s="1"/>
  <c r="M1004" i="24"/>
  <c r="P1004" i="24" s="1"/>
  <c r="M1003" i="24"/>
  <c r="P1003" i="24" s="1"/>
  <c r="P1002" i="24"/>
  <c r="M1002" i="24"/>
  <c r="M1001" i="24"/>
  <c r="P1001" i="24" s="1"/>
  <c r="M1000" i="24"/>
  <c r="P1000" i="24" s="1"/>
  <c r="M999" i="24"/>
  <c r="P999" i="24" s="1"/>
  <c r="M998" i="24"/>
  <c r="P998" i="24" s="1"/>
  <c r="M997" i="24"/>
  <c r="P997" i="24" s="1"/>
  <c r="M996" i="24"/>
  <c r="P996" i="24" s="1"/>
  <c r="M995" i="24"/>
  <c r="P995" i="24" s="1"/>
  <c r="M994" i="24"/>
  <c r="P994" i="24" s="1"/>
  <c r="P993" i="24"/>
  <c r="M993" i="24"/>
  <c r="M992" i="24"/>
  <c r="P992" i="24" s="1"/>
  <c r="M991" i="24"/>
  <c r="P991" i="24" s="1"/>
  <c r="M990" i="24"/>
  <c r="P990" i="24" s="1"/>
  <c r="M989" i="24"/>
  <c r="P989" i="24" s="1"/>
  <c r="M988" i="24"/>
  <c r="P988" i="24" s="1"/>
  <c r="M987" i="24"/>
  <c r="P987" i="24" s="1"/>
  <c r="M986" i="24"/>
  <c r="P986" i="24" s="1"/>
  <c r="M985" i="24"/>
  <c r="P985" i="24" s="1"/>
  <c r="P984" i="24"/>
  <c r="M984" i="24"/>
  <c r="M983" i="24"/>
  <c r="P983" i="24" s="1"/>
  <c r="M982" i="24"/>
  <c r="P982" i="24" s="1"/>
  <c r="M981" i="24"/>
  <c r="P981" i="24" s="1"/>
  <c r="M980" i="24"/>
  <c r="P980" i="24" s="1"/>
  <c r="M979" i="24"/>
  <c r="P979" i="24" s="1"/>
  <c r="M978" i="24"/>
  <c r="P978" i="24" s="1"/>
  <c r="M977" i="24"/>
  <c r="P977" i="24" s="1"/>
  <c r="M976" i="24"/>
  <c r="P976" i="24" s="1"/>
  <c r="P975" i="24"/>
  <c r="M975" i="24"/>
  <c r="M974" i="24"/>
  <c r="P974" i="24" s="1"/>
  <c r="M973" i="24"/>
  <c r="P973" i="24" s="1"/>
  <c r="M972" i="24"/>
  <c r="P972" i="24" s="1"/>
  <c r="M971" i="24"/>
  <c r="P971" i="24" s="1"/>
  <c r="M970" i="24"/>
  <c r="P970" i="24" s="1"/>
  <c r="M969" i="24"/>
  <c r="P969" i="24" s="1"/>
  <c r="M968" i="24"/>
  <c r="P968" i="24" s="1"/>
  <c r="M967" i="24"/>
  <c r="P967" i="24" s="1"/>
  <c r="P966" i="24"/>
  <c r="M966" i="24"/>
  <c r="M965" i="24"/>
  <c r="P965" i="24" s="1"/>
  <c r="M964" i="24"/>
  <c r="P964" i="24" s="1"/>
  <c r="M963" i="24"/>
  <c r="P963" i="24" s="1"/>
  <c r="M962" i="24"/>
  <c r="P962" i="24" s="1"/>
  <c r="M961" i="24"/>
  <c r="P961" i="24" s="1"/>
  <c r="M960" i="24"/>
  <c r="P960" i="24" s="1"/>
  <c r="M959" i="24"/>
  <c r="P959" i="24" s="1"/>
  <c r="M958" i="24"/>
  <c r="P958" i="24" s="1"/>
  <c r="P957" i="24"/>
  <c r="M957" i="24"/>
  <c r="M956" i="24"/>
  <c r="P956" i="24" s="1"/>
  <c r="M955" i="24"/>
  <c r="P955" i="24" s="1"/>
  <c r="M954" i="24"/>
  <c r="P954" i="24" s="1"/>
  <c r="M953" i="24"/>
  <c r="P953" i="24" s="1"/>
  <c r="M952" i="24"/>
  <c r="P952" i="24" s="1"/>
  <c r="M951" i="24"/>
  <c r="P951" i="24" s="1"/>
  <c r="M950" i="24"/>
  <c r="P950" i="24" s="1"/>
  <c r="M949" i="24"/>
  <c r="P949" i="24" s="1"/>
  <c r="P948" i="24"/>
  <c r="M948" i="24"/>
  <c r="M947" i="24"/>
  <c r="P947" i="24" s="1"/>
  <c r="M946" i="24"/>
  <c r="P946" i="24" s="1"/>
  <c r="M945" i="24"/>
  <c r="P945" i="24" s="1"/>
  <c r="M944" i="24"/>
  <c r="P944" i="24" s="1"/>
  <c r="M943" i="24"/>
  <c r="P943" i="24" s="1"/>
  <c r="M942" i="24"/>
  <c r="P942" i="24" s="1"/>
  <c r="M941" i="24"/>
  <c r="P941" i="24" s="1"/>
  <c r="M940" i="24"/>
  <c r="P940" i="24" s="1"/>
  <c r="P939" i="24"/>
  <c r="M939" i="24"/>
  <c r="M938" i="24"/>
  <c r="P938" i="24" s="1"/>
  <c r="M937" i="24"/>
  <c r="P937" i="24" s="1"/>
  <c r="M936" i="24"/>
  <c r="P936" i="24" s="1"/>
  <c r="M935" i="24"/>
  <c r="P935" i="24" s="1"/>
  <c r="M934" i="24"/>
  <c r="P934" i="24" s="1"/>
  <c r="M933" i="24"/>
  <c r="P933" i="24" s="1"/>
  <c r="M932" i="24"/>
  <c r="P932" i="24" s="1"/>
  <c r="M931" i="24"/>
  <c r="P931" i="24" s="1"/>
  <c r="P930" i="24"/>
  <c r="M930" i="24"/>
  <c r="M929" i="24"/>
  <c r="P929" i="24" s="1"/>
  <c r="M928" i="24"/>
  <c r="P928" i="24" s="1"/>
  <c r="M927" i="24"/>
  <c r="P927" i="24" s="1"/>
  <c r="M926" i="24"/>
  <c r="P926" i="24" s="1"/>
  <c r="M925" i="24"/>
  <c r="P925" i="24" s="1"/>
  <c r="M924" i="24"/>
  <c r="P924" i="24" s="1"/>
  <c r="M923" i="24"/>
  <c r="P923" i="24" s="1"/>
  <c r="M922" i="24"/>
  <c r="P922" i="24" s="1"/>
  <c r="M921" i="24"/>
  <c r="P921" i="24" s="1"/>
  <c r="M920" i="24"/>
  <c r="P920" i="24" s="1"/>
  <c r="M919" i="24"/>
  <c r="P919" i="24" s="1"/>
  <c r="M918" i="24"/>
  <c r="P918" i="24" s="1"/>
  <c r="M917" i="24"/>
  <c r="P917" i="24" s="1"/>
  <c r="M916" i="24"/>
  <c r="P916" i="24" s="1"/>
  <c r="M915" i="24"/>
  <c r="P915" i="24" s="1"/>
  <c r="P914" i="24"/>
  <c r="M914" i="24"/>
  <c r="M913" i="24"/>
  <c r="P913" i="24" s="1"/>
  <c r="M912" i="24"/>
  <c r="P912" i="24" s="1"/>
  <c r="M911" i="24"/>
  <c r="P911" i="24" s="1"/>
  <c r="M910" i="24"/>
  <c r="P910" i="24" s="1"/>
  <c r="P909" i="24"/>
  <c r="M909" i="24"/>
  <c r="M908" i="24"/>
  <c r="P908" i="24" s="1"/>
  <c r="M907" i="24"/>
  <c r="P907" i="24" s="1"/>
  <c r="P906" i="24"/>
  <c r="M906" i="24"/>
  <c r="M905" i="24"/>
  <c r="P905" i="24" s="1"/>
  <c r="M904" i="24"/>
  <c r="P904" i="24" s="1"/>
  <c r="P903" i="24"/>
  <c r="M903" i="24"/>
  <c r="M902" i="24"/>
  <c r="P902" i="24" s="1"/>
  <c r="M901" i="24"/>
  <c r="P901" i="24" s="1"/>
  <c r="P900" i="24"/>
  <c r="M900" i="24"/>
  <c r="M899" i="24"/>
  <c r="P899" i="24" s="1"/>
  <c r="M898" i="24"/>
  <c r="P898" i="24" s="1"/>
  <c r="P897" i="24"/>
  <c r="M897" i="24"/>
  <c r="M896" i="24"/>
  <c r="P896" i="24" s="1"/>
  <c r="M895" i="24"/>
  <c r="P895" i="24" s="1"/>
  <c r="M894" i="24"/>
  <c r="P894" i="24" s="1"/>
  <c r="M893" i="24"/>
  <c r="P893" i="24" s="1"/>
  <c r="M892" i="24"/>
  <c r="P892" i="24" s="1"/>
  <c r="M891" i="24"/>
  <c r="P891" i="24" s="1"/>
  <c r="M890" i="24"/>
  <c r="P890" i="24" s="1"/>
  <c r="M889" i="24"/>
  <c r="P889" i="24" s="1"/>
  <c r="M888" i="24"/>
  <c r="P888" i="24" s="1"/>
  <c r="M887" i="24"/>
  <c r="P887" i="24" s="1"/>
  <c r="M886" i="24"/>
  <c r="P886" i="24" s="1"/>
  <c r="M885" i="24"/>
  <c r="P885" i="24" s="1"/>
  <c r="M884" i="24"/>
  <c r="P884" i="24" s="1"/>
  <c r="M883" i="24"/>
  <c r="P883" i="24" s="1"/>
  <c r="M882" i="24"/>
  <c r="P882" i="24" s="1"/>
  <c r="M881" i="24"/>
  <c r="P881" i="24" s="1"/>
  <c r="M880" i="24"/>
  <c r="P880" i="24" s="1"/>
  <c r="M879" i="24"/>
  <c r="P879" i="24" s="1"/>
  <c r="P878" i="24"/>
  <c r="M878" i="24"/>
  <c r="M877" i="24"/>
  <c r="P877" i="24" s="1"/>
  <c r="M876" i="24"/>
  <c r="P876" i="24" s="1"/>
  <c r="M875" i="24"/>
  <c r="P875" i="24" s="1"/>
  <c r="M874" i="24"/>
  <c r="P874" i="24" s="1"/>
  <c r="P873" i="24"/>
  <c r="M873" i="24"/>
  <c r="M872" i="24"/>
  <c r="P872" i="24" s="1"/>
  <c r="M871" i="24"/>
  <c r="P871" i="24" s="1"/>
  <c r="P870" i="24"/>
  <c r="M870" i="24"/>
  <c r="M869" i="24"/>
  <c r="P869" i="24" s="1"/>
  <c r="M868" i="24"/>
  <c r="P868" i="24" s="1"/>
  <c r="P867" i="24"/>
  <c r="M867" i="24"/>
  <c r="M866" i="24"/>
  <c r="P866" i="24" s="1"/>
  <c r="M865" i="24"/>
  <c r="P865" i="24" s="1"/>
  <c r="P864" i="24"/>
  <c r="M864" i="24"/>
  <c r="M863" i="24"/>
  <c r="P863" i="24" s="1"/>
  <c r="M862" i="24"/>
  <c r="P862" i="24" s="1"/>
  <c r="P861" i="24"/>
  <c r="M861" i="24"/>
  <c r="M860" i="24"/>
  <c r="P860" i="24" s="1"/>
  <c r="M859" i="24"/>
  <c r="P859" i="24" s="1"/>
  <c r="M858" i="24"/>
  <c r="P858" i="24" s="1"/>
  <c r="M857" i="24"/>
  <c r="P857" i="24" s="1"/>
  <c r="M856" i="24"/>
  <c r="P856" i="24" s="1"/>
  <c r="M855" i="24"/>
  <c r="P855" i="24" s="1"/>
  <c r="M854" i="24"/>
  <c r="P854" i="24" s="1"/>
  <c r="M853" i="24"/>
  <c r="P853" i="24" s="1"/>
  <c r="M852" i="24"/>
  <c r="P852" i="24" s="1"/>
  <c r="M851" i="24"/>
  <c r="P851" i="24" s="1"/>
  <c r="M850" i="24"/>
  <c r="P850" i="24" s="1"/>
  <c r="M849" i="24"/>
  <c r="P849" i="24" s="1"/>
  <c r="M848" i="24"/>
  <c r="P848" i="24" s="1"/>
  <c r="M847" i="24"/>
  <c r="P847" i="24" s="1"/>
  <c r="M846" i="24"/>
  <c r="P846" i="24" s="1"/>
  <c r="M845" i="24"/>
  <c r="P845" i="24" s="1"/>
  <c r="M844" i="24"/>
  <c r="P844" i="24" s="1"/>
  <c r="M843" i="24"/>
  <c r="P843" i="24" s="1"/>
  <c r="P842" i="24"/>
  <c r="M842" i="24"/>
  <c r="M841" i="24"/>
  <c r="P841" i="24" s="1"/>
  <c r="M840" i="24"/>
  <c r="P840" i="24" s="1"/>
  <c r="M839" i="24"/>
  <c r="P839" i="24" s="1"/>
  <c r="M838" i="24"/>
  <c r="P838" i="24" s="1"/>
  <c r="M837" i="24"/>
  <c r="P837" i="24" s="1"/>
  <c r="M836" i="24"/>
  <c r="P836" i="24" s="1"/>
  <c r="M835" i="24"/>
  <c r="P835" i="24" s="1"/>
  <c r="M834" i="24"/>
  <c r="P834" i="24" s="1"/>
  <c r="M833" i="24"/>
  <c r="P833" i="24" s="1"/>
  <c r="M832" i="24"/>
  <c r="P832" i="24" s="1"/>
  <c r="P831" i="24"/>
  <c r="M831" i="24"/>
  <c r="M830" i="24"/>
  <c r="P830" i="24" s="1"/>
  <c r="M829" i="24"/>
  <c r="P829" i="24" s="1"/>
  <c r="P828" i="24"/>
  <c r="M828" i="24"/>
  <c r="M827" i="24"/>
  <c r="P827" i="24" s="1"/>
  <c r="M826" i="24"/>
  <c r="P826" i="24" s="1"/>
  <c r="P825" i="24"/>
  <c r="M825" i="24"/>
  <c r="M824" i="24"/>
  <c r="P824" i="24" s="1"/>
  <c r="M823" i="24"/>
  <c r="P823" i="24" s="1"/>
  <c r="P822" i="24"/>
  <c r="M822" i="24"/>
  <c r="M821" i="24"/>
  <c r="P821" i="24" s="1"/>
  <c r="M820" i="24"/>
  <c r="P820" i="24" s="1"/>
  <c r="M819" i="24"/>
  <c r="P819" i="24" s="1"/>
  <c r="M818" i="24"/>
  <c r="P818" i="24" s="1"/>
  <c r="M817" i="24"/>
  <c r="P817" i="24" s="1"/>
  <c r="M816" i="24"/>
  <c r="P816" i="24" s="1"/>
  <c r="M815" i="24"/>
  <c r="P815" i="24" s="1"/>
  <c r="M814" i="24"/>
  <c r="P814" i="24" s="1"/>
  <c r="P813" i="24"/>
  <c r="M813" i="24"/>
  <c r="M812" i="24"/>
  <c r="P812" i="24" s="1"/>
  <c r="M811" i="24"/>
  <c r="P811" i="24" s="1"/>
  <c r="M810" i="24"/>
  <c r="P810" i="24" s="1"/>
  <c r="M809" i="24"/>
  <c r="P809" i="24" s="1"/>
  <c r="M808" i="24"/>
  <c r="P808" i="24" s="1"/>
  <c r="M807" i="24"/>
  <c r="P807" i="24" s="1"/>
  <c r="M806" i="24"/>
  <c r="P806" i="24" s="1"/>
  <c r="M805" i="24"/>
  <c r="P805" i="24" s="1"/>
  <c r="M804" i="24"/>
  <c r="P804" i="24" s="1"/>
  <c r="M803" i="24"/>
  <c r="P803" i="24" s="1"/>
  <c r="M802" i="24"/>
  <c r="P802" i="24" s="1"/>
  <c r="M801" i="24"/>
  <c r="P801" i="24" s="1"/>
  <c r="P800" i="24"/>
  <c r="M800" i="24"/>
  <c r="M799" i="24"/>
  <c r="P799" i="24" s="1"/>
  <c r="M798" i="24"/>
  <c r="P798" i="24" s="1"/>
  <c r="P797" i="24"/>
  <c r="M797" i="24"/>
  <c r="M796" i="24"/>
  <c r="P796" i="24" s="1"/>
  <c r="M795" i="24"/>
  <c r="P795" i="24" s="1"/>
  <c r="M794" i="24"/>
  <c r="P794" i="24" s="1"/>
  <c r="M793" i="24"/>
  <c r="P793" i="24" s="1"/>
  <c r="M792" i="24"/>
  <c r="P792" i="24" s="1"/>
  <c r="M791" i="24"/>
  <c r="P791" i="24" s="1"/>
  <c r="M790" i="24"/>
  <c r="P790" i="24" s="1"/>
  <c r="M789" i="24"/>
  <c r="P789" i="24" s="1"/>
  <c r="M788" i="24"/>
  <c r="P788" i="24" s="1"/>
  <c r="M787" i="24"/>
  <c r="P787" i="24" s="1"/>
  <c r="M786" i="24"/>
  <c r="P786" i="24" s="1"/>
  <c r="P785" i="24"/>
  <c r="M785" i="24"/>
  <c r="M784" i="24"/>
  <c r="P784" i="24" s="1"/>
  <c r="M783" i="24"/>
  <c r="P783" i="24" s="1"/>
  <c r="M782" i="24"/>
  <c r="P782" i="24" s="1"/>
  <c r="M781" i="24"/>
  <c r="P781" i="24" s="1"/>
  <c r="M780" i="24"/>
  <c r="P780" i="24" s="1"/>
  <c r="M779" i="24"/>
  <c r="P779" i="24" s="1"/>
  <c r="M778" i="24"/>
  <c r="P778" i="24" s="1"/>
  <c r="M777" i="24"/>
  <c r="P777" i="24" s="1"/>
  <c r="M776" i="24"/>
  <c r="P776" i="24" s="1"/>
  <c r="M775" i="24"/>
  <c r="P775" i="24" s="1"/>
  <c r="P774" i="24"/>
  <c r="M774" i="24"/>
  <c r="M773" i="24"/>
  <c r="P773" i="24" s="1"/>
  <c r="M772" i="24"/>
  <c r="P772" i="24" s="1"/>
  <c r="M771" i="24"/>
  <c r="P771" i="24" s="1"/>
  <c r="M770" i="24"/>
  <c r="P770" i="24" s="1"/>
  <c r="M769" i="24"/>
  <c r="P769" i="24" s="1"/>
  <c r="M768" i="24"/>
  <c r="P768" i="24" s="1"/>
  <c r="M767" i="24"/>
  <c r="P767" i="24" s="1"/>
  <c r="M766" i="24"/>
  <c r="P766" i="24" s="1"/>
  <c r="M765" i="24"/>
  <c r="P765" i="24" s="1"/>
  <c r="P764" i="24"/>
  <c r="M764" i="24"/>
  <c r="M763" i="24"/>
  <c r="P763" i="24" s="1"/>
  <c r="M762" i="24"/>
  <c r="P762" i="24" s="1"/>
  <c r="M761" i="24"/>
  <c r="P761" i="24" s="1"/>
  <c r="M760" i="24"/>
  <c r="P760" i="24" s="1"/>
  <c r="M759" i="24"/>
  <c r="P759" i="24" s="1"/>
  <c r="M758" i="24"/>
  <c r="P758" i="24" s="1"/>
  <c r="M757" i="24"/>
  <c r="P757" i="24" s="1"/>
  <c r="M756" i="24"/>
  <c r="P756" i="24" s="1"/>
  <c r="M755" i="24"/>
  <c r="P755" i="24" s="1"/>
  <c r="M754" i="24"/>
  <c r="P754" i="24" s="1"/>
  <c r="P753" i="24"/>
  <c r="M753" i="24"/>
  <c r="M752" i="24"/>
  <c r="P752" i="24" s="1"/>
  <c r="M751" i="24"/>
  <c r="P751" i="24" s="1"/>
  <c r="M750" i="24"/>
  <c r="P750" i="24" s="1"/>
  <c r="M749" i="24"/>
  <c r="P749" i="24" s="1"/>
  <c r="P748" i="24"/>
  <c r="M748" i="24"/>
  <c r="P747" i="24"/>
  <c r="M747" i="24"/>
  <c r="M746" i="24"/>
  <c r="P746" i="24" s="1"/>
  <c r="M745" i="24"/>
  <c r="P745" i="24" s="1"/>
  <c r="P744" i="24"/>
  <c r="M744" i="24"/>
  <c r="M743" i="24"/>
  <c r="P743" i="24" s="1"/>
  <c r="M742" i="24"/>
  <c r="P742" i="24" s="1"/>
  <c r="M741" i="24"/>
  <c r="P741" i="24" s="1"/>
  <c r="P740" i="24"/>
  <c r="M740" i="24"/>
  <c r="M739" i="24"/>
  <c r="P739" i="24" s="1"/>
  <c r="M738" i="24"/>
  <c r="P738" i="24" s="1"/>
  <c r="M737" i="24"/>
  <c r="P737" i="24" s="1"/>
  <c r="M736" i="24"/>
  <c r="P736" i="24" s="1"/>
  <c r="M735" i="24"/>
  <c r="P735" i="24" s="1"/>
  <c r="M734" i="24"/>
  <c r="P734" i="24" s="1"/>
  <c r="M733" i="24"/>
  <c r="P733" i="24" s="1"/>
  <c r="M732" i="24"/>
  <c r="P732" i="24" s="1"/>
  <c r="P731" i="24"/>
  <c r="M731" i="24"/>
  <c r="M730" i="24"/>
  <c r="P730" i="24" s="1"/>
  <c r="M729" i="24"/>
  <c r="P729" i="24" s="1"/>
  <c r="M728" i="24"/>
  <c r="P728" i="24" s="1"/>
  <c r="M727" i="24"/>
  <c r="P727" i="24" s="1"/>
  <c r="P726" i="24"/>
  <c r="M726" i="24"/>
  <c r="M725" i="24"/>
  <c r="P725" i="24" s="1"/>
  <c r="M724" i="24"/>
  <c r="P724" i="24" s="1"/>
  <c r="M723" i="24"/>
  <c r="P723" i="24" s="1"/>
  <c r="M722" i="24"/>
  <c r="P722" i="24" s="1"/>
  <c r="P721" i="24"/>
  <c r="M721" i="24"/>
  <c r="M720" i="24"/>
  <c r="P720" i="24" s="1"/>
  <c r="M719" i="24"/>
  <c r="P719" i="24" s="1"/>
  <c r="M718" i="24"/>
  <c r="P718" i="24" s="1"/>
  <c r="P717" i="24"/>
  <c r="M717" i="24"/>
  <c r="M716" i="24"/>
  <c r="P716" i="24" s="1"/>
  <c r="M715" i="24"/>
  <c r="P715" i="24" s="1"/>
  <c r="M714" i="24"/>
  <c r="P714" i="24" s="1"/>
  <c r="P713" i="24"/>
  <c r="M713" i="24"/>
  <c r="P712" i="24"/>
  <c r="M712" i="24"/>
  <c r="M711" i="24"/>
  <c r="P711" i="24" s="1"/>
  <c r="M710" i="24"/>
  <c r="P710" i="24" s="1"/>
  <c r="M709" i="24"/>
  <c r="P709" i="24" s="1"/>
  <c r="M708" i="24"/>
  <c r="P708" i="24" s="1"/>
  <c r="M707" i="24"/>
  <c r="P707" i="24" s="1"/>
  <c r="M706" i="24"/>
  <c r="P706" i="24" s="1"/>
  <c r="M705" i="24"/>
  <c r="P705" i="24" s="1"/>
  <c r="P704" i="24"/>
  <c r="M704" i="24"/>
  <c r="M703" i="24"/>
  <c r="P703" i="24" s="1"/>
  <c r="M702" i="24"/>
  <c r="P702" i="24" s="1"/>
  <c r="M701" i="24"/>
  <c r="P701" i="24" s="1"/>
  <c r="P700" i="24"/>
  <c r="M700" i="24"/>
  <c r="M699" i="24"/>
  <c r="P699" i="24" s="1"/>
  <c r="M698" i="24"/>
  <c r="P698" i="24" s="1"/>
  <c r="M697" i="24"/>
  <c r="P697" i="24" s="1"/>
  <c r="M696" i="24"/>
  <c r="P696" i="24" s="1"/>
  <c r="P695" i="24"/>
  <c r="M695" i="24"/>
  <c r="M694" i="24"/>
  <c r="P694" i="24" s="1"/>
  <c r="M693" i="24"/>
  <c r="P693" i="24" s="1"/>
  <c r="M692" i="24"/>
  <c r="P692" i="24" s="1"/>
  <c r="P691" i="24"/>
  <c r="M691" i="24"/>
  <c r="M690" i="24"/>
  <c r="P690" i="24" s="1"/>
  <c r="M689" i="24"/>
  <c r="P689" i="24" s="1"/>
  <c r="M688" i="24"/>
  <c r="P688" i="24" s="1"/>
  <c r="M687" i="24"/>
  <c r="P687" i="24" s="1"/>
  <c r="M686" i="24"/>
  <c r="P686" i="24" s="1"/>
  <c r="M685" i="24"/>
  <c r="P685" i="24" s="1"/>
  <c r="M684" i="24"/>
  <c r="P684" i="24" s="1"/>
  <c r="M683" i="24"/>
  <c r="P683" i="24" s="1"/>
  <c r="M682" i="24"/>
  <c r="P682" i="24" s="1"/>
  <c r="M681" i="24"/>
  <c r="P681" i="24" s="1"/>
  <c r="M680" i="24"/>
  <c r="P680" i="24" s="1"/>
  <c r="M679" i="24"/>
  <c r="P679" i="24" s="1"/>
  <c r="M678" i="24"/>
  <c r="P678" i="24" s="1"/>
  <c r="M677" i="24"/>
  <c r="P677" i="24" s="1"/>
  <c r="M676" i="24"/>
  <c r="P676" i="24" s="1"/>
  <c r="M675" i="24"/>
  <c r="P675" i="24" s="1"/>
  <c r="M674" i="24"/>
  <c r="P674" i="24" s="1"/>
  <c r="M673" i="24"/>
  <c r="P673" i="24" s="1"/>
  <c r="M672" i="24"/>
  <c r="P672" i="24" s="1"/>
  <c r="M671" i="24"/>
  <c r="P671" i="24" s="1"/>
  <c r="M670" i="24"/>
  <c r="P670" i="24" s="1"/>
  <c r="M669" i="24"/>
  <c r="P669" i="24" s="1"/>
  <c r="M668" i="24"/>
  <c r="P668" i="24" s="1"/>
  <c r="M667" i="24"/>
  <c r="P667" i="24" s="1"/>
  <c r="M666" i="24"/>
  <c r="P666" i="24" s="1"/>
  <c r="M665" i="24"/>
  <c r="P665" i="24" s="1"/>
  <c r="M664" i="24"/>
  <c r="P664" i="24" s="1"/>
  <c r="M663" i="24"/>
  <c r="P663" i="24" s="1"/>
  <c r="M662" i="24"/>
  <c r="P662" i="24" s="1"/>
  <c r="M661" i="24"/>
  <c r="P661" i="24" s="1"/>
  <c r="M660" i="24"/>
  <c r="P660" i="24" s="1"/>
  <c r="P659" i="24"/>
  <c r="M659" i="24"/>
  <c r="M658" i="24"/>
  <c r="P658" i="24" s="1"/>
  <c r="M657" i="24"/>
  <c r="P657" i="24" s="1"/>
  <c r="M656" i="24"/>
  <c r="P656" i="24" s="1"/>
  <c r="M655" i="24"/>
  <c r="P655" i="24" s="1"/>
  <c r="M654" i="24"/>
  <c r="P654" i="24" s="1"/>
  <c r="M653" i="24"/>
  <c r="P653" i="24" s="1"/>
  <c r="M652" i="24"/>
  <c r="P652" i="24" s="1"/>
  <c r="P651" i="24"/>
  <c r="M651" i="24"/>
  <c r="M650" i="24"/>
  <c r="P650" i="24" s="1"/>
  <c r="M649" i="24"/>
  <c r="P649" i="24" s="1"/>
  <c r="M648" i="24"/>
  <c r="P648" i="24" s="1"/>
  <c r="M647" i="24"/>
  <c r="P647" i="24" s="1"/>
  <c r="M646" i="24"/>
  <c r="P646" i="24" s="1"/>
  <c r="M645" i="24"/>
  <c r="P645" i="24" s="1"/>
  <c r="M644" i="24"/>
  <c r="P644" i="24" s="1"/>
  <c r="M643" i="24"/>
  <c r="P643" i="24" s="1"/>
  <c r="M642" i="24"/>
  <c r="P642" i="24" s="1"/>
  <c r="M641" i="24"/>
  <c r="P641" i="24" s="1"/>
  <c r="M640" i="24"/>
  <c r="P640" i="24" s="1"/>
  <c r="M639" i="24"/>
  <c r="P639" i="24" s="1"/>
  <c r="M638" i="24"/>
  <c r="P638" i="24" s="1"/>
  <c r="M637" i="24"/>
  <c r="P637" i="24" s="1"/>
  <c r="M636" i="24"/>
  <c r="P636" i="24" s="1"/>
  <c r="M635" i="24"/>
  <c r="P635" i="24" s="1"/>
  <c r="M634" i="24"/>
  <c r="P634" i="24" s="1"/>
  <c r="M633" i="24"/>
  <c r="P633" i="24" s="1"/>
  <c r="M632" i="24"/>
  <c r="P632" i="24" s="1"/>
  <c r="M631" i="24"/>
  <c r="P631" i="24" s="1"/>
  <c r="P630" i="24"/>
  <c r="M630" i="24"/>
  <c r="M629" i="24"/>
  <c r="P629" i="24" s="1"/>
  <c r="M628" i="24"/>
  <c r="P628" i="24" s="1"/>
  <c r="M627" i="24"/>
  <c r="P627" i="24" s="1"/>
  <c r="M626" i="24"/>
  <c r="P626" i="24" s="1"/>
  <c r="M625" i="24"/>
  <c r="P625" i="24" s="1"/>
  <c r="M624" i="24"/>
  <c r="P624" i="24" s="1"/>
  <c r="M623" i="24"/>
  <c r="P623" i="24" s="1"/>
  <c r="M622" i="24"/>
  <c r="P622" i="24" s="1"/>
  <c r="M621" i="24"/>
  <c r="P621" i="24" s="1"/>
  <c r="M620" i="24"/>
  <c r="P620" i="24" s="1"/>
  <c r="M619" i="24"/>
  <c r="P619" i="24" s="1"/>
  <c r="P618" i="24"/>
  <c r="M618" i="24"/>
  <c r="P617" i="24"/>
  <c r="M617" i="24"/>
  <c r="M616" i="24"/>
  <c r="P616" i="24" s="1"/>
  <c r="M615" i="24"/>
  <c r="P615" i="24" s="1"/>
  <c r="M614" i="24"/>
  <c r="P614" i="24" s="1"/>
  <c r="M613" i="24"/>
  <c r="P613" i="24" s="1"/>
  <c r="M612" i="24"/>
  <c r="P612" i="24" s="1"/>
  <c r="M611" i="24"/>
  <c r="P611" i="24" s="1"/>
  <c r="M610" i="24"/>
  <c r="P610" i="24" s="1"/>
  <c r="M609" i="24"/>
  <c r="P609" i="24" s="1"/>
  <c r="M608" i="24"/>
  <c r="P608" i="24" s="1"/>
  <c r="M607" i="24"/>
  <c r="P607" i="24" s="1"/>
  <c r="M606" i="24"/>
  <c r="P606" i="24" s="1"/>
  <c r="P605" i="24"/>
  <c r="M605" i="24"/>
  <c r="M604" i="24"/>
  <c r="P604" i="24" s="1"/>
  <c r="M603" i="24"/>
  <c r="P603" i="24" s="1"/>
  <c r="P602" i="24"/>
  <c r="M602" i="24"/>
  <c r="M601" i="24"/>
  <c r="P601" i="24" s="1"/>
  <c r="P600" i="24"/>
  <c r="M600" i="24"/>
  <c r="M599" i="24"/>
  <c r="P599" i="24" s="1"/>
  <c r="M598" i="24"/>
  <c r="P598" i="24" s="1"/>
  <c r="M597" i="24"/>
  <c r="P597" i="24" s="1"/>
  <c r="M596" i="24"/>
  <c r="P596" i="24" s="1"/>
  <c r="M595" i="24"/>
  <c r="P595" i="24" s="1"/>
  <c r="M594" i="24"/>
  <c r="P594" i="24" s="1"/>
  <c r="M593" i="24"/>
  <c r="P593" i="24" s="1"/>
  <c r="M592" i="24"/>
  <c r="P592" i="24" s="1"/>
  <c r="M591" i="24"/>
  <c r="P591" i="24" s="1"/>
  <c r="M590" i="24"/>
  <c r="P590" i="24" s="1"/>
  <c r="M589" i="24"/>
  <c r="P589" i="24" s="1"/>
  <c r="M588" i="24"/>
  <c r="P588" i="24" s="1"/>
  <c r="P587" i="24"/>
  <c r="M587" i="24"/>
  <c r="M586" i="24"/>
  <c r="P586" i="24" s="1"/>
  <c r="M585" i="24"/>
  <c r="P585" i="24" s="1"/>
  <c r="M584" i="24"/>
  <c r="P584" i="24" s="1"/>
  <c r="M583" i="24"/>
  <c r="P583" i="24" s="1"/>
  <c r="M582" i="24"/>
  <c r="P582" i="24" s="1"/>
  <c r="P581" i="24"/>
  <c r="M581" i="24"/>
  <c r="M580" i="24"/>
  <c r="P580" i="24" s="1"/>
  <c r="M579" i="24"/>
  <c r="P579" i="24" s="1"/>
  <c r="M578" i="24"/>
  <c r="P578" i="24" s="1"/>
  <c r="M577" i="24"/>
  <c r="P577" i="24" s="1"/>
  <c r="M576" i="24"/>
  <c r="P576" i="24" s="1"/>
  <c r="M575" i="24"/>
  <c r="P575" i="24" s="1"/>
  <c r="M574" i="24"/>
  <c r="P574" i="24" s="1"/>
  <c r="M573" i="24"/>
  <c r="P573" i="24" s="1"/>
  <c r="M572" i="24"/>
  <c r="P572" i="24" s="1"/>
  <c r="M571" i="24"/>
  <c r="P571" i="24" s="1"/>
  <c r="M570" i="24"/>
  <c r="P570" i="24" s="1"/>
  <c r="P569" i="24"/>
  <c r="M569" i="24"/>
  <c r="M568" i="24"/>
  <c r="P568" i="24" s="1"/>
  <c r="M567" i="24"/>
  <c r="P567" i="24" s="1"/>
  <c r="P566" i="24"/>
  <c r="M566" i="24"/>
  <c r="M565" i="24"/>
  <c r="P565" i="24" s="1"/>
  <c r="P564" i="24"/>
  <c r="M564" i="24"/>
  <c r="M563" i="24"/>
  <c r="P563" i="24" s="1"/>
  <c r="M562" i="24"/>
  <c r="P562" i="24" s="1"/>
  <c r="M561" i="24"/>
  <c r="P561" i="24" s="1"/>
  <c r="M560" i="24"/>
  <c r="P560" i="24" s="1"/>
  <c r="M559" i="24"/>
  <c r="P559" i="24" s="1"/>
  <c r="P558" i="24"/>
  <c r="M558" i="24"/>
  <c r="M557" i="24"/>
  <c r="P557" i="24" s="1"/>
  <c r="P556" i="24"/>
  <c r="M556" i="24"/>
  <c r="M555" i="24"/>
  <c r="P555" i="24" s="1"/>
  <c r="M554" i="24"/>
  <c r="P554" i="24" s="1"/>
  <c r="M553" i="24"/>
  <c r="P553" i="24" s="1"/>
  <c r="M552" i="24"/>
  <c r="P552" i="24" s="1"/>
  <c r="M551" i="24"/>
  <c r="P551" i="24" s="1"/>
  <c r="P550" i="24"/>
  <c r="M550" i="24"/>
  <c r="M549" i="24"/>
  <c r="P549" i="24" s="1"/>
  <c r="P548" i="24"/>
  <c r="M548" i="24"/>
  <c r="M547" i="24"/>
  <c r="P547" i="24" s="1"/>
  <c r="M546" i="24"/>
  <c r="P546" i="24" s="1"/>
  <c r="M545" i="24"/>
  <c r="P545" i="24" s="1"/>
  <c r="M544" i="24"/>
  <c r="P544" i="24" s="1"/>
  <c r="M543" i="24"/>
  <c r="P543" i="24" s="1"/>
  <c r="M542" i="24"/>
  <c r="P542" i="24" s="1"/>
  <c r="M541" i="24"/>
  <c r="P541" i="24" s="1"/>
  <c r="P540" i="24"/>
  <c r="M540" i="24"/>
  <c r="M539" i="24"/>
  <c r="P539" i="24" s="1"/>
  <c r="M538" i="24"/>
  <c r="P538" i="24" s="1"/>
  <c r="M537" i="24"/>
  <c r="P537" i="24" s="1"/>
  <c r="M536" i="24"/>
  <c r="P536" i="24" s="1"/>
  <c r="M535" i="24"/>
  <c r="P535" i="24" s="1"/>
  <c r="M534" i="24"/>
  <c r="P534" i="24" s="1"/>
  <c r="M533" i="24"/>
  <c r="P533" i="24" s="1"/>
  <c r="P532" i="24"/>
  <c r="M532" i="24"/>
  <c r="M531" i="24"/>
  <c r="P531" i="24" s="1"/>
  <c r="M530" i="24"/>
  <c r="P530" i="24" s="1"/>
  <c r="P529" i="24"/>
  <c r="M529" i="24"/>
  <c r="M528" i="24"/>
  <c r="P528" i="24" s="1"/>
  <c r="M527" i="24"/>
  <c r="P527" i="24" s="1"/>
  <c r="P526" i="24"/>
  <c r="M526" i="24"/>
  <c r="M525" i="24"/>
  <c r="P525" i="24" s="1"/>
  <c r="M524" i="24"/>
  <c r="P524" i="24" s="1"/>
  <c r="M523" i="24"/>
  <c r="P523" i="24" s="1"/>
  <c r="M522" i="24"/>
  <c r="P522" i="24" s="1"/>
  <c r="M521" i="24"/>
  <c r="P521" i="24" s="1"/>
  <c r="M520" i="24"/>
  <c r="P520" i="24" s="1"/>
  <c r="M519" i="24"/>
  <c r="P519" i="24" s="1"/>
  <c r="M518" i="24"/>
  <c r="P518" i="24" s="1"/>
  <c r="P517" i="24"/>
  <c r="M517" i="24"/>
  <c r="M516" i="24"/>
  <c r="P516" i="24" s="1"/>
  <c r="M515" i="24"/>
  <c r="P515" i="24" s="1"/>
  <c r="M514" i="24"/>
  <c r="P514" i="24" s="1"/>
  <c r="M513" i="24"/>
  <c r="P513" i="24" s="1"/>
  <c r="M512" i="24"/>
  <c r="P512" i="24" s="1"/>
  <c r="M511" i="24"/>
  <c r="P511" i="24" s="1"/>
  <c r="P510" i="24"/>
  <c r="M510" i="24"/>
  <c r="M509" i="24"/>
  <c r="P509" i="24" s="1"/>
  <c r="P508" i="24"/>
  <c r="M508" i="24"/>
  <c r="M507" i="24"/>
  <c r="P507" i="24" s="1"/>
  <c r="M506" i="24"/>
  <c r="P506" i="24" s="1"/>
  <c r="P505" i="24"/>
  <c r="M505" i="24"/>
  <c r="M504" i="24"/>
  <c r="P504" i="24" s="1"/>
  <c r="M503" i="24"/>
  <c r="P503" i="24" s="1"/>
  <c r="P502" i="24"/>
  <c r="M502" i="24"/>
  <c r="P501" i="24"/>
  <c r="M501" i="24"/>
  <c r="M500" i="24"/>
  <c r="P500" i="24" s="1"/>
  <c r="M499" i="24"/>
  <c r="P499" i="24" s="1"/>
  <c r="M498" i="24"/>
  <c r="P498" i="24" s="1"/>
  <c r="M497" i="24"/>
  <c r="P497" i="24" s="1"/>
  <c r="M496" i="24"/>
  <c r="P496" i="24" s="1"/>
  <c r="M495" i="24"/>
  <c r="P495" i="24" s="1"/>
  <c r="M494" i="24"/>
  <c r="P494" i="24" s="1"/>
  <c r="M493" i="24"/>
  <c r="P493" i="24" s="1"/>
  <c r="P492" i="24"/>
  <c r="M492" i="24"/>
  <c r="M491" i="24"/>
  <c r="P491" i="24" s="1"/>
  <c r="M490" i="24"/>
  <c r="P490" i="24" s="1"/>
  <c r="M489" i="24"/>
  <c r="P489" i="24" s="1"/>
  <c r="M488" i="24"/>
  <c r="P488" i="24" s="1"/>
  <c r="M487" i="24"/>
  <c r="P487" i="24" s="1"/>
  <c r="P486" i="24"/>
  <c r="M486" i="24"/>
  <c r="M485" i="24"/>
  <c r="P485" i="24" s="1"/>
  <c r="P484" i="24"/>
  <c r="M484" i="24"/>
  <c r="P483" i="24"/>
  <c r="M483" i="24"/>
  <c r="M482" i="24"/>
  <c r="P482" i="24" s="1"/>
  <c r="M481" i="24"/>
  <c r="P481" i="24" s="1"/>
  <c r="M480" i="24"/>
  <c r="P480" i="24" s="1"/>
  <c r="M479" i="24"/>
  <c r="P479" i="24" s="1"/>
  <c r="M478" i="24"/>
  <c r="P478" i="24" s="1"/>
  <c r="M477" i="24"/>
  <c r="P477" i="24" s="1"/>
  <c r="M476" i="24"/>
  <c r="P476" i="24" s="1"/>
  <c r="P475" i="24"/>
  <c r="M475" i="24"/>
  <c r="M474" i="24"/>
  <c r="P474" i="24" s="1"/>
  <c r="M473" i="24"/>
  <c r="P473" i="24" s="1"/>
  <c r="M472" i="24"/>
  <c r="P472" i="24" s="1"/>
  <c r="M471" i="24"/>
  <c r="P471" i="24" s="1"/>
  <c r="M470" i="24"/>
  <c r="P470" i="24" s="1"/>
  <c r="P469" i="24"/>
  <c r="M469" i="24"/>
  <c r="M468" i="24"/>
  <c r="P468" i="24" s="1"/>
  <c r="M467" i="24"/>
  <c r="P467" i="24" s="1"/>
  <c r="M466" i="24"/>
  <c r="P466" i="24" s="1"/>
  <c r="M465" i="24"/>
  <c r="P465" i="24" s="1"/>
  <c r="M464" i="24"/>
  <c r="P464" i="24" s="1"/>
  <c r="M463" i="24"/>
  <c r="P463" i="24" s="1"/>
  <c r="P462" i="24"/>
  <c r="M462" i="24"/>
  <c r="M461" i="24"/>
  <c r="P461" i="24" s="1"/>
  <c r="P460" i="24"/>
  <c r="M460" i="24"/>
  <c r="M459" i="24"/>
  <c r="P459" i="24" s="1"/>
  <c r="M458" i="24"/>
  <c r="P458" i="24" s="1"/>
  <c r="P457" i="24"/>
  <c r="M457" i="24"/>
  <c r="M456" i="24"/>
  <c r="P456" i="24" s="1"/>
  <c r="M455" i="24"/>
  <c r="P455" i="24" s="1"/>
  <c r="M454" i="24"/>
  <c r="P454" i="24" s="1"/>
  <c r="M453" i="24"/>
  <c r="P453" i="24" s="1"/>
  <c r="M452" i="24"/>
  <c r="P452" i="24" s="1"/>
  <c r="M451" i="24"/>
  <c r="P451" i="24" s="1"/>
  <c r="M450" i="24"/>
  <c r="P450" i="24" s="1"/>
  <c r="M449" i="24"/>
  <c r="P449" i="24" s="1"/>
  <c r="M448" i="24"/>
  <c r="P448" i="24" s="1"/>
  <c r="M447" i="24"/>
  <c r="P447" i="24" s="1"/>
  <c r="M446" i="24"/>
  <c r="P446" i="24" s="1"/>
  <c r="M445" i="24"/>
  <c r="P445" i="24" s="1"/>
  <c r="P444" i="24"/>
  <c r="M444" i="24"/>
  <c r="M443" i="24"/>
  <c r="P443" i="24" s="1"/>
  <c r="M442" i="24"/>
  <c r="P442" i="24" s="1"/>
  <c r="M441" i="24"/>
  <c r="P441" i="24" s="1"/>
  <c r="M440" i="24"/>
  <c r="P440" i="24" s="1"/>
  <c r="M439" i="24"/>
  <c r="P439" i="24" s="1"/>
  <c r="M438" i="24"/>
  <c r="P438" i="24" s="1"/>
  <c r="M437" i="24"/>
  <c r="P437" i="24" s="1"/>
  <c r="P436" i="24"/>
  <c r="M436" i="24"/>
  <c r="M435" i="24"/>
  <c r="P435" i="24" s="1"/>
  <c r="M434" i="24"/>
  <c r="P434" i="24" s="1"/>
  <c r="M433" i="24"/>
  <c r="P433" i="24" s="1"/>
  <c r="M432" i="24"/>
  <c r="P432" i="24" s="1"/>
  <c r="M431" i="24"/>
  <c r="P431" i="24" s="1"/>
  <c r="M430" i="24"/>
  <c r="P430" i="24" s="1"/>
  <c r="M429" i="24"/>
  <c r="P429" i="24" s="1"/>
  <c r="M428" i="24"/>
  <c r="P428" i="24" s="1"/>
  <c r="P427" i="24"/>
  <c r="M427" i="24"/>
  <c r="M426" i="24"/>
  <c r="P426" i="24" s="1"/>
  <c r="M425" i="24"/>
  <c r="P425" i="24" s="1"/>
  <c r="P424" i="24"/>
  <c r="M424" i="24"/>
  <c r="M423" i="24"/>
  <c r="P423" i="24" s="1"/>
  <c r="M422" i="24"/>
  <c r="P422" i="24" s="1"/>
  <c r="P421" i="24"/>
  <c r="M421" i="24"/>
  <c r="P420" i="24"/>
  <c r="M420" i="24"/>
  <c r="M419" i="24"/>
  <c r="P419" i="24" s="1"/>
  <c r="P418" i="24"/>
  <c r="M418" i="24"/>
  <c r="M417" i="24"/>
  <c r="P417" i="24" s="1"/>
  <c r="M416" i="24"/>
  <c r="P416" i="24" s="1"/>
  <c r="M415" i="24"/>
  <c r="P415" i="24" s="1"/>
  <c r="M414" i="24"/>
  <c r="P414" i="24" s="1"/>
  <c r="M413" i="24"/>
  <c r="P413" i="24" s="1"/>
  <c r="M412" i="24"/>
  <c r="P412" i="24" s="1"/>
  <c r="M411" i="24"/>
  <c r="P411" i="24" s="1"/>
  <c r="M410" i="24"/>
  <c r="P410" i="24" s="1"/>
  <c r="M409" i="24"/>
  <c r="P409" i="24" s="1"/>
  <c r="P408" i="24"/>
  <c r="M408" i="24"/>
  <c r="M407" i="24"/>
  <c r="P407" i="24" s="1"/>
  <c r="M406" i="24"/>
  <c r="P406" i="24" s="1"/>
  <c r="M405" i="24"/>
  <c r="P405" i="24" s="1"/>
  <c r="M404" i="24"/>
  <c r="P404" i="24" s="1"/>
  <c r="P403" i="24"/>
  <c r="M403" i="24"/>
  <c r="M402" i="24"/>
  <c r="P402" i="24" s="1"/>
  <c r="M401" i="24"/>
  <c r="P401" i="24" s="1"/>
  <c r="P400" i="24"/>
  <c r="M400" i="24"/>
  <c r="M399" i="24"/>
  <c r="P399" i="24" s="1"/>
  <c r="M398" i="24"/>
  <c r="P398" i="24" s="1"/>
  <c r="M397" i="24"/>
  <c r="P397" i="24" s="1"/>
  <c r="M396" i="24"/>
  <c r="P396" i="24" s="1"/>
  <c r="M395" i="24"/>
  <c r="P395" i="24" s="1"/>
  <c r="P394" i="24"/>
  <c r="M394" i="24"/>
  <c r="M393" i="24"/>
  <c r="P393" i="24" s="1"/>
  <c r="M392" i="24"/>
  <c r="P392" i="24" s="1"/>
  <c r="P391" i="24"/>
  <c r="M391" i="24"/>
  <c r="M390" i="24"/>
  <c r="P390" i="24" s="1"/>
  <c r="M389" i="24"/>
  <c r="P389" i="24" s="1"/>
  <c r="P388" i="24"/>
  <c r="M388" i="24"/>
  <c r="M387" i="24"/>
  <c r="P387" i="24" s="1"/>
  <c r="P386" i="24"/>
  <c r="M386" i="24"/>
  <c r="M385" i="24"/>
  <c r="P385" i="24" s="1"/>
  <c r="M384" i="24"/>
  <c r="P384" i="24" s="1"/>
  <c r="M383" i="24"/>
  <c r="P383" i="24" s="1"/>
  <c r="M382" i="24"/>
  <c r="P382" i="24" s="1"/>
  <c r="M381" i="24"/>
  <c r="P381" i="24" s="1"/>
  <c r="M380" i="24"/>
  <c r="P380" i="24" s="1"/>
  <c r="P379" i="24"/>
  <c r="M379" i="24"/>
  <c r="M378" i="24"/>
  <c r="P378" i="24" s="1"/>
  <c r="M377" i="24"/>
  <c r="P377" i="24" s="1"/>
  <c r="P376" i="24"/>
  <c r="M376" i="24"/>
  <c r="M375" i="24"/>
  <c r="P375" i="24" s="1"/>
  <c r="M374" i="24"/>
  <c r="P374" i="24" s="1"/>
  <c r="M373" i="24"/>
  <c r="P373" i="24" s="1"/>
  <c r="M372" i="24"/>
  <c r="P372" i="24" s="1"/>
  <c r="M371" i="24"/>
  <c r="P371" i="24" s="1"/>
  <c r="P370" i="24"/>
  <c r="M370" i="24"/>
  <c r="M369" i="24"/>
  <c r="P369" i="24" s="1"/>
  <c r="M368" i="24"/>
  <c r="P368" i="24" s="1"/>
  <c r="P367" i="24"/>
  <c r="M367" i="24"/>
  <c r="M366" i="24"/>
  <c r="P366" i="24" s="1"/>
  <c r="M365" i="24"/>
  <c r="P365" i="24" s="1"/>
  <c r="P364" i="24"/>
  <c r="M364" i="24"/>
  <c r="M363" i="24"/>
  <c r="P363" i="24" s="1"/>
  <c r="M362" i="24"/>
  <c r="P362" i="24" s="1"/>
  <c r="M361" i="24"/>
  <c r="P361" i="24" s="1"/>
  <c r="M360" i="24"/>
  <c r="P360" i="24" s="1"/>
  <c r="M359" i="24"/>
  <c r="P359" i="24" s="1"/>
  <c r="M358" i="24"/>
  <c r="P358" i="24" s="1"/>
  <c r="M357" i="24"/>
  <c r="P357" i="24" s="1"/>
  <c r="M356" i="24"/>
  <c r="P356" i="24" s="1"/>
  <c r="P355" i="24"/>
  <c r="M355" i="24"/>
  <c r="M354" i="24"/>
  <c r="P354" i="24" s="1"/>
  <c r="P353" i="24"/>
  <c r="M353" i="24"/>
  <c r="M352" i="24"/>
  <c r="P352" i="24" s="1"/>
  <c r="M351" i="24"/>
  <c r="P351" i="24" s="1"/>
  <c r="M350" i="24"/>
  <c r="P350" i="24" s="1"/>
  <c r="M349" i="24"/>
  <c r="P349" i="24" s="1"/>
  <c r="M348" i="24"/>
  <c r="P348" i="24" s="1"/>
  <c r="M347" i="24"/>
  <c r="P347" i="24" s="1"/>
  <c r="P346" i="24"/>
  <c r="M346" i="24"/>
  <c r="M345" i="24"/>
  <c r="P345" i="24" s="1"/>
  <c r="M344" i="24"/>
  <c r="P344" i="24" s="1"/>
  <c r="P343" i="24"/>
  <c r="M343" i="24"/>
  <c r="M342" i="24"/>
  <c r="P342" i="24" s="1"/>
  <c r="M341" i="24"/>
  <c r="P341" i="24" s="1"/>
  <c r="M340" i="24"/>
  <c r="P340" i="24" s="1"/>
  <c r="M339" i="24"/>
  <c r="P339" i="24" s="1"/>
  <c r="M338" i="24"/>
  <c r="P338" i="24" s="1"/>
  <c r="P337" i="24"/>
  <c r="M337" i="24"/>
  <c r="M336" i="24"/>
  <c r="P336" i="24" s="1"/>
  <c r="M335" i="24"/>
  <c r="P335" i="24" s="1"/>
  <c r="P334" i="24"/>
  <c r="M334" i="24"/>
  <c r="M333" i="24"/>
  <c r="P333" i="24" s="1"/>
  <c r="M332" i="24"/>
  <c r="P332" i="24" s="1"/>
  <c r="P331" i="24"/>
  <c r="M331" i="24"/>
  <c r="M330" i="24"/>
  <c r="P330" i="24" s="1"/>
  <c r="P329" i="24"/>
  <c r="M329" i="24"/>
  <c r="M328" i="24"/>
  <c r="P328" i="24" s="1"/>
  <c r="M327" i="24"/>
  <c r="P327" i="24" s="1"/>
  <c r="M326" i="24"/>
  <c r="P326" i="24" s="1"/>
  <c r="M325" i="24"/>
  <c r="P325" i="24" s="1"/>
  <c r="M324" i="24"/>
  <c r="P324" i="24" s="1"/>
  <c r="M323" i="24"/>
  <c r="P323" i="24" s="1"/>
  <c r="M322" i="24"/>
  <c r="P322" i="24" s="1"/>
  <c r="M321" i="24"/>
  <c r="P321" i="24" s="1"/>
  <c r="M320" i="24"/>
  <c r="P320" i="24" s="1"/>
  <c r="M319" i="24"/>
  <c r="P319" i="24" s="1"/>
  <c r="M318" i="24"/>
  <c r="P318" i="24" s="1"/>
  <c r="M317" i="24"/>
  <c r="P317" i="24" s="1"/>
  <c r="M316" i="24"/>
  <c r="P316" i="24" s="1"/>
  <c r="M315" i="24"/>
  <c r="P315" i="24" s="1"/>
  <c r="M314" i="24"/>
  <c r="P314" i="24" s="1"/>
  <c r="P313" i="24"/>
  <c r="M313" i="24"/>
  <c r="M312" i="24"/>
  <c r="P312" i="24" s="1"/>
  <c r="P311" i="24"/>
  <c r="M311" i="24"/>
  <c r="M310" i="24"/>
  <c r="P310" i="24" s="1"/>
  <c r="M309" i="24"/>
  <c r="P309" i="24" s="1"/>
  <c r="M308" i="24"/>
  <c r="P308" i="24" s="1"/>
  <c r="P307" i="24"/>
  <c r="M307" i="24"/>
  <c r="M306" i="24"/>
  <c r="P306" i="24" s="1"/>
  <c r="M305" i="24"/>
  <c r="P305" i="24" s="1"/>
  <c r="M304" i="24"/>
  <c r="P304" i="24" s="1"/>
  <c r="M303" i="24"/>
  <c r="P303" i="24" s="1"/>
  <c r="M302" i="24"/>
  <c r="P302" i="24" s="1"/>
  <c r="M301" i="24"/>
  <c r="P301" i="24" s="1"/>
  <c r="M300" i="24"/>
  <c r="P300" i="24" s="1"/>
  <c r="M299" i="24"/>
  <c r="P299" i="24" s="1"/>
  <c r="P298" i="24"/>
  <c r="M298" i="24"/>
  <c r="M297" i="24"/>
  <c r="P297" i="24" s="1"/>
  <c r="P296" i="24"/>
  <c r="M296" i="24"/>
  <c r="M295" i="24"/>
  <c r="P295" i="24" s="1"/>
  <c r="M294" i="24"/>
  <c r="P294" i="24" s="1"/>
  <c r="M293" i="24"/>
  <c r="P293" i="24" s="1"/>
  <c r="M292" i="24"/>
  <c r="P292" i="24" s="1"/>
  <c r="M291" i="24"/>
  <c r="P291" i="24" s="1"/>
  <c r="M290" i="24"/>
  <c r="P290" i="24" s="1"/>
  <c r="P289" i="24"/>
  <c r="M289" i="24"/>
  <c r="M288" i="24"/>
  <c r="P288" i="24" s="1"/>
  <c r="M287" i="24"/>
  <c r="P287" i="24" s="1"/>
  <c r="P286" i="24"/>
  <c r="M286" i="24"/>
  <c r="M285" i="24"/>
  <c r="P285" i="24" s="1"/>
  <c r="M284" i="24"/>
  <c r="P284" i="24" s="1"/>
  <c r="M283" i="24"/>
  <c r="P283" i="24" s="1"/>
  <c r="M282" i="24"/>
  <c r="P282" i="24" s="1"/>
  <c r="M281" i="24"/>
  <c r="P281" i="24" s="1"/>
  <c r="P280" i="24"/>
  <c r="M280" i="24"/>
  <c r="M279" i="24"/>
  <c r="P279" i="24" s="1"/>
  <c r="P278" i="24"/>
  <c r="M278" i="24"/>
  <c r="M277" i="24"/>
  <c r="P277" i="24" s="1"/>
  <c r="M276" i="24"/>
  <c r="P276" i="24" s="1"/>
  <c r="M275" i="24"/>
  <c r="P275" i="24" s="1"/>
  <c r="M274" i="24"/>
  <c r="P274" i="24" s="1"/>
  <c r="M273" i="24"/>
  <c r="P273" i="24" s="1"/>
  <c r="M272" i="24"/>
  <c r="P272" i="24" s="1"/>
  <c r="M271" i="24"/>
  <c r="P271" i="24" s="1"/>
  <c r="M270" i="24"/>
  <c r="P270" i="24" s="1"/>
  <c r="M269" i="24"/>
  <c r="P269" i="24" s="1"/>
  <c r="M268" i="24"/>
  <c r="P268" i="24" s="1"/>
  <c r="M267" i="24"/>
  <c r="P267" i="24" s="1"/>
  <c r="M266" i="24"/>
  <c r="P266" i="24" s="1"/>
  <c r="M265" i="24"/>
  <c r="P265" i="24" s="1"/>
  <c r="M264" i="24"/>
  <c r="P264" i="24" s="1"/>
  <c r="M263" i="24"/>
  <c r="P263" i="24" s="1"/>
  <c r="M262" i="24"/>
  <c r="P262" i="24" s="1"/>
  <c r="M261" i="24"/>
  <c r="P261" i="24" s="1"/>
  <c r="M260" i="24"/>
  <c r="P260" i="24" s="1"/>
  <c r="M259" i="24"/>
  <c r="P259" i="24" s="1"/>
  <c r="M258" i="24"/>
  <c r="P258" i="24" s="1"/>
  <c r="M257" i="24"/>
  <c r="P257" i="24" s="1"/>
  <c r="P256" i="24"/>
  <c r="M256" i="24"/>
  <c r="M255" i="24"/>
  <c r="P255" i="24" s="1"/>
  <c r="M254" i="24"/>
  <c r="P254" i="24" s="1"/>
  <c r="P253" i="24"/>
  <c r="M253" i="24"/>
  <c r="M252" i="24"/>
  <c r="P252" i="24" s="1"/>
  <c r="M251" i="24"/>
  <c r="P251" i="24" s="1"/>
  <c r="M250" i="24"/>
  <c r="P250" i="24" s="1"/>
  <c r="M249" i="24"/>
  <c r="P249" i="24" s="1"/>
  <c r="M248" i="24"/>
  <c r="P248" i="24" s="1"/>
  <c r="P247" i="24"/>
  <c r="M247" i="24"/>
  <c r="M246" i="24"/>
  <c r="P246" i="24" s="1"/>
  <c r="P245" i="24"/>
  <c r="M245" i="24"/>
  <c r="M244" i="24"/>
  <c r="P244" i="24" s="1"/>
  <c r="M243" i="24"/>
  <c r="P243" i="24" s="1"/>
  <c r="M242" i="24"/>
  <c r="P242" i="24" s="1"/>
  <c r="M241" i="24"/>
  <c r="P241" i="24" s="1"/>
  <c r="M240" i="24"/>
  <c r="P240" i="24" s="1"/>
  <c r="M239" i="24"/>
  <c r="P239" i="24" s="1"/>
  <c r="P238" i="24"/>
  <c r="M238" i="24"/>
  <c r="M237" i="24"/>
  <c r="P237" i="24" s="1"/>
  <c r="M236" i="24"/>
  <c r="P236" i="24" s="1"/>
  <c r="M235" i="24"/>
  <c r="P235" i="24" s="1"/>
  <c r="M234" i="24"/>
  <c r="P234" i="24" s="1"/>
  <c r="M233" i="24"/>
  <c r="P233" i="24" s="1"/>
  <c r="P232" i="24"/>
  <c r="M232" i="24"/>
  <c r="M231" i="24"/>
  <c r="P231" i="24" s="1"/>
  <c r="M230" i="24"/>
  <c r="P230" i="24" s="1"/>
  <c r="P229" i="24"/>
  <c r="M229" i="24"/>
  <c r="M228" i="24"/>
  <c r="P228" i="24" s="1"/>
  <c r="M227" i="24"/>
  <c r="P227" i="24" s="1"/>
  <c r="M226" i="24"/>
  <c r="P226" i="24" s="1"/>
  <c r="M225" i="24"/>
  <c r="P225" i="24" s="1"/>
  <c r="M224" i="24"/>
  <c r="P224" i="24" s="1"/>
  <c r="P223" i="24"/>
  <c r="M223" i="24"/>
  <c r="M222" i="24"/>
  <c r="P222" i="24" s="1"/>
  <c r="P221" i="24"/>
  <c r="M221" i="24"/>
  <c r="M220" i="24"/>
  <c r="P220" i="24" s="1"/>
  <c r="M219" i="24"/>
  <c r="P219" i="24" s="1"/>
  <c r="M218" i="24"/>
  <c r="P218" i="24" s="1"/>
  <c r="M217" i="24"/>
  <c r="P217" i="24" s="1"/>
  <c r="M216" i="24"/>
  <c r="P216" i="24" s="1"/>
  <c r="M215" i="24"/>
  <c r="P215" i="24" s="1"/>
  <c r="M214" i="24"/>
  <c r="P214" i="24" s="1"/>
  <c r="M213" i="24"/>
  <c r="P213" i="24" s="1"/>
  <c r="M212" i="24"/>
  <c r="P212" i="24" s="1"/>
  <c r="M211" i="24"/>
  <c r="P211" i="24" s="1"/>
  <c r="M210" i="24"/>
  <c r="P210" i="24" s="1"/>
  <c r="P209" i="24"/>
  <c r="M209" i="24"/>
  <c r="P208" i="24"/>
  <c r="M208" i="24"/>
  <c r="M207" i="24"/>
  <c r="P207" i="24" s="1"/>
  <c r="M206" i="24"/>
  <c r="P206" i="24" s="1"/>
  <c r="P205" i="24"/>
  <c r="M205" i="24"/>
  <c r="M204" i="24"/>
  <c r="P204" i="24" s="1"/>
  <c r="M203" i="24"/>
  <c r="P203" i="24" s="1"/>
  <c r="P202" i="24"/>
  <c r="M202" i="24"/>
  <c r="M201" i="24"/>
  <c r="P201" i="24" s="1"/>
  <c r="M200" i="24"/>
  <c r="P200" i="24" s="1"/>
  <c r="M199" i="24"/>
  <c r="P199" i="24" s="1"/>
  <c r="M198" i="24"/>
  <c r="P198" i="24" s="1"/>
  <c r="M197" i="24"/>
  <c r="P197" i="24" s="1"/>
  <c r="M196" i="24"/>
  <c r="P196" i="24" s="1"/>
  <c r="M195" i="24"/>
  <c r="P195" i="24" s="1"/>
  <c r="M194" i="24"/>
  <c r="P194" i="24" s="1"/>
  <c r="P193" i="24"/>
  <c r="M193" i="24"/>
  <c r="M192" i="24"/>
  <c r="P192" i="24" s="1"/>
  <c r="M191" i="24"/>
  <c r="P191" i="24" s="1"/>
  <c r="M190" i="24"/>
  <c r="P190" i="24" s="1"/>
  <c r="M189" i="24"/>
  <c r="P189" i="24" s="1"/>
  <c r="M188" i="24"/>
  <c r="P188" i="24" s="1"/>
  <c r="M187" i="24"/>
  <c r="P187" i="24" s="1"/>
  <c r="M186" i="24"/>
  <c r="P186" i="24" s="1"/>
  <c r="M185" i="24"/>
  <c r="P185" i="24" s="1"/>
  <c r="P184" i="24"/>
  <c r="M184" i="24"/>
  <c r="M183" i="24"/>
  <c r="P183" i="24" s="1"/>
  <c r="M182" i="24"/>
  <c r="P182" i="24" s="1"/>
  <c r="M181" i="24"/>
  <c r="P181" i="24" s="1"/>
  <c r="M180" i="24"/>
  <c r="P180" i="24" s="1"/>
  <c r="M179" i="24"/>
  <c r="P179" i="24" s="1"/>
  <c r="M178" i="24"/>
  <c r="P178" i="24" s="1"/>
  <c r="M177" i="24"/>
  <c r="P177" i="24" s="1"/>
  <c r="M176" i="24"/>
  <c r="P176" i="24" s="1"/>
  <c r="P175" i="24"/>
  <c r="M175" i="24"/>
  <c r="M174" i="24"/>
  <c r="P174" i="24" s="1"/>
  <c r="M173" i="24"/>
  <c r="P173" i="24" s="1"/>
  <c r="M172" i="24"/>
  <c r="P172" i="24" s="1"/>
  <c r="M171" i="24"/>
  <c r="P171" i="24" s="1"/>
  <c r="M170" i="24"/>
  <c r="P170" i="24" s="1"/>
  <c r="M169" i="24"/>
  <c r="P169" i="24" s="1"/>
  <c r="M168" i="24"/>
  <c r="P168" i="24" s="1"/>
  <c r="M167" i="24"/>
  <c r="P167" i="24" s="1"/>
  <c r="P166" i="24"/>
  <c r="M166" i="24"/>
  <c r="M165" i="24"/>
  <c r="P165" i="24" s="1"/>
  <c r="M164" i="24"/>
  <c r="P164" i="24" s="1"/>
  <c r="M163" i="24"/>
  <c r="P163" i="24" s="1"/>
  <c r="M162" i="24"/>
  <c r="P162" i="24" s="1"/>
  <c r="M161" i="24"/>
  <c r="P161" i="24" s="1"/>
  <c r="M160" i="24"/>
  <c r="P160" i="24" s="1"/>
  <c r="M159" i="24"/>
  <c r="P159" i="24" s="1"/>
  <c r="M158" i="24"/>
  <c r="P158" i="24" s="1"/>
  <c r="P157" i="24"/>
  <c r="M157" i="24"/>
  <c r="M156" i="24"/>
  <c r="P156" i="24" s="1"/>
  <c r="M155" i="24"/>
  <c r="P155" i="24" s="1"/>
  <c r="M154" i="24"/>
  <c r="P154" i="24" s="1"/>
  <c r="M153" i="24"/>
  <c r="P153" i="24" s="1"/>
  <c r="M152" i="24"/>
  <c r="P152" i="24" s="1"/>
  <c r="M151" i="24"/>
  <c r="P151" i="24" s="1"/>
  <c r="M150" i="24"/>
  <c r="P150" i="24" s="1"/>
  <c r="M149" i="24"/>
  <c r="P149" i="24" s="1"/>
  <c r="P148" i="24"/>
  <c r="M148" i="24"/>
  <c r="M147" i="24"/>
  <c r="P147" i="24" s="1"/>
  <c r="M146" i="24"/>
  <c r="P146" i="24" s="1"/>
  <c r="M145" i="24"/>
  <c r="P145" i="24" s="1"/>
  <c r="M144" i="24"/>
  <c r="P144" i="24" s="1"/>
  <c r="M143" i="24"/>
  <c r="P143" i="24" s="1"/>
  <c r="M142" i="24"/>
  <c r="P142" i="24" s="1"/>
  <c r="M141" i="24"/>
  <c r="P141" i="24" s="1"/>
  <c r="M140" i="24"/>
  <c r="P140" i="24" s="1"/>
  <c r="P139" i="24"/>
  <c r="M139" i="24"/>
  <c r="M138" i="24"/>
  <c r="P138" i="24" s="1"/>
  <c r="M137" i="24"/>
  <c r="P137" i="24" s="1"/>
  <c r="M136" i="24"/>
  <c r="P136" i="24" s="1"/>
  <c r="M135" i="24"/>
  <c r="P135" i="24" s="1"/>
  <c r="M134" i="24"/>
  <c r="P134" i="24" s="1"/>
  <c r="M133" i="24"/>
  <c r="P133" i="24" s="1"/>
  <c r="M132" i="24"/>
  <c r="P132" i="24" s="1"/>
  <c r="M131" i="24"/>
  <c r="P131" i="24" s="1"/>
  <c r="P130" i="24"/>
  <c r="M130" i="24"/>
  <c r="M129" i="24"/>
  <c r="P129" i="24" s="1"/>
  <c r="M128" i="24"/>
  <c r="P128" i="24" s="1"/>
  <c r="M127" i="24"/>
  <c r="P127" i="24" s="1"/>
  <c r="M126" i="24"/>
  <c r="P126" i="24" s="1"/>
  <c r="M125" i="24"/>
  <c r="P125" i="24" s="1"/>
  <c r="M124" i="24"/>
  <c r="P124" i="24" s="1"/>
  <c r="M123" i="24"/>
  <c r="P123" i="24" s="1"/>
  <c r="M122" i="24"/>
  <c r="P122" i="24" s="1"/>
  <c r="P121" i="24"/>
  <c r="M121" i="24"/>
  <c r="M120" i="24"/>
  <c r="P120" i="24" s="1"/>
  <c r="M119" i="24"/>
  <c r="P119" i="24" s="1"/>
  <c r="M118" i="24"/>
  <c r="P118" i="24" s="1"/>
  <c r="M117" i="24"/>
  <c r="P117" i="24" s="1"/>
  <c r="M116" i="24"/>
  <c r="P116" i="24" s="1"/>
  <c r="M115" i="24"/>
  <c r="P115" i="24" s="1"/>
  <c r="M114" i="24"/>
  <c r="P114" i="24" s="1"/>
  <c r="M113" i="24"/>
  <c r="P113" i="24" s="1"/>
  <c r="P112" i="24"/>
  <c r="M112" i="24"/>
  <c r="M111" i="24"/>
  <c r="P111" i="24" s="1"/>
  <c r="M110" i="24"/>
  <c r="P110" i="24" s="1"/>
  <c r="M109" i="24"/>
  <c r="P109" i="24" s="1"/>
  <c r="M108" i="24"/>
  <c r="P108" i="24" s="1"/>
  <c r="M107" i="24"/>
  <c r="P107" i="24" s="1"/>
  <c r="M106" i="24"/>
  <c r="P106" i="24" s="1"/>
  <c r="M105" i="24"/>
  <c r="P105" i="24" s="1"/>
  <c r="M104" i="24"/>
  <c r="P104" i="24" s="1"/>
  <c r="P103" i="24"/>
  <c r="M103" i="24"/>
  <c r="M102" i="24"/>
  <c r="P102" i="24" s="1"/>
  <c r="M101" i="24"/>
  <c r="P101" i="24" s="1"/>
  <c r="M100" i="24"/>
  <c r="P100" i="24" s="1"/>
  <c r="M99" i="24"/>
  <c r="P99" i="24" s="1"/>
  <c r="M98" i="24"/>
  <c r="P98" i="24" s="1"/>
  <c r="M97" i="24"/>
  <c r="P97" i="24" s="1"/>
  <c r="M96" i="24"/>
  <c r="P96" i="24" s="1"/>
  <c r="M95" i="24"/>
  <c r="P95" i="24" s="1"/>
  <c r="P94" i="24"/>
  <c r="M94" i="24"/>
  <c r="M93" i="24"/>
  <c r="P93" i="24" s="1"/>
  <c r="M92" i="24"/>
  <c r="P92" i="24" s="1"/>
  <c r="M91" i="24"/>
  <c r="P91" i="24" s="1"/>
  <c r="M90" i="24"/>
  <c r="P90" i="24" s="1"/>
  <c r="M89" i="24"/>
  <c r="P89" i="24" s="1"/>
  <c r="M88" i="24"/>
  <c r="P88" i="24" s="1"/>
  <c r="M87" i="24"/>
  <c r="P87" i="24" s="1"/>
  <c r="M86" i="24"/>
  <c r="P86" i="24" s="1"/>
  <c r="P85" i="24"/>
  <c r="M85" i="24"/>
  <c r="M84" i="24"/>
  <c r="P84" i="24" s="1"/>
  <c r="M83" i="24"/>
  <c r="P83" i="24" s="1"/>
  <c r="M82" i="24"/>
  <c r="P82" i="24" s="1"/>
  <c r="M81" i="24"/>
  <c r="P81" i="24" s="1"/>
  <c r="M80" i="24"/>
  <c r="P80" i="24" s="1"/>
  <c r="M79" i="24"/>
  <c r="P79" i="24" s="1"/>
  <c r="M78" i="24"/>
  <c r="P78" i="24" s="1"/>
  <c r="M77" i="24"/>
  <c r="P77" i="24" s="1"/>
  <c r="P76" i="24"/>
  <c r="M76" i="24"/>
  <c r="M75" i="24"/>
  <c r="P75" i="24" s="1"/>
  <c r="M74" i="24"/>
  <c r="P74" i="24" s="1"/>
  <c r="M73" i="24"/>
  <c r="P73" i="24" s="1"/>
  <c r="M72" i="24"/>
  <c r="P72" i="24" s="1"/>
  <c r="M71" i="24"/>
  <c r="P71" i="24" s="1"/>
  <c r="M70" i="24"/>
  <c r="P70" i="24" s="1"/>
  <c r="M69" i="24"/>
  <c r="P69" i="24" s="1"/>
  <c r="M68" i="24"/>
  <c r="P68" i="24" s="1"/>
  <c r="P67" i="24"/>
  <c r="M67" i="24"/>
  <c r="M66" i="24"/>
  <c r="P66" i="24" s="1"/>
  <c r="M65" i="24"/>
  <c r="P65" i="24" s="1"/>
  <c r="M64" i="24"/>
  <c r="P64" i="24" s="1"/>
  <c r="M63" i="24"/>
  <c r="P63" i="24" s="1"/>
  <c r="M62" i="24"/>
  <c r="P62" i="24" s="1"/>
  <c r="M61" i="24"/>
  <c r="P61" i="24" s="1"/>
  <c r="M60" i="24"/>
  <c r="P60" i="24" s="1"/>
  <c r="M59" i="24"/>
  <c r="P59" i="24" s="1"/>
  <c r="P58" i="24"/>
  <c r="M58" i="24"/>
  <c r="M57" i="24"/>
  <c r="P57" i="24" s="1"/>
  <c r="M56" i="24"/>
  <c r="P56" i="24" s="1"/>
  <c r="M55" i="24"/>
  <c r="P55" i="24" s="1"/>
  <c r="M54" i="24"/>
  <c r="P54" i="24" s="1"/>
  <c r="M53" i="24"/>
  <c r="P53" i="24" s="1"/>
  <c r="M52" i="24"/>
  <c r="P52" i="24" s="1"/>
  <c r="M51" i="24"/>
  <c r="P51" i="24" s="1"/>
  <c r="M50" i="24"/>
  <c r="P50" i="24" s="1"/>
  <c r="P49" i="24"/>
  <c r="M49" i="24"/>
  <c r="M48" i="24"/>
  <c r="P48" i="24" s="1"/>
  <c r="M47" i="24"/>
  <c r="P47" i="24" s="1"/>
  <c r="M46" i="24"/>
  <c r="P46" i="24" s="1"/>
  <c r="M45" i="24"/>
  <c r="P45" i="24" s="1"/>
  <c r="M44" i="24"/>
  <c r="P44" i="24" s="1"/>
  <c r="M43" i="24"/>
  <c r="P43" i="24" s="1"/>
  <c r="M42" i="24"/>
  <c r="P42" i="24" s="1"/>
  <c r="D42" i="24"/>
  <c r="M41" i="24"/>
  <c r="P41" i="24" s="1"/>
  <c r="M40" i="24"/>
  <c r="P40" i="24" s="1"/>
  <c r="P39" i="24"/>
  <c r="M39" i="24"/>
  <c r="M38" i="24"/>
  <c r="P38" i="24" s="1"/>
  <c r="M37" i="24"/>
  <c r="P37" i="24" s="1"/>
  <c r="P36" i="24"/>
  <c r="M36" i="24"/>
  <c r="M35" i="24"/>
  <c r="P35" i="24" s="1"/>
  <c r="M34" i="24"/>
  <c r="P34" i="24" s="1"/>
  <c r="M33" i="24"/>
  <c r="P33" i="24" s="1"/>
  <c r="M32" i="24"/>
  <c r="P32" i="24" s="1"/>
  <c r="P31" i="24"/>
  <c r="M31" i="24"/>
  <c r="M30" i="24"/>
  <c r="P30" i="24" s="1"/>
  <c r="M29" i="24"/>
  <c r="P29" i="24" s="1"/>
  <c r="P28" i="24"/>
  <c r="M28" i="24"/>
  <c r="M27" i="24"/>
  <c r="P27" i="24" s="1"/>
  <c r="B27" i="24"/>
  <c r="A27" i="24"/>
  <c r="M26" i="24"/>
  <c r="P26" i="24" s="1"/>
  <c r="P25" i="24"/>
  <c r="M25" i="24"/>
  <c r="M24" i="24"/>
  <c r="P24" i="24" s="1"/>
  <c r="P23" i="24"/>
  <c r="M23" i="24"/>
  <c r="M22" i="24"/>
  <c r="P22" i="24" s="1"/>
  <c r="M21" i="24"/>
  <c r="P21" i="24" s="1"/>
  <c r="P20" i="24"/>
  <c r="M20" i="24"/>
  <c r="M19" i="24"/>
  <c r="P19" i="24" s="1"/>
  <c r="M18" i="24"/>
  <c r="P18" i="24" s="1"/>
  <c r="M17" i="24"/>
  <c r="P17" i="24" s="1"/>
  <c r="M16" i="24"/>
  <c r="P16" i="24" s="1"/>
  <c r="M15" i="24"/>
  <c r="P15" i="24" s="1"/>
  <c r="M14" i="24"/>
  <c r="P14" i="24" s="1"/>
  <c r="M13" i="24"/>
  <c r="P13" i="24" s="1"/>
  <c r="M12" i="24"/>
  <c r="P12" i="24" s="1"/>
  <c r="M11" i="24"/>
  <c r="P11" i="24" s="1"/>
  <c r="M10" i="24"/>
  <c r="P10" i="24" s="1"/>
  <c r="C10" i="24"/>
  <c r="B10" i="24"/>
  <c r="M9" i="24"/>
  <c r="P9" i="24" s="1"/>
  <c r="P7" i="24"/>
  <c r="M7" i="24"/>
  <c r="M6" i="24"/>
  <c r="P6" i="24" s="1"/>
  <c r="P5" i="24"/>
  <c r="M5" i="24"/>
  <c r="M4" i="24"/>
  <c r="L4" i="24"/>
  <c r="D38" i="24"/>
  <c r="C27" i="14"/>
  <c r="D44" i="1"/>
  <c r="D16" i="1"/>
  <c r="C27" i="4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503" i="6"/>
  <c r="L504" i="6"/>
  <c r="L505" i="6"/>
  <c r="L506" i="6"/>
  <c r="L507" i="6"/>
  <c r="L508" i="6"/>
  <c r="L509" i="6"/>
  <c r="L510" i="6"/>
  <c r="L511" i="6"/>
  <c r="L512" i="6"/>
  <c r="L513" i="6"/>
  <c r="L514" i="6"/>
  <c r="L515" i="6"/>
  <c r="L516" i="6"/>
  <c r="L517" i="6"/>
  <c r="L518" i="6"/>
  <c r="L519" i="6"/>
  <c r="L520" i="6"/>
  <c r="L521" i="6"/>
  <c r="L522" i="6"/>
  <c r="L523" i="6"/>
  <c r="L524" i="6"/>
  <c r="L525" i="6"/>
  <c r="L526" i="6"/>
  <c r="L527" i="6"/>
  <c r="L528" i="6"/>
  <c r="L529" i="6"/>
  <c r="L530" i="6"/>
  <c r="L531" i="6"/>
  <c r="L532" i="6"/>
  <c r="L533" i="6"/>
  <c r="L534" i="6"/>
  <c r="L535" i="6"/>
  <c r="L536" i="6"/>
  <c r="L537" i="6"/>
  <c r="L538" i="6"/>
  <c r="L539" i="6"/>
  <c r="L540" i="6"/>
  <c r="L541" i="6"/>
  <c r="L542" i="6"/>
  <c r="L543" i="6"/>
  <c r="L544" i="6"/>
  <c r="L545" i="6"/>
  <c r="L546" i="6"/>
  <c r="L547" i="6"/>
  <c r="L548" i="6"/>
  <c r="L549" i="6"/>
  <c r="L550" i="6"/>
  <c r="L551" i="6"/>
  <c r="L552" i="6"/>
  <c r="L553" i="6"/>
  <c r="L554" i="6"/>
  <c r="L555" i="6"/>
  <c r="L556" i="6"/>
  <c r="L557" i="6"/>
  <c r="L558" i="6"/>
  <c r="L559" i="6"/>
  <c r="L560" i="6"/>
  <c r="L561" i="6"/>
  <c r="L562" i="6"/>
  <c r="L563" i="6"/>
  <c r="L564" i="6"/>
  <c r="L565" i="6"/>
  <c r="L566" i="6"/>
  <c r="L567" i="6"/>
  <c r="L568" i="6"/>
  <c r="L569" i="6"/>
  <c r="L570" i="6"/>
  <c r="L571" i="6"/>
  <c r="L572" i="6"/>
  <c r="L573" i="6"/>
  <c r="L574" i="6"/>
  <c r="L575" i="6"/>
  <c r="L576" i="6"/>
  <c r="L577" i="6"/>
  <c r="L578" i="6"/>
  <c r="L579" i="6"/>
  <c r="L580" i="6"/>
  <c r="L581" i="6"/>
  <c r="L582" i="6"/>
  <c r="L583" i="6"/>
  <c r="L584" i="6"/>
  <c r="L585" i="6"/>
  <c r="L586" i="6"/>
  <c r="L587" i="6"/>
  <c r="L588" i="6"/>
  <c r="L589" i="6"/>
  <c r="L590" i="6"/>
  <c r="L591" i="6"/>
  <c r="L592" i="6"/>
  <c r="L593" i="6"/>
  <c r="L594" i="6"/>
  <c r="L595" i="6"/>
  <c r="L596" i="6"/>
  <c r="L597" i="6"/>
  <c r="L598" i="6"/>
  <c r="L599" i="6"/>
  <c r="L600" i="6"/>
  <c r="L601" i="6"/>
  <c r="L602" i="6"/>
  <c r="L603" i="6"/>
  <c r="L604" i="6"/>
  <c r="L605" i="6"/>
  <c r="L606" i="6"/>
  <c r="L607" i="6"/>
  <c r="L608" i="6"/>
  <c r="L609" i="6"/>
  <c r="L610" i="6"/>
  <c r="L611" i="6"/>
  <c r="L612" i="6"/>
  <c r="L613" i="6"/>
  <c r="L614" i="6"/>
  <c r="L615" i="6"/>
  <c r="L616" i="6"/>
  <c r="L617" i="6"/>
  <c r="L618" i="6"/>
  <c r="L619" i="6"/>
  <c r="L620" i="6"/>
  <c r="L621" i="6"/>
  <c r="L622" i="6"/>
  <c r="L623" i="6"/>
  <c r="L624" i="6"/>
  <c r="L625" i="6"/>
  <c r="L626" i="6"/>
  <c r="L627" i="6"/>
  <c r="L628" i="6"/>
  <c r="L629" i="6"/>
  <c r="L630" i="6"/>
  <c r="L631" i="6"/>
  <c r="L632" i="6"/>
  <c r="L633" i="6"/>
  <c r="L634" i="6"/>
  <c r="L635" i="6"/>
  <c r="L636" i="6"/>
  <c r="L637" i="6"/>
  <c r="L638" i="6"/>
  <c r="L639" i="6"/>
  <c r="L640" i="6"/>
  <c r="L641" i="6"/>
  <c r="L642" i="6"/>
  <c r="L643" i="6"/>
  <c r="L644" i="6"/>
  <c r="L645" i="6"/>
  <c r="L646" i="6"/>
  <c r="L647" i="6"/>
  <c r="L648" i="6"/>
  <c r="L649" i="6"/>
  <c r="L650" i="6"/>
  <c r="L651" i="6"/>
  <c r="L652" i="6"/>
  <c r="L653" i="6"/>
  <c r="L654" i="6"/>
  <c r="L655" i="6"/>
  <c r="L656" i="6"/>
  <c r="L657" i="6"/>
  <c r="L658" i="6"/>
  <c r="L659" i="6"/>
  <c r="L660" i="6"/>
  <c r="L661" i="6"/>
  <c r="L662" i="6"/>
  <c r="L663" i="6"/>
  <c r="L664" i="6"/>
  <c r="L665" i="6"/>
  <c r="L666" i="6"/>
  <c r="L667" i="6"/>
  <c r="L668" i="6"/>
  <c r="L669" i="6"/>
  <c r="L670" i="6"/>
  <c r="L671" i="6"/>
  <c r="L672" i="6"/>
  <c r="L673" i="6"/>
  <c r="L674" i="6"/>
  <c r="L675" i="6"/>
  <c r="L676" i="6"/>
  <c r="L677" i="6"/>
  <c r="L678" i="6"/>
  <c r="L679" i="6"/>
  <c r="L680" i="6"/>
  <c r="L681" i="6"/>
  <c r="L682" i="6"/>
  <c r="L683" i="6"/>
  <c r="L684" i="6"/>
  <c r="L685" i="6"/>
  <c r="L686" i="6"/>
  <c r="L687" i="6"/>
  <c r="L688" i="6"/>
  <c r="L689" i="6"/>
  <c r="L690" i="6"/>
  <c r="L691" i="6"/>
  <c r="L692" i="6"/>
  <c r="L693" i="6"/>
  <c r="L694" i="6"/>
  <c r="L695" i="6"/>
  <c r="L696" i="6"/>
  <c r="L697" i="6"/>
  <c r="L698" i="6"/>
  <c r="L699" i="6"/>
  <c r="L700" i="6"/>
  <c r="L701" i="6"/>
  <c r="L702" i="6"/>
  <c r="L703" i="6"/>
  <c r="L704" i="6"/>
  <c r="L705" i="6"/>
  <c r="L706" i="6"/>
  <c r="L707" i="6"/>
  <c r="L708" i="6"/>
  <c r="L709" i="6"/>
  <c r="L710" i="6"/>
  <c r="L711" i="6"/>
  <c r="L712" i="6"/>
  <c r="L713" i="6"/>
  <c r="L714" i="6"/>
  <c r="L715" i="6"/>
  <c r="L716" i="6"/>
  <c r="L717" i="6"/>
  <c r="L718" i="6"/>
  <c r="L719" i="6"/>
  <c r="L720" i="6"/>
  <c r="L721" i="6"/>
  <c r="L722" i="6"/>
  <c r="L723" i="6"/>
  <c r="L724" i="6"/>
  <c r="L725" i="6"/>
  <c r="L726" i="6"/>
  <c r="L727" i="6"/>
  <c r="L728" i="6"/>
  <c r="L729" i="6"/>
  <c r="L730" i="6"/>
  <c r="L731" i="6"/>
  <c r="L732" i="6"/>
  <c r="L733" i="6"/>
  <c r="L734" i="6"/>
  <c r="L735" i="6"/>
  <c r="L736" i="6"/>
  <c r="L737" i="6"/>
  <c r="L738" i="6"/>
  <c r="L739" i="6"/>
  <c r="L740" i="6"/>
  <c r="L741" i="6"/>
  <c r="L742" i="6"/>
  <c r="L743" i="6"/>
  <c r="L744" i="6"/>
  <c r="L745" i="6"/>
  <c r="L746" i="6"/>
  <c r="L747" i="6"/>
  <c r="L748" i="6"/>
  <c r="L749" i="6"/>
  <c r="L750" i="6"/>
  <c r="L751" i="6"/>
  <c r="L752" i="6"/>
  <c r="L753" i="6"/>
  <c r="L754" i="6"/>
  <c r="L755" i="6"/>
  <c r="L756" i="6"/>
  <c r="L757" i="6"/>
  <c r="L758" i="6"/>
  <c r="L759" i="6"/>
  <c r="L760" i="6"/>
  <c r="L761" i="6"/>
  <c r="L762" i="6"/>
  <c r="L763" i="6"/>
  <c r="L764" i="6"/>
  <c r="L765" i="6"/>
  <c r="L766" i="6"/>
  <c r="L767" i="6"/>
  <c r="L768" i="6"/>
  <c r="L769" i="6"/>
  <c r="L770" i="6"/>
  <c r="L771" i="6"/>
  <c r="L772" i="6"/>
  <c r="L773" i="6"/>
  <c r="L774" i="6"/>
  <c r="L775" i="6"/>
  <c r="L776" i="6"/>
  <c r="L777" i="6"/>
  <c r="L778" i="6"/>
  <c r="L779" i="6"/>
  <c r="L780" i="6"/>
  <c r="L781" i="6"/>
  <c r="L782" i="6"/>
  <c r="L783" i="6"/>
  <c r="L784" i="6"/>
  <c r="L785" i="6"/>
  <c r="L786" i="6"/>
  <c r="L787" i="6"/>
  <c r="L788" i="6"/>
  <c r="L789" i="6"/>
  <c r="L790" i="6"/>
  <c r="L791" i="6"/>
  <c r="L792" i="6"/>
  <c r="L793" i="6"/>
  <c r="L794" i="6"/>
  <c r="L795" i="6"/>
  <c r="L796" i="6"/>
  <c r="L797" i="6"/>
  <c r="L798" i="6"/>
  <c r="L799" i="6"/>
  <c r="L800" i="6"/>
  <c r="L801" i="6"/>
  <c r="L802" i="6"/>
  <c r="L803" i="6"/>
  <c r="L804" i="6"/>
  <c r="L805" i="6"/>
  <c r="L806" i="6"/>
  <c r="L807" i="6"/>
  <c r="L808" i="6"/>
  <c r="L809" i="6"/>
  <c r="L810" i="6"/>
  <c r="L811" i="6"/>
  <c r="L812" i="6"/>
  <c r="L813" i="6"/>
  <c r="L814" i="6"/>
  <c r="L815" i="6"/>
  <c r="L816" i="6"/>
  <c r="L817" i="6"/>
  <c r="L818" i="6"/>
  <c r="L819" i="6"/>
  <c r="L820" i="6"/>
  <c r="L821" i="6"/>
  <c r="L822" i="6"/>
  <c r="L823" i="6"/>
  <c r="L824" i="6"/>
  <c r="L825" i="6"/>
  <c r="L826" i="6"/>
  <c r="L827" i="6"/>
  <c r="L828" i="6"/>
  <c r="L829" i="6"/>
  <c r="L830" i="6"/>
  <c r="L831" i="6"/>
  <c r="L832" i="6"/>
  <c r="L833" i="6"/>
  <c r="L834" i="6"/>
  <c r="L835" i="6"/>
  <c r="L836" i="6"/>
  <c r="L837" i="6"/>
  <c r="L838" i="6"/>
  <c r="L839" i="6"/>
  <c r="L840" i="6"/>
  <c r="L841" i="6"/>
  <c r="L842" i="6"/>
  <c r="L843" i="6"/>
  <c r="L844" i="6"/>
  <c r="L845" i="6"/>
  <c r="L846" i="6"/>
  <c r="L847" i="6"/>
  <c r="L848" i="6"/>
  <c r="L849" i="6"/>
  <c r="L850" i="6"/>
  <c r="L851" i="6"/>
  <c r="L852" i="6"/>
  <c r="L853" i="6"/>
  <c r="L854" i="6"/>
  <c r="L855" i="6"/>
  <c r="L856" i="6"/>
  <c r="L857" i="6"/>
  <c r="L858" i="6"/>
  <c r="L859" i="6"/>
  <c r="L860" i="6"/>
  <c r="L861" i="6"/>
  <c r="L862" i="6"/>
  <c r="L863" i="6"/>
  <c r="L864" i="6"/>
  <c r="L865" i="6"/>
  <c r="L866" i="6"/>
  <c r="L867" i="6"/>
  <c r="L868" i="6"/>
  <c r="L869" i="6"/>
  <c r="L870" i="6"/>
  <c r="L871" i="6"/>
  <c r="L872" i="6"/>
  <c r="L873" i="6"/>
  <c r="L874" i="6"/>
  <c r="L875" i="6"/>
  <c r="L876" i="6"/>
  <c r="L877" i="6"/>
  <c r="L878" i="6"/>
  <c r="L879" i="6"/>
  <c r="L880" i="6"/>
  <c r="L881" i="6"/>
  <c r="L882" i="6"/>
  <c r="L883" i="6"/>
  <c r="L884" i="6"/>
  <c r="L885" i="6"/>
  <c r="L886" i="6"/>
  <c r="L887" i="6"/>
  <c r="L888" i="6"/>
  <c r="L889" i="6"/>
  <c r="L890" i="6"/>
  <c r="L891" i="6"/>
  <c r="L892" i="6"/>
  <c r="L893" i="6"/>
  <c r="L894" i="6"/>
  <c r="L895" i="6"/>
  <c r="L896" i="6"/>
  <c r="L897" i="6"/>
  <c r="L898" i="6"/>
  <c r="L899" i="6"/>
  <c r="L900" i="6"/>
  <c r="L901" i="6"/>
  <c r="L902" i="6"/>
  <c r="L903" i="6"/>
  <c r="L904" i="6"/>
  <c r="L905" i="6"/>
  <c r="L906" i="6"/>
  <c r="L907" i="6"/>
  <c r="L908" i="6"/>
  <c r="L909" i="6"/>
  <c r="L910" i="6"/>
  <c r="L911" i="6"/>
  <c r="L912" i="6"/>
  <c r="L913" i="6"/>
  <c r="L914" i="6"/>
  <c r="L915" i="6"/>
  <c r="L916" i="6"/>
  <c r="L917" i="6"/>
  <c r="L918" i="6"/>
  <c r="L919" i="6"/>
  <c r="L920" i="6"/>
  <c r="L921" i="6"/>
  <c r="L922" i="6"/>
  <c r="L923" i="6"/>
  <c r="L924" i="6"/>
  <c r="L925" i="6"/>
  <c r="L926" i="6"/>
  <c r="L927" i="6"/>
  <c r="L928" i="6"/>
  <c r="L929" i="6"/>
  <c r="L930" i="6"/>
  <c r="L931" i="6"/>
  <c r="L932" i="6"/>
  <c r="L933" i="6"/>
  <c r="L934" i="6"/>
  <c r="L935" i="6"/>
  <c r="L936" i="6"/>
  <c r="L937" i="6"/>
  <c r="L938" i="6"/>
  <c r="L939" i="6"/>
  <c r="L940" i="6"/>
  <c r="L941" i="6"/>
  <c r="L942" i="6"/>
  <c r="L943" i="6"/>
  <c r="L944" i="6"/>
  <c r="L945" i="6"/>
  <c r="L946" i="6"/>
  <c r="L947" i="6"/>
  <c r="L948" i="6"/>
  <c r="L949" i="6"/>
  <c r="L950" i="6"/>
  <c r="L951" i="6"/>
  <c r="L952" i="6"/>
  <c r="L953" i="6"/>
  <c r="L954" i="6"/>
  <c r="L955" i="6"/>
  <c r="L956" i="6"/>
  <c r="L957" i="6"/>
  <c r="L958" i="6"/>
  <c r="L959" i="6"/>
  <c r="L960" i="6"/>
  <c r="L961" i="6"/>
  <c r="L962" i="6"/>
  <c r="L963" i="6"/>
  <c r="L964" i="6"/>
  <c r="L965" i="6"/>
  <c r="L966" i="6"/>
  <c r="L967" i="6"/>
  <c r="L968" i="6"/>
  <c r="L969" i="6"/>
  <c r="L970" i="6"/>
  <c r="L971" i="6"/>
  <c r="L972" i="6"/>
  <c r="L973" i="6"/>
  <c r="L974" i="6"/>
  <c r="L975" i="6"/>
  <c r="L976" i="6"/>
  <c r="L977" i="6"/>
  <c r="L978" i="6"/>
  <c r="L979" i="6"/>
  <c r="L980" i="6"/>
  <c r="L981" i="6"/>
  <c r="L982" i="6"/>
  <c r="L983" i="6"/>
  <c r="L984" i="6"/>
  <c r="L985" i="6"/>
  <c r="L986" i="6"/>
  <c r="L987" i="6"/>
  <c r="L988" i="6"/>
  <c r="L989" i="6"/>
  <c r="L990" i="6"/>
  <c r="L991" i="6"/>
  <c r="L992" i="6"/>
  <c r="L993" i="6"/>
  <c r="L994" i="6"/>
  <c r="L995" i="6"/>
  <c r="L996" i="6"/>
  <c r="L997" i="6"/>
  <c r="L998" i="6"/>
  <c r="L999" i="6"/>
  <c r="L1000" i="6"/>
  <c r="L1001" i="6"/>
  <c r="L1002" i="6"/>
  <c r="L1003" i="6"/>
  <c r="L1004" i="6"/>
  <c r="L1005" i="6"/>
  <c r="L1006" i="6"/>
  <c r="L9" i="6"/>
  <c r="L6" i="6"/>
  <c r="L7" i="6"/>
  <c r="L5" i="6"/>
  <c r="C33" i="14" l="1"/>
  <c r="E15" i="1"/>
  <c r="C33" i="12"/>
  <c r="C27" i="10"/>
  <c r="M10" i="21"/>
  <c r="M11" i="21"/>
  <c r="P11" i="21" s="1"/>
  <c r="M12" i="21"/>
  <c r="M13" i="21"/>
  <c r="M14" i="21"/>
  <c r="M15" i="21"/>
  <c r="P15" i="21" s="1"/>
  <c r="M16" i="21"/>
  <c r="M17" i="21"/>
  <c r="M18" i="21"/>
  <c r="M19" i="21"/>
  <c r="M20" i="21"/>
  <c r="M21" i="21"/>
  <c r="M22" i="21"/>
  <c r="M23" i="21"/>
  <c r="M24" i="21"/>
  <c r="M25" i="21"/>
  <c r="M26" i="21"/>
  <c r="M27" i="21"/>
  <c r="M28" i="21"/>
  <c r="M29" i="21"/>
  <c r="M30" i="21"/>
  <c r="M31" i="21"/>
  <c r="P31" i="21" s="1"/>
  <c r="M32" i="21"/>
  <c r="M33" i="21"/>
  <c r="M34" i="21"/>
  <c r="M35" i="21"/>
  <c r="M36" i="21"/>
  <c r="M37" i="21"/>
  <c r="P37" i="21" s="1"/>
  <c r="M38" i="21"/>
  <c r="M39" i="21"/>
  <c r="P39" i="21" s="1"/>
  <c r="M40" i="21"/>
  <c r="M41" i="21"/>
  <c r="M42" i="21"/>
  <c r="M43" i="21"/>
  <c r="M44" i="21"/>
  <c r="M45" i="21"/>
  <c r="M46" i="21"/>
  <c r="M47" i="21"/>
  <c r="M48" i="21"/>
  <c r="M49" i="21"/>
  <c r="M50" i="21"/>
  <c r="M51" i="21"/>
  <c r="M52" i="21"/>
  <c r="M53" i="21"/>
  <c r="M54" i="21"/>
  <c r="M55" i="21"/>
  <c r="M56" i="21"/>
  <c r="M57" i="21"/>
  <c r="M58" i="21"/>
  <c r="M59" i="21"/>
  <c r="M60" i="21"/>
  <c r="M61" i="21"/>
  <c r="M62" i="21"/>
  <c r="M63" i="21"/>
  <c r="M64" i="21"/>
  <c r="M65" i="21"/>
  <c r="M66" i="21"/>
  <c r="M67" i="21"/>
  <c r="M68" i="21"/>
  <c r="M69" i="21"/>
  <c r="M70" i="21"/>
  <c r="M71" i="21"/>
  <c r="M72" i="21"/>
  <c r="M73" i="21"/>
  <c r="M74" i="21"/>
  <c r="M75" i="21"/>
  <c r="M76" i="21"/>
  <c r="M77" i="21"/>
  <c r="M78" i="21"/>
  <c r="M79" i="21"/>
  <c r="M80" i="21"/>
  <c r="M81" i="21"/>
  <c r="M82" i="21"/>
  <c r="M83" i="21"/>
  <c r="M84" i="21"/>
  <c r="M85" i="21"/>
  <c r="M86" i="21"/>
  <c r="M87" i="21"/>
  <c r="M88" i="21"/>
  <c r="M89" i="21"/>
  <c r="M90" i="21"/>
  <c r="M91" i="21"/>
  <c r="M92" i="21"/>
  <c r="M93" i="21"/>
  <c r="M94" i="21"/>
  <c r="M95" i="21"/>
  <c r="M96" i="21"/>
  <c r="M97" i="21"/>
  <c r="M98" i="21"/>
  <c r="M99" i="21"/>
  <c r="M100" i="21"/>
  <c r="M101" i="21"/>
  <c r="M102" i="21"/>
  <c r="M103" i="21"/>
  <c r="M104" i="21"/>
  <c r="M105" i="21"/>
  <c r="M106" i="21"/>
  <c r="M107" i="21"/>
  <c r="M108" i="21"/>
  <c r="M109" i="21"/>
  <c r="M110" i="21"/>
  <c r="M111" i="21"/>
  <c r="M112" i="21"/>
  <c r="M113" i="21"/>
  <c r="M114" i="21"/>
  <c r="M115" i="21"/>
  <c r="M116" i="21"/>
  <c r="M117" i="21"/>
  <c r="M118" i="21"/>
  <c r="M119" i="21"/>
  <c r="M120" i="21"/>
  <c r="M121" i="21"/>
  <c r="M122" i="21"/>
  <c r="M123" i="21"/>
  <c r="M124" i="21"/>
  <c r="M125" i="21"/>
  <c r="M126" i="21"/>
  <c r="M127" i="21"/>
  <c r="M128" i="21"/>
  <c r="M129" i="21"/>
  <c r="M130" i="21"/>
  <c r="M131" i="21"/>
  <c r="M132" i="21"/>
  <c r="M133" i="21"/>
  <c r="M134" i="21"/>
  <c r="M135" i="21"/>
  <c r="M136" i="21"/>
  <c r="M137" i="21"/>
  <c r="M138" i="21"/>
  <c r="M139" i="21"/>
  <c r="M140" i="21"/>
  <c r="M141" i="21"/>
  <c r="M142" i="21"/>
  <c r="M143" i="21"/>
  <c r="M144" i="21"/>
  <c r="M145" i="21"/>
  <c r="M146" i="21"/>
  <c r="M147" i="21"/>
  <c r="M148" i="21"/>
  <c r="M149" i="21"/>
  <c r="M150" i="21"/>
  <c r="M151" i="21"/>
  <c r="M152" i="21"/>
  <c r="M153" i="21"/>
  <c r="M154" i="21"/>
  <c r="M155" i="21"/>
  <c r="M156" i="21"/>
  <c r="M157" i="21"/>
  <c r="M158" i="21"/>
  <c r="M159" i="21"/>
  <c r="M160" i="21"/>
  <c r="M161" i="21"/>
  <c r="M162" i="21"/>
  <c r="M163" i="21"/>
  <c r="M164" i="21"/>
  <c r="M165" i="21"/>
  <c r="M166" i="21"/>
  <c r="M167" i="21"/>
  <c r="M168" i="21"/>
  <c r="M169" i="21"/>
  <c r="M170" i="21"/>
  <c r="M171" i="21"/>
  <c r="M172" i="21"/>
  <c r="M173" i="21"/>
  <c r="M174" i="21"/>
  <c r="M175" i="21"/>
  <c r="M176" i="21"/>
  <c r="M177" i="21"/>
  <c r="M178" i="21"/>
  <c r="M179" i="21"/>
  <c r="M180" i="21"/>
  <c r="M181" i="21"/>
  <c r="M182" i="21"/>
  <c r="M183" i="21"/>
  <c r="M184" i="21"/>
  <c r="M185" i="21"/>
  <c r="M186" i="21"/>
  <c r="M187" i="21"/>
  <c r="M188" i="21"/>
  <c r="M189" i="21"/>
  <c r="M190" i="21"/>
  <c r="M191" i="21"/>
  <c r="M192" i="21"/>
  <c r="M193" i="21"/>
  <c r="M194" i="21"/>
  <c r="M195" i="21"/>
  <c r="M196" i="21"/>
  <c r="M197" i="21"/>
  <c r="M198" i="21"/>
  <c r="M199" i="21"/>
  <c r="M200" i="21"/>
  <c r="M201" i="21"/>
  <c r="M202" i="21"/>
  <c r="M203" i="21"/>
  <c r="M204" i="21"/>
  <c r="M205" i="21"/>
  <c r="M206" i="21"/>
  <c r="M207" i="21"/>
  <c r="M208" i="21"/>
  <c r="M209" i="21"/>
  <c r="M210" i="21"/>
  <c r="M211" i="21"/>
  <c r="M212" i="21"/>
  <c r="M213" i="21"/>
  <c r="M214" i="21"/>
  <c r="M215" i="21"/>
  <c r="M216" i="21"/>
  <c r="M217" i="21"/>
  <c r="M218" i="21"/>
  <c r="M219" i="21"/>
  <c r="M220" i="21"/>
  <c r="M221" i="21"/>
  <c r="M222" i="21"/>
  <c r="M223" i="21"/>
  <c r="M224" i="21"/>
  <c r="M225" i="21"/>
  <c r="M226" i="21"/>
  <c r="M227" i="21"/>
  <c r="M228" i="21"/>
  <c r="M229" i="21"/>
  <c r="M230" i="21"/>
  <c r="M231" i="21"/>
  <c r="M232" i="21"/>
  <c r="M233" i="21"/>
  <c r="M234" i="21"/>
  <c r="M235" i="21"/>
  <c r="M236" i="21"/>
  <c r="M237" i="21"/>
  <c r="M238" i="21"/>
  <c r="M239" i="21"/>
  <c r="M240" i="21"/>
  <c r="M241" i="21"/>
  <c r="M242" i="21"/>
  <c r="M243" i="21"/>
  <c r="M244" i="21"/>
  <c r="M245" i="21"/>
  <c r="M246" i="21"/>
  <c r="M247" i="21"/>
  <c r="M248" i="21"/>
  <c r="M249" i="21"/>
  <c r="M250" i="21"/>
  <c r="M251" i="21"/>
  <c r="M252" i="21"/>
  <c r="M253" i="21"/>
  <c r="M254" i="21"/>
  <c r="M255" i="21"/>
  <c r="M256" i="21"/>
  <c r="M257" i="21"/>
  <c r="M258" i="21"/>
  <c r="M259" i="21"/>
  <c r="M260" i="21"/>
  <c r="M261" i="21"/>
  <c r="M262" i="21"/>
  <c r="M263" i="21"/>
  <c r="M264" i="21"/>
  <c r="M265" i="21"/>
  <c r="M266" i="21"/>
  <c r="M267" i="21"/>
  <c r="M268" i="21"/>
  <c r="M269" i="21"/>
  <c r="M270" i="21"/>
  <c r="M271" i="21"/>
  <c r="M272" i="21"/>
  <c r="M273" i="21"/>
  <c r="M274" i="21"/>
  <c r="M275" i="21"/>
  <c r="M276" i="21"/>
  <c r="M277" i="21"/>
  <c r="M278" i="21"/>
  <c r="M279" i="21"/>
  <c r="M280" i="21"/>
  <c r="M281" i="21"/>
  <c r="M282" i="21"/>
  <c r="M283" i="21"/>
  <c r="M284" i="21"/>
  <c r="M285" i="21"/>
  <c r="M286" i="21"/>
  <c r="M287" i="21"/>
  <c r="M288" i="21"/>
  <c r="M289" i="21"/>
  <c r="M290" i="21"/>
  <c r="M291" i="21"/>
  <c r="M292" i="21"/>
  <c r="M293" i="21"/>
  <c r="M294" i="21"/>
  <c r="M295" i="21"/>
  <c r="P295" i="21" s="1"/>
  <c r="M296" i="21"/>
  <c r="M297" i="21"/>
  <c r="M298" i="21"/>
  <c r="M299" i="21"/>
  <c r="M300" i="21"/>
  <c r="M301" i="21"/>
  <c r="M302" i="21"/>
  <c r="M303" i="21"/>
  <c r="M304" i="21"/>
  <c r="M305" i="21"/>
  <c r="M306" i="21"/>
  <c r="M307" i="21"/>
  <c r="P307" i="21" s="1"/>
  <c r="M308" i="21"/>
  <c r="M309" i="21"/>
  <c r="M310" i="21"/>
  <c r="M311" i="21"/>
  <c r="P311" i="21" s="1"/>
  <c r="M312" i="21"/>
  <c r="M313" i="21"/>
  <c r="M314" i="21"/>
  <c r="M315" i="21"/>
  <c r="M316" i="21"/>
  <c r="M317" i="21"/>
  <c r="M318" i="21"/>
  <c r="M319" i="21"/>
  <c r="M320" i="21"/>
  <c r="M321" i="21"/>
  <c r="M322" i="21"/>
  <c r="M323" i="21"/>
  <c r="P323" i="21" s="1"/>
  <c r="M324" i="21"/>
  <c r="M325" i="21"/>
  <c r="M326" i="21"/>
  <c r="M327" i="21"/>
  <c r="M328" i="21"/>
  <c r="M329" i="21"/>
  <c r="M330" i="21"/>
  <c r="M331" i="21"/>
  <c r="P331" i="21" s="1"/>
  <c r="M332" i="21"/>
  <c r="M333" i="21"/>
  <c r="M334" i="21"/>
  <c r="M335" i="21"/>
  <c r="M336" i="21"/>
  <c r="M337" i="21"/>
  <c r="M338" i="21"/>
  <c r="M339" i="21"/>
  <c r="M340" i="21"/>
  <c r="M341" i="21"/>
  <c r="M342" i="21"/>
  <c r="M343" i="21"/>
  <c r="P343" i="21" s="1"/>
  <c r="M344" i="21"/>
  <c r="M345" i="21"/>
  <c r="M346" i="21"/>
  <c r="M347" i="21"/>
  <c r="M348" i="21"/>
  <c r="M349" i="21"/>
  <c r="M350" i="21"/>
  <c r="M351" i="21"/>
  <c r="M352" i="21"/>
  <c r="M353" i="21"/>
  <c r="M354" i="21"/>
  <c r="M355" i="21"/>
  <c r="M356" i="21"/>
  <c r="M357" i="21"/>
  <c r="M358" i="21"/>
  <c r="M359" i="21"/>
  <c r="M360" i="21"/>
  <c r="M361" i="21"/>
  <c r="M362" i="21"/>
  <c r="M363" i="21"/>
  <c r="M364" i="21"/>
  <c r="M365" i="21"/>
  <c r="M366" i="21"/>
  <c r="P366" i="21" s="1"/>
  <c r="M367" i="21"/>
  <c r="P367" i="21" s="1"/>
  <c r="M368" i="21"/>
  <c r="M369" i="21"/>
  <c r="M370" i="21"/>
  <c r="M371" i="21"/>
  <c r="M372" i="21"/>
  <c r="M373" i="21"/>
  <c r="M374" i="21"/>
  <c r="M375" i="21"/>
  <c r="M376" i="21"/>
  <c r="M377" i="21"/>
  <c r="M378" i="21"/>
  <c r="M379" i="21"/>
  <c r="P379" i="21" s="1"/>
  <c r="M380" i="21"/>
  <c r="M381" i="21"/>
  <c r="M382" i="21"/>
  <c r="M383" i="21"/>
  <c r="M384" i="21"/>
  <c r="M385" i="21"/>
  <c r="M386" i="21"/>
  <c r="M387" i="21"/>
  <c r="M388" i="21"/>
  <c r="M389" i="21"/>
  <c r="M390" i="21"/>
  <c r="M391" i="21"/>
  <c r="M392" i="21"/>
  <c r="M393" i="21"/>
  <c r="M394" i="21"/>
  <c r="M395" i="21"/>
  <c r="M396" i="21"/>
  <c r="M397" i="21"/>
  <c r="P397" i="21" s="1"/>
  <c r="M398" i="21"/>
  <c r="M399" i="21"/>
  <c r="M400" i="21"/>
  <c r="M401" i="21"/>
  <c r="M402" i="21"/>
  <c r="M403" i="21"/>
  <c r="P403" i="21" s="1"/>
  <c r="M404" i="21"/>
  <c r="M405" i="21"/>
  <c r="M406" i="21"/>
  <c r="M407" i="21"/>
  <c r="M408" i="21"/>
  <c r="M409" i="21"/>
  <c r="M410" i="21"/>
  <c r="M411" i="21"/>
  <c r="M412" i="21"/>
  <c r="M413" i="21"/>
  <c r="M414" i="21"/>
  <c r="M415" i="21"/>
  <c r="P415" i="21" s="1"/>
  <c r="M416" i="21"/>
  <c r="M417" i="21"/>
  <c r="M418" i="21"/>
  <c r="M419" i="21"/>
  <c r="M420" i="21"/>
  <c r="M421" i="21"/>
  <c r="M422" i="21"/>
  <c r="M423" i="21"/>
  <c r="M424" i="21"/>
  <c r="M425" i="21"/>
  <c r="M426" i="21"/>
  <c r="M427" i="21"/>
  <c r="M428" i="21"/>
  <c r="M429" i="21"/>
  <c r="M430" i="21"/>
  <c r="M431" i="21"/>
  <c r="M432" i="21"/>
  <c r="M433" i="21"/>
  <c r="P433" i="21" s="1"/>
  <c r="M434" i="21"/>
  <c r="M435" i="21"/>
  <c r="M436" i="21"/>
  <c r="M437" i="21"/>
  <c r="M438" i="21"/>
  <c r="M439" i="21"/>
  <c r="P439" i="21" s="1"/>
  <c r="M440" i="21"/>
  <c r="M441" i="21"/>
  <c r="M442" i="21"/>
  <c r="M443" i="21"/>
  <c r="M444" i="21"/>
  <c r="M445" i="21"/>
  <c r="M446" i="21"/>
  <c r="M447" i="21"/>
  <c r="M448" i="21"/>
  <c r="M449" i="21"/>
  <c r="M450" i="21"/>
  <c r="M451" i="21"/>
  <c r="P451" i="21" s="1"/>
  <c r="M452" i="21"/>
  <c r="M453" i="21"/>
  <c r="M454" i="21"/>
  <c r="M455" i="21"/>
  <c r="M456" i="21"/>
  <c r="M457" i="21"/>
  <c r="M458" i="21"/>
  <c r="M459" i="21"/>
  <c r="M460" i="21"/>
  <c r="M461" i="21"/>
  <c r="M462" i="21"/>
  <c r="P462" i="21" s="1"/>
  <c r="M463" i="21"/>
  <c r="M464" i="21"/>
  <c r="M465" i="21"/>
  <c r="M466" i="21"/>
  <c r="M467" i="21"/>
  <c r="M468" i="21"/>
  <c r="M469" i="21"/>
  <c r="P469" i="21" s="1"/>
  <c r="M470" i="21"/>
  <c r="M471" i="21"/>
  <c r="M472" i="21"/>
  <c r="M473" i="21"/>
  <c r="M474" i="21"/>
  <c r="M475" i="21"/>
  <c r="P475" i="21" s="1"/>
  <c r="M476" i="21"/>
  <c r="M477" i="21"/>
  <c r="M478" i="21"/>
  <c r="M479" i="21"/>
  <c r="P479" i="21" s="1"/>
  <c r="M480" i="21"/>
  <c r="M481" i="21"/>
  <c r="M482" i="21"/>
  <c r="M483" i="21"/>
  <c r="M484" i="21"/>
  <c r="M485" i="21"/>
  <c r="M486" i="21"/>
  <c r="M487" i="21"/>
  <c r="P487" i="21" s="1"/>
  <c r="M488" i="21"/>
  <c r="M489" i="21"/>
  <c r="M490" i="21"/>
  <c r="M491" i="21"/>
  <c r="M492" i="21"/>
  <c r="M493" i="21"/>
  <c r="M494" i="21"/>
  <c r="M495" i="21"/>
  <c r="M496" i="21"/>
  <c r="M497" i="21"/>
  <c r="M498" i="21"/>
  <c r="M499" i="21"/>
  <c r="P499" i="21" s="1"/>
  <c r="M500" i="21"/>
  <c r="P500" i="21" s="1"/>
  <c r="M501" i="21"/>
  <c r="M502" i="21"/>
  <c r="M503" i="21"/>
  <c r="M504" i="21"/>
  <c r="M505" i="21"/>
  <c r="P505" i="21" s="1"/>
  <c r="M506" i="21"/>
  <c r="M507" i="21"/>
  <c r="M508" i="21"/>
  <c r="M509" i="21"/>
  <c r="M510" i="21"/>
  <c r="M511" i="21"/>
  <c r="M512" i="21"/>
  <c r="M513" i="21"/>
  <c r="M514" i="21"/>
  <c r="M515" i="21"/>
  <c r="M516" i="21"/>
  <c r="M517" i="21"/>
  <c r="P517" i="21" s="1"/>
  <c r="M518" i="21"/>
  <c r="M519" i="21"/>
  <c r="P519" i="21" s="1"/>
  <c r="M520" i="21"/>
  <c r="M521" i="21"/>
  <c r="M522" i="21"/>
  <c r="M523" i="21"/>
  <c r="P523" i="21" s="1"/>
  <c r="M524" i="21"/>
  <c r="M525" i="21"/>
  <c r="M526" i="21"/>
  <c r="M527" i="21"/>
  <c r="M528" i="21"/>
  <c r="M529" i="21"/>
  <c r="P529" i="21" s="1"/>
  <c r="M530" i="21"/>
  <c r="M531" i="21"/>
  <c r="P531" i="21" s="1"/>
  <c r="M532" i="21"/>
  <c r="M533" i="21"/>
  <c r="M534" i="21"/>
  <c r="M535" i="21"/>
  <c r="P535" i="21" s="1"/>
  <c r="M536" i="21"/>
  <c r="M537" i="21"/>
  <c r="M538" i="21"/>
  <c r="M539" i="21"/>
  <c r="M540" i="21"/>
  <c r="M541" i="21"/>
  <c r="P541" i="21" s="1"/>
  <c r="M542" i="21"/>
  <c r="M543" i="21"/>
  <c r="P543" i="21" s="1"/>
  <c r="M544" i="21"/>
  <c r="M545" i="21"/>
  <c r="M546" i="21"/>
  <c r="M547" i="21"/>
  <c r="P547" i="21" s="1"/>
  <c r="M548" i="21"/>
  <c r="P548" i="21" s="1"/>
  <c r="M549" i="21"/>
  <c r="M550" i="21"/>
  <c r="M551" i="21"/>
  <c r="M552" i="21"/>
  <c r="P552" i="21" s="1"/>
  <c r="M553" i="21"/>
  <c r="P553" i="21" s="1"/>
  <c r="M554" i="21"/>
  <c r="M555" i="21"/>
  <c r="M556" i="21"/>
  <c r="M557" i="21"/>
  <c r="M558" i="21"/>
  <c r="M559" i="21"/>
  <c r="P559" i="21" s="1"/>
  <c r="M560" i="21"/>
  <c r="M561" i="21"/>
  <c r="M562" i="21"/>
  <c r="M563" i="21"/>
  <c r="P563" i="21" s="1"/>
  <c r="M564" i="21"/>
  <c r="M565" i="21"/>
  <c r="P565" i="21" s="1"/>
  <c r="M566" i="21"/>
  <c r="M567" i="21"/>
  <c r="M568" i="21"/>
  <c r="M569" i="21"/>
  <c r="M570" i="21"/>
  <c r="M571" i="21"/>
  <c r="P571" i="21" s="1"/>
  <c r="M572" i="21"/>
  <c r="P572" i="21" s="1"/>
  <c r="M573" i="21"/>
  <c r="M574" i="21"/>
  <c r="M575" i="21"/>
  <c r="M576" i="21"/>
  <c r="M577" i="21"/>
  <c r="M578" i="21"/>
  <c r="P578" i="21" s="1"/>
  <c r="M579" i="21"/>
  <c r="M580" i="21"/>
  <c r="M581" i="21"/>
  <c r="M582" i="21"/>
  <c r="M583" i="21"/>
  <c r="P583" i="21" s="1"/>
  <c r="M584" i="21"/>
  <c r="P584" i="21" s="1"/>
  <c r="M585" i="21"/>
  <c r="M586" i="21"/>
  <c r="M587" i="21"/>
  <c r="M588" i="21"/>
  <c r="M589" i="21"/>
  <c r="M590" i="21"/>
  <c r="P590" i="21" s="1"/>
  <c r="M591" i="21"/>
  <c r="M592" i="21"/>
  <c r="M593" i="21"/>
  <c r="M594" i="21"/>
  <c r="P594" i="21" s="1"/>
  <c r="M595" i="21"/>
  <c r="M596" i="21"/>
  <c r="P596" i="21" s="1"/>
  <c r="M597" i="21"/>
  <c r="M598" i="21"/>
  <c r="M599" i="21"/>
  <c r="M600" i="21"/>
  <c r="M601" i="21"/>
  <c r="M602" i="21"/>
  <c r="P602" i="21" s="1"/>
  <c r="M603" i="21"/>
  <c r="M604" i="21"/>
  <c r="M605" i="21"/>
  <c r="M606" i="21"/>
  <c r="M607" i="21"/>
  <c r="P607" i="21" s="1"/>
  <c r="M608" i="21"/>
  <c r="P608" i="21" s="1"/>
  <c r="M609" i="21"/>
  <c r="M610" i="21"/>
  <c r="M611" i="21"/>
  <c r="M612" i="21"/>
  <c r="M613" i="21"/>
  <c r="M614" i="21"/>
  <c r="P614" i="21" s="1"/>
  <c r="M615" i="21"/>
  <c r="M616" i="21"/>
  <c r="M617" i="21"/>
  <c r="M618" i="21"/>
  <c r="P618" i="21" s="1"/>
  <c r="M619" i="21"/>
  <c r="M620" i="21"/>
  <c r="P620" i="21" s="1"/>
  <c r="M621" i="21"/>
  <c r="M622" i="21"/>
  <c r="M623" i="21"/>
  <c r="P623" i="21" s="1"/>
  <c r="M624" i="21"/>
  <c r="M625" i="21"/>
  <c r="M626" i="21"/>
  <c r="P626" i="21" s="1"/>
  <c r="M627" i="21"/>
  <c r="M628" i="21"/>
  <c r="M629" i="21"/>
  <c r="M630" i="21"/>
  <c r="M631" i="21"/>
  <c r="M632" i="21"/>
  <c r="P632" i="21" s="1"/>
  <c r="M633" i="21"/>
  <c r="M634" i="21"/>
  <c r="M635" i="21"/>
  <c r="P635" i="21" s="1"/>
  <c r="M636" i="21"/>
  <c r="M637" i="21"/>
  <c r="M638" i="21"/>
  <c r="M639" i="21"/>
  <c r="P639" i="21" s="1"/>
  <c r="M640" i="21"/>
  <c r="M641" i="21"/>
  <c r="M642" i="21"/>
  <c r="P642" i="21" s="1"/>
  <c r="M643" i="21"/>
  <c r="P643" i="21" s="1"/>
  <c r="M644" i="21"/>
  <c r="M645" i="21"/>
  <c r="M646" i="21"/>
  <c r="M647" i="21"/>
  <c r="P647" i="21" s="1"/>
  <c r="M648" i="21"/>
  <c r="P648" i="21" s="1"/>
  <c r="M649" i="21"/>
  <c r="M650" i="21"/>
  <c r="M651" i="21"/>
  <c r="M652" i="21"/>
  <c r="M653" i="21"/>
  <c r="M654" i="21"/>
  <c r="P654" i="21" s="1"/>
  <c r="M655" i="21"/>
  <c r="M656" i="21"/>
  <c r="M657" i="21"/>
  <c r="M658" i="21"/>
  <c r="M659" i="21"/>
  <c r="P659" i="21" s="1"/>
  <c r="M660" i="21"/>
  <c r="M661" i="21"/>
  <c r="P661" i="21" s="1"/>
  <c r="M662" i="21"/>
  <c r="P662" i="21" s="1"/>
  <c r="M663" i="21"/>
  <c r="M664" i="21"/>
  <c r="M665" i="21"/>
  <c r="M666" i="21"/>
  <c r="M667" i="21"/>
  <c r="M668" i="21"/>
  <c r="P668" i="21" s="1"/>
  <c r="M669" i="21"/>
  <c r="M670" i="21"/>
  <c r="M671" i="21"/>
  <c r="P671" i="21" s="1"/>
  <c r="M672" i="21"/>
  <c r="M673" i="21"/>
  <c r="M674" i="21"/>
  <c r="M675" i="21"/>
  <c r="M676" i="21"/>
  <c r="M677" i="21"/>
  <c r="M678" i="21"/>
  <c r="M679" i="21"/>
  <c r="M680" i="21"/>
  <c r="M681" i="21"/>
  <c r="M682" i="21"/>
  <c r="M683" i="21"/>
  <c r="P683" i="21" s="1"/>
  <c r="M684" i="21"/>
  <c r="M685" i="21"/>
  <c r="M686" i="21"/>
  <c r="P686" i="21" s="1"/>
  <c r="M687" i="21"/>
  <c r="M688" i="21"/>
  <c r="M689" i="21"/>
  <c r="M690" i="21"/>
  <c r="P690" i="21" s="1"/>
  <c r="M691" i="21"/>
  <c r="P691" i="21" s="1"/>
  <c r="M692" i="21"/>
  <c r="M693" i="21"/>
  <c r="M694" i="21"/>
  <c r="M695" i="21"/>
  <c r="M696" i="21"/>
  <c r="P696" i="21" s="1"/>
  <c r="M697" i="21"/>
  <c r="P697" i="21" s="1"/>
  <c r="M698" i="21"/>
  <c r="M699" i="21"/>
  <c r="M700" i="21"/>
  <c r="M701" i="21"/>
  <c r="M702" i="21"/>
  <c r="P702" i="21" s="1"/>
  <c r="M703" i="21"/>
  <c r="M704" i="21"/>
  <c r="M705" i="21"/>
  <c r="M706" i="21"/>
  <c r="M707" i="21"/>
  <c r="P707" i="21" s="1"/>
  <c r="M708" i="21"/>
  <c r="M709" i="21"/>
  <c r="M710" i="21"/>
  <c r="M711" i="21"/>
  <c r="M712" i="21"/>
  <c r="M713" i="21"/>
  <c r="M714" i="21"/>
  <c r="P714" i="21" s="1"/>
  <c r="M715" i="21"/>
  <c r="M716" i="21"/>
  <c r="M717" i="21"/>
  <c r="M718" i="21"/>
  <c r="M719" i="21"/>
  <c r="P719" i="21" s="1"/>
  <c r="M720" i="21"/>
  <c r="M721" i="21"/>
  <c r="P721" i="21" s="1"/>
  <c r="M722" i="21"/>
  <c r="P722" i="21" s="1"/>
  <c r="M723" i="21"/>
  <c r="M724" i="21"/>
  <c r="M725" i="21"/>
  <c r="M726" i="21"/>
  <c r="P726" i="21" s="1"/>
  <c r="M727" i="21"/>
  <c r="M728" i="21"/>
  <c r="P728" i="21" s="1"/>
  <c r="M729" i="21"/>
  <c r="M730" i="21"/>
  <c r="M731" i="21"/>
  <c r="P731" i="21" s="1"/>
  <c r="M732" i="21"/>
  <c r="M733" i="21"/>
  <c r="P733" i="21" s="1"/>
  <c r="M734" i="21"/>
  <c r="M735" i="21"/>
  <c r="M736" i="21"/>
  <c r="P736" i="21" s="1"/>
  <c r="M737" i="21"/>
  <c r="M738" i="21"/>
  <c r="M739" i="21"/>
  <c r="M740" i="21"/>
  <c r="P740" i="21" s="1"/>
  <c r="M741" i="21"/>
  <c r="M742" i="21"/>
  <c r="M743" i="21"/>
  <c r="P743" i="21" s="1"/>
  <c r="M744" i="21"/>
  <c r="M745" i="21"/>
  <c r="M746" i="21"/>
  <c r="M747" i="21"/>
  <c r="P747" i="21" s="1"/>
  <c r="M748" i="21"/>
  <c r="P748" i="21" s="1"/>
  <c r="M749" i="21"/>
  <c r="M750" i="21"/>
  <c r="P750" i="21" s="1"/>
  <c r="M751" i="21"/>
  <c r="M752" i="21"/>
  <c r="M753" i="21"/>
  <c r="M754" i="21"/>
  <c r="P754" i="21" s="1"/>
  <c r="M755" i="21"/>
  <c r="M756" i="21"/>
  <c r="P756" i="21" s="1"/>
  <c r="M757" i="21"/>
  <c r="M758" i="21"/>
  <c r="M759" i="21"/>
  <c r="M760" i="21"/>
  <c r="M761" i="21"/>
  <c r="M762" i="21"/>
  <c r="M763" i="21"/>
  <c r="M764" i="21"/>
  <c r="M765" i="21"/>
  <c r="M766" i="21"/>
  <c r="M767" i="21"/>
  <c r="P767" i="21" s="1"/>
  <c r="M768" i="21"/>
  <c r="M769" i="21"/>
  <c r="P769" i="21" s="1"/>
  <c r="M770" i="21"/>
  <c r="M771" i="21"/>
  <c r="M772" i="21"/>
  <c r="M773" i="21"/>
  <c r="M774" i="21"/>
  <c r="P774" i="21" s="1"/>
  <c r="M775" i="21"/>
  <c r="M776" i="21"/>
  <c r="P776" i="21" s="1"/>
  <c r="M777" i="21"/>
  <c r="M778" i="21"/>
  <c r="M779" i="21"/>
  <c r="P779" i="21" s="1"/>
  <c r="M780" i="21"/>
  <c r="M781" i="21"/>
  <c r="P781" i="21" s="1"/>
  <c r="M782" i="21"/>
  <c r="M783" i="21"/>
  <c r="M784" i="21"/>
  <c r="P784" i="21" s="1"/>
  <c r="M785" i="21"/>
  <c r="M786" i="21"/>
  <c r="P786" i="21" s="1"/>
  <c r="M787" i="21"/>
  <c r="M788" i="21"/>
  <c r="P788" i="21" s="1"/>
  <c r="M789" i="21"/>
  <c r="M790" i="21"/>
  <c r="M791" i="21"/>
  <c r="P791" i="21" s="1"/>
  <c r="M792" i="21"/>
  <c r="M793" i="21"/>
  <c r="M794" i="21"/>
  <c r="M795" i="21"/>
  <c r="P795" i="21" s="1"/>
  <c r="M796" i="21"/>
  <c r="P796" i="21" s="1"/>
  <c r="M797" i="21"/>
  <c r="M798" i="21"/>
  <c r="P798" i="21" s="1"/>
  <c r="M799" i="21"/>
  <c r="M800" i="21"/>
  <c r="M801" i="21"/>
  <c r="M802" i="21"/>
  <c r="M803" i="21"/>
  <c r="P803" i="21" s="1"/>
  <c r="M804" i="21"/>
  <c r="P804" i="21" s="1"/>
  <c r="M805" i="21"/>
  <c r="P805" i="21" s="1"/>
  <c r="M806" i="21"/>
  <c r="M807" i="21"/>
  <c r="M808" i="21"/>
  <c r="M809" i="21"/>
  <c r="M810" i="21"/>
  <c r="M811" i="21"/>
  <c r="M812" i="21"/>
  <c r="P812" i="21" s="1"/>
  <c r="M813" i="21"/>
  <c r="M814" i="21"/>
  <c r="M815" i="21"/>
  <c r="P815" i="21" s="1"/>
  <c r="M816" i="21"/>
  <c r="P816" i="21" s="1"/>
  <c r="M817" i="21"/>
  <c r="P817" i="21" s="1"/>
  <c r="M818" i="21"/>
  <c r="M819" i="21"/>
  <c r="M820" i="21"/>
  <c r="P820" i="21" s="1"/>
  <c r="M821" i="21"/>
  <c r="M822" i="21"/>
  <c r="P822" i="21" s="1"/>
  <c r="M823" i="21"/>
  <c r="M824" i="21"/>
  <c r="P824" i="21" s="1"/>
  <c r="M825" i="21"/>
  <c r="M826" i="21"/>
  <c r="M827" i="21"/>
  <c r="M828" i="21"/>
  <c r="M829" i="21"/>
  <c r="P829" i="21" s="1"/>
  <c r="M830" i="21"/>
  <c r="M831" i="21"/>
  <c r="P831" i="21" s="1"/>
  <c r="M832" i="21"/>
  <c r="M833" i="21"/>
  <c r="M834" i="21"/>
  <c r="P834" i="21" s="1"/>
  <c r="M835" i="21"/>
  <c r="M836" i="21"/>
  <c r="M837" i="21"/>
  <c r="M838" i="21"/>
  <c r="P838" i="21" s="1"/>
  <c r="M839" i="21"/>
  <c r="P839" i="21" s="1"/>
  <c r="M840" i="21"/>
  <c r="P840" i="21" s="1"/>
  <c r="M841" i="21"/>
  <c r="M842" i="21"/>
  <c r="M843" i="21"/>
  <c r="P843" i="21" s="1"/>
  <c r="M844" i="21"/>
  <c r="M845" i="21"/>
  <c r="M846" i="21"/>
  <c r="M847" i="21"/>
  <c r="P847" i="21" s="1"/>
  <c r="M848" i="21"/>
  <c r="M849" i="21"/>
  <c r="M850" i="21"/>
  <c r="M851" i="21"/>
  <c r="P851" i="21" s="1"/>
  <c r="M852" i="21"/>
  <c r="M853" i="21"/>
  <c r="M854" i="21"/>
  <c r="P854" i="21" s="1"/>
  <c r="M855" i="21"/>
  <c r="M856" i="21"/>
  <c r="M857" i="21"/>
  <c r="M858" i="21"/>
  <c r="P858" i="21" s="1"/>
  <c r="M859" i="21"/>
  <c r="M860" i="21"/>
  <c r="M861" i="21"/>
  <c r="M862" i="21"/>
  <c r="M863" i="21"/>
  <c r="P863" i="21" s="1"/>
  <c r="M864" i="21"/>
  <c r="M865" i="21"/>
  <c r="P865" i="21" s="1"/>
  <c r="M866" i="21"/>
  <c r="P866" i="21" s="1"/>
  <c r="M867" i="21"/>
  <c r="M868" i="21"/>
  <c r="P868" i="21" s="1"/>
  <c r="M869" i="21"/>
  <c r="M870" i="21"/>
  <c r="M871" i="21"/>
  <c r="M872" i="21"/>
  <c r="P872" i="21" s="1"/>
  <c r="M873" i="21"/>
  <c r="M874" i="21"/>
  <c r="M875" i="21"/>
  <c r="P875" i="21" s="1"/>
  <c r="M876" i="21"/>
  <c r="P876" i="21" s="1"/>
  <c r="M877" i="21"/>
  <c r="M878" i="21"/>
  <c r="M879" i="21"/>
  <c r="P879" i="21" s="1"/>
  <c r="M880" i="21"/>
  <c r="M881" i="21"/>
  <c r="M882" i="21"/>
  <c r="M883" i="21"/>
  <c r="M884" i="21"/>
  <c r="P884" i="21" s="1"/>
  <c r="M885" i="21"/>
  <c r="M886" i="21"/>
  <c r="P886" i="21" s="1"/>
  <c r="M887" i="21"/>
  <c r="M888" i="21"/>
  <c r="P888" i="21" s="1"/>
  <c r="M889" i="21"/>
  <c r="P889" i="21" s="1"/>
  <c r="M890" i="21"/>
  <c r="M891" i="21"/>
  <c r="M892" i="21"/>
  <c r="M893" i="21"/>
  <c r="M894" i="21"/>
  <c r="P894" i="21" s="1"/>
  <c r="M895" i="21"/>
  <c r="P895" i="21" s="1"/>
  <c r="M896" i="21"/>
  <c r="P896" i="21" s="1"/>
  <c r="M897" i="21"/>
  <c r="M898" i="21"/>
  <c r="M899" i="21"/>
  <c r="P899" i="21" s="1"/>
  <c r="M900" i="21"/>
  <c r="M901" i="21"/>
  <c r="M902" i="21"/>
  <c r="P902" i="21" s="1"/>
  <c r="M903" i="21"/>
  <c r="P903" i="21" s="1"/>
  <c r="M904" i="21"/>
  <c r="M905" i="21"/>
  <c r="M906" i="21"/>
  <c r="P906" i="21" s="1"/>
  <c r="M907" i="21"/>
  <c r="M908" i="21"/>
  <c r="P908" i="21" s="1"/>
  <c r="M909" i="21"/>
  <c r="M910" i="21"/>
  <c r="M911" i="21"/>
  <c r="P911" i="21" s="1"/>
  <c r="M912" i="21"/>
  <c r="P912" i="21" s="1"/>
  <c r="M913" i="21"/>
  <c r="P913" i="21" s="1"/>
  <c r="M914" i="21"/>
  <c r="M915" i="21"/>
  <c r="M916" i="21"/>
  <c r="P916" i="21" s="1"/>
  <c r="M917" i="21"/>
  <c r="M918" i="21"/>
  <c r="P918" i="21" s="1"/>
  <c r="M919" i="21"/>
  <c r="M920" i="21"/>
  <c r="P920" i="21" s="1"/>
  <c r="M921" i="21"/>
  <c r="M922" i="21"/>
  <c r="M923" i="21"/>
  <c r="P923" i="21" s="1"/>
  <c r="M924" i="21"/>
  <c r="M925" i="21"/>
  <c r="M926" i="21"/>
  <c r="M927" i="21"/>
  <c r="P927" i="21" s="1"/>
  <c r="M928" i="21"/>
  <c r="M929" i="21"/>
  <c r="M930" i="21"/>
  <c r="P930" i="21" s="1"/>
  <c r="M931" i="21"/>
  <c r="P931" i="21" s="1"/>
  <c r="M932" i="21"/>
  <c r="P932" i="21" s="1"/>
  <c r="M933" i="21"/>
  <c r="M934" i="21"/>
  <c r="P934" i="21" s="1"/>
  <c r="M935" i="21"/>
  <c r="P935" i="21" s="1"/>
  <c r="M936" i="21"/>
  <c r="P936" i="21" s="1"/>
  <c r="M937" i="21"/>
  <c r="M938" i="21"/>
  <c r="M939" i="21"/>
  <c r="M940" i="21"/>
  <c r="M941" i="21"/>
  <c r="M942" i="21"/>
  <c r="P942" i="21" s="1"/>
  <c r="M943" i="21"/>
  <c r="P943" i="21" s="1"/>
  <c r="M944" i="21"/>
  <c r="P944" i="21" s="1"/>
  <c r="M945" i="21"/>
  <c r="M946" i="21"/>
  <c r="M947" i="21"/>
  <c r="P947" i="21" s="1"/>
  <c r="M948" i="21"/>
  <c r="P948" i="21" s="1"/>
  <c r="M949" i="21"/>
  <c r="M950" i="21"/>
  <c r="M951" i="21"/>
  <c r="P951" i="21" s="1"/>
  <c r="M952" i="21"/>
  <c r="M953" i="21"/>
  <c r="M954" i="21"/>
  <c r="P954" i="21" s="1"/>
  <c r="M955" i="21"/>
  <c r="P955" i="21" s="1"/>
  <c r="M956" i="21"/>
  <c r="P956" i="21" s="1"/>
  <c r="M957" i="21"/>
  <c r="M958" i="21"/>
  <c r="P958" i="21" s="1"/>
  <c r="M959" i="21"/>
  <c r="P959" i="21" s="1"/>
  <c r="M960" i="21"/>
  <c r="P960" i="21" s="1"/>
  <c r="M961" i="21"/>
  <c r="M962" i="21"/>
  <c r="P962" i="21" s="1"/>
  <c r="M963" i="21"/>
  <c r="P963" i="21" s="1"/>
  <c r="M964" i="21"/>
  <c r="M965" i="21"/>
  <c r="M966" i="21"/>
  <c r="P966" i="21" s="1"/>
  <c r="M967" i="21"/>
  <c r="M968" i="21"/>
  <c r="P968" i="21" s="1"/>
  <c r="M969" i="21"/>
  <c r="M970" i="21"/>
  <c r="P970" i="21" s="1"/>
  <c r="M971" i="21"/>
  <c r="P971" i="21" s="1"/>
  <c r="M972" i="21"/>
  <c r="P972" i="21" s="1"/>
  <c r="M973" i="21"/>
  <c r="P973" i="21" s="1"/>
  <c r="M974" i="21"/>
  <c r="M975" i="21"/>
  <c r="P975" i="21" s="1"/>
  <c r="M976" i="21"/>
  <c r="P976" i="21" s="1"/>
  <c r="M977" i="21"/>
  <c r="M978" i="21"/>
  <c r="P978" i="21" s="1"/>
  <c r="M979" i="21"/>
  <c r="P979" i="21" s="1"/>
  <c r="M980" i="21"/>
  <c r="P980" i="21" s="1"/>
  <c r="M981" i="21"/>
  <c r="M982" i="21"/>
  <c r="M983" i="21"/>
  <c r="P983" i="21" s="1"/>
  <c r="M984" i="21"/>
  <c r="P984" i="21" s="1"/>
  <c r="M985" i="21"/>
  <c r="M986" i="21"/>
  <c r="M987" i="21"/>
  <c r="P987" i="21" s="1"/>
  <c r="M988" i="21"/>
  <c r="M989" i="21"/>
  <c r="M990" i="21"/>
  <c r="P990" i="21" s="1"/>
  <c r="M991" i="21"/>
  <c r="P991" i="21" s="1"/>
  <c r="M992" i="21"/>
  <c r="M993" i="21"/>
  <c r="M994" i="21"/>
  <c r="M995" i="21"/>
  <c r="P995" i="21" s="1"/>
  <c r="M996" i="21"/>
  <c r="P996" i="21" s="1"/>
  <c r="M997" i="21"/>
  <c r="M998" i="21"/>
  <c r="P998" i="21" s="1"/>
  <c r="M999" i="21"/>
  <c r="P999" i="21" s="1"/>
  <c r="M1000" i="21"/>
  <c r="P1000" i="21" s="1"/>
  <c r="M1001" i="21"/>
  <c r="M1002" i="21"/>
  <c r="P1002" i="21" s="1"/>
  <c r="M1003" i="21"/>
  <c r="M1004" i="21"/>
  <c r="P1004" i="21" s="1"/>
  <c r="M1005" i="21"/>
  <c r="M1006" i="21"/>
  <c r="M9" i="21"/>
  <c r="M6" i="21"/>
  <c r="M7" i="21"/>
  <c r="M5" i="21"/>
  <c r="L10" i="21"/>
  <c r="L11" i="21"/>
  <c r="L12" i="21"/>
  <c r="L13" i="21"/>
  <c r="L14" i="21"/>
  <c r="L15" i="21"/>
  <c r="L16" i="21"/>
  <c r="L17" i="21"/>
  <c r="L18" i="21"/>
  <c r="L19" i="21"/>
  <c r="L20" i="21"/>
  <c r="L21" i="21"/>
  <c r="L22" i="21"/>
  <c r="L23" i="21"/>
  <c r="L24" i="21"/>
  <c r="L25" i="21"/>
  <c r="L26" i="21"/>
  <c r="L27" i="21"/>
  <c r="L28" i="21"/>
  <c r="L29" i="21"/>
  <c r="L30" i="21"/>
  <c r="L31" i="21"/>
  <c r="L32" i="21"/>
  <c r="L33" i="21"/>
  <c r="L34" i="21"/>
  <c r="L35" i="21"/>
  <c r="L36" i="21"/>
  <c r="L37" i="21"/>
  <c r="L38" i="21"/>
  <c r="L39" i="21"/>
  <c r="L40" i="21"/>
  <c r="L41" i="21"/>
  <c r="L42" i="21"/>
  <c r="L43" i="21"/>
  <c r="L44" i="21"/>
  <c r="L45" i="21"/>
  <c r="L46" i="21"/>
  <c r="L47" i="21"/>
  <c r="L48" i="21"/>
  <c r="L49" i="21"/>
  <c r="L50" i="21"/>
  <c r="L51" i="21"/>
  <c r="L52" i="21"/>
  <c r="L53" i="21"/>
  <c r="L54" i="21"/>
  <c r="L55" i="21"/>
  <c r="L56" i="21"/>
  <c r="L57" i="21"/>
  <c r="L58" i="21"/>
  <c r="L59" i="21"/>
  <c r="L60" i="21"/>
  <c r="L61" i="21"/>
  <c r="L62" i="21"/>
  <c r="L63" i="21"/>
  <c r="L64" i="21"/>
  <c r="L65" i="21"/>
  <c r="L66" i="21"/>
  <c r="L67" i="21"/>
  <c r="L68" i="21"/>
  <c r="L69" i="21"/>
  <c r="L70" i="21"/>
  <c r="L71" i="21"/>
  <c r="L72" i="21"/>
  <c r="L73" i="21"/>
  <c r="L74" i="21"/>
  <c r="L75" i="21"/>
  <c r="L76" i="21"/>
  <c r="L77" i="21"/>
  <c r="L78" i="21"/>
  <c r="L79" i="21"/>
  <c r="L80" i="21"/>
  <c r="L81" i="21"/>
  <c r="L82" i="21"/>
  <c r="L83" i="21"/>
  <c r="L84" i="21"/>
  <c r="L85" i="21"/>
  <c r="L86" i="21"/>
  <c r="L87" i="21"/>
  <c r="L88" i="21"/>
  <c r="L89" i="21"/>
  <c r="L90" i="21"/>
  <c r="L91" i="21"/>
  <c r="L92" i="21"/>
  <c r="L93" i="21"/>
  <c r="L94" i="21"/>
  <c r="L95" i="21"/>
  <c r="L96" i="21"/>
  <c r="L97" i="21"/>
  <c r="L98" i="21"/>
  <c r="L99" i="21"/>
  <c r="L100" i="21"/>
  <c r="L101" i="21"/>
  <c r="L102" i="21"/>
  <c r="L103" i="21"/>
  <c r="L104" i="21"/>
  <c r="L105" i="21"/>
  <c r="L106" i="21"/>
  <c r="L107" i="21"/>
  <c r="L108" i="21"/>
  <c r="L109" i="21"/>
  <c r="L110" i="21"/>
  <c r="L111" i="21"/>
  <c r="L112" i="21"/>
  <c r="L113" i="21"/>
  <c r="L114" i="21"/>
  <c r="L115" i="21"/>
  <c r="L116" i="21"/>
  <c r="L117" i="21"/>
  <c r="L118" i="21"/>
  <c r="L119" i="21"/>
  <c r="L120" i="21"/>
  <c r="L121" i="21"/>
  <c r="L122" i="21"/>
  <c r="L123" i="21"/>
  <c r="L124" i="21"/>
  <c r="L125" i="21"/>
  <c r="L126" i="21"/>
  <c r="L127" i="21"/>
  <c r="L128" i="21"/>
  <c r="L129" i="21"/>
  <c r="L130" i="21"/>
  <c r="L131" i="21"/>
  <c r="L132" i="21"/>
  <c r="L133" i="21"/>
  <c r="L134" i="21"/>
  <c r="L135" i="21"/>
  <c r="L136" i="21"/>
  <c r="L137" i="21"/>
  <c r="L138" i="21"/>
  <c r="L139" i="21"/>
  <c r="L140" i="21"/>
  <c r="L141" i="21"/>
  <c r="L142" i="21"/>
  <c r="L143" i="21"/>
  <c r="L144" i="21"/>
  <c r="L145" i="21"/>
  <c r="L146" i="21"/>
  <c r="L147" i="21"/>
  <c r="L148" i="21"/>
  <c r="L149" i="21"/>
  <c r="L150" i="21"/>
  <c r="L151" i="21"/>
  <c r="L152" i="21"/>
  <c r="L153" i="21"/>
  <c r="L154" i="21"/>
  <c r="L155" i="21"/>
  <c r="L156" i="21"/>
  <c r="L157" i="21"/>
  <c r="L158" i="21"/>
  <c r="L159" i="21"/>
  <c r="L160" i="21"/>
  <c r="L161" i="21"/>
  <c r="L162" i="21"/>
  <c r="L163" i="21"/>
  <c r="L164" i="21"/>
  <c r="L165" i="21"/>
  <c r="L166" i="21"/>
  <c r="L167" i="21"/>
  <c r="L168" i="21"/>
  <c r="L169" i="21"/>
  <c r="L170" i="21"/>
  <c r="L171" i="21"/>
  <c r="L172" i="21"/>
  <c r="L173" i="21"/>
  <c r="L174" i="21"/>
  <c r="L175" i="21"/>
  <c r="L176" i="21"/>
  <c r="L177" i="21"/>
  <c r="L178" i="21"/>
  <c r="L179" i="21"/>
  <c r="L180" i="21"/>
  <c r="L181" i="21"/>
  <c r="L182" i="21"/>
  <c r="L183" i="21"/>
  <c r="L184" i="21"/>
  <c r="L185" i="21"/>
  <c r="L186" i="21"/>
  <c r="L187" i="21"/>
  <c r="L188" i="21"/>
  <c r="L189" i="21"/>
  <c r="L190" i="21"/>
  <c r="L191" i="21"/>
  <c r="L192" i="21"/>
  <c r="L193" i="21"/>
  <c r="L194" i="21"/>
  <c r="L195" i="21"/>
  <c r="L196" i="21"/>
  <c r="L197" i="21"/>
  <c r="L198" i="21"/>
  <c r="L199" i="21"/>
  <c r="L200" i="21"/>
  <c r="L201" i="21"/>
  <c r="L202" i="21"/>
  <c r="L203" i="21"/>
  <c r="L204" i="21"/>
  <c r="L205" i="21"/>
  <c r="L206" i="21"/>
  <c r="L207" i="21"/>
  <c r="L208" i="21"/>
  <c r="L209" i="21"/>
  <c r="L210" i="21"/>
  <c r="L211" i="21"/>
  <c r="L212" i="21"/>
  <c r="L213" i="21"/>
  <c r="L214" i="21"/>
  <c r="L215" i="21"/>
  <c r="L216" i="21"/>
  <c r="L217" i="21"/>
  <c r="L218" i="21"/>
  <c r="L219" i="21"/>
  <c r="L220" i="21"/>
  <c r="L221" i="21"/>
  <c r="L222" i="21"/>
  <c r="L223" i="21"/>
  <c r="L224" i="21"/>
  <c r="L225" i="21"/>
  <c r="L226" i="21"/>
  <c r="L227" i="21"/>
  <c r="L228" i="21"/>
  <c r="L229" i="21"/>
  <c r="L230" i="21"/>
  <c r="L231" i="21"/>
  <c r="L232" i="21"/>
  <c r="L233" i="21"/>
  <c r="L234" i="21"/>
  <c r="L235" i="21"/>
  <c r="L236" i="21"/>
  <c r="L237" i="21"/>
  <c r="L238" i="21"/>
  <c r="L239" i="21"/>
  <c r="L240" i="21"/>
  <c r="L241" i="21"/>
  <c r="L242" i="21"/>
  <c r="L243" i="21"/>
  <c r="L244" i="21"/>
  <c r="L245" i="21"/>
  <c r="L246" i="21"/>
  <c r="L247" i="21"/>
  <c r="L248" i="21"/>
  <c r="L249" i="21"/>
  <c r="L250" i="21"/>
  <c r="L251" i="21"/>
  <c r="L252" i="21"/>
  <c r="L253" i="21"/>
  <c r="L254" i="21"/>
  <c r="L255" i="21"/>
  <c r="L256" i="21"/>
  <c r="L257" i="21"/>
  <c r="L258" i="21"/>
  <c r="L259" i="21"/>
  <c r="L260" i="21"/>
  <c r="L261" i="21"/>
  <c r="L262" i="21"/>
  <c r="L263" i="21"/>
  <c r="L264" i="21"/>
  <c r="L265" i="21"/>
  <c r="L266" i="21"/>
  <c r="L267" i="21"/>
  <c r="L268" i="21"/>
  <c r="L269" i="21"/>
  <c r="L270" i="21"/>
  <c r="L271" i="21"/>
  <c r="L272" i="21"/>
  <c r="L273" i="21"/>
  <c r="L274" i="21"/>
  <c r="L275" i="21"/>
  <c r="L276" i="21"/>
  <c r="L277" i="21"/>
  <c r="L278" i="21"/>
  <c r="L279" i="21"/>
  <c r="L280" i="21"/>
  <c r="L281" i="21"/>
  <c r="L282" i="21"/>
  <c r="L283" i="21"/>
  <c r="L284" i="21"/>
  <c r="L285" i="21"/>
  <c r="L286" i="21"/>
  <c r="L287" i="21"/>
  <c r="L288" i="21"/>
  <c r="L289" i="21"/>
  <c r="L290" i="21"/>
  <c r="L291" i="21"/>
  <c r="L292" i="21"/>
  <c r="L293" i="21"/>
  <c r="L294" i="21"/>
  <c r="L295" i="21"/>
  <c r="L296" i="21"/>
  <c r="L297" i="21"/>
  <c r="L298" i="21"/>
  <c r="L299" i="21"/>
  <c r="L300" i="21"/>
  <c r="L301" i="21"/>
  <c r="L302" i="21"/>
  <c r="L303" i="21"/>
  <c r="L304" i="21"/>
  <c r="L305" i="21"/>
  <c r="L306" i="21"/>
  <c r="L307" i="21"/>
  <c r="L308" i="21"/>
  <c r="L309" i="21"/>
  <c r="L310" i="21"/>
  <c r="L311" i="21"/>
  <c r="L312" i="21"/>
  <c r="L313" i="21"/>
  <c r="L314" i="21"/>
  <c r="L315" i="21"/>
  <c r="L316" i="21"/>
  <c r="L317" i="21"/>
  <c r="L318" i="21"/>
  <c r="L319" i="21"/>
  <c r="L320" i="21"/>
  <c r="L321" i="21"/>
  <c r="L322" i="21"/>
  <c r="L323" i="21"/>
  <c r="L324" i="21"/>
  <c r="L325" i="21"/>
  <c r="L326" i="21"/>
  <c r="L327" i="21"/>
  <c r="L328" i="21"/>
  <c r="L329" i="21"/>
  <c r="L330" i="21"/>
  <c r="L331" i="21"/>
  <c r="L332" i="21"/>
  <c r="L333" i="21"/>
  <c r="L334" i="21"/>
  <c r="L335" i="21"/>
  <c r="L336" i="21"/>
  <c r="L337" i="21"/>
  <c r="L338" i="21"/>
  <c r="L339" i="21"/>
  <c r="L340" i="21"/>
  <c r="L341" i="21"/>
  <c r="L342" i="21"/>
  <c r="L343" i="21"/>
  <c r="L344" i="21"/>
  <c r="L345" i="21"/>
  <c r="L346" i="21"/>
  <c r="L347" i="21"/>
  <c r="L348" i="21"/>
  <c r="L349" i="21"/>
  <c r="L350" i="21"/>
  <c r="L351" i="21"/>
  <c r="L352" i="21"/>
  <c r="L353" i="21"/>
  <c r="L354" i="21"/>
  <c r="L355" i="21"/>
  <c r="L356" i="21"/>
  <c r="L357" i="21"/>
  <c r="L358" i="21"/>
  <c r="L359" i="21"/>
  <c r="L360" i="21"/>
  <c r="L361" i="21"/>
  <c r="L362" i="21"/>
  <c r="L363" i="21"/>
  <c r="L364" i="21"/>
  <c r="L365" i="21"/>
  <c r="L366" i="21"/>
  <c r="L367" i="21"/>
  <c r="L368" i="21"/>
  <c r="L369" i="21"/>
  <c r="L370" i="21"/>
  <c r="L371" i="21"/>
  <c r="L372" i="21"/>
  <c r="L373" i="21"/>
  <c r="L374" i="21"/>
  <c r="L375" i="21"/>
  <c r="L376" i="21"/>
  <c r="L377" i="21"/>
  <c r="L378" i="21"/>
  <c r="L379" i="21"/>
  <c r="L380" i="21"/>
  <c r="L381" i="21"/>
  <c r="L382" i="21"/>
  <c r="L383" i="21"/>
  <c r="L384" i="21"/>
  <c r="L385" i="21"/>
  <c r="L386" i="21"/>
  <c r="L387" i="21"/>
  <c r="L388" i="21"/>
  <c r="L389" i="21"/>
  <c r="L390" i="21"/>
  <c r="L391" i="21"/>
  <c r="L392" i="21"/>
  <c r="L393" i="21"/>
  <c r="L394" i="21"/>
  <c r="L395" i="21"/>
  <c r="L396" i="21"/>
  <c r="L397" i="21"/>
  <c r="L398" i="21"/>
  <c r="L399" i="21"/>
  <c r="L400" i="21"/>
  <c r="L401" i="21"/>
  <c r="L402" i="21"/>
  <c r="L403" i="21"/>
  <c r="L404" i="21"/>
  <c r="L405" i="21"/>
  <c r="L406" i="21"/>
  <c r="L407" i="21"/>
  <c r="L408" i="21"/>
  <c r="L409" i="21"/>
  <c r="L410" i="21"/>
  <c r="L411" i="21"/>
  <c r="L412" i="21"/>
  <c r="L413" i="21"/>
  <c r="L414" i="21"/>
  <c r="L415" i="21"/>
  <c r="L416" i="21"/>
  <c r="L417" i="21"/>
  <c r="L418" i="21"/>
  <c r="L419" i="21"/>
  <c r="L420" i="21"/>
  <c r="L421" i="21"/>
  <c r="L422" i="21"/>
  <c r="L423" i="21"/>
  <c r="L424" i="21"/>
  <c r="L425" i="21"/>
  <c r="L426" i="21"/>
  <c r="L427" i="21"/>
  <c r="L428" i="21"/>
  <c r="L429" i="21"/>
  <c r="L430" i="21"/>
  <c r="L431" i="21"/>
  <c r="L432" i="21"/>
  <c r="L433" i="21"/>
  <c r="L434" i="21"/>
  <c r="L435" i="21"/>
  <c r="L436" i="21"/>
  <c r="L437" i="21"/>
  <c r="L438" i="21"/>
  <c r="L439" i="21"/>
  <c r="L440" i="21"/>
  <c r="L441" i="21"/>
  <c r="L442" i="21"/>
  <c r="L443" i="21"/>
  <c r="L444" i="21"/>
  <c r="L445" i="21"/>
  <c r="L446" i="21"/>
  <c r="L447" i="21"/>
  <c r="L448" i="21"/>
  <c r="L449" i="21"/>
  <c r="L450" i="21"/>
  <c r="L451" i="21"/>
  <c r="L452" i="21"/>
  <c r="L453" i="21"/>
  <c r="L454" i="21"/>
  <c r="L455" i="21"/>
  <c r="L456" i="21"/>
  <c r="L457" i="21"/>
  <c r="L458" i="21"/>
  <c r="L459" i="21"/>
  <c r="L460" i="21"/>
  <c r="L461" i="21"/>
  <c r="L462" i="21"/>
  <c r="L463" i="21"/>
  <c r="L464" i="21"/>
  <c r="L465" i="21"/>
  <c r="L466" i="21"/>
  <c r="L467" i="21"/>
  <c r="L468" i="21"/>
  <c r="L469" i="21"/>
  <c r="L470" i="21"/>
  <c r="L471" i="21"/>
  <c r="L472" i="21"/>
  <c r="L473" i="21"/>
  <c r="L474" i="21"/>
  <c r="L475" i="21"/>
  <c r="L476" i="21"/>
  <c r="L477" i="21"/>
  <c r="L478" i="21"/>
  <c r="L479" i="21"/>
  <c r="L480" i="21"/>
  <c r="L481" i="21"/>
  <c r="L482" i="21"/>
  <c r="L483" i="21"/>
  <c r="L484" i="21"/>
  <c r="L485" i="21"/>
  <c r="L486" i="21"/>
  <c r="L487" i="21"/>
  <c r="L488" i="21"/>
  <c r="L489" i="21"/>
  <c r="L490" i="21"/>
  <c r="L491" i="21"/>
  <c r="L492" i="21"/>
  <c r="L493" i="21"/>
  <c r="L494" i="21"/>
  <c r="L495" i="21"/>
  <c r="L496" i="21"/>
  <c r="L497" i="21"/>
  <c r="L498" i="21"/>
  <c r="L499" i="21"/>
  <c r="L500" i="21"/>
  <c r="L501" i="21"/>
  <c r="L502" i="21"/>
  <c r="L503" i="21"/>
  <c r="L504" i="21"/>
  <c r="L505" i="21"/>
  <c r="L506" i="21"/>
  <c r="L507" i="21"/>
  <c r="L508" i="21"/>
  <c r="L509" i="21"/>
  <c r="L510" i="21"/>
  <c r="L511" i="21"/>
  <c r="L512" i="21"/>
  <c r="L513" i="21"/>
  <c r="L514" i="21"/>
  <c r="L515" i="21"/>
  <c r="L516" i="21"/>
  <c r="L517" i="21"/>
  <c r="L518" i="21"/>
  <c r="L519" i="21"/>
  <c r="L520" i="21"/>
  <c r="L521" i="21"/>
  <c r="L522" i="21"/>
  <c r="L523" i="21"/>
  <c r="L524" i="21"/>
  <c r="L525" i="21"/>
  <c r="L526" i="21"/>
  <c r="L527" i="21"/>
  <c r="L528" i="21"/>
  <c r="L529" i="21"/>
  <c r="L530" i="21"/>
  <c r="L531" i="21"/>
  <c r="L532" i="21"/>
  <c r="L533" i="21"/>
  <c r="L534" i="21"/>
  <c r="L535" i="21"/>
  <c r="L536" i="21"/>
  <c r="L537" i="21"/>
  <c r="L538" i="21"/>
  <c r="L539" i="21"/>
  <c r="L540" i="21"/>
  <c r="L541" i="21"/>
  <c r="L542" i="21"/>
  <c r="L543" i="21"/>
  <c r="L544" i="21"/>
  <c r="L545" i="21"/>
  <c r="L546" i="21"/>
  <c r="L547" i="21"/>
  <c r="L548" i="21"/>
  <c r="L549" i="21"/>
  <c r="L550" i="21"/>
  <c r="L551" i="21"/>
  <c r="L552" i="21"/>
  <c r="L553" i="21"/>
  <c r="L554" i="21"/>
  <c r="L555" i="21"/>
  <c r="L556" i="21"/>
  <c r="L557" i="21"/>
  <c r="L558" i="21"/>
  <c r="L559" i="21"/>
  <c r="L560" i="21"/>
  <c r="L561" i="21"/>
  <c r="L562" i="21"/>
  <c r="L563" i="21"/>
  <c r="L564" i="21"/>
  <c r="L565" i="21"/>
  <c r="L566" i="21"/>
  <c r="L567" i="21"/>
  <c r="L568" i="21"/>
  <c r="L569" i="21"/>
  <c r="L570" i="21"/>
  <c r="L571" i="21"/>
  <c r="L572" i="21"/>
  <c r="L573" i="21"/>
  <c r="L574" i="21"/>
  <c r="L575" i="21"/>
  <c r="L576" i="21"/>
  <c r="L577" i="21"/>
  <c r="L578" i="21"/>
  <c r="L579" i="21"/>
  <c r="L580" i="21"/>
  <c r="L581" i="21"/>
  <c r="L582" i="21"/>
  <c r="L583" i="21"/>
  <c r="L584" i="21"/>
  <c r="L585" i="21"/>
  <c r="L586" i="21"/>
  <c r="L587" i="21"/>
  <c r="L588" i="21"/>
  <c r="L589" i="21"/>
  <c r="L590" i="21"/>
  <c r="L591" i="21"/>
  <c r="L592" i="21"/>
  <c r="L593" i="21"/>
  <c r="L594" i="21"/>
  <c r="L595" i="21"/>
  <c r="L596" i="21"/>
  <c r="L597" i="21"/>
  <c r="L598" i="21"/>
  <c r="L599" i="21"/>
  <c r="L600" i="21"/>
  <c r="L601" i="21"/>
  <c r="L602" i="21"/>
  <c r="L603" i="21"/>
  <c r="L604" i="21"/>
  <c r="L605" i="21"/>
  <c r="L606" i="21"/>
  <c r="L607" i="21"/>
  <c r="L608" i="21"/>
  <c r="L609" i="21"/>
  <c r="L610" i="21"/>
  <c r="L611" i="21"/>
  <c r="L612" i="21"/>
  <c r="L613" i="21"/>
  <c r="L614" i="21"/>
  <c r="L615" i="21"/>
  <c r="L616" i="21"/>
  <c r="L617" i="21"/>
  <c r="L618" i="21"/>
  <c r="L619" i="21"/>
  <c r="L620" i="21"/>
  <c r="L621" i="21"/>
  <c r="L622" i="21"/>
  <c r="L623" i="21"/>
  <c r="L624" i="21"/>
  <c r="L625" i="21"/>
  <c r="L626" i="21"/>
  <c r="L627" i="21"/>
  <c r="L628" i="21"/>
  <c r="L629" i="21"/>
  <c r="L630" i="21"/>
  <c r="L631" i="21"/>
  <c r="L632" i="21"/>
  <c r="L633" i="21"/>
  <c r="L634" i="21"/>
  <c r="L635" i="21"/>
  <c r="L636" i="21"/>
  <c r="L637" i="21"/>
  <c r="L638" i="21"/>
  <c r="L639" i="21"/>
  <c r="L640" i="21"/>
  <c r="L641" i="21"/>
  <c r="L642" i="21"/>
  <c r="L643" i="21"/>
  <c r="L644" i="21"/>
  <c r="L645" i="21"/>
  <c r="L646" i="21"/>
  <c r="L647" i="21"/>
  <c r="L648" i="21"/>
  <c r="L649" i="21"/>
  <c r="L650" i="21"/>
  <c r="L651" i="21"/>
  <c r="L652" i="21"/>
  <c r="L653" i="21"/>
  <c r="L654" i="21"/>
  <c r="L655" i="21"/>
  <c r="L656" i="21"/>
  <c r="L657" i="21"/>
  <c r="L658" i="21"/>
  <c r="L659" i="21"/>
  <c r="L660" i="21"/>
  <c r="L661" i="21"/>
  <c r="L662" i="21"/>
  <c r="L663" i="21"/>
  <c r="L664" i="21"/>
  <c r="L665" i="21"/>
  <c r="L666" i="21"/>
  <c r="L667" i="21"/>
  <c r="L668" i="21"/>
  <c r="L669" i="21"/>
  <c r="L670" i="21"/>
  <c r="L671" i="21"/>
  <c r="L672" i="21"/>
  <c r="L673" i="21"/>
  <c r="L674" i="21"/>
  <c r="L675" i="21"/>
  <c r="L676" i="21"/>
  <c r="L677" i="21"/>
  <c r="L678" i="21"/>
  <c r="L679" i="21"/>
  <c r="L680" i="21"/>
  <c r="L681" i="21"/>
  <c r="L682" i="21"/>
  <c r="L683" i="21"/>
  <c r="L684" i="21"/>
  <c r="L685" i="21"/>
  <c r="L686" i="21"/>
  <c r="L687" i="21"/>
  <c r="L688" i="21"/>
  <c r="L689" i="21"/>
  <c r="L690" i="21"/>
  <c r="L691" i="21"/>
  <c r="L692" i="21"/>
  <c r="L693" i="21"/>
  <c r="L694" i="21"/>
  <c r="L695" i="21"/>
  <c r="L696" i="21"/>
  <c r="L697" i="21"/>
  <c r="L698" i="21"/>
  <c r="L699" i="21"/>
  <c r="L700" i="21"/>
  <c r="L701" i="21"/>
  <c r="L702" i="21"/>
  <c r="L703" i="21"/>
  <c r="L704" i="21"/>
  <c r="L705" i="21"/>
  <c r="L706" i="21"/>
  <c r="L707" i="21"/>
  <c r="L708" i="21"/>
  <c r="L709" i="21"/>
  <c r="L710" i="21"/>
  <c r="L711" i="21"/>
  <c r="L712" i="21"/>
  <c r="L713" i="21"/>
  <c r="L714" i="21"/>
  <c r="L715" i="21"/>
  <c r="L716" i="21"/>
  <c r="L717" i="21"/>
  <c r="L718" i="21"/>
  <c r="L719" i="21"/>
  <c r="L720" i="21"/>
  <c r="L721" i="21"/>
  <c r="L722" i="21"/>
  <c r="L723" i="21"/>
  <c r="L724" i="21"/>
  <c r="L725" i="21"/>
  <c r="L726" i="21"/>
  <c r="L727" i="21"/>
  <c r="L728" i="21"/>
  <c r="L729" i="21"/>
  <c r="L730" i="21"/>
  <c r="L731" i="21"/>
  <c r="L732" i="21"/>
  <c r="L733" i="21"/>
  <c r="L734" i="21"/>
  <c r="L735" i="21"/>
  <c r="L736" i="21"/>
  <c r="L737" i="21"/>
  <c r="L738" i="21"/>
  <c r="L739" i="21"/>
  <c r="L740" i="21"/>
  <c r="L741" i="21"/>
  <c r="L742" i="21"/>
  <c r="L743" i="21"/>
  <c r="L744" i="21"/>
  <c r="L745" i="21"/>
  <c r="L746" i="21"/>
  <c r="L747" i="21"/>
  <c r="L748" i="21"/>
  <c r="L749" i="21"/>
  <c r="L750" i="21"/>
  <c r="L751" i="21"/>
  <c r="L752" i="21"/>
  <c r="L753" i="21"/>
  <c r="L754" i="21"/>
  <c r="L755" i="21"/>
  <c r="L756" i="21"/>
  <c r="L757" i="21"/>
  <c r="L758" i="21"/>
  <c r="L759" i="21"/>
  <c r="L760" i="21"/>
  <c r="L761" i="21"/>
  <c r="L762" i="21"/>
  <c r="L763" i="21"/>
  <c r="L764" i="21"/>
  <c r="L765" i="21"/>
  <c r="L766" i="21"/>
  <c r="L767" i="21"/>
  <c r="L768" i="21"/>
  <c r="L769" i="21"/>
  <c r="L770" i="21"/>
  <c r="L771" i="21"/>
  <c r="L772" i="21"/>
  <c r="L773" i="21"/>
  <c r="L774" i="21"/>
  <c r="L775" i="21"/>
  <c r="L776" i="21"/>
  <c r="L777" i="21"/>
  <c r="L778" i="21"/>
  <c r="L779" i="21"/>
  <c r="L780" i="21"/>
  <c r="L781" i="21"/>
  <c r="L782" i="21"/>
  <c r="L783" i="21"/>
  <c r="L784" i="21"/>
  <c r="L785" i="21"/>
  <c r="L786" i="21"/>
  <c r="L787" i="21"/>
  <c r="L788" i="21"/>
  <c r="L789" i="21"/>
  <c r="L790" i="21"/>
  <c r="L791" i="21"/>
  <c r="L792" i="21"/>
  <c r="L793" i="21"/>
  <c r="L794" i="21"/>
  <c r="L795" i="21"/>
  <c r="L796" i="21"/>
  <c r="L797" i="21"/>
  <c r="L798" i="21"/>
  <c r="L799" i="21"/>
  <c r="L800" i="21"/>
  <c r="L801" i="21"/>
  <c r="L802" i="21"/>
  <c r="L803" i="21"/>
  <c r="L804" i="21"/>
  <c r="L805" i="21"/>
  <c r="L806" i="21"/>
  <c r="L807" i="21"/>
  <c r="L808" i="21"/>
  <c r="L809" i="21"/>
  <c r="L810" i="21"/>
  <c r="L811" i="21"/>
  <c r="L812" i="21"/>
  <c r="L813" i="21"/>
  <c r="L814" i="21"/>
  <c r="L815" i="21"/>
  <c r="L816" i="21"/>
  <c r="L817" i="21"/>
  <c r="L818" i="21"/>
  <c r="L819" i="21"/>
  <c r="L820" i="21"/>
  <c r="L821" i="21"/>
  <c r="L822" i="21"/>
  <c r="L823" i="21"/>
  <c r="L824" i="21"/>
  <c r="L825" i="21"/>
  <c r="L826" i="21"/>
  <c r="L827" i="21"/>
  <c r="L828" i="21"/>
  <c r="L829" i="21"/>
  <c r="L830" i="21"/>
  <c r="L831" i="21"/>
  <c r="L832" i="21"/>
  <c r="L833" i="21"/>
  <c r="L834" i="21"/>
  <c r="L835" i="21"/>
  <c r="L836" i="21"/>
  <c r="L837" i="21"/>
  <c r="L838" i="21"/>
  <c r="L839" i="21"/>
  <c r="L840" i="21"/>
  <c r="L841" i="21"/>
  <c r="L842" i="21"/>
  <c r="L843" i="21"/>
  <c r="L844" i="21"/>
  <c r="L845" i="21"/>
  <c r="L846" i="21"/>
  <c r="L847" i="21"/>
  <c r="L848" i="21"/>
  <c r="L849" i="21"/>
  <c r="L850" i="21"/>
  <c r="L851" i="21"/>
  <c r="L852" i="21"/>
  <c r="L853" i="21"/>
  <c r="L854" i="21"/>
  <c r="L855" i="21"/>
  <c r="L856" i="21"/>
  <c r="L857" i="21"/>
  <c r="L858" i="21"/>
  <c r="L859" i="21"/>
  <c r="L860" i="21"/>
  <c r="L861" i="21"/>
  <c r="L862" i="21"/>
  <c r="L863" i="21"/>
  <c r="L864" i="21"/>
  <c r="L865" i="21"/>
  <c r="L866" i="21"/>
  <c r="L867" i="21"/>
  <c r="L868" i="21"/>
  <c r="L869" i="21"/>
  <c r="L870" i="21"/>
  <c r="L871" i="21"/>
  <c r="L872" i="21"/>
  <c r="L873" i="21"/>
  <c r="L874" i="21"/>
  <c r="L875" i="21"/>
  <c r="L876" i="21"/>
  <c r="L877" i="21"/>
  <c r="L878" i="21"/>
  <c r="L879" i="21"/>
  <c r="L880" i="21"/>
  <c r="L881" i="21"/>
  <c r="L882" i="21"/>
  <c r="L883" i="21"/>
  <c r="L884" i="21"/>
  <c r="L885" i="21"/>
  <c r="L886" i="21"/>
  <c r="L887" i="21"/>
  <c r="L888" i="21"/>
  <c r="L889" i="21"/>
  <c r="L890" i="21"/>
  <c r="L891" i="21"/>
  <c r="L892" i="21"/>
  <c r="L893" i="21"/>
  <c r="L894" i="21"/>
  <c r="L895" i="21"/>
  <c r="L896" i="21"/>
  <c r="L897" i="21"/>
  <c r="L898" i="21"/>
  <c r="L899" i="21"/>
  <c r="L900" i="21"/>
  <c r="L901" i="21"/>
  <c r="L902" i="21"/>
  <c r="L903" i="21"/>
  <c r="L904" i="21"/>
  <c r="L905" i="21"/>
  <c r="L906" i="21"/>
  <c r="L907" i="21"/>
  <c r="L908" i="21"/>
  <c r="L909" i="21"/>
  <c r="L910" i="21"/>
  <c r="L911" i="21"/>
  <c r="L912" i="21"/>
  <c r="L913" i="21"/>
  <c r="L914" i="21"/>
  <c r="L915" i="21"/>
  <c r="L916" i="21"/>
  <c r="L917" i="21"/>
  <c r="L918" i="21"/>
  <c r="L919" i="21"/>
  <c r="L920" i="21"/>
  <c r="L921" i="21"/>
  <c r="L922" i="21"/>
  <c r="L923" i="21"/>
  <c r="L924" i="21"/>
  <c r="L925" i="21"/>
  <c r="L926" i="21"/>
  <c r="L927" i="21"/>
  <c r="L928" i="21"/>
  <c r="L929" i="21"/>
  <c r="L930" i="21"/>
  <c r="L931" i="21"/>
  <c r="L932" i="21"/>
  <c r="L933" i="21"/>
  <c r="L934" i="21"/>
  <c r="L935" i="21"/>
  <c r="L936" i="21"/>
  <c r="L937" i="21"/>
  <c r="L938" i="21"/>
  <c r="L939" i="21"/>
  <c r="L940" i="21"/>
  <c r="L941" i="21"/>
  <c r="L942" i="21"/>
  <c r="L943" i="21"/>
  <c r="L944" i="21"/>
  <c r="L945" i="21"/>
  <c r="L946" i="21"/>
  <c r="L947" i="21"/>
  <c r="L948" i="21"/>
  <c r="L949" i="21"/>
  <c r="L950" i="21"/>
  <c r="L951" i="21"/>
  <c r="L952" i="21"/>
  <c r="L953" i="21"/>
  <c r="L954" i="21"/>
  <c r="L955" i="21"/>
  <c r="L956" i="21"/>
  <c r="L957" i="21"/>
  <c r="L958" i="21"/>
  <c r="L959" i="21"/>
  <c r="L960" i="21"/>
  <c r="L961" i="21"/>
  <c r="L962" i="21"/>
  <c r="L963" i="21"/>
  <c r="L964" i="21"/>
  <c r="L965" i="21"/>
  <c r="L966" i="21"/>
  <c r="L967" i="21"/>
  <c r="L968" i="21"/>
  <c r="L969" i="21"/>
  <c r="L970" i="21"/>
  <c r="L971" i="21"/>
  <c r="L972" i="21"/>
  <c r="L973" i="21"/>
  <c r="L974" i="21"/>
  <c r="L975" i="21"/>
  <c r="L976" i="21"/>
  <c r="L977" i="21"/>
  <c r="L978" i="21"/>
  <c r="L979" i="21"/>
  <c r="L980" i="21"/>
  <c r="L981" i="21"/>
  <c r="L982" i="21"/>
  <c r="L983" i="21"/>
  <c r="L984" i="21"/>
  <c r="L985" i="21"/>
  <c r="L986" i="21"/>
  <c r="L987" i="21"/>
  <c r="L988" i="21"/>
  <c r="L989" i="21"/>
  <c r="L990" i="21"/>
  <c r="L991" i="21"/>
  <c r="L992" i="21"/>
  <c r="L993" i="21"/>
  <c r="L994" i="21"/>
  <c r="L995" i="21"/>
  <c r="L996" i="21"/>
  <c r="L997" i="21"/>
  <c r="L998" i="21"/>
  <c r="L999" i="21"/>
  <c r="L1000" i="21"/>
  <c r="L1001" i="21"/>
  <c r="L1002" i="21"/>
  <c r="L1003" i="21"/>
  <c r="L1004" i="21"/>
  <c r="L1005" i="21"/>
  <c r="L1006" i="21"/>
  <c r="L9" i="21"/>
  <c r="L6" i="21"/>
  <c r="L7" i="21"/>
  <c r="L5" i="21"/>
  <c r="B29" i="21"/>
  <c r="B30" i="21"/>
  <c r="B31" i="21"/>
  <c r="B32" i="21"/>
  <c r="B33" i="21"/>
  <c r="B28" i="21"/>
  <c r="A29" i="21"/>
  <c r="A30" i="21"/>
  <c r="A31" i="21"/>
  <c r="A32" i="21"/>
  <c r="A33" i="21"/>
  <c r="A28" i="21"/>
  <c r="C12" i="21"/>
  <c r="C13" i="21"/>
  <c r="C14" i="21"/>
  <c r="C15" i="21"/>
  <c r="C16" i="21"/>
  <c r="C17" i="21"/>
  <c r="C18" i="21"/>
  <c r="C19" i="21"/>
  <c r="C20" i="21"/>
  <c r="C21" i="21"/>
  <c r="C22" i="21"/>
  <c r="C11" i="21"/>
  <c r="B12" i="21"/>
  <c r="B13" i="21"/>
  <c r="B14" i="21"/>
  <c r="B15" i="21"/>
  <c r="B16" i="21"/>
  <c r="B17" i="21"/>
  <c r="B18" i="21"/>
  <c r="B19" i="21"/>
  <c r="B20" i="21"/>
  <c r="B21" i="21"/>
  <c r="B22" i="21"/>
  <c r="B11" i="21"/>
  <c r="G3" i="21"/>
  <c r="C27" i="20"/>
  <c r="C33" i="20" s="1"/>
  <c r="P1006" i="21"/>
  <c r="P1005" i="21"/>
  <c r="P1003" i="21"/>
  <c r="P1001" i="21"/>
  <c r="P997" i="21"/>
  <c r="P994" i="21"/>
  <c r="P993" i="21"/>
  <c r="P992" i="21"/>
  <c r="P989" i="21"/>
  <c r="P988" i="21"/>
  <c r="P986" i="21"/>
  <c r="P985" i="21"/>
  <c r="P982" i="21"/>
  <c r="P981" i="21"/>
  <c r="P977" i="21"/>
  <c r="P974" i="21"/>
  <c r="P969" i="21"/>
  <c r="P967" i="21"/>
  <c r="P965" i="21"/>
  <c r="P964" i="21"/>
  <c r="P961" i="21"/>
  <c r="P957" i="21"/>
  <c r="P953" i="21"/>
  <c r="P952" i="21"/>
  <c r="P950" i="21"/>
  <c r="P949" i="21"/>
  <c r="P946" i="21"/>
  <c r="P945" i="21"/>
  <c r="P941" i="21"/>
  <c r="P940" i="21"/>
  <c r="P939" i="21"/>
  <c r="P938" i="21"/>
  <c r="P937" i="21"/>
  <c r="P933" i="21"/>
  <c r="P929" i="21"/>
  <c r="P928" i="21"/>
  <c r="P926" i="21"/>
  <c r="P925" i="21"/>
  <c r="P924" i="21"/>
  <c r="P922" i="21"/>
  <c r="P921" i="21"/>
  <c r="P919" i="21"/>
  <c r="P917" i="21"/>
  <c r="P915" i="21"/>
  <c r="P914" i="21"/>
  <c r="P910" i="21"/>
  <c r="P909" i="21"/>
  <c r="P907" i="21"/>
  <c r="P905" i="21"/>
  <c r="P904" i="21"/>
  <c r="P901" i="21"/>
  <c r="P900" i="21"/>
  <c r="P898" i="21"/>
  <c r="P897" i="21"/>
  <c r="P893" i="21"/>
  <c r="P892" i="21"/>
  <c r="P891" i="21"/>
  <c r="P890" i="21"/>
  <c r="P887" i="21"/>
  <c r="P885" i="21"/>
  <c r="P883" i="21"/>
  <c r="P882" i="21"/>
  <c r="P881" i="21"/>
  <c r="P880" i="21"/>
  <c r="P878" i="21"/>
  <c r="P877" i="21"/>
  <c r="P874" i="21"/>
  <c r="P873" i="21"/>
  <c r="P871" i="21"/>
  <c r="P870" i="21"/>
  <c r="P869" i="21"/>
  <c r="P867" i="21"/>
  <c r="P864" i="21"/>
  <c r="P862" i="21"/>
  <c r="P861" i="21"/>
  <c r="P860" i="21"/>
  <c r="P859" i="21"/>
  <c r="P857" i="21"/>
  <c r="P856" i="21"/>
  <c r="P855" i="21"/>
  <c r="P853" i="21"/>
  <c r="P852" i="21"/>
  <c r="P850" i="21"/>
  <c r="P849" i="21"/>
  <c r="P848" i="21"/>
  <c r="P846" i="21"/>
  <c r="P845" i="21"/>
  <c r="P844" i="21"/>
  <c r="P842" i="21"/>
  <c r="P841" i="21"/>
  <c r="P837" i="21"/>
  <c r="P836" i="21"/>
  <c r="P835" i="21"/>
  <c r="P833" i="21"/>
  <c r="P832" i="21"/>
  <c r="P830" i="21"/>
  <c r="P828" i="21"/>
  <c r="P827" i="21"/>
  <c r="P826" i="21"/>
  <c r="P825" i="21"/>
  <c r="P823" i="21"/>
  <c r="P821" i="21"/>
  <c r="P819" i="21"/>
  <c r="P818" i="21"/>
  <c r="P814" i="21"/>
  <c r="P813" i="21"/>
  <c r="P811" i="21"/>
  <c r="P810" i="21"/>
  <c r="P809" i="21"/>
  <c r="P808" i="21"/>
  <c r="P807" i="21"/>
  <c r="P806" i="21"/>
  <c r="P802" i="21"/>
  <c r="P801" i="21"/>
  <c r="P800" i="21"/>
  <c r="P799" i="21"/>
  <c r="P797" i="21"/>
  <c r="P794" i="21"/>
  <c r="P793" i="21"/>
  <c r="P792" i="21"/>
  <c r="P790" i="21"/>
  <c r="P789" i="21"/>
  <c r="P787" i="21"/>
  <c r="P785" i="21"/>
  <c r="P783" i="21"/>
  <c r="P782" i="21"/>
  <c r="P780" i="21"/>
  <c r="P778" i="21"/>
  <c r="P777" i="21"/>
  <c r="P775" i="21"/>
  <c r="P773" i="21"/>
  <c r="P772" i="21"/>
  <c r="P771" i="21"/>
  <c r="P770" i="21"/>
  <c r="P768" i="21"/>
  <c r="P766" i="21"/>
  <c r="P765" i="21"/>
  <c r="P764" i="21"/>
  <c r="P763" i="21"/>
  <c r="P762" i="21"/>
  <c r="P761" i="21"/>
  <c r="P760" i="21"/>
  <c r="P759" i="21"/>
  <c r="P758" i="21"/>
  <c r="P757" i="21"/>
  <c r="P755" i="21"/>
  <c r="P753" i="21"/>
  <c r="P752" i="21"/>
  <c r="P751" i="21"/>
  <c r="P749" i="21"/>
  <c r="P746" i="21"/>
  <c r="P745" i="21"/>
  <c r="P744" i="21"/>
  <c r="P742" i="21"/>
  <c r="P741" i="21"/>
  <c r="P739" i="21"/>
  <c r="P738" i="21"/>
  <c r="P737" i="21"/>
  <c r="P735" i="21"/>
  <c r="P734" i="21"/>
  <c r="P732" i="21"/>
  <c r="P730" i="21"/>
  <c r="P729" i="21"/>
  <c r="P727" i="21"/>
  <c r="P725" i="21"/>
  <c r="P724" i="21"/>
  <c r="P723" i="21"/>
  <c r="P720" i="21"/>
  <c r="P718" i="21"/>
  <c r="P717" i="21"/>
  <c r="P716" i="21"/>
  <c r="P715" i="21"/>
  <c r="P713" i="21"/>
  <c r="P712" i="21"/>
  <c r="P711" i="21"/>
  <c r="P710" i="21"/>
  <c r="P709" i="21"/>
  <c r="P708" i="21"/>
  <c r="P706" i="21"/>
  <c r="P705" i="21"/>
  <c r="P704" i="21"/>
  <c r="P703" i="21"/>
  <c r="P701" i="21"/>
  <c r="P700" i="21"/>
  <c r="P699" i="21"/>
  <c r="P698" i="21"/>
  <c r="P695" i="21"/>
  <c r="P694" i="21"/>
  <c r="P693" i="21"/>
  <c r="P692" i="21"/>
  <c r="P689" i="21"/>
  <c r="P688" i="21"/>
  <c r="P687" i="21"/>
  <c r="P685" i="21"/>
  <c r="P684" i="21"/>
  <c r="P682" i="21"/>
  <c r="P681" i="21"/>
  <c r="P680" i="21"/>
  <c r="P679" i="21"/>
  <c r="P678" i="21"/>
  <c r="P677" i="21"/>
  <c r="P676" i="21"/>
  <c r="P675" i="21"/>
  <c r="P674" i="21"/>
  <c r="P673" i="21"/>
  <c r="P672" i="21"/>
  <c r="P670" i="21"/>
  <c r="P669" i="21"/>
  <c r="P667" i="21"/>
  <c r="P666" i="21"/>
  <c r="P665" i="21"/>
  <c r="P664" i="21"/>
  <c r="P663" i="21"/>
  <c r="P660" i="21"/>
  <c r="P658" i="21"/>
  <c r="P657" i="21"/>
  <c r="P656" i="21"/>
  <c r="P655" i="21"/>
  <c r="P653" i="21"/>
  <c r="P652" i="21"/>
  <c r="P651" i="21"/>
  <c r="P650" i="21"/>
  <c r="P649" i="21"/>
  <c r="P646" i="21"/>
  <c r="P645" i="21"/>
  <c r="P644" i="21"/>
  <c r="P641" i="21"/>
  <c r="P640" i="21"/>
  <c r="P638" i="21"/>
  <c r="P637" i="21"/>
  <c r="P636" i="21"/>
  <c r="P634" i="21"/>
  <c r="P633" i="21"/>
  <c r="P631" i="21"/>
  <c r="P630" i="21"/>
  <c r="P629" i="21"/>
  <c r="P628" i="21"/>
  <c r="P627" i="21"/>
  <c r="P625" i="21"/>
  <c r="P624" i="21"/>
  <c r="P622" i="21"/>
  <c r="P621" i="21"/>
  <c r="P619" i="21"/>
  <c r="P617" i="21"/>
  <c r="P616" i="21"/>
  <c r="P615" i="21"/>
  <c r="P613" i="21"/>
  <c r="P612" i="21"/>
  <c r="P611" i="21"/>
  <c r="P610" i="21"/>
  <c r="P609" i="21"/>
  <c r="P606" i="21"/>
  <c r="P605" i="21"/>
  <c r="P604" i="21"/>
  <c r="P603" i="21"/>
  <c r="P601" i="21"/>
  <c r="P600" i="21"/>
  <c r="P599" i="21"/>
  <c r="P598" i="21"/>
  <c r="P597" i="21"/>
  <c r="P595" i="21"/>
  <c r="P593" i="21"/>
  <c r="P592" i="21"/>
  <c r="P591" i="21"/>
  <c r="P589" i="21"/>
  <c r="P588" i="21"/>
  <c r="P587" i="21"/>
  <c r="P586" i="21"/>
  <c r="P585" i="21"/>
  <c r="P582" i="21"/>
  <c r="P581" i="21"/>
  <c r="P580" i="21"/>
  <c r="P579" i="21"/>
  <c r="P577" i="21"/>
  <c r="P576" i="21"/>
  <c r="P575" i="21"/>
  <c r="P574" i="21"/>
  <c r="P573" i="21"/>
  <c r="P570" i="21"/>
  <c r="P569" i="21"/>
  <c r="P568" i="21"/>
  <c r="P567" i="21"/>
  <c r="P566" i="21"/>
  <c r="P564" i="21"/>
  <c r="P562" i="21"/>
  <c r="P561" i="21"/>
  <c r="P560" i="21"/>
  <c r="P558" i="21"/>
  <c r="P557" i="21"/>
  <c r="P556" i="21"/>
  <c r="P555" i="21"/>
  <c r="P554" i="21"/>
  <c r="P551" i="21"/>
  <c r="P550" i="21"/>
  <c r="P549" i="21"/>
  <c r="P546" i="21"/>
  <c r="P545" i="21"/>
  <c r="P544" i="21"/>
  <c r="P542" i="21"/>
  <c r="P540" i="21"/>
  <c r="P539" i="21"/>
  <c r="P538" i="21"/>
  <c r="P537" i="21"/>
  <c r="P536" i="21"/>
  <c r="P534" i="21"/>
  <c r="P533" i="21"/>
  <c r="P532" i="21"/>
  <c r="P530" i="21"/>
  <c r="P528" i="21"/>
  <c r="P527" i="21"/>
  <c r="P526" i="21"/>
  <c r="P525" i="21"/>
  <c r="P524" i="21"/>
  <c r="P522" i="21"/>
  <c r="P521" i="21"/>
  <c r="P520" i="21"/>
  <c r="P518" i="21"/>
  <c r="P516" i="21"/>
  <c r="P515" i="21"/>
  <c r="P514" i="21"/>
  <c r="P513" i="21"/>
  <c r="P512" i="21"/>
  <c r="P511" i="21"/>
  <c r="P510" i="21"/>
  <c r="P509" i="21"/>
  <c r="P508" i="21"/>
  <c r="P507" i="21"/>
  <c r="P506" i="21"/>
  <c r="P504" i="21"/>
  <c r="P503" i="21"/>
  <c r="P502" i="21"/>
  <c r="P501" i="21"/>
  <c r="P498" i="21"/>
  <c r="P497" i="21"/>
  <c r="P496" i="21"/>
  <c r="P495" i="21"/>
  <c r="P494" i="21"/>
  <c r="P493" i="21"/>
  <c r="P492" i="21"/>
  <c r="P491" i="21"/>
  <c r="P490" i="21"/>
  <c r="P489" i="21"/>
  <c r="P488" i="21"/>
  <c r="P486" i="21"/>
  <c r="P485" i="21"/>
  <c r="P484" i="21"/>
  <c r="P483" i="21"/>
  <c r="P482" i="21"/>
  <c r="P481" i="21"/>
  <c r="P480" i="21"/>
  <c r="P478" i="21"/>
  <c r="P477" i="21"/>
  <c r="P476" i="21"/>
  <c r="P474" i="21"/>
  <c r="P473" i="21"/>
  <c r="P472" i="21"/>
  <c r="P471" i="21"/>
  <c r="P470" i="21"/>
  <c r="P468" i="21"/>
  <c r="P467" i="21"/>
  <c r="P466" i="21"/>
  <c r="P465" i="21"/>
  <c r="P464" i="21"/>
  <c r="P463" i="21"/>
  <c r="P461" i="21"/>
  <c r="P460" i="21"/>
  <c r="P459" i="21"/>
  <c r="P458" i="21"/>
  <c r="P457" i="21"/>
  <c r="P456" i="21"/>
  <c r="P455" i="21"/>
  <c r="P454" i="21"/>
  <c r="P453" i="21"/>
  <c r="P452" i="21"/>
  <c r="P450" i="21"/>
  <c r="P449" i="21"/>
  <c r="P448" i="21"/>
  <c r="P447" i="21"/>
  <c r="P446" i="21"/>
  <c r="P445" i="21"/>
  <c r="P444" i="21"/>
  <c r="P443" i="21"/>
  <c r="P442" i="21"/>
  <c r="P441" i="21"/>
  <c r="P440" i="21"/>
  <c r="P438" i="21"/>
  <c r="P437" i="21"/>
  <c r="P436" i="21"/>
  <c r="P435" i="21"/>
  <c r="P434" i="21"/>
  <c r="P432" i="21"/>
  <c r="P431" i="21"/>
  <c r="P430" i="21"/>
  <c r="P429" i="21"/>
  <c r="P428" i="21"/>
  <c r="P427" i="21"/>
  <c r="P426" i="21"/>
  <c r="P425" i="21"/>
  <c r="P424" i="21"/>
  <c r="P423" i="21"/>
  <c r="P422" i="21"/>
  <c r="P421" i="21"/>
  <c r="P420" i="21"/>
  <c r="P419" i="21"/>
  <c r="P418" i="21"/>
  <c r="P417" i="21"/>
  <c r="P416" i="21"/>
  <c r="P414" i="21"/>
  <c r="P413" i="21"/>
  <c r="P412" i="21"/>
  <c r="P411" i="21"/>
  <c r="P410" i="21"/>
  <c r="P409" i="21"/>
  <c r="P408" i="21"/>
  <c r="P407" i="21"/>
  <c r="P406" i="21"/>
  <c r="P405" i="21"/>
  <c r="P404" i="21"/>
  <c r="P402" i="21"/>
  <c r="P401" i="21"/>
  <c r="P400" i="21"/>
  <c r="P399" i="21"/>
  <c r="P398" i="21"/>
  <c r="P396" i="21"/>
  <c r="P395" i="21"/>
  <c r="P394" i="21"/>
  <c r="P393" i="21"/>
  <c r="P392" i="21"/>
  <c r="P391" i="21"/>
  <c r="P390" i="21"/>
  <c r="P389" i="21"/>
  <c r="P388" i="21"/>
  <c r="P387" i="21"/>
  <c r="P386" i="21"/>
  <c r="P385" i="21"/>
  <c r="P384" i="21"/>
  <c r="P383" i="21"/>
  <c r="P382" i="21"/>
  <c r="P381" i="21"/>
  <c r="P380" i="21"/>
  <c r="P378" i="21"/>
  <c r="P377" i="21"/>
  <c r="P376" i="21"/>
  <c r="P375" i="21"/>
  <c r="P374" i="21"/>
  <c r="P373" i="21"/>
  <c r="P372" i="21"/>
  <c r="P371" i="21"/>
  <c r="P370" i="21"/>
  <c r="P369" i="21"/>
  <c r="P368" i="21"/>
  <c r="P365" i="21"/>
  <c r="P364" i="21"/>
  <c r="P363" i="21"/>
  <c r="P362" i="21"/>
  <c r="P361" i="21"/>
  <c r="P360" i="21"/>
  <c r="P359" i="21"/>
  <c r="P358" i="21"/>
  <c r="P357" i="21"/>
  <c r="P356" i="21"/>
  <c r="P355" i="21"/>
  <c r="P354" i="21"/>
  <c r="P353" i="21"/>
  <c r="P352" i="21"/>
  <c r="P351" i="21"/>
  <c r="P350" i="21"/>
  <c r="P349" i="21"/>
  <c r="P348" i="21"/>
  <c r="P347" i="21"/>
  <c r="P346" i="21"/>
  <c r="P345" i="21"/>
  <c r="P344" i="21"/>
  <c r="P342" i="21"/>
  <c r="P341" i="21"/>
  <c r="P340" i="21"/>
  <c r="P339" i="21"/>
  <c r="P338" i="21"/>
  <c r="P337" i="21"/>
  <c r="P336" i="21"/>
  <c r="P335" i="21"/>
  <c r="P334" i="21"/>
  <c r="P333" i="21"/>
  <c r="P332" i="21"/>
  <c r="P330" i="21"/>
  <c r="P329" i="21"/>
  <c r="P328" i="21"/>
  <c r="P327" i="21"/>
  <c r="P326" i="21"/>
  <c r="P325" i="21"/>
  <c r="P324" i="21"/>
  <c r="P322" i="21"/>
  <c r="P321" i="21"/>
  <c r="P320" i="21"/>
  <c r="P319" i="21"/>
  <c r="P318" i="21"/>
  <c r="P317" i="21"/>
  <c r="P316" i="21"/>
  <c r="P315" i="21"/>
  <c r="P314" i="21"/>
  <c r="P313" i="21"/>
  <c r="P312" i="21"/>
  <c r="P310" i="21"/>
  <c r="P309" i="21"/>
  <c r="P308" i="21"/>
  <c r="P306" i="21"/>
  <c r="P305" i="21"/>
  <c r="P304" i="21"/>
  <c r="P303" i="21"/>
  <c r="P302" i="21"/>
  <c r="P301" i="21"/>
  <c r="P300" i="21"/>
  <c r="P299" i="21"/>
  <c r="P298" i="21"/>
  <c r="P297" i="21"/>
  <c r="P296" i="21"/>
  <c r="P294" i="21"/>
  <c r="P293" i="21"/>
  <c r="P292" i="21"/>
  <c r="P291" i="21"/>
  <c r="P290" i="21"/>
  <c r="P289" i="21"/>
  <c r="P288" i="21"/>
  <c r="P287" i="21"/>
  <c r="P286" i="21"/>
  <c r="P285" i="21"/>
  <c r="P284" i="21"/>
  <c r="P283" i="21"/>
  <c r="P282" i="21"/>
  <c r="P281" i="21"/>
  <c r="P280" i="21"/>
  <c r="P279" i="21"/>
  <c r="P278" i="21"/>
  <c r="P277" i="21"/>
  <c r="P276" i="21"/>
  <c r="P275" i="21"/>
  <c r="P274" i="21"/>
  <c r="P273" i="21"/>
  <c r="P272" i="21"/>
  <c r="P271" i="21"/>
  <c r="P270" i="21"/>
  <c r="P269" i="21"/>
  <c r="P268" i="21"/>
  <c r="P267" i="21"/>
  <c r="P266" i="21"/>
  <c r="P265" i="21"/>
  <c r="P264" i="21"/>
  <c r="P263" i="21"/>
  <c r="P262" i="21"/>
  <c r="P261" i="21"/>
  <c r="P260" i="21"/>
  <c r="P259" i="21"/>
  <c r="P258" i="21"/>
  <c r="P257" i="21"/>
  <c r="P256" i="21"/>
  <c r="P255" i="21"/>
  <c r="P254" i="21"/>
  <c r="P253" i="21"/>
  <c r="P252" i="21"/>
  <c r="P251" i="21"/>
  <c r="P250" i="21"/>
  <c r="P249" i="21"/>
  <c r="P248" i="21"/>
  <c r="P247" i="21"/>
  <c r="P246" i="21"/>
  <c r="P245" i="21"/>
  <c r="P244" i="21"/>
  <c r="P243" i="21"/>
  <c r="P242" i="21"/>
  <c r="P241" i="21"/>
  <c r="P240" i="21"/>
  <c r="P239" i="21"/>
  <c r="P238" i="21"/>
  <c r="P237" i="21"/>
  <c r="P236" i="21"/>
  <c r="P235" i="21"/>
  <c r="P234" i="21"/>
  <c r="P233" i="21"/>
  <c r="P232" i="21"/>
  <c r="P231" i="21"/>
  <c r="P230" i="21"/>
  <c r="P229" i="21"/>
  <c r="P228" i="21"/>
  <c r="P227" i="21"/>
  <c r="P226" i="21"/>
  <c r="P225" i="21"/>
  <c r="P224" i="21"/>
  <c r="P223" i="21"/>
  <c r="P222" i="21"/>
  <c r="P221" i="21"/>
  <c r="P220" i="21"/>
  <c r="P219" i="21"/>
  <c r="P218" i="21"/>
  <c r="P217" i="21"/>
  <c r="P216" i="21"/>
  <c r="P215" i="21"/>
  <c r="P214" i="21"/>
  <c r="P213" i="21"/>
  <c r="P212" i="21"/>
  <c r="P211" i="21"/>
  <c r="P210" i="21"/>
  <c r="P209" i="21"/>
  <c r="P208" i="21"/>
  <c r="P207" i="21"/>
  <c r="P206" i="21"/>
  <c r="P205" i="21"/>
  <c r="P204" i="21"/>
  <c r="P203" i="21"/>
  <c r="P202" i="21"/>
  <c r="P201" i="21"/>
  <c r="P200" i="21"/>
  <c r="P199" i="21"/>
  <c r="P198" i="21"/>
  <c r="P197" i="21"/>
  <c r="P196" i="21"/>
  <c r="P195" i="21"/>
  <c r="P194" i="21"/>
  <c r="P193" i="21"/>
  <c r="P192" i="21"/>
  <c r="P191" i="21"/>
  <c r="P190" i="21"/>
  <c r="P189" i="21"/>
  <c r="P188" i="21"/>
  <c r="P187" i="21"/>
  <c r="P186" i="21"/>
  <c r="P185" i="21"/>
  <c r="P184" i="21"/>
  <c r="P183" i="21"/>
  <c r="P182" i="21"/>
  <c r="P181" i="21"/>
  <c r="P180" i="21"/>
  <c r="P179" i="21"/>
  <c r="P178" i="21"/>
  <c r="P177" i="21"/>
  <c r="P176" i="21"/>
  <c r="P175" i="21"/>
  <c r="P174" i="21"/>
  <c r="P173" i="21"/>
  <c r="P172" i="21"/>
  <c r="P171" i="21"/>
  <c r="P170" i="21"/>
  <c r="P169" i="21"/>
  <c r="P168" i="21"/>
  <c r="P167" i="21"/>
  <c r="P166" i="21"/>
  <c r="P165" i="21"/>
  <c r="P164" i="21"/>
  <c r="P163" i="21"/>
  <c r="P162" i="21"/>
  <c r="P161" i="21"/>
  <c r="P160" i="21"/>
  <c r="P159" i="21"/>
  <c r="P158" i="21"/>
  <c r="P157" i="21"/>
  <c r="P156" i="21"/>
  <c r="P155" i="21"/>
  <c r="P154" i="21"/>
  <c r="P153" i="21"/>
  <c r="P152" i="21"/>
  <c r="P151" i="21"/>
  <c r="P150" i="21"/>
  <c r="P149" i="21"/>
  <c r="P148" i="21"/>
  <c r="P147" i="21"/>
  <c r="P146" i="21"/>
  <c r="P145" i="21"/>
  <c r="P144" i="21"/>
  <c r="P143" i="21"/>
  <c r="P142" i="21"/>
  <c r="P141" i="21"/>
  <c r="P140" i="21"/>
  <c r="P139" i="21"/>
  <c r="P138" i="21"/>
  <c r="P137" i="21"/>
  <c r="P136" i="21"/>
  <c r="P135" i="21"/>
  <c r="P134" i="21"/>
  <c r="P133" i="21"/>
  <c r="P132" i="21"/>
  <c r="P131" i="21"/>
  <c r="P130" i="21"/>
  <c r="P129" i="21"/>
  <c r="P128" i="21"/>
  <c r="P127" i="21"/>
  <c r="P126" i="21"/>
  <c r="P125" i="21"/>
  <c r="P124" i="21"/>
  <c r="P123" i="21"/>
  <c r="P122" i="21"/>
  <c r="P121" i="21"/>
  <c r="P120" i="21"/>
  <c r="P119" i="21"/>
  <c r="P118" i="21"/>
  <c r="P117" i="21"/>
  <c r="P116" i="21"/>
  <c r="P115" i="21"/>
  <c r="P114" i="21"/>
  <c r="P113" i="21"/>
  <c r="P112" i="21"/>
  <c r="P111" i="21"/>
  <c r="P110" i="21"/>
  <c r="P109" i="21"/>
  <c r="P108" i="21"/>
  <c r="P107" i="21"/>
  <c r="P106" i="21"/>
  <c r="P105" i="21"/>
  <c r="P104" i="21"/>
  <c r="P103" i="21"/>
  <c r="P102" i="21"/>
  <c r="P101" i="21"/>
  <c r="P100" i="21"/>
  <c r="P99" i="21"/>
  <c r="P98" i="21"/>
  <c r="P97" i="21"/>
  <c r="P96" i="21"/>
  <c r="P95" i="21"/>
  <c r="P94" i="21"/>
  <c r="P93" i="21"/>
  <c r="P92" i="21"/>
  <c r="P91" i="21"/>
  <c r="P90" i="21"/>
  <c r="P89" i="21"/>
  <c r="P88" i="21"/>
  <c r="P87" i="21"/>
  <c r="P86" i="21"/>
  <c r="P85" i="21"/>
  <c r="P84" i="21"/>
  <c r="P83" i="21"/>
  <c r="P82" i="21"/>
  <c r="P81" i="21"/>
  <c r="P80" i="21"/>
  <c r="P79" i="21"/>
  <c r="P78" i="21"/>
  <c r="P77" i="21"/>
  <c r="P76" i="21"/>
  <c r="P75" i="21"/>
  <c r="P74" i="21"/>
  <c r="P73" i="21"/>
  <c r="P72" i="21"/>
  <c r="P71" i="21"/>
  <c r="P70" i="21"/>
  <c r="P69" i="21"/>
  <c r="P68" i="21"/>
  <c r="P67" i="21"/>
  <c r="P66" i="21"/>
  <c r="P65" i="21"/>
  <c r="P64" i="21"/>
  <c r="P63" i="21"/>
  <c r="P62" i="21"/>
  <c r="P61" i="21"/>
  <c r="P60" i="21"/>
  <c r="P59" i="21"/>
  <c r="P58" i="21"/>
  <c r="P57" i="21"/>
  <c r="P56" i="21"/>
  <c r="P55" i="21"/>
  <c r="P54" i="21"/>
  <c r="P53" i="21"/>
  <c r="P52" i="21"/>
  <c r="P51" i="21"/>
  <c r="P50" i="21"/>
  <c r="P49" i="21"/>
  <c r="P48" i="21"/>
  <c r="P47" i="21"/>
  <c r="P46" i="21"/>
  <c r="P45" i="21"/>
  <c r="P44" i="21"/>
  <c r="P43" i="21"/>
  <c r="P42" i="21"/>
  <c r="D42" i="21"/>
  <c r="P41" i="21"/>
  <c r="P40" i="21"/>
  <c r="P38" i="21"/>
  <c r="P36" i="21"/>
  <c r="P35" i="21"/>
  <c r="P34" i="21"/>
  <c r="P33" i="21"/>
  <c r="P32" i="21"/>
  <c r="P30" i="21"/>
  <c r="P29" i="21"/>
  <c r="P28" i="21"/>
  <c r="D28" i="21"/>
  <c r="P27" i="21"/>
  <c r="B27" i="21"/>
  <c r="A27" i="21"/>
  <c r="P26" i="21"/>
  <c r="P25" i="21"/>
  <c r="P24" i="21"/>
  <c r="P23" i="21"/>
  <c r="P22" i="21"/>
  <c r="P21" i="21"/>
  <c r="P20" i="21"/>
  <c r="P19" i="21"/>
  <c r="P18" i="21"/>
  <c r="P17" i="21"/>
  <c r="P16" i="21"/>
  <c r="P14" i="21"/>
  <c r="P13" i="21"/>
  <c r="P12" i="21"/>
  <c r="P10" i="21"/>
  <c r="C10" i="21"/>
  <c r="B10" i="21"/>
  <c r="P9" i="21"/>
  <c r="P7" i="21"/>
  <c r="P6" i="21"/>
  <c r="P5" i="21"/>
  <c r="M4" i="21"/>
  <c r="L4" i="21"/>
  <c r="D38" i="21"/>
  <c r="I1" i="20"/>
  <c r="B8" i="21"/>
  <c r="C33" i="10" l="1"/>
  <c r="D14" i="1"/>
  <c r="C33" i="21"/>
  <c r="D33" i="21" s="1"/>
  <c r="G20" i="21" a="1"/>
  <c r="G20" i="21" s="1"/>
  <c r="G21" i="21" s="1"/>
  <c r="D39" i="21" s="1"/>
  <c r="C29" i="21"/>
  <c r="D29" i="21" s="1"/>
  <c r="C32" i="21"/>
  <c r="D32" i="21" s="1"/>
  <c r="C31" i="21"/>
  <c r="D31" i="21" s="1"/>
  <c r="C30" i="21"/>
  <c r="D30" i="21" s="1"/>
  <c r="M10" i="19"/>
  <c r="M11" i="19"/>
  <c r="M12" i="19"/>
  <c r="M13" i="19"/>
  <c r="M14" i="19"/>
  <c r="M15" i="19"/>
  <c r="P15" i="19" s="1"/>
  <c r="M16" i="19"/>
  <c r="P16" i="19" s="1"/>
  <c r="M17" i="19"/>
  <c r="M18" i="19"/>
  <c r="M19" i="19"/>
  <c r="P19" i="19" s="1"/>
  <c r="M20" i="19"/>
  <c r="M21" i="19"/>
  <c r="P21" i="19" s="1"/>
  <c r="M22" i="19"/>
  <c r="M23" i="19"/>
  <c r="M24" i="19"/>
  <c r="M25" i="19"/>
  <c r="M26" i="19"/>
  <c r="M27" i="19"/>
  <c r="M28" i="19"/>
  <c r="P28" i="19" s="1"/>
  <c r="M29" i="19"/>
  <c r="P29" i="19" s="1"/>
  <c r="M30" i="19"/>
  <c r="M31" i="19"/>
  <c r="M32" i="19"/>
  <c r="P32" i="19" s="1"/>
  <c r="M33" i="19"/>
  <c r="P33" i="19" s="1"/>
  <c r="M34" i="19"/>
  <c r="M35" i="19"/>
  <c r="M36" i="19"/>
  <c r="M37" i="19"/>
  <c r="M38" i="19"/>
  <c r="M39" i="19"/>
  <c r="M40" i="19"/>
  <c r="M41" i="19"/>
  <c r="P41" i="19" s="1"/>
  <c r="M42" i="19"/>
  <c r="M43" i="19"/>
  <c r="P43" i="19" s="1"/>
  <c r="M44" i="19"/>
  <c r="M45" i="19"/>
  <c r="P45" i="19" s="1"/>
  <c r="M46" i="19"/>
  <c r="M47" i="19"/>
  <c r="M48" i="19"/>
  <c r="M49" i="19"/>
  <c r="M50" i="19"/>
  <c r="M51" i="19"/>
  <c r="M52" i="19"/>
  <c r="P52" i="19" s="1"/>
  <c r="M53" i="19"/>
  <c r="P53" i="19" s="1"/>
  <c r="M54" i="19"/>
  <c r="M55" i="19"/>
  <c r="P55" i="19" s="1"/>
  <c r="M56" i="19"/>
  <c r="P56" i="19" s="1"/>
  <c r="M57" i="19"/>
  <c r="P57" i="19" s="1"/>
  <c r="M58" i="19"/>
  <c r="M59" i="19"/>
  <c r="M60" i="19"/>
  <c r="M61" i="19"/>
  <c r="M62" i="19"/>
  <c r="M63" i="19"/>
  <c r="P63" i="19" s="1"/>
  <c r="M64" i="19"/>
  <c r="P64" i="19" s="1"/>
  <c r="M65" i="19"/>
  <c r="P65" i="19" s="1"/>
  <c r="M66" i="19"/>
  <c r="M67" i="19"/>
  <c r="P67" i="19" s="1"/>
  <c r="M68" i="19"/>
  <c r="M69" i="19"/>
  <c r="P69" i="19" s="1"/>
  <c r="M70" i="19"/>
  <c r="M71" i="19"/>
  <c r="M72" i="19"/>
  <c r="M73" i="19"/>
  <c r="M74" i="19"/>
  <c r="M75" i="19"/>
  <c r="M76" i="19"/>
  <c r="P76" i="19" s="1"/>
  <c r="M77" i="19"/>
  <c r="P77" i="19" s="1"/>
  <c r="M78" i="19"/>
  <c r="M79" i="19"/>
  <c r="P79" i="19" s="1"/>
  <c r="M80" i="19"/>
  <c r="P80" i="19" s="1"/>
  <c r="M81" i="19"/>
  <c r="M82" i="19"/>
  <c r="M83" i="19"/>
  <c r="M84" i="19"/>
  <c r="M85" i="19"/>
  <c r="M86" i="19"/>
  <c r="M87" i="19"/>
  <c r="P87" i="19" s="1"/>
  <c r="M88" i="19"/>
  <c r="M89" i="19"/>
  <c r="P89" i="19" s="1"/>
  <c r="M90" i="19"/>
  <c r="M91" i="19"/>
  <c r="M92" i="19"/>
  <c r="P92" i="19" s="1"/>
  <c r="M93" i="19"/>
  <c r="P93" i="19" s="1"/>
  <c r="M94" i="19"/>
  <c r="M95" i="19"/>
  <c r="M96" i="19"/>
  <c r="M97" i="19"/>
  <c r="M98" i="19"/>
  <c r="M99" i="19"/>
  <c r="P99" i="19" s="1"/>
  <c r="M100" i="19"/>
  <c r="P100" i="19" s="1"/>
  <c r="M101" i="19"/>
  <c r="P101" i="19" s="1"/>
  <c r="M102" i="19"/>
  <c r="M103" i="19"/>
  <c r="M104" i="19"/>
  <c r="P104" i="19" s="1"/>
  <c r="M105" i="19"/>
  <c r="P105" i="19" s="1"/>
  <c r="M106" i="19"/>
  <c r="M107" i="19"/>
  <c r="M108" i="19"/>
  <c r="M109" i="19"/>
  <c r="M110" i="19"/>
  <c r="M111" i="19"/>
  <c r="M112" i="19"/>
  <c r="M113" i="19"/>
  <c r="P113" i="19" s="1"/>
  <c r="M114" i="19"/>
  <c r="M115" i="19"/>
  <c r="P115" i="19" s="1"/>
  <c r="M116" i="19"/>
  <c r="P116" i="19" s="1"/>
  <c r="M117" i="19"/>
  <c r="M118" i="19"/>
  <c r="M119" i="19"/>
  <c r="M120" i="19"/>
  <c r="M121" i="19"/>
  <c r="M122" i="19"/>
  <c r="M123" i="19"/>
  <c r="P123" i="19" s="1"/>
  <c r="M124" i="19"/>
  <c r="M125" i="19"/>
  <c r="P125" i="19" s="1"/>
  <c r="M126" i="19"/>
  <c r="M127" i="19"/>
  <c r="M128" i="19"/>
  <c r="P128" i="19" s="1"/>
  <c r="M129" i="19"/>
  <c r="P129" i="19" s="1"/>
  <c r="M130" i="19"/>
  <c r="M131" i="19"/>
  <c r="M132" i="19"/>
  <c r="M133" i="19"/>
  <c r="M134" i="19"/>
  <c r="M135" i="19"/>
  <c r="M136" i="19"/>
  <c r="P136" i="19" s="1"/>
  <c r="M137" i="19"/>
  <c r="P137" i="19" s="1"/>
  <c r="M138" i="19"/>
  <c r="M139" i="19"/>
  <c r="M140" i="19"/>
  <c r="M141" i="19"/>
  <c r="P141" i="19" s="1"/>
  <c r="M142" i="19"/>
  <c r="M143" i="19"/>
  <c r="M144" i="19"/>
  <c r="M145" i="19"/>
  <c r="M146" i="19"/>
  <c r="M147" i="19"/>
  <c r="M148" i="19"/>
  <c r="M149" i="19"/>
  <c r="P149" i="19" s="1"/>
  <c r="M150" i="19"/>
  <c r="M151" i="19"/>
  <c r="P151" i="19" s="1"/>
  <c r="M152" i="19"/>
  <c r="P152" i="19" s="1"/>
  <c r="M153" i="19"/>
  <c r="M154" i="19"/>
  <c r="M155" i="19"/>
  <c r="M156" i="19"/>
  <c r="M157" i="19"/>
  <c r="M158" i="19"/>
  <c r="M159" i="19"/>
  <c r="M160" i="19"/>
  <c r="M161" i="19"/>
  <c r="P161" i="19" s="1"/>
  <c r="M162" i="19"/>
  <c r="M163" i="19"/>
  <c r="M164" i="19"/>
  <c r="P164" i="19" s="1"/>
  <c r="M165" i="19"/>
  <c r="P165" i="19" s="1"/>
  <c r="M166" i="19"/>
  <c r="M167" i="19"/>
  <c r="M168" i="19"/>
  <c r="M169" i="19"/>
  <c r="M170" i="19"/>
  <c r="M171" i="19"/>
  <c r="P171" i="19" s="1"/>
  <c r="M172" i="19"/>
  <c r="P172" i="19" s="1"/>
  <c r="M173" i="19"/>
  <c r="P173" i="19" s="1"/>
  <c r="M174" i="19"/>
  <c r="M175" i="19"/>
  <c r="M176" i="19"/>
  <c r="P176" i="19" s="1"/>
  <c r="M177" i="19"/>
  <c r="P177" i="19" s="1"/>
  <c r="M178" i="19"/>
  <c r="M179" i="19"/>
  <c r="M180" i="19"/>
  <c r="M181" i="19"/>
  <c r="M182" i="19"/>
  <c r="M183" i="19"/>
  <c r="M184" i="19"/>
  <c r="P184" i="19" s="1"/>
  <c r="M185" i="19"/>
  <c r="M186" i="19"/>
  <c r="M187" i="19"/>
  <c r="P187" i="19" s="1"/>
  <c r="M188" i="19"/>
  <c r="P188" i="19" s="1"/>
  <c r="M189" i="19"/>
  <c r="P189" i="19" s="1"/>
  <c r="M190" i="19"/>
  <c r="M191" i="19"/>
  <c r="M192" i="19"/>
  <c r="M193" i="19"/>
  <c r="M194" i="19"/>
  <c r="M195" i="19"/>
  <c r="P195" i="19" s="1"/>
  <c r="M196" i="19"/>
  <c r="P196" i="19" s="1"/>
  <c r="M197" i="19"/>
  <c r="M198" i="19"/>
  <c r="M199" i="19"/>
  <c r="P199" i="19" s="1"/>
  <c r="M200" i="19"/>
  <c r="M201" i="19"/>
  <c r="P201" i="19" s="1"/>
  <c r="M202" i="19"/>
  <c r="M203" i="19"/>
  <c r="M204" i="19"/>
  <c r="M205" i="19"/>
  <c r="M206" i="19"/>
  <c r="M207" i="19"/>
  <c r="M208" i="19"/>
  <c r="P208" i="19" s="1"/>
  <c r="M209" i="19"/>
  <c r="P209" i="19" s="1"/>
  <c r="M210" i="19"/>
  <c r="M211" i="19"/>
  <c r="P211" i="19" s="1"/>
  <c r="M212" i="19"/>
  <c r="M213" i="19"/>
  <c r="P213" i="19" s="1"/>
  <c r="M214" i="19"/>
  <c r="M215" i="19"/>
  <c r="M216" i="19"/>
  <c r="M217" i="19"/>
  <c r="M218" i="19"/>
  <c r="M219" i="19"/>
  <c r="M220" i="19"/>
  <c r="P220" i="19" s="1"/>
  <c r="M221" i="19"/>
  <c r="M222" i="19"/>
  <c r="M223" i="19"/>
  <c r="P223" i="19" s="1"/>
  <c r="M224" i="19"/>
  <c r="P224" i="19" s="1"/>
  <c r="M225" i="19"/>
  <c r="P225" i="19" s="1"/>
  <c r="M226" i="19"/>
  <c r="M227" i="19"/>
  <c r="M228" i="19"/>
  <c r="M229" i="19"/>
  <c r="M230" i="19"/>
  <c r="M231" i="19"/>
  <c r="P231" i="19" s="1"/>
  <c r="M232" i="19"/>
  <c r="P232" i="19" s="1"/>
  <c r="M233" i="19"/>
  <c r="M234" i="19"/>
  <c r="M235" i="19"/>
  <c r="M236" i="19"/>
  <c r="M237" i="19"/>
  <c r="P237" i="19" s="1"/>
  <c r="M238" i="19"/>
  <c r="M239" i="19"/>
  <c r="M240" i="19"/>
  <c r="M241" i="19"/>
  <c r="M242" i="19"/>
  <c r="M243" i="19"/>
  <c r="M244" i="19"/>
  <c r="P244" i="19" s="1"/>
  <c r="M245" i="19"/>
  <c r="P245" i="19" s="1"/>
  <c r="M246" i="19"/>
  <c r="M247" i="19"/>
  <c r="P247" i="19" s="1"/>
  <c r="M248" i="19"/>
  <c r="M249" i="19"/>
  <c r="P249" i="19" s="1"/>
  <c r="M250" i="19"/>
  <c r="M251" i="19"/>
  <c r="M252" i="19"/>
  <c r="M253" i="19"/>
  <c r="M254" i="19"/>
  <c r="M255" i="19"/>
  <c r="M256" i="19"/>
  <c r="M257" i="19"/>
  <c r="P257" i="19" s="1"/>
  <c r="M258" i="19"/>
  <c r="M259" i="19"/>
  <c r="M260" i="19"/>
  <c r="P260" i="19" s="1"/>
  <c r="M261" i="19"/>
  <c r="P261" i="19" s="1"/>
  <c r="M262" i="19"/>
  <c r="M263" i="19"/>
  <c r="M264" i="19"/>
  <c r="M265" i="19"/>
  <c r="M266" i="19"/>
  <c r="M267" i="19"/>
  <c r="P267" i="19" s="1"/>
  <c r="M268" i="19"/>
  <c r="P268" i="19" s="1"/>
  <c r="M269" i="19"/>
  <c r="P269" i="19" s="1"/>
  <c r="M270" i="19"/>
  <c r="M271" i="19"/>
  <c r="M272" i="19"/>
  <c r="P272" i="19" s="1"/>
  <c r="M273" i="19"/>
  <c r="P273" i="19" s="1"/>
  <c r="M274" i="19"/>
  <c r="M275" i="19"/>
  <c r="M276" i="19"/>
  <c r="M277" i="19"/>
  <c r="M278" i="19"/>
  <c r="M279" i="19"/>
  <c r="P279" i="19" s="1"/>
  <c r="M280" i="19"/>
  <c r="M281" i="19"/>
  <c r="P281" i="19" s="1"/>
  <c r="M282" i="19"/>
  <c r="M283" i="19"/>
  <c r="P283" i="19" s="1"/>
  <c r="M284" i="19"/>
  <c r="P284" i="19" s="1"/>
  <c r="M285" i="19"/>
  <c r="P285" i="19" s="1"/>
  <c r="M286" i="19"/>
  <c r="M287" i="19"/>
  <c r="M288" i="19"/>
  <c r="M289" i="19"/>
  <c r="M290" i="19"/>
  <c r="M291" i="19"/>
  <c r="P291" i="19" s="1"/>
  <c r="M292" i="19"/>
  <c r="M293" i="19"/>
  <c r="P293" i="19" s="1"/>
  <c r="M294" i="19"/>
  <c r="M295" i="19"/>
  <c r="M296" i="19"/>
  <c r="P296" i="19" s="1"/>
  <c r="M297" i="19"/>
  <c r="P297" i="19" s="1"/>
  <c r="M298" i="19"/>
  <c r="M299" i="19"/>
  <c r="M300" i="19"/>
  <c r="M301" i="19"/>
  <c r="M302" i="19"/>
  <c r="M303" i="19"/>
  <c r="P303" i="19" s="1"/>
  <c r="M304" i="19"/>
  <c r="P304" i="19" s="1"/>
  <c r="M305" i="19"/>
  <c r="P305" i="19" s="1"/>
  <c r="M306" i="19"/>
  <c r="M307" i="19"/>
  <c r="M308" i="19"/>
  <c r="P308" i="19" s="1"/>
  <c r="M309" i="19"/>
  <c r="M310" i="19"/>
  <c r="M311" i="19"/>
  <c r="M312" i="19"/>
  <c r="M313" i="19"/>
  <c r="M314" i="19"/>
  <c r="M315" i="19"/>
  <c r="M316" i="19"/>
  <c r="M317" i="19"/>
  <c r="P317" i="19" s="1"/>
  <c r="M318" i="19"/>
  <c r="M319" i="19"/>
  <c r="P319" i="19" s="1"/>
  <c r="M320" i="19"/>
  <c r="P320" i="19" s="1"/>
  <c r="M321" i="19"/>
  <c r="P321" i="19" s="1"/>
  <c r="M322" i="19"/>
  <c r="M323" i="19"/>
  <c r="M324" i="19"/>
  <c r="M325" i="19"/>
  <c r="M326" i="19"/>
  <c r="M327" i="19"/>
  <c r="P327" i="19" s="1"/>
  <c r="M328" i="19"/>
  <c r="P328" i="19" s="1"/>
  <c r="M329" i="19"/>
  <c r="P329" i="19" s="1"/>
  <c r="M330" i="19"/>
  <c r="M331" i="19"/>
  <c r="M332" i="19"/>
  <c r="P332" i="19" s="1"/>
  <c r="M333" i="19"/>
  <c r="P333" i="19" s="1"/>
  <c r="M334" i="19"/>
  <c r="M335" i="19"/>
  <c r="M336" i="19"/>
  <c r="M337" i="19"/>
  <c r="M338" i="19"/>
  <c r="M339" i="19"/>
  <c r="M340" i="19"/>
  <c r="P340" i="19" s="1"/>
  <c r="M341" i="19"/>
  <c r="P341" i="19" s="1"/>
  <c r="M342" i="19"/>
  <c r="M343" i="19"/>
  <c r="M344" i="19"/>
  <c r="M345" i="19"/>
  <c r="P345" i="19" s="1"/>
  <c r="M346" i="19"/>
  <c r="M347" i="19"/>
  <c r="M348" i="19"/>
  <c r="M349" i="19"/>
  <c r="M350" i="19"/>
  <c r="M351" i="19"/>
  <c r="M352" i="19"/>
  <c r="P352" i="19" s="1"/>
  <c r="M353" i="19"/>
  <c r="P353" i="19" s="1"/>
  <c r="M354" i="19"/>
  <c r="M355" i="19"/>
  <c r="P355" i="19" s="1"/>
  <c r="M356" i="19"/>
  <c r="P356" i="19" s="1"/>
  <c r="M357" i="19"/>
  <c r="P357" i="19" s="1"/>
  <c r="M358" i="19"/>
  <c r="M359" i="19"/>
  <c r="M360" i="19"/>
  <c r="M361" i="19"/>
  <c r="M362" i="19"/>
  <c r="M363" i="19"/>
  <c r="P363" i="19" s="1"/>
  <c r="M364" i="19"/>
  <c r="P364" i="19" s="1"/>
  <c r="M365" i="19"/>
  <c r="M366" i="19"/>
  <c r="M367" i="19"/>
  <c r="P367" i="19" s="1"/>
  <c r="M368" i="19"/>
  <c r="M369" i="19"/>
  <c r="P369" i="19" s="1"/>
  <c r="M370" i="19"/>
  <c r="M371" i="19"/>
  <c r="M372" i="19"/>
  <c r="M373" i="19"/>
  <c r="M374" i="19"/>
  <c r="M375" i="19"/>
  <c r="M376" i="19"/>
  <c r="P376" i="19" s="1"/>
  <c r="M377" i="19"/>
  <c r="P377" i="19" s="1"/>
  <c r="M378" i="19"/>
  <c r="M379" i="19"/>
  <c r="M380" i="19"/>
  <c r="M381" i="19"/>
  <c r="P381" i="19" s="1"/>
  <c r="M382" i="19"/>
  <c r="M383" i="19"/>
  <c r="M384" i="19"/>
  <c r="M385" i="19"/>
  <c r="M386" i="19"/>
  <c r="M387" i="19"/>
  <c r="M388" i="19"/>
  <c r="P388" i="19" s="1"/>
  <c r="M389" i="19"/>
  <c r="M390" i="19"/>
  <c r="M391" i="19"/>
  <c r="P391" i="19" s="1"/>
  <c r="M392" i="19"/>
  <c r="P392" i="19" s="1"/>
  <c r="M393" i="19"/>
  <c r="P393" i="19" s="1"/>
  <c r="M394" i="19"/>
  <c r="M395" i="19"/>
  <c r="M396" i="19"/>
  <c r="M397" i="19"/>
  <c r="M398" i="19"/>
  <c r="M399" i="19"/>
  <c r="P399" i="19" s="1"/>
  <c r="M400" i="19"/>
  <c r="P400" i="19" s="1"/>
  <c r="M401" i="19"/>
  <c r="M402" i="19"/>
  <c r="M403" i="19"/>
  <c r="M404" i="19"/>
  <c r="P404" i="19" s="1"/>
  <c r="M405" i="19"/>
  <c r="P405" i="19" s="1"/>
  <c r="M406" i="19"/>
  <c r="M407" i="19"/>
  <c r="M408" i="19"/>
  <c r="M409" i="19"/>
  <c r="M410" i="19"/>
  <c r="M411" i="19"/>
  <c r="M412" i="19"/>
  <c r="P412" i="19" s="1"/>
  <c r="M413" i="19"/>
  <c r="P413" i="19" s="1"/>
  <c r="M414" i="19"/>
  <c r="M415" i="19"/>
  <c r="M416" i="19"/>
  <c r="P416" i="19" s="1"/>
  <c r="M417" i="19"/>
  <c r="P417" i="19" s="1"/>
  <c r="M418" i="19"/>
  <c r="M419" i="19"/>
  <c r="M420" i="19"/>
  <c r="M421" i="19"/>
  <c r="M422" i="19"/>
  <c r="M423" i="19"/>
  <c r="M424" i="19"/>
  <c r="P424" i="19" s="1"/>
  <c r="M425" i="19"/>
  <c r="M426" i="19"/>
  <c r="M427" i="19"/>
  <c r="P427" i="19" s="1"/>
  <c r="M428" i="19"/>
  <c r="P428" i="19" s="1"/>
  <c r="M429" i="19"/>
  <c r="P429" i="19" s="1"/>
  <c r="M430" i="19"/>
  <c r="M431" i="19"/>
  <c r="M432" i="19"/>
  <c r="M433" i="19"/>
  <c r="M434" i="19"/>
  <c r="M435" i="19"/>
  <c r="P435" i="19" s="1"/>
  <c r="M436" i="19"/>
  <c r="P436" i="19" s="1"/>
  <c r="M437" i="19"/>
  <c r="P437" i="19" s="1"/>
  <c r="M438" i="19"/>
  <c r="M439" i="19"/>
  <c r="P439" i="19" s="1"/>
  <c r="M440" i="19"/>
  <c r="M441" i="19"/>
  <c r="P441" i="19" s="1"/>
  <c r="M442" i="19"/>
  <c r="M443" i="19"/>
  <c r="M444" i="19"/>
  <c r="M445" i="19"/>
  <c r="M446" i="19"/>
  <c r="M447" i="19"/>
  <c r="M448" i="19"/>
  <c r="M449" i="19"/>
  <c r="P449" i="19" s="1"/>
  <c r="M450" i="19"/>
  <c r="M451" i="19"/>
  <c r="P451" i="19" s="1"/>
  <c r="M452" i="19"/>
  <c r="P452" i="19" s="1"/>
  <c r="M453" i="19"/>
  <c r="M454" i="19"/>
  <c r="M455" i="19"/>
  <c r="M456" i="19"/>
  <c r="M457" i="19"/>
  <c r="M458" i="19"/>
  <c r="M459" i="19"/>
  <c r="P459" i="19" s="1"/>
  <c r="M460" i="19"/>
  <c r="M461" i="19"/>
  <c r="P461" i="19" s="1"/>
  <c r="M462" i="19"/>
  <c r="M463" i="19"/>
  <c r="M464" i="19"/>
  <c r="P464" i="19" s="1"/>
  <c r="M465" i="19"/>
  <c r="P465" i="19" s="1"/>
  <c r="M466" i="19"/>
  <c r="M467" i="19"/>
  <c r="M468" i="19"/>
  <c r="M469" i="19"/>
  <c r="M470" i="19"/>
  <c r="M471" i="19"/>
  <c r="M472" i="19"/>
  <c r="P472" i="19" s="1"/>
  <c r="M473" i="19"/>
  <c r="P473" i="19" s="1"/>
  <c r="M474" i="19"/>
  <c r="M475" i="19"/>
  <c r="M476" i="19"/>
  <c r="P476" i="19" s="1"/>
  <c r="M477" i="19"/>
  <c r="P477" i="19" s="1"/>
  <c r="M478" i="19"/>
  <c r="M479" i="19"/>
  <c r="M480" i="19"/>
  <c r="M481" i="19"/>
  <c r="M482" i="19"/>
  <c r="M483" i="19"/>
  <c r="M484" i="19"/>
  <c r="M485" i="19"/>
  <c r="P485" i="19" s="1"/>
  <c r="M486" i="19"/>
  <c r="M487" i="19"/>
  <c r="P487" i="19" s="1"/>
  <c r="M488" i="19"/>
  <c r="P488" i="19" s="1"/>
  <c r="M489" i="19"/>
  <c r="P489" i="19" s="1"/>
  <c r="M490" i="19"/>
  <c r="M491" i="19"/>
  <c r="M492" i="19"/>
  <c r="M493" i="19"/>
  <c r="M494" i="19"/>
  <c r="M495" i="19"/>
  <c r="P495" i="19" s="1"/>
  <c r="M496" i="19"/>
  <c r="M497" i="19"/>
  <c r="P497" i="19" s="1"/>
  <c r="M498" i="19"/>
  <c r="M499" i="19"/>
  <c r="M500" i="19"/>
  <c r="P500" i="19" s="1"/>
  <c r="M501" i="19"/>
  <c r="P501" i="19" s="1"/>
  <c r="M502" i="19"/>
  <c r="M503" i="19"/>
  <c r="M504" i="19"/>
  <c r="M505" i="19"/>
  <c r="M506" i="19"/>
  <c r="M507" i="19"/>
  <c r="M508" i="19"/>
  <c r="P508" i="19" s="1"/>
  <c r="M509" i="19"/>
  <c r="P509" i="19" s="1"/>
  <c r="M510" i="19"/>
  <c r="M511" i="19"/>
  <c r="P511" i="19" s="1"/>
  <c r="M512" i="19"/>
  <c r="M513" i="19"/>
  <c r="P513" i="19" s="1"/>
  <c r="M514" i="19"/>
  <c r="M515" i="19"/>
  <c r="M516" i="19"/>
  <c r="M517" i="19"/>
  <c r="M518" i="19"/>
  <c r="M519" i="19"/>
  <c r="M520" i="19"/>
  <c r="M521" i="19"/>
  <c r="P521" i="19" s="1"/>
  <c r="M522" i="19"/>
  <c r="M523" i="19"/>
  <c r="P523" i="19" s="1"/>
  <c r="M524" i="19"/>
  <c r="P524" i="19" s="1"/>
  <c r="M525" i="19"/>
  <c r="P525" i="19" s="1"/>
  <c r="M526" i="19"/>
  <c r="M527" i="19"/>
  <c r="M528" i="19"/>
  <c r="M529" i="19"/>
  <c r="M530" i="19"/>
  <c r="M531" i="19"/>
  <c r="P531" i="19" s="1"/>
  <c r="M532" i="19"/>
  <c r="P532" i="19" s="1"/>
  <c r="M533" i="19"/>
  <c r="M534" i="19"/>
  <c r="M535" i="19"/>
  <c r="M536" i="19"/>
  <c r="P536" i="19" s="1"/>
  <c r="M537" i="19"/>
  <c r="P537" i="19" s="1"/>
  <c r="M538" i="19"/>
  <c r="M539" i="19"/>
  <c r="M540" i="19"/>
  <c r="M541" i="19"/>
  <c r="M542" i="19"/>
  <c r="M543" i="19"/>
  <c r="M544" i="19"/>
  <c r="P544" i="19" s="1"/>
  <c r="M545" i="19"/>
  <c r="P545" i="19" s="1"/>
  <c r="M546" i="19"/>
  <c r="M547" i="19"/>
  <c r="M548" i="19"/>
  <c r="M549" i="19"/>
  <c r="P549" i="19" s="1"/>
  <c r="M550" i="19"/>
  <c r="M551" i="19"/>
  <c r="M552" i="19"/>
  <c r="M553" i="19"/>
  <c r="M554" i="19"/>
  <c r="M555" i="19"/>
  <c r="M556" i="19"/>
  <c r="P556" i="19" s="1"/>
  <c r="M557" i="19"/>
  <c r="M558" i="19"/>
  <c r="M559" i="19"/>
  <c r="P559" i="19" s="1"/>
  <c r="M560" i="19"/>
  <c r="P560" i="19" s="1"/>
  <c r="M561" i="19"/>
  <c r="P561" i="19" s="1"/>
  <c r="M562" i="19"/>
  <c r="M563" i="19"/>
  <c r="M564" i="19"/>
  <c r="M565" i="19"/>
  <c r="M566" i="19"/>
  <c r="M567" i="19"/>
  <c r="P567" i="19" s="1"/>
  <c r="M568" i="19"/>
  <c r="P568" i="19" s="1"/>
  <c r="M569" i="19"/>
  <c r="M570" i="19"/>
  <c r="M571" i="19"/>
  <c r="P571" i="19" s="1"/>
  <c r="M572" i="19"/>
  <c r="M573" i="19"/>
  <c r="P573" i="19" s="1"/>
  <c r="M574" i="19"/>
  <c r="M575" i="19"/>
  <c r="M576" i="19"/>
  <c r="M577" i="19"/>
  <c r="M578" i="19"/>
  <c r="M579" i="19"/>
  <c r="M580" i="19"/>
  <c r="M581" i="19"/>
  <c r="P581" i="19" s="1"/>
  <c r="M582" i="19"/>
  <c r="M583" i="19"/>
  <c r="P583" i="19" s="1"/>
  <c r="M584" i="19"/>
  <c r="P584" i="19" s="1"/>
  <c r="M585" i="19"/>
  <c r="M586" i="19"/>
  <c r="M587" i="19"/>
  <c r="M588" i="19"/>
  <c r="M589" i="19"/>
  <c r="M590" i="19"/>
  <c r="M591" i="19"/>
  <c r="P591" i="19" s="1"/>
  <c r="M592" i="19"/>
  <c r="M593" i="19"/>
  <c r="P593" i="19" s="1"/>
  <c r="M594" i="19"/>
  <c r="M595" i="19"/>
  <c r="M596" i="19"/>
  <c r="P596" i="19" s="1"/>
  <c r="M597" i="19"/>
  <c r="P597" i="19" s="1"/>
  <c r="M598" i="19"/>
  <c r="M599" i="19"/>
  <c r="M600" i="19"/>
  <c r="M601" i="19"/>
  <c r="M602" i="19"/>
  <c r="M603" i="19"/>
  <c r="M604" i="19"/>
  <c r="P604" i="19" s="1"/>
  <c r="M605" i="19"/>
  <c r="P605" i="19" s="1"/>
  <c r="M606" i="19"/>
  <c r="M607" i="19"/>
  <c r="M608" i="19"/>
  <c r="P608" i="19" s="1"/>
  <c r="M609" i="19"/>
  <c r="P609" i="19" s="1"/>
  <c r="M610" i="19"/>
  <c r="M611" i="19"/>
  <c r="M612" i="19"/>
  <c r="M613" i="19"/>
  <c r="M614" i="19"/>
  <c r="M615" i="19"/>
  <c r="P615" i="19" s="1"/>
  <c r="M616" i="19"/>
  <c r="M617" i="19"/>
  <c r="P617" i="19" s="1"/>
  <c r="M618" i="19"/>
  <c r="M619" i="19"/>
  <c r="P619" i="19" s="1"/>
  <c r="M620" i="19"/>
  <c r="P620" i="19" s="1"/>
  <c r="M621" i="19"/>
  <c r="P621" i="19" s="1"/>
  <c r="M622" i="19"/>
  <c r="M623" i="19"/>
  <c r="M624" i="19"/>
  <c r="M625" i="19"/>
  <c r="M626" i="19"/>
  <c r="M627" i="19"/>
  <c r="P627" i="19" s="1"/>
  <c r="M628" i="19"/>
  <c r="P628" i="19" s="1"/>
  <c r="M629" i="19"/>
  <c r="M630" i="19"/>
  <c r="M631" i="19"/>
  <c r="M632" i="19"/>
  <c r="P632" i="19" s="1"/>
  <c r="M633" i="19"/>
  <c r="P633" i="19" s="1"/>
  <c r="M634" i="19"/>
  <c r="M635" i="19"/>
  <c r="M636" i="19"/>
  <c r="M637" i="19"/>
  <c r="M638" i="19"/>
  <c r="M639" i="19"/>
  <c r="M640" i="19"/>
  <c r="P640" i="19" s="1"/>
  <c r="M641" i="19"/>
  <c r="P641" i="19" s="1"/>
  <c r="M642" i="19"/>
  <c r="M643" i="19"/>
  <c r="M644" i="19"/>
  <c r="M645" i="19"/>
  <c r="P645" i="19" s="1"/>
  <c r="M646" i="19"/>
  <c r="M647" i="19"/>
  <c r="M648" i="19"/>
  <c r="M649" i="19"/>
  <c r="M650" i="19"/>
  <c r="M651" i="19"/>
  <c r="P651" i="19" s="1"/>
  <c r="M652" i="19"/>
  <c r="M653" i="19"/>
  <c r="P653" i="19" s="1"/>
  <c r="M654" i="19"/>
  <c r="M655" i="19"/>
  <c r="P655" i="19" s="1"/>
  <c r="M656" i="19"/>
  <c r="P656" i="19" s="1"/>
  <c r="M657" i="19"/>
  <c r="P657" i="19" s="1"/>
  <c r="M658" i="19"/>
  <c r="M659" i="19"/>
  <c r="M660" i="19"/>
  <c r="M661" i="19"/>
  <c r="M662" i="19"/>
  <c r="M663" i="19"/>
  <c r="P663" i="19" s="1"/>
  <c r="M664" i="19"/>
  <c r="P664" i="19" s="1"/>
  <c r="M665" i="19"/>
  <c r="M666" i="19"/>
  <c r="M667" i="19"/>
  <c r="P667" i="19" s="1"/>
  <c r="M668" i="19"/>
  <c r="M669" i="19"/>
  <c r="P669" i="19" s="1"/>
  <c r="M670" i="19"/>
  <c r="M671" i="19"/>
  <c r="M672" i="19"/>
  <c r="M673" i="19"/>
  <c r="M674" i="19"/>
  <c r="M675" i="19"/>
  <c r="M676" i="19"/>
  <c r="P676" i="19" s="1"/>
  <c r="M677" i="19"/>
  <c r="P677" i="19" s="1"/>
  <c r="M678" i="19"/>
  <c r="M679" i="19"/>
  <c r="P679" i="19" s="1"/>
  <c r="M680" i="19"/>
  <c r="M681" i="19"/>
  <c r="P681" i="19" s="1"/>
  <c r="M682" i="19"/>
  <c r="M683" i="19"/>
  <c r="M684" i="19"/>
  <c r="M685" i="19"/>
  <c r="M686" i="19"/>
  <c r="M687" i="19"/>
  <c r="M688" i="19"/>
  <c r="P688" i="19" s="1"/>
  <c r="M689" i="19"/>
  <c r="M690" i="19"/>
  <c r="M691" i="19"/>
  <c r="P691" i="19" s="1"/>
  <c r="M692" i="19"/>
  <c r="P692" i="19" s="1"/>
  <c r="M693" i="19"/>
  <c r="P693" i="19" s="1"/>
  <c r="M694" i="19"/>
  <c r="M695" i="19"/>
  <c r="M696" i="19"/>
  <c r="M697" i="19"/>
  <c r="M698" i="19"/>
  <c r="M699" i="19"/>
  <c r="P699" i="19" s="1"/>
  <c r="M700" i="19"/>
  <c r="M701" i="19"/>
  <c r="P701" i="19" s="1"/>
  <c r="M702" i="19"/>
  <c r="M703" i="19"/>
  <c r="M704" i="19"/>
  <c r="P704" i="19" s="1"/>
  <c r="M705" i="19"/>
  <c r="P705" i="19" s="1"/>
  <c r="M706" i="19"/>
  <c r="M707" i="19"/>
  <c r="M708" i="19"/>
  <c r="M709" i="19"/>
  <c r="M710" i="19"/>
  <c r="M711" i="19"/>
  <c r="P711" i="19" s="1"/>
  <c r="M712" i="19"/>
  <c r="P712" i="19" s="1"/>
  <c r="M713" i="19"/>
  <c r="P713" i="19" s="1"/>
  <c r="M714" i="19"/>
  <c r="M715" i="19"/>
  <c r="M716" i="19"/>
  <c r="P716" i="19" s="1"/>
  <c r="M717" i="19"/>
  <c r="P717" i="19" s="1"/>
  <c r="M718" i="19"/>
  <c r="M719" i="19"/>
  <c r="M720" i="19"/>
  <c r="M721" i="19"/>
  <c r="M722" i="19"/>
  <c r="M723" i="19"/>
  <c r="M724" i="19"/>
  <c r="M725" i="19"/>
  <c r="P725" i="19" s="1"/>
  <c r="M726" i="19"/>
  <c r="M727" i="19"/>
  <c r="P727" i="19" s="1"/>
  <c r="M728" i="19"/>
  <c r="P728" i="19" s="1"/>
  <c r="M729" i="19"/>
  <c r="P729" i="19" s="1"/>
  <c r="M730" i="19"/>
  <c r="M731" i="19"/>
  <c r="M732" i="19"/>
  <c r="M733" i="19"/>
  <c r="M734" i="19"/>
  <c r="M735" i="19"/>
  <c r="P735" i="19" s="1"/>
  <c r="M736" i="19"/>
  <c r="M737" i="19"/>
  <c r="P737" i="19" s="1"/>
  <c r="M738" i="19"/>
  <c r="M739" i="19"/>
  <c r="M740" i="19"/>
  <c r="P740" i="19" s="1"/>
  <c r="M741" i="19"/>
  <c r="P741" i="19" s="1"/>
  <c r="M742" i="19"/>
  <c r="M743" i="19"/>
  <c r="M744" i="19"/>
  <c r="M745" i="19"/>
  <c r="M746" i="19"/>
  <c r="M747" i="19"/>
  <c r="P747" i="19" s="1"/>
  <c r="M748" i="19"/>
  <c r="P748" i="19" s="1"/>
  <c r="M749" i="19"/>
  <c r="P749" i="19" s="1"/>
  <c r="M750" i="19"/>
  <c r="M751" i="19"/>
  <c r="M752" i="19"/>
  <c r="P752" i="19" s="1"/>
  <c r="M753" i="19"/>
  <c r="P753" i="19" s="1"/>
  <c r="M754" i="19"/>
  <c r="M755" i="19"/>
  <c r="M756" i="19"/>
  <c r="M757" i="19"/>
  <c r="M758" i="19"/>
  <c r="M759" i="19"/>
  <c r="M760" i="19"/>
  <c r="P760" i="19" s="1"/>
  <c r="M761" i="19"/>
  <c r="P761" i="19" s="1"/>
  <c r="M762" i="19"/>
  <c r="M763" i="19"/>
  <c r="P763" i="19" s="1"/>
  <c r="M764" i="19"/>
  <c r="P764" i="19" s="1"/>
  <c r="M765" i="19"/>
  <c r="P765" i="19" s="1"/>
  <c r="M766" i="19"/>
  <c r="M767" i="19"/>
  <c r="M768" i="19"/>
  <c r="M769" i="19"/>
  <c r="M770" i="19"/>
  <c r="M771" i="19"/>
  <c r="P771" i="19" s="1"/>
  <c r="M772" i="19"/>
  <c r="M773" i="19"/>
  <c r="P773" i="19" s="1"/>
  <c r="M774" i="19"/>
  <c r="M775" i="19"/>
  <c r="M776" i="19"/>
  <c r="P776" i="19" s="1"/>
  <c r="M777" i="19"/>
  <c r="P777" i="19" s="1"/>
  <c r="M778" i="19"/>
  <c r="M779" i="19"/>
  <c r="M780" i="19"/>
  <c r="M781" i="19"/>
  <c r="M782" i="19"/>
  <c r="M783" i="19"/>
  <c r="P783" i="19" s="1"/>
  <c r="M784" i="19"/>
  <c r="P784" i="19" s="1"/>
  <c r="M785" i="19"/>
  <c r="P785" i="19" s="1"/>
  <c r="M786" i="19"/>
  <c r="M787" i="19"/>
  <c r="M788" i="19"/>
  <c r="P788" i="19" s="1"/>
  <c r="M789" i="19"/>
  <c r="P789" i="19" s="1"/>
  <c r="M790" i="19"/>
  <c r="M791" i="19"/>
  <c r="M792" i="19"/>
  <c r="M793" i="19"/>
  <c r="M794" i="19"/>
  <c r="M795" i="19"/>
  <c r="M796" i="19"/>
  <c r="M797" i="19"/>
  <c r="P797" i="19" s="1"/>
  <c r="M798" i="19"/>
  <c r="M799" i="19"/>
  <c r="P799" i="19" s="1"/>
  <c r="M800" i="19"/>
  <c r="P800" i="19" s="1"/>
  <c r="M801" i="19"/>
  <c r="P801" i="19" s="1"/>
  <c r="M802" i="19"/>
  <c r="M803" i="19"/>
  <c r="M804" i="19"/>
  <c r="M805" i="19"/>
  <c r="M806" i="19"/>
  <c r="M807" i="19"/>
  <c r="P807" i="19" s="1"/>
  <c r="M808" i="19"/>
  <c r="M809" i="19"/>
  <c r="P809" i="19" s="1"/>
  <c r="M810" i="19"/>
  <c r="M811" i="19"/>
  <c r="M812" i="19"/>
  <c r="P812" i="19" s="1"/>
  <c r="M813" i="19"/>
  <c r="P813" i="19" s="1"/>
  <c r="M814" i="19"/>
  <c r="M815" i="19"/>
  <c r="M816" i="19"/>
  <c r="M817" i="19"/>
  <c r="M818" i="19"/>
  <c r="M819" i="19"/>
  <c r="P819" i="19" s="1"/>
  <c r="M820" i="19"/>
  <c r="P820" i="19" s="1"/>
  <c r="M821" i="19"/>
  <c r="P821" i="19" s="1"/>
  <c r="M822" i="19"/>
  <c r="M823" i="19"/>
  <c r="M824" i="19"/>
  <c r="P824" i="19" s="1"/>
  <c r="M825" i="19"/>
  <c r="P825" i="19" s="1"/>
  <c r="M826" i="19"/>
  <c r="M827" i="19"/>
  <c r="M828" i="19"/>
  <c r="M829" i="19"/>
  <c r="M830" i="19"/>
  <c r="M831" i="19"/>
  <c r="P831" i="19" s="1"/>
  <c r="M832" i="19"/>
  <c r="M833" i="19"/>
  <c r="P833" i="19" s="1"/>
  <c r="M834" i="19"/>
  <c r="M835" i="19"/>
  <c r="P835" i="19" s="1"/>
  <c r="M836" i="19"/>
  <c r="P836" i="19" s="1"/>
  <c r="M837" i="19"/>
  <c r="P837" i="19" s="1"/>
  <c r="M838" i="19"/>
  <c r="M839" i="19"/>
  <c r="M840" i="19"/>
  <c r="M841" i="19"/>
  <c r="M842" i="19"/>
  <c r="M843" i="19"/>
  <c r="P843" i="19" s="1"/>
  <c r="M844" i="19"/>
  <c r="P844" i="19" s="1"/>
  <c r="M845" i="19"/>
  <c r="M846" i="19"/>
  <c r="M847" i="19"/>
  <c r="P847" i="19" s="1"/>
  <c r="M848" i="19"/>
  <c r="P848" i="19" s="1"/>
  <c r="M849" i="19"/>
  <c r="P849" i="19" s="1"/>
  <c r="M850" i="19"/>
  <c r="M851" i="19"/>
  <c r="M852" i="19"/>
  <c r="M853" i="19"/>
  <c r="M854" i="19"/>
  <c r="M855" i="19"/>
  <c r="M856" i="19"/>
  <c r="M857" i="19"/>
  <c r="P857" i="19" s="1"/>
  <c r="M858" i="19"/>
  <c r="M859" i="19"/>
  <c r="P859" i="19" s="1"/>
  <c r="M860" i="19"/>
  <c r="P860" i="19" s="1"/>
  <c r="M861" i="19"/>
  <c r="P861" i="19" s="1"/>
  <c r="M862" i="19"/>
  <c r="M863" i="19"/>
  <c r="M864" i="19"/>
  <c r="M865" i="19"/>
  <c r="M866" i="19"/>
  <c r="M867" i="19"/>
  <c r="P867" i="19" s="1"/>
  <c r="M868" i="19"/>
  <c r="P868" i="19" s="1"/>
  <c r="M869" i="19"/>
  <c r="P869" i="19" s="1"/>
  <c r="M870" i="19"/>
  <c r="M871" i="19"/>
  <c r="P871" i="19" s="1"/>
  <c r="M872" i="19"/>
  <c r="P872" i="19" s="1"/>
  <c r="M873" i="19"/>
  <c r="P873" i="19" s="1"/>
  <c r="M874" i="19"/>
  <c r="M875" i="19"/>
  <c r="M876" i="19"/>
  <c r="M877" i="19"/>
  <c r="M878" i="19"/>
  <c r="M879" i="19"/>
  <c r="M880" i="19"/>
  <c r="P880" i="19" s="1"/>
  <c r="M881" i="19"/>
  <c r="P881" i="19" s="1"/>
  <c r="M882" i="19"/>
  <c r="M883" i="19"/>
  <c r="P883" i="19" s="1"/>
  <c r="M884" i="19"/>
  <c r="P884" i="19" s="1"/>
  <c r="M885" i="19"/>
  <c r="P885" i="19" s="1"/>
  <c r="M886" i="19"/>
  <c r="M887" i="19"/>
  <c r="M888" i="19"/>
  <c r="M889" i="19"/>
  <c r="M890" i="19"/>
  <c r="M891" i="19"/>
  <c r="M892" i="19"/>
  <c r="P892" i="19" s="1"/>
  <c r="M893" i="19"/>
  <c r="P893" i="19" s="1"/>
  <c r="M894" i="19"/>
  <c r="M895" i="19"/>
  <c r="P895" i="19" s="1"/>
  <c r="M896" i="19"/>
  <c r="P896" i="19" s="1"/>
  <c r="M897" i="19"/>
  <c r="P897" i="19" s="1"/>
  <c r="M898" i="19"/>
  <c r="M899" i="19"/>
  <c r="M900" i="19"/>
  <c r="M901" i="19"/>
  <c r="M902" i="19"/>
  <c r="M903" i="19"/>
  <c r="P903" i="19" s="1"/>
  <c r="M904" i="19"/>
  <c r="P904" i="19" s="1"/>
  <c r="M905" i="19"/>
  <c r="P905" i="19" s="1"/>
  <c r="M906" i="19"/>
  <c r="M907" i="19"/>
  <c r="P907" i="19" s="1"/>
  <c r="M908" i="19"/>
  <c r="M909" i="19"/>
  <c r="P909" i="19" s="1"/>
  <c r="M910" i="19"/>
  <c r="M911" i="19"/>
  <c r="M912" i="19"/>
  <c r="M913" i="19"/>
  <c r="M914" i="19"/>
  <c r="M915" i="19"/>
  <c r="M916" i="19"/>
  <c r="M917" i="19"/>
  <c r="P917" i="19" s="1"/>
  <c r="M918" i="19"/>
  <c r="M919" i="19"/>
  <c r="P919" i="19" s="1"/>
  <c r="M920" i="19"/>
  <c r="P920" i="19" s="1"/>
  <c r="M921" i="19"/>
  <c r="P921" i="19" s="1"/>
  <c r="M922" i="19"/>
  <c r="P922" i="19" s="1"/>
  <c r="M923" i="19"/>
  <c r="M924" i="19"/>
  <c r="M925" i="19"/>
  <c r="M926" i="19"/>
  <c r="M927" i="19"/>
  <c r="M928" i="19"/>
  <c r="P928" i="19" s="1"/>
  <c r="M929" i="19"/>
  <c r="P929" i="19" s="1"/>
  <c r="M930" i="19"/>
  <c r="M931" i="19"/>
  <c r="P931" i="19" s="1"/>
  <c r="M932" i="19"/>
  <c r="P932" i="19" s="1"/>
  <c r="M933" i="19"/>
  <c r="P933" i="19" s="1"/>
  <c r="M934" i="19"/>
  <c r="M935" i="19"/>
  <c r="M936" i="19"/>
  <c r="M937" i="19"/>
  <c r="M938" i="19"/>
  <c r="M939" i="19"/>
  <c r="P939" i="19" s="1"/>
  <c r="M940" i="19"/>
  <c r="P940" i="19" s="1"/>
  <c r="M941" i="19"/>
  <c r="P941" i="19" s="1"/>
  <c r="M942" i="19"/>
  <c r="M943" i="19"/>
  <c r="M944" i="19"/>
  <c r="P944" i="19" s="1"/>
  <c r="M945" i="19"/>
  <c r="P945" i="19" s="1"/>
  <c r="M946" i="19"/>
  <c r="M947" i="19"/>
  <c r="M948" i="19"/>
  <c r="M949" i="19"/>
  <c r="M950" i="19"/>
  <c r="M951" i="19"/>
  <c r="M952" i="19"/>
  <c r="P952" i="19" s="1"/>
  <c r="M953" i="19"/>
  <c r="P953" i="19" s="1"/>
  <c r="M954" i="19"/>
  <c r="M955" i="19"/>
  <c r="P955" i="19" s="1"/>
  <c r="M956" i="19"/>
  <c r="M957" i="19"/>
  <c r="P957" i="19" s="1"/>
  <c r="M958" i="19"/>
  <c r="M959" i="19"/>
  <c r="M960" i="19"/>
  <c r="M961" i="19"/>
  <c r="M962" i="19"/>
  <c r="M963" i="19"/>
  <c r="M964" i="19"/>
  <c r="P964" i="19" s="1"/>
  <c r="M965" i="19"/>
  <c r="P965" i="19" s="1"/>
  <c r="M966" i="19"/>
  <c r="M967" i="19"/>
  <c r="P967" i="19" s="1"/>
  <c r="M968" i="19"/>
  <c r="P968" i="19" s="1"/>
  <c r="M969" i="19"/>
  <c r="P969" i="19" s="1"/>
  <c r="M970" i="19"/>
  <c r="M971" i="19"/>
  <c r="M972" i="19"/>
  <c r="M973" i="19"/>
  <c r="M974" i="19"/>
  <c r="M975" i="19"/>
  <c r="P975" i="19" s="1"/>
  <c r="M976" i="19"/>
  <c r="P976" i="19" s="1"/>
  <c r="M977" i="19"/>
  <c r="P977" i="19" s="1"/>
  <c r="M978" i="19"/>
  <c r="M979" i="19"/>
  <c r="P979" i="19" s="1"/>
  <c r="M980" i="19"/>
  <c r="P980" i="19" s="1"/>
  <c r="M981" i="19"/>
  <c r="P981" i="19" s="1"/>
  <c r="M982" i="19"/>
  <c r="P982" i="19" s="1"/>
  <c r="M983" i="19"/>
  <c r="M984" i="19"/>
  <c r="M985" i="19"/>
  <c r="M986" i="19"/>
  <c r="P986" i="19" s="1"/>
  <c r="M987" i="19"/>
  <c r="M988" i="19"/>
  <c r="M989" i="19"/>
  <c r="P989" i="19" s="1"/>
  <c r="M990" i="19"/>
  <c r="M991" i="19"/>
  <c r="P991" i="19" s="1"/>
  <c r="M992" i="19"/>
  <c r="P992" i="19" s="1"/>
  <c r="M993" i="19"/>
  <c r="M994" i="19"/>
  <c r="M995" i="19"/>
  <c r="P995" i="19" s="1"/>
  <c r="M996" i="19"/>
  <c r="M997" i="19"/>
  <c r="M998" i="19"/>
  <c r="M999" i="19"/>
  <c r="M1000" i="19"/>
  <c r="M1001" i="19"/>
  <c r="P1001" i="19" s="1"/>
  <c r="M1002" i="19"/>
  <c r="M1003" i="19"/>
  <c r="M1004" i="19"/>
  <c r="P1004" i="19" s="1"/>
  <c r="M1005" i="19"/>
  <c r="P1005" i="19" s="1"/>
  <c r="M1006" i="19"/>
  <c r="M9" i="19"/>
  <c r="L10" i="19"/>
  <c r="L11" i="19"/>
  <c r="L12" i="19"/>
  <c r="L13" i="19"/>
  <c r="L14" i="19"/>
  <c r="L15" i="19"/>
  <c r="L16" i="19"/>
  <c r="L17" i="19"/>
  <c r="L18" i="19"/>
  <c r="L19" i="19"/>
  <c r="L20" i="19"/>
  <c r="L21" i="19"/>
  <c r="L22" i="19"/>
  <c r="L23" i="19"/>
  <c r="L24" i="19"/>
  <c r="L25" i="19"/>
  <c r="L26" i="19"/>
  <c r="L27" i="19"/>
  <c r="L28" i="19"/>
  <c r="L29" i="19"/>
  <c r="L30" i="19"/>
  <c r="L31" i="19"/>
  <c r="L32" i="19"/>
  <c r="L33" i="19"/>
  <c r="L34" i="19"/>
  <c r="L35" i="19"/>
  <c r="L36" i="19"/>
  <c r="L37" i="19"/>
  <c r="L38" i="19"/>
  <c r="L39" i="19"/>
  <c r="L40" i="19"/>
  <c r="L41" i="19"/>
  <c r="L42" i="19"/>
  <c r="L43" i="19"/>
  <c r="L44" i="19"/>
  <c r="L45" i="19"/>
  <c r="L46" i="19"/>
  <c r="L47" i="19"/>
  <c r="L48" i="19"/>
  <c r="L49" i="19"/>
  <c r="L50" i="19"/>
  <c r="L51" i="19"/>
  <c r="L52" i="19"/>
  <c r="L53" i="19"/>
  <c r="L54" i="19"/>
  <c r="L55" i="19"/>
  <c r="L56" i="19"/>
  <c r="L57" i="19"/>
  <c r="L58" i="19"/>
  <c r="L59" i="19"/>
  <c r="L60" i="19"/>
  <c r="L61" i="19"/>
  <c r="L62" i="19"/>
  <c r="L63" i="19"/>
  <c r="L64" i="19"/>
  <c r="L65" i="19"/>
  <c r="L66" i="19"/>
  <c r="L67" i="19"/>
  <c r="L68" i="19"/>
  <c r="L69" i="19"/>
  <c r="L70" i="19"/>
  <c r="L71" i="19"/>
  <c r="L72" i="19"/>
  <c r="L73" i="19"/>
  <c r="L74" i="19"/>
  <c r="L75" i="19"/>
  <c r="L76" i="19"/>
  <c r="L77" i="19"/>
  <c r="L78" i="19"/>
  <c r="L79" i="19"/>
  <c r="L80" i="19"/>
  <c r="L81" i="19"/>
  <c r="L82" i="19"/>
  <c r="L83" i="19"/>
  <c r="L84" i="19"/>
  <c r="L85" i="19"/>
  <c r="L86" i="19"/>
  <c r="L87" i="19"/>
  <c r="L88" i="19"/>
  <c r="L89" i="19"/>
  <c r="L90" i="19"/>
  <c r="L91" i="19"/>
  <c r="L92" i="19"/>
  <c r="L93" i="19"/>
  <c r="L94" i="19"/>
  <c r="L95" i="19"/>
  <c r="L96" i="19"/>
  <c r="L97" i="19"/>
  <c r="L98" i="19"/>
  <c r="L99" i="19"/>
  <c r="L100" i="19"/>
  <c r="L101" i="19"/>
  <c r="L102" i="19"/>
  <c r="L103" i="19"/>
  <c r="L104" i="19"/>
  <c r="L105" i="19"/>
  <c r="L106" i="19"/>
  <c r="L107" i="19"/>
  <c r="L108" i="19"/>
  <c r="L109" i="19"/>
  <c r="L110" i="19"/>
  <c r="L111" i="19"/>
  <c r="L112" i="19"/>
  <c r="L113" i="19"/>
  <c r="L114" i="19"/>
  <c r="L115" i="19"/>
  <c r="L116" i="19"/>
  <c r="L117" i="19"/>
  <c r="L118" i="19"/>
  <c r="L119" i="19"/>
  <c r="L120" i="19"/>
  <c r="L121" i="19"/>
  <c r="L122" i="19"/>
  <c r="L123" i="19"/>
  <c r="L124" i="19"/>
  <c r="L125" i="19"/>
  <c r="L126" i="19"/>
  <c r="L127" i="19"/>
  <c r="L128" i="19"/>
  <c r="L129" i="19"/>
  <c r="L130" i="19"/>
  <c r="L131" i="19"/>
  <c r="L132" i="19"/>
  <c r="L133" i="19"/>
  <c r="L134" i="19"/>
  <c r="L135" i="19"/>
  <c r="L136" i="19"/>
  <c r="L137" i="19"/>
  <c r="L138" i="19"/>
  <c r="L139" i="19"/>
  <c r="L140" i="19"/>
  <c r="L141" i="19"/>
  <c r="L142" i="19"/>
  <c r="L143" i="19"/>
  <c r="L144" i="19"/>
  <c r="L145" i="19"/>
  <c r="L146" i="19"/>
  <c r="L147" i="19"/>
  <c r="L148" i="19"/>
  <c r="L149" i="19"/>
  <c r="L150" i="19"/>
  <c r="L151" i="19"/>
  <c r="L152" i="19"/>
  <c r="L153" i="19"/>
  <c r="L154" i="19"/>
  <c r="L155" i="19"/>
  <c r="L156" i="19"/>
  <c r="L157" i="19"/>
  <c r="L158" i="19"/>
  <c r="L159" i="19"/>
  <c r="L160" i="19"/>
  <c r="L161" i="19"/>
  <c r="L162" i="19"/>
  <c r="L163" i="19"/>
  <c r="L164" i="19"/>
  <c r="L165" i="19"/>
  <c r="L166" i="19"/>
  <c r="L167" i="19"/>
  <c r="L168" i="19"/>
  <c r="L169" i="19"/>
  <c r="L170" i="19"/>
  <c r="L171" i="19"/>
  <c r="L172" i="19"/>
  <c r="L173" i="19"/>
  <c r="L174" i="19"/>
  <c r="L175" i="19"/>
  <c r="L176" i="19"/>
  <c r="L177" i="19"/>
  <c r="L178" i="19"/>
  <c r="L179" i="19"/>
  <c r="L180" i="19"/>
  <c r="L181" i="19"/>
  <c r="L182" i="19"/>
  <c r="L183" i="19"/>
  <c r="L184" i="19"/>
  <c r="L185" i="19"/>
  <c r="L186" i="19"/>
  <c r="L187" i="19"/>
  <c r="L188" i="19"/>
  <c r="L189" i="19"/>
  <c r="L190" i="19"/>
  <c r="L191" i="19"/>
  <c r="L192" i="19"/>
  <c r="L193" i="19"/>
  <c r="L194" i="19"/>
  <c r="L195" i="19"/>
  <c r="L196" i="19"/>
  <c r="L197" i="19"/>
  <c r="L198" i="19"/>
  <c r="L199" i="19"/>
  <c r="L200" i="19"/>
  <c r="L201" i="19"/>
  <c r="L202" i="19"/>
  <c r="L203" i="19"/>
  <c r="L204" i="19"/>
  <c r="L205" i="19"/>
  <c r="L206" i="19"/>
  <c r="L207" i="19"/>
  <c r="L208" i="19"/>
  <c r="L209" i="19"/>
  <c r="L210" i="19"/>
  <c r="L211" i="19"/>
  <c r="L212" i="19"/>
  <c r="L213" i="19"/>
  <c r="L214" i="19"/>
  <c r="L215" i="19"/>
  <c r="L216" i="19"/>
  <c r="L217" i="19"/>
  <c r="L218" i="19"/>
  <c r="L219" i="19"/>
  <c r="L220" i="19"/>
  <c r="L221" i="19"/>
  <c r="L222" i="19"/>
  <c r="L223" i="19"/>
  <c r="L224" i="19"/>
  <c r="L225" i="19"/>
  <c r="L226" i="19"/>
  <c r="L227" i="19"/>
  <c r="L228" i="19"/>
  <c r="L229" i="19"/>
  <c r="L230" i="19"/>
  <c r="L231" i="19"/>
  <c r="L232" i="19"/>
  <c r="L233" i="19"/>
  <c r="L234" i="19"/>
  <c r="L235" i="19"/>
  <c r="L236" i="19"/>
  <c r="L237" i="19"/>
  <c r="L238" i="19"/>
  <c r="L239" i="19"/>
  <c r="L240" i="19"/>
  <c r="L241" i="19"/>
  <c r="L242" i="19"/>
  <c r="L243" i="19"/>
  <c r="L244" i="19"/>
  <c r="L245" i="19"/>
  <c r="L246" i="19"/>
  <c r="L247" i="19"/>
  <c r="L248" i="19"/>
  <c r="L249" i="19"/>
  <c r="L250" i="19"/>
  <c r="L251" i="19"/>
  <c r="L252" i="19"/>
  <c r="L253" i="19"/>
  <c r="L254" i="19"/>
  <c r="L255" i="19"/>
  <c r="L256" i="19"/>
  <c r="L257" i="19"/>
  <c r="L258" i="19"/>
  <c r="L259" i="19"/>
  <c r="L260" i="19"/>
  <c r="L261" i="19"/>
  <c r="L262" i="19"/>
  <c r="L263" i="19"/>
  <c r="L264" i="19"/>
  <c r="L265" i="19"/>
  <c r="L266" i="19"/>
  <c r="L267" i="19"/>
  <c r="L268" i="19"/>
  <c r="L269" i="19"/>
  <c r="L270" i="19"/>
  <c r="L271" i="19"/>
  <c r="L272" i="19"/>
  <c r="L273" i="19"/>
  <c r="L274" i="19"/>
  <c r="L275" i="19"/>
  <c r="L276" i="19"/>
  <c r="L277" i="19"/>
  <c r="L278" i="19"/>
  <c r="L279" i="19"/>
  <c r="L280" i="19"/>
  <c r="L281" i="19"/>
  <c r="L282" i="19"/>
  <c r="L283" i="19"/>
  <c r="L284" i="19"/>
  <c r="L285" i="19"/>
  <c r="L286" i="19"/>
  <c r="L287" i="19"/>
  <c r="L288" i="19"/>
  <c r="L289" i="19"/>
  <c r="L290" i="19"/>
  <c r="L291" i="19"/>
  <c r="L292" i="19"/>
  <c r="L293" i="19"/>
  <c r="L294" i="19"/>
  <c r="L295" i="19"/>
  <c r="L296" i="19"/>
  <c r="L297" i="19"/>
  <c r="L298" i="19"/>
  <c r="L299" i="19"/>
  <c r="L300" i="19"/>
  <c r="L301" i="19"/>
  <c r="L302" i="19"/>
  <c r="L303" i="19"/>
  <c r="L304" i="19"/>
  <c r="L305" i="19"/>
  <c r="L306" i="19"/>
  <c r="L307" i="19"/>
  <c r="L308" i="19"/>
  <c r="L309" i="19"/>
  <c r="L310" i="19"/>
  <c r="L311" i="19"/>
  <c r="L312" i="19"/>
  <c r="L313" i="19"/>
  <c r="L314" i="19"/>
  <c r="L315" i="19"/>
  <c r="L316" i="19"/>
  <c r="L317" i="19"/>
  <c r="L318" i="19"/>
  <c r="L319" i="19"/>
  <c r="L320" i="19"/>
  <c r="L321" i="19"/>
  <c r="L322" i="19"/>
  <c r="L323" i="19"/>
  <c r="L324" i="19"/>
  <c r="L325" i="19"/>
  <c r="L326" i="19"/>
  <c r="L327" i="19"/>
  <c r="L328" i="19"/>
  <c r="L329" i="19"/>
  <c r="L330" i="19"/>
  <c r="L331" i="19"/>
  <c r="L332" i="19"/>
  <c r="L333" i="19"/>
  <c r="L334" i="19"/>
  <c r="L335" i="19"/>
  <c r="L336" i="19"/>
  <c r="L337" i="19"/>
  <c r="L338" i="19"/>
  <c r="L339" i="19"/>
  <c r="L340" i="19"/>
  <c r="L341" i="19"/>
  <c r="L342" i="19"/>
  <c r="L343" i="19"/>
  <c r="L344" i="19"/>
  <c r="L345" i="19"/>
  <c r="L346" i="19"/>
  <c r="L347" i="19"/>
  <c r="L348" i="19"/>
  <c r="L349" i="19"/>
  <c r="L350" i="19"/>
  <c r="L351" i="19"/>
  <c r="L352" i="19"/>
  <c r="L353" i="19"/>
  <c r="L354" i="19"/>
  <c r="L355" i="19"/>
  <c r="L356" i="19"/>
  <c r="L357" i="19"/>
  <c r="L358" i="19"/>
  <c r="L359" i="19"/>
  <c r="L360" i="19"/>
  <c r="L361" i="19"/>
  <c r="L362" i="19"/>
  <c r="L363" i="19"/>
  <c r="L364" i="19"/>
  <c r="L365" i="19"/>
  <c r="L366" i="19"/>
  <c r="L367" i="19"/>
  <c r="L368" i="19"/>
  <c r="L369" i="19"/>
  <c r="L370" i="19"/>
  <c r="L371" i="19"/>
  <c r="L372" i="19"/>
  <c r="L373" i="19"/>
  <c r="L374" i="19"/>
  <c r="L375" i="19"/>
  <c r="L376" i="19"/>
  <c r="L377" i="19"/>
  <c r="L378" i="19"/>
  <c r="L379" i="19"/>
  <c r="L380" i="19"/>
  <c r="L381" i="19"/>
  <c r="L382" i="19"/>
  <c r="L383" i="19"/>
  <c r="L384" i="19"/>
  <c r="L385" i="19"/>
  <c r="L386" i="19"/>
  <c r="L387" i="19"/>
  <c r="L388" i="19"/>
  <c r="L389" i="19"/>
  <c r="L390" i="19"/>
  <c r="L391" i="19"/>
  <c r="L392" i="19"/>
  <c r="L393" i="19"/>
  <c r="L394" i="19"/>
  <c r="L395" i="19"/>
  <c r="L396" i="19"/>
  <c r="L397" i="19"/>
  <c r="L398" i="19"/>
  <c r="L399" i="19"/>
  <c r="L400" i="19"/>
  <c r="L401" i="19"/>
  <c r="L402" i="19"/>
  <c r="L403" i="19"/>
  <c r="L404" i="19"/>
  <c r="L405" i="19"/>
  <c r="L406" i="19"/>
  <c r="L407" i="19"/>
  <c r="L408" i="19"/>
  <c r="L409" i="19"/>
  <c r="L410" i="19"/>
  <c r="L411" i="19"/>
  <c r="L412" i="19"/>
  <c r="L413" i="19"/>
  <c r="L414" i="19"/>
  <c r="L415" i="19"/>
  <c r="L416" i="19"/>
  <c r="L417" i="19"/>
  <c r="L418" i="19"/>
  <c r="L419" i="19"/>
  <c r="L420" i="19"/>
  <c r="L421" i="19"/>
  <c r="L422" i="19"/>
  <c r="L423" i="19"/>
  <c r="L424" i="19"/>
  <c r="L425" i="19"/>
  <c r="L426" i="19"/>
  <c r="L427" i="19"/>
  <c r="L428" i="19"/>
  <c r="L429" i="19"/>
  <c r="L430" i="19"/>
  <c r="L431" i="19"/>
  <c r="L432" i="19"/>
  <c r="L433" i="19"/>
  <c r="L434" i="19"/>
  <c r="L435" i="19"/>
  <c r="L436" i="19"/>
  <c r="L437" i="19"/>
  <c r="L438" i="19"/>
  <c r="L439" i="19"/>
  <c r="L440" i="19"/>
  <c r="L441" i="19"/>
  <c r="L442" i="19"/>
  <c r="L443" i="19"/>
  <c r="L444" i="19"/>
  <c r="L445" i="19"/>
  <c r="L446" i="19"/>
  <c r="L447" i="19"/>
  <c r="L448" i="19"/>
  <c r="L449" i="19"/>
  <c r="L450" i="19"/>
  <c r="L451" i="19"/>
  <c r="L452" i="19"/>
  <c r="L453" i="19"/>
  <c r="L454" i="19"/>
  <c r="L455" i="19"/>
  <c r="L456" i="19"/>
  <c r="L457" i="19"/>
  <c r="L458" i="19"/>
  <c r="L459" i="19"/>
  <c r="L460" i="19"/>
  <c r="L461" i="19"/>
  <c r="L462" i="19"/>
  <c r="L463" i="19"/>
  <c r="L464" i="19"/>
  <c r="L465" i="19"/>
  <c r="L466" i="19"/>
  <c r="L467" i="19"/>
  <c r="L468" i="19"/>
  <c r="L469" i="19"/>
  <c r="L470" i="19"/>
  <c r="L471" i="19"/>
  <c r="L472" i="19"/>
  <c r="L473" i="19"/>
  <c r="L474" i="19"/>
  <c r="L475" i="19"/>
  <c r="L476" i="19"/>
  <c r="L477" i="19"/>
  <c r="L478" i="19"/>
  <c r="L479" i="19"/>
  <c r="L480" i="19"/>
  <c r="L481" i="19"/>
  <c r="L482" i="19"/>
  <c r="L483" i="19"/>
  <c r="L484" i="19"/>
  <c r="L485" i="19"/>
  <c r="L486" i="19"/>
  <c r="L487" i="19"/>
  <c r="L488" i="19"/>
  <c r="L489" i="19"/>
  <c r="L490" i="19"/>
  <c r="L491" i="19"/>
  <c r="L492" i="19"/>
  <c r="L493" i="19"/>
  <c r="L494" i="19"/>
  <c r="L495" i="19"/>
  <c r="L496" i="19"/>
  <c r="L497" i="19"/>
  <c r="L498" i="19"/>
  <c r="L499" i="19"/>
  <c r="L500" i="19"/>
  <c r="L501" i="19"/>
  <c r="L502" i="19"/>
  <c r="L503" i="19"/>
  <c r="L504" i="19"/>
  <c r="L505" i="19"/>
  <c r="L506" i="19"/>
  <c r="L507" i="19"/>
  <c r="L508" i="19"/>
  <c r="L509" i="19"/>
  <c r="L510" i="19"/>
  <c r="L511" i="19"/>
  <c r="L512" i="19"/>
  <c r="L513" i="19"/>
  <c r="L514" i="19"/>
  <c r="L515" i="19"/>
  <c r="L516" i="19"/>
  <c r="L517" i="19"/>
  <c r="L518" i="19"/>
  <c r="L519" i="19"/>
  <c r="L520" i="19"/>
  <c r="L521" i="19"/>
  <c r="L522" i="19"/>
  <c r="L523" i="19"/>
  <c r="L524" i="19"/>
  <c r="L525" i="19"/>
  <c r="L526" i="19"/>
  <c r="L527" i="19"/>
  <c r="L528" i="19"/>
  <c r="L529" i="19"/>
  <c r="L530" i="19"/>
  <c r="L531" i="19"/>
  <c r="L532" i="19"/>
  <c r="L533" i="19"/>
  <c r="L534" i="19"/>
  <c r="L535" i="19"/>
  <c r="L536" i="19"/>
  <c r="L537" i="19"/>
  <c r="L538" i="19"/>
  <c r="L539" i="19"/>
  <c r="L540" i="19"/>
  <c r="L541" i="19"/>
  <c r="L542" i="19"/>
  <c r="L543" i="19"/>
  <c r="L544" i="19"/>
  <c r="L545" i="19"/>
  <c r="L546" i="19"/>
  <c r="L547" i="19"/>
  <c r="L548" i="19"/>
  <c r="L549" i="19"/>
  <c r="L550" i="19"/>
  <c r="L551" i="19"/>
  <c r="L552" i="19"/>
  <c r="L553" i="19"/>
  <c r="L554" i="19"/>
  <c r="L555" i="19"/>
  <c r="L556" i="19"/>
  <c r="L557" i="19"/>
  <c r="L558" i="19"/>
  <c r="L559" i="19"/>
  <c r="L560" i="19"/>
  <c r="L561" i="19"/>
  <c r="L562" i="19"/>
  <c r="L563" i="19"/>
  <c r="L564" i="19"/>
  <c r="L565" i="19"/>
  <c r="L566" i="19"/>
  <c r="L567" i="19"/>
  <c r="L568" i="19"/>
  <c r="L569" i="19"/>
  <c r="L570" i="19"/>
  <c r="L571" i="19"/>
  <c r="L572" i="19"/>
  <c r="L573" i="19"/>
  <c r="L574" i="19"/>
  <c r="L575" i="19"/>
  <c r="L576" i="19"/>
  <c r="L577" i="19"/>
  <c r="L578" i="19"/>
  <c r="L579" i="19"/>
  <c r="L580" i="19"/>
  <c r="L581" i="19"/>
  <c r="L582" i="19"/>
  <c r="L583" i="19"/>
  <c r="L584" i="19"/>
  <c r="L585" i="19"/>
  <c r="L586" i="19"/>
  <c r="L587" i="19"/>
  <c r="L588" i="19"/>
  <c r="L589" i="19"/>
  <c r="L590" i="19"/>
  <c r="L591" i="19"/>
  <c r="L592" i="19"/>
  <c r="L593" i="19"/>
  <c r="L594" i="19"/>
  <c r="L595" i="19"/>
  <c r="L596" i="19"/>
  <c r="L597" i="19"/>
  <c r="L598" i="19"/>
  <c r="L599" i="19"/>
  <c r="L600" i="19"/>
  <c r="L601" i="19"/>
  <c r="L602" i="19"/>
  <c r="L603" i="19"/>
  <c r="L604" i="19"/>
  <c r="L605" i="19"/>
  <c r="L606" i="19"/>
  <c r="L607" i="19"/>
  <c r="L608" i="19"/>
  <c r="L609" i="19"/>
  <c r="L610" i="19"/>
  <c r="L611" i="19"/>
  <c r="L612" i="19"/>
  <c r="L613" i="19"/>
  <c r="L614" i="19"/>
  <c r="L615" i="19"/>
  <c r="L616" i="19"/>
  <c r="L617" i="19"/>
  <c r="L618" i="19"/>
  <c r="L619" i="19"/>
  <c r="L620" i="19"/>
  <c r="L621" i="19"/>
  <c r="L622" i="19"/>
  <c r="L623" i="19"/>
  <c r="L624" i="19"/>
  <c r="L625" i="19"/>
  <c r="L626" i="19"/>
  <c r="L627" i="19"/>
  <c r="L628" i="19"/>
  <c r="L629" i="19"/>
  <c r="L630" i="19"/>
  <c r="L631" i="19"/>
  <c r="L632" i="19"/>
  <c r="L633" i="19"/>
  <c r="L634" i="19"/>
  <c r="L635" i="19"/>
  <c r="L636" i="19"/>
  <c r="L637" i="19"/>
  <c r="L638" i="19"/>
  <c r="L639" i="19"/>
  <c r="L640" i="19"/>
  <c r="L641" i="19"/>
  <c r="L642" i="19"/>
  <c r="L643" i="19"/>
  <c r="L644" i="19"/>
  <c r="L645" i="19"/>
  <c r="L646" i="19"/>
  <c r="L647" i="19"/>
  <c r="L648" i="19"/>
  <c r="L649" i="19"/>
  <c r="L650" i="19"/>
  <c r="L651" i="19"/>
  <c r="L652" i="19"/>
  <c r="L653" i="19"/>
  <c r="L654" i="19"/>
  <c r="L655" i="19"/>
  <c r="L656" i="19"/>
  <c r="L657" i="19"/>
  <c r="L658" i="19"/>
  <c r="L659" i="19"/>
  <c r="L660" i="19"/>
  <c r="L661" i="19"/>
  <c r="L662" i="19"/>
  <c r="L663" i="19"/>
  <c r="L664" i="19"/>
  <c r="L665" i="19"/>
  <c r="L666" i="19"/>
  <c r="L667" i="19"/>
  <c r="L668" i="19"/>
  <c r="L669" i="19"/>
  <c r="L670" i="19"/>
  <c r="L671" i="19"/>
  <c r="L672" i="19"/>
  <c r="L673" i="19"/>
  <c r="L674" i="19"/>
  <c r="L675" i="19"/>
  <c r="L676" i="19"/>
  <c r="L677" i="19"/>
  <c r="L678" i="19"/>
  <c r="L679" i="19"/>
  <c r="L680" i="19"/>
  <c r="L681" i="19"/>
  <c r="L682" i="19"/>
  <c r="L683" i="19"/>
  <c r="L684" i="19"/>
  <c r="L685" i="19"/>
  <c r="L686" i="19"/>
  <c r="L687" i="19"/>
  <c r="L688" i="19"/>
  <c r="L689" i="19"/>
  <c r="L690" i="19"/>
  <c r="L691" i="19"/>
  <c r="L692" i="19"/>
  <c r="L693" i="19"/>
  <c r="L694" i="19"/>
  <c r="L695" i="19"/>
  <c r="L696" i="19"/>
  <c r="L697" i="19"/>
  <c r="L698" i="19"/>
  <c r="L699" i="19"/>
  <c r="L700" i="19"/>
  <c r="L701" i="19"/>
  <c r="L702" i="19"/>
  <c r="L703" i="19"/>
  <c r="L704" i="19"/>
  <c r="L705" i="19"/>
  <c r="L706" i="19"/>
  <c r="L707" i="19"/>
  <c r="L708" i="19"/>
  <c r="L709" i="19"/>
  <c r="L710" i="19"/>
  <c r="L711" i="19"/>
  <c r="L712" i="19"/>
  <c r="L713" i="19"/>
  <c r="L714" i="19"/>
  <c r="L715" i="19"/>
  <c r="L716" i="19"/>
  <c r="L717" i="19"/>
  <c r="L718" i="19"/>
  <c r="L719" i="19"/>
  <c r="L720" i="19"/>
  <c r="L721" i="19"/>
  <c r="L722" i="19"/>
  <c r="L723" i="19"/>
  <c r="L724" i="19"/>
  <c r="L725" i="19"/>
  <c r="L726" i="19"/>
  <c r="L727" i="19"/>
  <c r="L728" i="19"/>
  <c r="L729" i="19"/>
  <c r="L730" i="19"/>
  <c r="L731" i="19"/>
  <c r="L732" i="19"/>
  <c r="L733" i="19"/>
  <c r="L734" i="19"/>
  <c r="L735" i="19"/>
  <c r="L736" i="19"/>
  <c r="L737" i="19"/>
  <c r="L738" i="19"/>
  <c r="L739" i="19"/>
  <c r="L740" i="19"/>
  <c r="L741" i="19"/>
  <c r="L742" i="19"/>
  <c r="L743" i="19"/>
  <c r="L744" i="19"/>
  <c r="L745" i="19"/>
  <c r="L746" i="19"/>
  <c r="L747" i="19"/>
  <c r="L748" i="19"/>
  <c r="L749" i="19"/>
  <c r="L750" i="19"/>
  <c r="L751" i="19"/>
  <c r="L752" i="19"/>
  <c r="L753" i="19"/>
  <c r="L754" i="19"/>
  <c r="L755" i="19"/>
  <c r="L756" i="19"/>
  <c r="L757" i="19"/>
  <c r="L758" i="19"/>
  <c r="L759" i="19"/>
  <c r="L760" i="19"/>
  <c r="L761" i="19"/>
  <c r="L762" i="19"/>
  <c r="L763" i="19"/>
  <c r="L764" i="19"/>
  <c r="L765" i="19"/>
  <c r="L766" i="19"/>
  <c r="L767" i="19"/>
  <c r="L768" i="19"/>
  <c r="L769" i="19"/>
  <c r="L770" i="19"/>
  <c r="L771" i="19"/>
  <c r="L772" i="19"/>
  <c r="L773" i="19"/>
  <c r="L774" i="19"/>
  <c r="L775" i="19"/>
  <c r="L776" i="19"/>
  <c r="L777" i="19"/>
  <c r="L778" i="19"/>
  <c r="L779" i="19"/>
  <c r="L780" i="19"/>
  <c r="L781" i="19"/>
  <c r="L782" i="19"/>
  <c r="L783" i="19"/>
  <c r="L784" i="19"/>
  <c r="L785" i="19"/>
  <c r="L786" i="19"/>
  <c r="L787" i="19"/>
  <c r="L788" i="19"/>
  <c r="L789" i="19"/>
  <c r="L790" i="19"/>
  <c r="L791" i="19"/>
  <c r="L792" i="19"/>
  <c r="L793" i="19"/>
  <c r="L794" i="19"/>
  <c r="L795" i="19"/>
  <c r="L796" i="19"/>
  <c r="L797" i="19"/>
  <c r="L798" i="19"/>
  <c r="L799" i="19"/>
  <c r="L800" i="19"/>
  <c r="L801" i="19"/>
  <c r="L802" i="19"/>
  <c r="L803" i="19"/>
  <c r="L804" i="19"/>
  <c r="L805" i="19"/>
  <c r="L806" i="19"/>
  <c r="L807" i="19"/>
  <c r="L808" i="19"/>
  <c r="L809" i="19"/>
  <c r="L810" i="19"/>
  <c r="L811" i="19"/>
  <c r="L812" i="19"/>
  <c r="L813" i="19"/>
  <c r="L814" i="19"/>
  <c r="L815" i="19"/>
  <c r="L816" i="19"/>
  <c r="L817" i="19"/>
  <c r="L818" i="19"/>
  <c r="L819" i="19"/>
  <c r="L820" i="19"/>
  <c r="L821" i="19"/>
  <c r="L822" i="19"/>
  <c r="L823" i="19"/>
  <c r="L824" i="19"/>
  <c r="L825" i="19"/>
  <c r="L826" i="19"/>
  <c r="L827" i="19"/>
  <c r="L828" i="19"/>
  <c r="L829" i="19"/>
  <c r="L830" i="19"/>
  <c r="L831" i="19"/>
  <c r="L832" i="19"/>
  <c r="L833" i="19"/>
  <c r="L834" i="19"/>
  <c r="L835" i="19"/>
  <c r="L836" i="19"/>
  <c r="L837" i="19"/>
  <c r="L838" i="19"/>
  <c r="L839" i="19"/>
  <c r="L840" i="19"/>
  <c r="L841" i="19"/>
  <c r="L842" i="19"/>
  <c r="L843" i="19"/>
  <c r="L844" i="19"/>
  <c r="L845" i="19"/>
  <c r="L846" i="19"/>
  <c r="L847" i="19"/>
  <c r="L848" i="19"/>
  <c r="L849" i="19"/>
  <c r="L850" i="19"/>
  <c r="L851" i="19"/>
  <c r="L852" i="19"/>
  <c r="L853" i="19"/>
  <c r="L854" i="19"/>
  <c r="L855" i="19"/>
  <c r="L856" i="19"/>
  <c r="L857" i="19"/>
  <c r="L858" i="19"/>
  <c r="L859" i="19"/>
  <c r="L860" i="19"/>
  <c r="L861" i="19"/>
  <c r="L862" i="19"/>
  <c r="L863" i="19"/>
  <c r="L864" i="19"/>
  <c r="L865" i="19"/>
  <c r="L866" i="19"/>
  <c r="L867" i="19"/>
  <c r="L868" i="19"/>
  <c r="L869" i="19"/>
  <c r="L870" i="19"/>
  <c r="L871" i="19"/>
  <c r="L872" i="19"/>
  <c r="L873" i="19"/>
  <c r="L874" i="19"/>
  <c r="L875" i="19"/>
  <c r="L876" i="19"/>
  <c r="L877" i="19"/>
  <c r="L878" i="19"/>
  <c r="L879" i="19"/>
  <c r="L880" i="19"/>
  <c r="L881" i="19"/>
  <c r="L882" i="19"/>
  <c r="L883" i="19"/>
  <c r="L884" i="19"/>
  <c r="L885" i="19"/>
  <c r="L886" i="19"/>
  <c r="L887" i="19"/>
  <c r="L888" i="19"/>
  <c r="L889" i="19"/>
  <c r="L890" i="19"/>
  <c r="L891" i="19"/>
  <c r="L892" i="19"/>
  <c r="L893" i="19"/>
  <c r="L894" i="19"/>
  <c r="L895" i="19"/>
  <c r="L896" i="19"/>
  <c r="L897" i="19"/>
  <c r="L898" i="19"/>
  <c r="L899" i="19"/>
  <c r="L900" i="19"/>
  <c r="L901" i="19"/>
  <c r="L902" i="19"/>
  <c r="L903" i="19"/>
  <c r="L904" i="19"/>
  <c r="L905" i="19"/>
  <c r="L906" i="19"/>
  <c r="L907" i="19"/>
  <c r="L908" i="19"/>
  <c r="L909" i="19"/>
  <c r="L910" i="19"/>
  <c r="L911" i="19"/>
  <c r="L912" i="19"/>
  <c r="L913" i="19"/>
  <c r="L914" i="19"/>
  <c r="L915" i="19"/>
  <c r="L916" i="19"/>
  <c r="L917" i="19"/>
  <c r="L918" i="19"/>
  <c r="L919" i="19"/>
  <c r="L920" i="19"/>
  <c r="L921" i="19"/>
  <c r="L922" i="19"/>
  <c r="L923" i="19"/>
  <c r="L924" i="19"/>
  <c r="L925" i="19"/>
  <c r="L926" i="19"/>
  <c r="L927" i="19"/>
  <c r="L928" i="19"/>
  <c r="L929" i="19"/>
  <c r="L930" i="19"/>
  <c r="L931" i="19"/>
  <c r="L932" i="19"/>
  <c r="L933" i="19"/>
  <c r="L934" i="19"/>
  <c r="L935" i="19"/>
  <c r="L936" i="19"/>
  <c r="L937" i="19"/>
  <c r="L938" i="19"/>
  <c r="L939" i="19"/>
  <c r="L940" i="19"/>
  <c r="L941" i="19"/>
  <c r="L942" i="19"/>
  <c r="L943" i="19"/>
  <c r="L944" i="19"/>
  <c r="L945" i="19"/>
  <c r="L946" i="19"/>
  <c r="L947" i="19"/>
  <c r="L948" i="19"/>
  <c r="L949" i="19"/>
  <c r="L950" i="19"/>
  <c r="L951" i="19"/>
  <c r="L952" i="19"/>
  <c r="L953" i="19"/>
  <c r="L954" i="19"/>
  <c r="L955" i="19"/>
  <c r="L956" i="19"/>
  <c r="L957" i="19"/>
  <c r="L958" i="19"/>
  <c r="L959" i="19"/>
  <c r="L960" i="19"/>
  <c r="L961" i="19"/>
  <c r="L962" i="19"/>
  <c r="L963" i="19"/>
  <c r="L964" i="19"/>
  <c r="L965" i="19"/>
  <c r="L966" i="19"/>
  <c r="L967" i="19"/>
  <c r="L968" i="19"/>
  <c r="L969" i="19"/>
  <c r="L970" i="19"/>
  <c r="L971" i="19"/>
  <c r="L972" i="19"/>
  <c r="L973" i="19"/>
  <c r="L974" i="19"/>
  <c r="L975" i="19"/>
  <c r="L976" i="19"/>
  <c r="L977" i="19"/>
  <c r="L978" i="19"/>
  <c r="L979" i="19"/>
  <c r="L980" i="19"/>
  <c r="L981" i="19"/>
  <c r="L982" i="19"/>
  <c r="L983" i="19"/>
  <c r="L984" i="19"/>
  <c r="L985" i="19"/>
  <c r="L986" i="19"/>
  <c r="L987" i="19"/>
  <c r="L988" i="19"/>
  <c r="L989" i="19"/>
  <c r="L990" i="19"/>
  <c r="L991" i="19"/>
  <c r="L992" i="19"/>
  <c r="L993" i="19"/>
  <c r="L994" i="19"/>
  <c r="L995" i="19"/>
  <c r="L996" i="19"/>
  <c r="L997" i="19"/>
  <c r="L998" i="19"/>
  <c r="L999" i="19"/>
  <c r="L1000" i="19"/>
  <c r="L1001" i="19"/>
  <c r="L1002" i="19"/>
  <c r="L1003" i="19"/>
  <c r="L1004" i="19"/>
  <c r="L1005" i="19"/>
  <c r="L1006" i="19"/>
  <c r="L9" i="19"/>
  <c r="M6" i="19"/>
  <c r="M7" i="19"/>
  <c r="M5" i="19"/>
  <c r="P5" i="19" s="1"/>
  <c r="L6" i="19"/>
  <c r="L7" i="19"/>
  <c r="L5" i="19"/>
  <c r="B29" i="19"/>
  <c r="B30" i="19"/>
  <c r="B31" i="19"/>
  <c r="B32" i="19"/>
  <c r="B33" i="19"/>
  <c r="B28" i="19"/>
  <c r="A29" i="19"/>
  <c r="A30" i="19"/>
  <c r="A31" i="19"/>
  <c r="A32" i="19"/>
  <c r="A33" i="19"/>
  <c r="A28" i="19"/>
  <c r="C12" i="19"/>
  <c r="C13" i="19"/>
  <c r="C14" i="19"/>
  <c r="C15" i="19"/>
  <c r="C16" i="19"/>
  <c r="C17" i="19"/>
  <c r="C18" i="19"/>
  <c r="C19" i="19"/>
  <c r="C20" i="19"/>
  <c r="C21" i="19"/>
  <c r="C22" i="19"/>
  <c r="C11" i="19"/>
  <c r="B12" i="19"/>
  <c r="B13" i="19"/>
  <c r="B14" i="19"/>
  <c r="B15" i="19"/>
  <c r="B16" i="19"/>
  <c r="B17" i="19"/>
  <c r="B18" i="19"/>
  <c r="B19" i="19"/>
  <c r="B20" i="19"/>
  <c r="B21" i="19"/>
  <c r="B22" i="19"/>
  <c r="B11" i="19"/>
  <c r="G3" i="19"/>
  <c r="D38" i="19" s="1"/>
  <c r="C33" i="18"/>
  <c r="E18" i="1" s="1"/>
  <c r="P1006" i="19"/>
  <c r="P1003" i="19"/>
  <c r="P1002" i="19"/>
  <c r="P1000" i="19"/>
  <c r="P999" i="19"/>
  <c r="P998" i="19"/>
  <c r="P997" i="19"/>
  <c r="P996" i="19"/>
  <c r="P994" i="19"/>
  <c r="P993" i="19"/>
  <c r="P990" i="19"/>
  <c r="P988" i="19"/>
  <c r="P987" i="19"/>
  <c r="P985" i="19"/>
  <c r="P984" i="19"/>
  <c r="P983" i="19"/>
  <c r="P978" i="19"/>
  <c r="P974" i="19"/>
  <c r="P973" i="19"/>
  <c r="P972" i="19"/>
  <c r="P971" i="19"/>
  <c r="P970" i="19"/>
  <c r="P966" i="19"/>
  <c r="P963" i="19"/>
  <c r="P962" i="19"/>
  <c r="P961" i="19"/>
  <c r="P960" i="19"/>
  <c r="P959" i="19"/>
  <c r="P958" i="19"/>
  <c r="P956" i="19"/>
  <c r="P954" i="19"/>
  <c r="P951" i="19"/>
  <c r="P950" i="19"/>
  <c r="P949" i="19"/>
  <c r="P948" i="19"/>
  <c r="P947" i="19"/>
  <c r="P946" i="19"/>
  <c r="P943" i="19"/>
  <c r="P942" i="19"/>
  <c r="P938" i="19"/>
  <c r="P937" i="19"/>
  <c r="P936" i="19"/>
  <c r="P935" i="19"/>
  <c r="P934" i="19"/>
  <c r="P930" i="19"/>
  <c r="P927" i="19"/>
  <c r="P926" i="19"/>
  <c r="P925" i="19"/>
  <c r="P924" i="19"/>
  <c r="P923" i="19"/>
  <c r="P918" i="19"/>
  <c r="P916" i="19"/>
  <c r="P915" i="19"/>
  <c r="P914" i="19"/>
  <c r="P913" i="19"/>
  <c r="P912" i="19"/>
  <c r="P911" i="19"/>
  <c r="P910" i="19"/>
  <c r="P908" i="19"/>
  <c r="P906" i="19"/>
  <c r="P902" i="19"/>
  <c r="P901" i="19"/>
  <c r="P900" i="19"/>
  <c r="P899" i="19"/>
  <c r="P898" i="19"/>
  <c r="P894" i="19"/>
  <c r="P891" i="19"/>
  <c r="P890" i="19"/>
  <c r="P889" i="19"/>
  <c r="P888" i="19"/>
  <c r="P887" i="19"/>
  <c r="P886" i="19"/>
  <c r="P882" i="19"/>
  <c r="P879" i="19"/>
  <c r="P878" i="19"/>
  <c r="P877" i="19"/>
  <c r="P876" i="19"/>
  <c r="P875" i="19"/>
  <c r="P874" i="19"/>
  <c r="P870" i="19"/>
  <c r="P866" i="19"/>
  <c r="P865" i="19"/>
  <c r="P864" i="19"/>
  <c r="P863" i="19"/>
  <c r="P862" i="19"/>
  <c r="P858" i="19"/>
  <c r="P856" i="19"/>
  <c r="P855" i="19"/>
  <c r="P854" i="19"/>
  <c r="P853" i="19"/>
  <c r="P852" i="19"/>
  <c r="P851" i="19"/>
  <c r="P850" i="19"/>
  <c r="P846" i="19"/>
  <c r="P845" i="19"/>
  <c r="P842" i="19"/>
  <c r="P841" i="19"/>
  <c r="P840" i="19"/>
  <c r="P839" i="19"/>
  <c r="P838" i="19"/>
  <c r="P834" i="19"/>
  <c r="P832" i="19"/>
  <c r="P830" i="19"/>
  <c r="P829" i="19"/>
  <c r="P828" i="19"/>
  <c r="P827" i="19"/>
  <c r="P826" i="19"/>
  <c r="P823" i="19"/>
  <c r="P822" i="19"/>
  <c r="P818" i="19"/>
  <c r="P817" i="19"/>
  <c r="P816" i="19"/>
  <c r="P815" i="19"/>
  <c r="P814" i="19"/>
  <c r="P811" i="19"/>
  <c r="P810" i="19"/>
  <c r="P808" i="19"/>
  <c r="P806" i="19"/>
  <c r="P805" i="19"/>
  <c r="P804" i="19"/>
  <c r="P803" i="19"/>
  <c r="P802" i="19"/>
  <c r="P798" i="19"/>
  <c r="P796" i="19"/>
  <c r="P795" i="19"/>
  <c r="P794" i="19"/>
  <c r="P793" i="19"/>
  <c r="P792" i="19"/>
  <c r="P791" i="19"/>
  <c r="P790" i="19"/>
  <c r="P787" i="19"/>
  <c r="P786" i="19"/>
  <c r="P782" i="19"/>
  <c r="P781" i="19"/>
  <c r="P780" i="19"/>
  <c r="P779" i="19"/>
  <c r="P778" i="19"/>
  <c r="P775" i="19"/>
  <c r="P774" i="19"/>
  <c r="P772" i="19"/>
  <c r="P770" i="19"/>
  <c r="P769" i="19"/>
  <c r="P768" i="19"/>
  <c r="P767" i="19"/>
  <c r="P766" i="19"/>
  <c r="P762" i="19"/>
  <c r="P759" i="19"/>
  <c r="P758" i="19"/>
  <c r="P757" i="19"/>
  <c r="P756" i="19"/>
  <c r="P755" i="19"/>
  <c r="P754" i="19"/>
  <c r="P751" i="19"/>
  <c r="P750" i="19"/>
  <c r="P746" i="19"/>
  <c r="P745" i="19"/>
  <c r="P744" i="19"/>
  <c r="P743" i="19"/>
  <c r="P742" i="19"/>
  <c r="P739" i="19"/>
  <c r="P738" i="19"/>
  <c r="P736" i="19"/>
  <c r="P734" i="19"/>
  <c r="P733" i="19"/>
  <c r="P732" i="19"/>
  <c r="P731" i="19"/>
  <c r="P730" i="19"/>
  <c r="P726" i="19"/>
  <c r="P724" i="19"/>
  <c r="P723" i="19"/>
  <c r="P722" i="19"/>
  <c r="P721" i="19"/>
  <c r="P720" i="19"/>
  <c r="P719" i="19"/>
  <c r="P718" i="19"/>
  <c r="P715" i="19"/>
  <c r="P714" i="19"/>
  <c r="P710" i="19"/>
  <c r="P709" i="19"/>
  <c r="P708" i="19"/>
  <c r="P707" i="19"/>
  <c r="P706" i="19"/>
  <c r="P703" i="19"/>
  <c r="P702" i="19"/>
  <c r="P700" i="19"/>
  <c r="P698" i="19"/>
  <c r="P697" i="19"/>
  <c r="P696" i="19"/>
  <c r="P695" i="19"/>
  <c r="P694" i="19"/>
  <c r="P690" i="19"/>
  <c r="P689" i="19"/>
  <c r="P687" i="19"/>
  <c r="P686" i="19"/>
  <c r="P685" i="19"/>
  <c r="P684" i="19"/>
  <c r="P683" i="19"/>
  <c r="P682" i="19"/>
  <c r="P680" i="19"/>
  <c r="P678" i="19"/>
  <c r="P675" i="19"/>
  <c r="P674" i="19"/>
  <c r="P673" i="19"/>
  <c r="P672" i="19"/>
  <c r="P671" i="19"/>
  <c r="P670" i="19"/>
  <c r="P668" i="19"/>
  <c r="P666" i="19"/>
  <c r="P665" i="19"/>
  <c r="P662" i="19"/>
  <c r="P661" i="19"/>
  <c r="P660" i="19"/>
  <c r="P659" i="19"/>
  <c r="P658" i="19"/>
  <c r="P654" i="19"/>
  <c r="P652" i="19"/>
  <c r="P650" i="19"/>
  <c r="P649" i="19"/>
  <c r="P648" i="19"/>
  <c r="P647" i="19"/>
  <c r="P646" i="19"/>
  <c r="P644" i="19"/>
  <c r="P643" i="19"/>
  <c r="P642" i="19"/>
  <c r="P639" i="19"/>
  <c r="P638" i="19"/>
  <c r="P637" i="19"/>
  <c r="P636" i="19"/>
  <c r="P635" i="19"/>
  <c r="P634" i="19"/>
  <c r="P631" i="19"/>
  <c r="P630" i="19"/>
  <c r="P629" i="19"/>
  <c r="P626" i="19"/>
  <c r="P625" i="19"/>
  <c r="P624" i="19"/>
  <c r="P623" i="19"/>
  <c r="P622" i="19"/>
  <c r="P618" i="19"/>
  <c r="P616" i="19"/>
  <c r="P614" i="19"/>
  <c r="P613" i="19"/>
  <c r="P612" i="19"/>
  <c r="P611" i="19"/>
  <c r="P610" i="19"/>
  <c r="P607" i="19"/>
  <c r="P606" i="19"/>
  <c r="P603" i="19"/>
  <c r="P602" i="19"/>
  <c r="P601" i="19"/>
  <c r="P600" i="19"/>
  <c r="P599" i="19"/>
  <c r="P598" i="19"/>
  <c r="P595" i="19"/>
  <c r="P594" i="19"/>
  <c r="P592" i="19"/>
  <c r="P590" i="19"/>
  <c r="P589" i="19"/>
  <c r="P588" i="19"/>
  <c r="P587" i="19"/>
  <c r="P586" i="19"/>
  <c r="P585" i="19"/>
  <c r="P582" i="19"/>
  <c r="P580" i="19"/>
  <c r="P579" i="19"/>
  <c r="P578" i="19"/>
  <c r="P577" i="19"/>
  <c r="P576" i="19"/>
  <c r="P575" i="19"/>
  <c r="P574" i="19"/>
  <c r="P572" i="19"/>
  <c r="P570" i="19"/>
  <c r="P569" i="19"/>
  <c r="P566" i="19"/>
  <c r="P565" i="19"/>
  <c r="P564" i="19"/>
  <c r="P563" i="19"/>
  <c r="P562" i="19"/>
  <c r="P558" i="19"/>
  <c r="P557" i="19"/>
  <c r="P555" i="19"/>
  <c r="P554" i="19"/>
  <c r="P553" i="19"/>
  <c r="P552" i="19"/>
  <c r="P551" i="19"/>
  <c r="P550" i="19"/>
  <c r="P548" i="19"/>
  <c r="P547" i="19"/>
  <c r="P546" i="19"/>
  <c r="P543" i="19"/>
  <c r="P542" i="19"/>
  <c r="P541" i="19"/>
  <c r="P540" i="19"/>
  <c r="P539" i="19"/>
  <c r="P538" i="19"/>
  <c r="P535" i="19"/>
  <c r="P534" i="19"/>
  <c r="P533" i="19"/>
  <c r="P530" i="19"/>
  <c r="P529" i="19"/>
  <c r="P528" i="19"/>
  <c r="P527" i="19"/>
  <c r="P526" i="19"/>
  <c r="P522" i="19"/>
  <c r="P520" i="19"/>
  <c r="P519" i="19"/>
  <c r="P518" i="19"/>
  <c r="P517" i="19"/>
  <c r="P516" i="19"/>
  <c r="P515" i="19"/>
  <c r="P514" i="19"/>
  <c r="P512" i="19"/>
  <c r="P510" i="19"/>
  <c r="P507" i="19"/>
  <c r="P506" i="19"/>
  <c r="P505" i="19"/>
  <c r="P504" i="19"/>
  <c r="P503" i="19"/>
  <c r="P502" i="19"/>
  <c r="P499" i="19"/>
  <c r="P498" i="19"/>
  <c r="P496" i="19"/>
  <c r="P494" i="19"/>
  <c r="P493" i="19"/>
  <c r="P492" i="19"/>
  <c r="P491" i="19"/>
  <c r="P490" i="19"/>
  <c r="P486" i="19"/>
  <c r="P484" i="19"/>
  <c r="P483" i="19"/>
  <c r="P482" i="19"/>
  <c r="P481" i="19"/>
  <c r="P480" i="19"/>
  <c r="P479" i="19"/>
  <c r="P478" i="19"/>
  <c r="P475" i="19"/>
  <c r="P474" i="19"/>
  <c r="P471" i="19"/>
  <c r="P470" i="19"/>
  <c r="P469" i="19"/>
  <c r="P468" i="19"/>
  <c r="P467" i="19"/>
  <c r="P466" i="19"/>
  <c r="P463" i="19"/>
  <c r="P462" i="19"/>
  <c r="P460" i="19"/>
  <c r="P458" i="19"/>
  <c r="P457" i="19"/>
  <c r="P456" i="19"/>
  <c r="P455" i="19"/>
  <c r="P454" i="19"/>
  <c r="P453" i="19"/>
  <c r="P450" i="19"/>
  <c r="P448" i="19"/>
  <c r="P447" i="19"/>
  <c r="P446" i="19"/>
  <c r="P445" i="19"/>
  <c r="P444" i="19"/>
  <c r="P443" i="19"/>
  <c r="P442" i="19"/>
  <c r="P440" i="19"/>
  <c r="P438" i="19"/>
  <c r="P434" i="19"/>
  <c r="P433" i="19"/>
  <c r="P432" i="19"/>
  <c r="P431" i="19"/>
  <c r="P430" i="19"/>
  <c r="P426" i="19"/>
  <c r="P425" i="19"/>
  <c r="P423" i="19"/>
  <c r="P422" i="19"/>
  <c r="P421" i="19"/>
  <c r="P420" i="19"/>
  <c r="P419" i="19"/>
  <c r="P418" i="19"/>
  <c r="P415" i="19"/>
  <c r="P414" i="19"/>
  <c r="P411" i="19"/>
  <c r="P410" i="19"/>
  <c r="P409" i="19"/>
  <c r="P408" i="19"/>
  <c r="P407" i="19"/>
  <c r="P406" i="19"/>
  <c r="P403" i="19"/>
  <c r="P402" i="19"/>
  <c r="P401" i="19"/>
  <c r="P398" i="19"/>
  <c r="P397" i="19"/>
  <c r="P396" i="19"/>
  <c r="P395" i="19"/>
  <c r="P394" i="19"/>
  <c r="P390" i="19"/>
  <c r="P389" i="19"/>
  <c r="P387" i="19"/>
  <c r="P386" i="19"/>
  <c r="P385" i="19"/>
  <c r="P384" i="19"/>
  <c r="P383" i="19"/>
  <c r="P382" i="19"/>
  <c r="P380" i="19"/>
  <c r="P379" i="19"/>
  <c r="P378" i="19"/>
  <c r="P375" i="19"/>
  <c r="P374" i="19"/>
  <c r="P373" i="19"/>
  <c r="P372" i="19"/>
  <c r="P371" i="19"/>
  <c r="P370" i="19"/>
  <c r="P368" i="19"/>
  <c r="P366" i="19"/>
  <c r="P365" i="19"/>
  <c r="P362" i="19"/>
  <c r="P361" i="19"/>
  <c r="P360" i="19"/>
  <c r="P359" i="19"/>
  <c r="P358" i="19"/>
  <c r="P354" i="19"/>
  <c r="P351" i="19"/>
  <c r="P350" i="19"/>
  <c r="P349" i="19"/>
  <c r="P348" i="19"/>
  <c r="P347" i="19"/>
  <c r="P346" i="19"/>
  <c r="P344" i="19"/>
  <c r="P343" i="19"/>
  <c r="P342" i="19"/>
  <c r="P339" i="19"/>
  <c r="P338" i="19"/>
  <c r="P337" i="19"/>
  <c r="P336" i="19"/>
  <c r="P335" i="19"/>
  <c r="P334" i="19"/>
  <c r="P331" i="19"/>
  <c r="P330" i="19"/>
  <c r="P326" i="19"/>
  <c r="P325" i="19"/>
  <c r="P324" i="19"/>
  <c r="P323" i="19"/>
  <c r="P322" i="19"/>
  <c r="P318" i="19"/>
  <c r="P316" i="19"/>
  <c r="P315" i="19"/>
  <c r="P314" i="19"/>
  <c r="P313" i="19"/>
  <c r="P312" i="19"/>
  <c r="P311" i="19"/>
  <c r="P310" i="19"/>
  <c r="P309" i="19"/>
  <c r="P307" i="19"/>
  <c r="P306" i="19"/>
  <c r="P302" i="19"/>
  <c r="P301" i="19"/>
  <c r="P300" i="19"/>
  <c r="P299" i="19"/>
  <c r="P298" i="19"/>
  <c r="P295" i="19"/>
  <c r="P294" i="19"/>
  <c r="P292" i="19"/>
  <c r="P290" i="19"/>
  <c r="P289" i="19"/>
  <c r="P288" i="19"/>
  <c r="P287" i="19"/>
  <c r="P286" i="19"/>
  <c r="P282" i="19"/>
  <c r="P280" i="19"/>
  <c r="P278" i="19"/>
  <c r="P277" i="19"/>
  <c r="P276" i="19"/>
  <c r="P275" i="19"/>
  <c r="P274" i="19"/>
  <c r="P271" i="19"/>
  <c r="P270" i="19"/>
  <c r="P266" i="19"/>
  <c r="P265" i="19"/>
  <c r="P264" i="19"/>
  <c r="P263" i="19"/>
  <c r="P262" i="19"/>
  <c r="P259" i="19"/>
  <c r="P258" i="19"/>
  <c r="P256" i="19"/>
  <c r="P255" i="19"/>
  <c r="P254" i="19"/>
  <c r="P253" i="19"/>
  <c r="P252" i="19"/>
  <c r="P251" i="19"/>
  <c r="P250" i="19"/>
  <c r="P248" i="19"/>
  <c r="P246" i="19"/>
  <c r="P243" i="19"/>
  <c r="P242" i="19"/>
  <c r="P241" i="19"/>
  <c r="P240" i="19"/>
  <c r="P239" i="19"/>
  <c r="P238" i="19"/>
  <c r="P236" i="19"/>
  <c r="P235" i="19"/>
  <c r="P234" i="19"/>
  <c r="P233" i="19"/>
  <c r="P230" i="19"/>
  <c r="P229" i="19"/>
  <c r="P228" i="19"/>
  <c r="P227" i="19"/>
  <c r="P226" i="19"/>
  <c r="P222" i="19"/>
  <c r="P221" i="19"/>
  <c r="P219" i="19"/>
  <c r="P218" i="19"/>
  <c r="P217" i="19"/>
  <c r="P216" i="19"/>
  <c r="P215" i="19"/>
  <c r="P214" i="19"/>
  <c r="P212" i="19"/>
  <c r="P210" i="19"/>
  <c r="P207" i="19"/>
  <c r="P206" i="19"/>
  <c r="P205" i="19"/>
  <c r="P204" i="19"/>
  <c r="P203" i="19"/>
  <c r="P202" i="19"/>
  <c r="P200" i="19"/>
  <c r="P198" i="19"/>
  <c r="P197" i="19"/>
  <c r="P194" i="19"/>
  <c r="P193" i="19"/>
  <c r="P192" i="19"/>
  <c r="P191" i="19"/>
  <c r="P190" i="19"/>
  <c r="P186" i="19"/>
  <c r="P185" i="19"/>
  <c r="P183" i="19"/>
  <c r="P182" i="19"/>
  <c r="P181" i="19"/>
  <c r="P180" i="19"/>
  <c r="P179" i="19"/>
  <c r="P178" i="19"/>
  <c r="P175" i="19"/>
  <c r="P174" i="19"/>
  <c r="P170" i="19"/>
  <c r="P169" i="19"/>
  <c r="P168" i="19"/>
  <c r="P167" i="19"/>
  <c r="P166" i="19"/>
  <c r="P163" i="19"/>
  <c r="P162" i="19"/>
  <c r="P160" i="19"/>
  <c r="P159" i="19"/>
  <c r="P158" i="19"/>
  <c r="P157" i="19"/>
  <c r="P156" i="19"/>
  <c r="P155" i="19"/>
  <c r="P154" i="19"/>
  <c r="P153" i="19"/>
  <c r="P150" i="19"/>
  <c r="P148" i="19"/>
  <c r="P147" i="19"/>
  <c r="P146" i="19"/>
  <c r="P145" i="19"/>
  <c r="P144" i="19"/>
  <c r="P143" i="19"/>
  <c r="P142" i="19"/>
  <c r="P140" i="19"/>
  <c r="P139" i="19"/>
  <c r="P138" i="19"/>
  <c r="P135" i="19"/>
  <c r="P134" i="19"/>
  <c r="P133" i="19"/>
  <c r="P132" i="19"/>
  <c r="P131" i="19"/>
  <c r="P130" i="19"/>
  <c r="P127" i="19"/>
  <c r="P126" i="19"/>
  <c r="P124" i="19"/>
  <c r="P122" i="19"/>
  <c r="P121" i="19"/>
  <c r="P120" i="19"/>
  <c r="P119" i="19"/>
  <c r="P118" i="19"/>
  <c r="P117" i="19"/>
  <c r="P114" i="19"/>
  <c r="P112" i="19"/>
  <c r="P111" i="19"/>
  <c r="P110" i="19"/>
  <c r="P109" i="19"/>
  <c r="P108" i="19"/>
  <c r="P107" i="19"/>
  <c r="P106" i="19"/>
  <c r="P103" i="19"/>
  <c r="P102" i="19"/>
  <c r="P98" i="19"/>
  <c r="P97" i="19"/>
  <c r="P96" i="19"/>
  <c r="P95" i="19"/>
  <c r="P94" i="19"/>
  <c r="P91" i="19"/>
  <c r="P90" i="19"/>
  <c r="P88" i="19"/>
  <c r="P86" i="19"/>
  <c r="P85" i="19"/>
  <c r="P84" i="19"/>
  <c r="P83" i="19"/>
  <c r="P82" i="19"/>
  <c r="P81" i="19"/>
  <c r="P78" i="19"/>
  <c r="P75" i="19"/>
  <c r="P74" i="19"/>
  <c r="P73" i="19"/>
  <c r="P72" i="19"/>
  <c r="P71" i="19"/>
  <c r="P70" i="19"/>
  <c r="P68" i="19"/>
  <c r="P66" i="19"/>
  <c r="P62" i="19"/>
  <c r="P61" i="19"/>
  <c r="P60" i="19"/>
  <c r="P59" i="19"/>
  <c r="P58" i="19"/>
  <c r="P54" i="19"/>
  <c r="P51" i="19"/>
  <c r="P50" i="19"/>
  <c r="P49" i="19"/>
  <c r="P48" i="19"/>
  <c r="P47" i="19"/>
  <c r="P46" i="19"/>
  <c r="P44" i="19"/>
  <c r="P42" i="19"/>
  <c r="D42" i="19"/>
  <c r="P40" i="19"/>
  <c r="P39" i="19"/>
  <c r="P38" i="19"/>
  <c r="P37" i="19"/>
  <c r="P36" i="19"/>
  <c r="P35" i="19"/>
  <c r="P34" i="19"/>
  <c r="P31" i="19"/>
  <c r="P30" i="19"/>
  <c r="D28" i="19"/>
  <c r="P27" i="19"/>
  <c r="B27" i="19"/>
  <c r="A27" i="19"/>
  <c r="P26" i="19"/>
  <c r="P25" i="19"/>
  <c r="P24" i="19"/>
  <c r="P23" i="19"/>
  <c r="P22" i="19"/>
  <c r="P20" i="19"/>
  <c r="P18" i="19"/>
  <c r="P17" i="19"/>
  <c r="P14" i="19"/>
  <c r="P13" i="19"/>
  <c r="P12" i="19"/>
  <c r="P11" i="19"/>
  <c r="P10" i="19"/>
  <c r="C10" i="19"/>
  <c r="B10" i="19"/>
  <c r="P9" i="19"/>
  <c r="P7" i="19"/>
  <c r="P6" i="19"/>
  <c r="M4" i="19"/>
  <c r="L4" i="19"/>
  <c r="C33" i="16"/>
  <c r="M10" i="17"/>
  <c r="M11" i="17"/>
  <c r="M12" i="17"/>
  <c r="M13" i="17"/>
  <c r="M14" i="17"/>
  <c r="M15" i="17"/>
  <c r="M16" i="17"/>
  <c r="P16" i="17" s="1"/>
  <c r="M17" i="17"/>
  <c r="M18" i="17"/>
  <c r="M19" i="17"/>
  <c r="P19" i="17" s="1"/>
  <c r="M20" i="17"/>
  <c r="P20" i="17" s="1"/>
  <c r="M21" i="17"/>
  <c r="P21" i="17" s="1"/>
  <c r="M22" i="17"/>
  <c r="M23" i="17"/>
  <c r="M24" i="17"/>
  <c r="M25" i="17"/>
  <c r="M26" i="17"/>
  <c r="M27" i="17"/>
  <c r="P27" i="17" s="1"/>
  <c r="M28" i="17"/>
  <c r="P28" i="17" s="1"/>
  <c r="M29" i="17"/>
  <c r="P29" i="17" s="1"/>
  <c r="M30" i="17"/>
  <c r="M31" i="17"/>
  <c r="P31" i="17" s="1"/>
  <c r="M32" i="17"/>
  <c r="P32" i="17" s="1"/>
  <c r="M33" i="17"/>
  <c r="P33" i="17" s="1"/>
  <c r="M34" i="17"/>
  <c r="M35" i="17"/>
  <c r="M36" i="17"/>
  <c r="M37" i="17"/>
  <c r="M38" i="17"/>
  <c r="M39" i="17"/>
  <c r="M40" i="17"/>
  <c r="P40" i="17" s="1"/>
  <c r="M41" i="17"/>
  <c r="P41" i="17" s="1"/>
  <c r="M42" i="17"/>
  <c r="M43" i="17"/>
  <c r="M44" i="17"/>
  <c r="P44" i="17" s="1"/>
  <c r="M45" i="17"/>
  <c r="P45" i="17" s="1"/>
  <c r="M46" i="17"/>
  <c r="M47" i="17"/>
  <c r="M48" i="17"/>
  <c r="M49" i="17"/>
  <c r="M50" i="17"/>
  <c r="M51" i="17"/>
  <c r="M52" i="17"/>
  <c r="P52" i="17" s="1"/>
  <c r="M53" i="17"/>
  <c r="P53" i="17" s="1"/>
  <c r="M54" i="17"/>
  <c r="M55" i="17"/>
  <c r="P55" i="17" s="1"/>
  <c r="M56" i="17"/>
  <c r="P56" i="17" s="1"/>
  <c r="M57" i="17"/>
  <c r="P57" i="17" s="1"/>
  <c r="M58" i="17"/>
  <c r="M59" i="17"/>
  <c r="M60" i="17"/>
  <c r="M61" i="17"/>
  <c r="M62" i="17"/>
  <c r="M63" i="17"/>
  <c r="P63" i="17" s="1"/>
  <c r="M64" i="17"/>
  <c r="P64" i="17" s="1"/>
  <c r="M65" i="17"/>
  <c r="P65" i="17" s="1"/>
  <c r="M66" i="17"/>
  <c r="M67" i="17"/>
  <c r="P67" i="17" s="1"/>
  <c r="M68" i="17"/>
  <c r="M69" i="17"/>
  <c r="P69" i="17" s="1"/>
  <c r="M70" i="17"/>
  <c r="M71" i="17"/>
  <c r="M72" i="17"/>
  <c r="M73" i="17"/>
  <c r="M74" i="17"/>
  <c r="M75" i="17"/>
  <c r="M76" i="17"/>
  <c r="P76" i="17" s="1"/>
  <c r="M77" i="17"/>
  <c r="P77" i="17" s="1"/>
  <c r="M78" i="17"/>
  <c r="M79" i="17"/>
  <c r="P79" i="17" s="1"/>
  <c r="M80" i="17"/>
  <c r="M81" i="17"/>
  <c r="P81" i="17" s="1"/>
  <c r="M82" i="17"/>
  <c r="M83" i="17"/>
  <c r="M84" i="17"/>
  <c r="M85" i="17"/>
  <c r="M86" i="17"/>
  <c r="M87" i="17"/>
  <c r="M88" i="17"/>
  <c r="P88" i="17" s="1"/>
  <c r="M89" i="17"/>
  <c r="P89" i="17" s="1"/>
  <c r="M90" i="17"/>
  <c r="M91" i="17"/>
  <c r="P91" i="17" s="1"/>
  <c r="M92" i="17"/>
  <c r="P92" i="17" s="1"/>
  <c r="M93" i="17"/>
  <c r="P93" i="17" s="1"/>
  <c r="M94" i="17"/>
  <c r="M95" i="17"/>
  <c r="M96" i="17"/>
  <c r="M97" i="17"/>
  <c r="M98" i="17"/>
  <c r="M99" i="17"/>
  <c r="P99" i="17" s="1"/>
  <c r="M100" i="17"/>
  <c r="P100" i="17" s="1"/>
  <c r="M101" i="17"/>
  <c r="P101" i="17" s="1"/>
  <c r="M102" i="17"/>
  <c r="M103" i="17"/>
  <c r="P103" i="17" s="1"/>
  <c r="M104" i="17"/>
  <c r="M105" i="17"/>
  <c r="P105" i="17" s="1"/>
  <c r="M106" i="17"/>
  <c r="M107" i="17"/>
  <c r="M108" i="17"/>
  <c r="M109" i="17"/>
  <c r="M110" i="17"/>
  <c r="M111" i="17"/>
  <c r="M112" i="17"/>
  <c r="P112" i="17" s="1"/>
  <c r="M113" i="17"/>
  <c r="P113" i="17" s="1"/>
  <c r="M114" i="17"/>
  <c r="M115" i="17"/>
  <c r="P115" i="17" s="1"/>
  <c r="M116" i="17"/>
  <c r="M117" i="17"/>
  <c r="P117" i="17" s="1"/>
  <c r="M118" i="17"/>
  <c r="M119" i="17"/>
  <c r="M120" i="17"/>
  <c r="M121" i="17"/>
  <c r="M122" i="17"/>
  <c r="M123" i="17"/>
  <c r="M124" i="17"/>
  <c r="P124" i="17" s="1"/>
  <c r="M125" i="17"/>
  <c r="P125" i="17" s="1"/>
  <c r="M126" i="17"/>
  <c r="M127" i="17"/>
  <c r="P127" i="17" s="1"/>
  <c r="M128" i="17"/>
  <c r="P128" i="17" s="1"/>
  <c r="M129" i="17"/>
  <c r="P129" i="17" s="1"/>
  <c r="M130" i="17"/>
  <c r="M131" i="17"/>
  <c r="M132" i="17"/>
  <c r="M133" i="17"/>
  <c r="M134" i="17"/>
  <c r="M135" i="17"/>
  <c r="P135" i="17" s="1"/>
  <c r="M136" i="17"/>
  <c r="P136" i="17" s="1"/>
  <c r="M137" i="17"/>
  <c r="P137" i="17" s="1"/>
  <c r="M138" i="17"/>
  <c r="M139" i="17"/>
  <c r="P139" i="17" s="1"/>
  <c r="M140" i="17"/>
  <c r="M141" i="17"/>
  <c r="P141" i="17" s="1"/>
  <c r="M142" i="17"/>
  <c r="M143" i="17"/>
  <c r="M144" i="17"/>
  <c r="M145" i="17"/>
  <c r="M146" i="17"/>
  <c r="M147" i="17"/>
  <c r="M148" i="17"/>
  <c r="P148" i="17" s="1"/>
  <c r="M149" i="17"/>
  <c r="P149" i="17" s="1"/>
  <c r="M150" i="17"/>
  <c r="M151" i="17"/>
  <c r="P151" i="17" s="1"/>
  <c r="M152" i="17"/>
  <c r="M153" i="17"/>
  <c r="P153" i="17" s="1"/>
  <c r="M154" i="17"/>
  <c r="M155" i="17"/>
  <c r="M156" i="17"/>
  <c r="M157" i="17"/>
  <c r="M158" i="17"/>
  <c r="M159" i="17"/>
  <c r="M160" i="17"/>
  <c r="M161" i="17"/>
  <c r="P161" i="17" s="1"/>
  <c r="M162" i="17"/>
  <c r="M163" i="17"/>
  <c r="M164" i="17"/>
  <c r="P164" i="17" s="1"/>
  <c r="M165" i="17"/>
  <c r="P165" i="17" s="1"/>
  <c r="M166" i="17"/>
  <c r="M167" i="17"/>
  <c r="M168" i="17"/>
  <c r="M169" i="17"/>
  <c r="M170" i="17"/>
  <c r="M171" i="17"/>
  <c r="P171" i="17" s="1"/>
  <c r="M172" i="17"/>
  <c r="P172" i="17" s="1"/>
  <c r="M173" i="17"/>
  <c r="P173" i="17" s="1"/>
  <c r="M174" i="17"/>
  <c r="M175" i="17"/>
  <c r="M176" i="17"/>
  <c r="M177" i="17"/>
  <c r="P177" i="17" s="1"/>
  <c r="M178" i="17"/>
  <c r="M179" i="17"/>
  <c r="M180" i="17"/>
  <c r="M181" i="17"/>
  <c r="M182" i="17"/>
  <c r="M183" i="17"/>
  <c r="M184" i="17"/>
  <c r="P184" i="17" s="1"/>
  <c r="M185" i="17"/>
  <c r="P185" i="17" s="1"/>
  <c r="M186" i="17"/>
  <c r="M187" i="17"/>
  <c r="P187" i="17" s="1"/>
  <c r="M188" i="17"/>
  <c r="P188" i="17" s="1"/>
  <c r="M189" i="17"/>
  <c r="P189" i="17" s="1"/>
  <c r="M190" i="17"/>
  <c r="M191" i="17"/>
  <c r="M192" i="17"/>
  <c r="M193" i="17"/>
  <c r="M194" i="17"/>
  <c r="M195" i="17"/>
  <c r="P195" i="17" s="1"/>
  <c r="M196" i="17"/>
  <c r="P196" i="17" s="1"/>
  <c r="M197" i="17"/>
  <c r="P197" i="17" s="1"/>
  <c r="M198" i="17"/>
  <c r="M199" i="17"/>
  <c r="P199" i="17" s="1"/>
  <c r="M200" i="17"/>
  <c r="M201" i="17"/>
  <c r="P201" i="17" s="1"/>
  <c r="M202" i="17"/>
  <c r="M203" i="17"/>
  <c r="M204" i="17"/>
  <c r="M205" i="17"/>
  <c r="M206" i="17"/>
  <c r="M207" i="17"/>
  <c r="M208" i="17"/>
  <c r="P208" i="17" s="1"/>
  <c r="M209" i="17"/>
  <c r="P209" i="17" s="1"/>
  <c r="M210" i="17"/>
  <c r="M211" i="17"/>
  <c r="P211" i="17" s="1"/>
  <c r="M212" i="17"/>
  <c r="M213" i="17"/>
  <c r="P213" i="17" s="1"/>
  <c r="M214" i="17"/>
  <c r="M215" i="17"/>
  <c r="M216" i="17"/>
  <c r="M217" i="17"/>
  <c r="M218" i="17"/>
  <c r="M219" i="17"/>
  <c r="M220" i="17"/>
  <c r="P220" i="17" s="1"/>
  <c r="M221" i="17"/>
  <c r="P221" i="17" s="1"/>
  <c r="M222" i="17"/>
  <c r="M223" i="17"/>
  <c r="P223" i="17" s="1"/>
  <c r="M224" i="17"/>
  <c r="P224" i="17" s="1"/>
  <c r="M225" i="17"/>
  <c r="P225" i="17" s="1"/>
  <c r="M226" i="17"/>
  <c r="M227" i="17"/>
  <c r="M228" i="17"/>
  <c r="M229" i="17"/>
  <c r="M230" i="17"/>
  <c r="M231" i="17"/>
  <c r="P231" i="17" s="1"/>
  <c r="M232" i="17"/>
  <c r="P232" i="17" s="1"/>
  <c r="M233" i="17"/>
  <c r="M234" i="17"/>
  <c r="M235" i="17"/>
  <c r="P235" i="17" s="1"/>
  <c r="M236" i="17"/>
  <c r="M237" i="17"/>
  <c r="P237" i="17" s="1"/>
  <c r="M238" i="17"/>
  <c r="M239" i="17"/>
  <c r="M240" i="17"/>
  <c r="M241" i="17"/>
  <c r="M242" i="17"/>
  <c r="M243" i="17"/>
  <c r="M244" i="17"/>
  <c r="M245" i="17"/>
  <c r="P245" i="17" s="1"/>
  <c r="M246" i="17"/>
  <c r="M247" i="17"/>
  <c r="P247" i="17" s="1"/>
  <c r="M248" i="17"/>
  <c r="P248" i="17" s="1"/>
  <c r="M249" i="17"/>
  <c r="P249" i="17" s="1"/>
  <c r="M250" i="17"/>
  <c r="M251" i="17"/>
  <c r="M252" i="17"/>
  <c r="M253" i="17"/>
  <c r="M254" i="17"/>
  <c r="M255" i="17"/>
  <c r="P255" i="17" s="1"/>
  <c r="M256" i="17"/>
  <c r="M257" i="17"/>
  <c r="P257" i="17" s="1"/>
  <c r="M258" i="17"/>
  <c r="M259" i="17"/>
  <c r="M260" i="17"/>
  <c r="P260" i="17" s="1"/>
  <c r="M261" i="17"/>
  <c r="P261" i="17" s="1"/>
  <c r="M262" i="17"/>
  <c r="M263" i="17"/>
  <c r="M264" i="17"/>
  <c r="M265" i="17"/>
  <c r="M266" i="17"/>
  <c r="M267" i="17"/>
  <c r="P267" i="17" s="1"/>
  <c r="M268" i="17"/>
  <c r="P268" i="17" s="1"/>
  <c r="M269" i="17"/>
  <c r="P269" i="17" s="1"/>
  <c r="M270" i="17"/>
  <c r="M271" i="17"/>
  <c r="M272" i="17"/>
  <c r="P272" i="17" s="1"/>
  <c r="M273" i="17"/>
  <c r="P273" i="17" s="1"/>
  <c r="M274" i="17"/>
  <c r="M275" i="17"/>
  <c r="M276" i="17"/>
  <c r="M277" i="17"/>
  <c r="M278" i="17"/>
  <c r="M279" i="17"/>
  <c r="M280" i="17"/>
  <c r="P280" i="17" s="1"/>
  <c r="M281" i="17"/>
  <c r="M282" i="17"/>
  <c r="M283" i="17"/>
  <c r="P283" i="17" s="1"/>
  <c r="M284" i="17"/>
  <c r="P284" i="17" s="1"/>
  <c r="M285" i="17"/>
  <c r="P285" i="17" s="1"/>
  <c r="M286" i="17"/>
  <c r="M287" i="17"/>
  <c r="M288" i="17"/>
  <c r="M289" i="17"/>
  <c r="M290" i="17"/>
  <c r="M291" i="17"/>
  <c r="P291" i="17" s="1"/>
  <c r="M292" i="17"/>
  <c r="P292" i="17" s="1"/>
  <c r="M293" i="17"/>
  <c r="P293" i="17" s="1"/>
  <c r="M294" i="17"/>
  <c r="M295" i="17"/>
  <c r="M296" i="17"/>
  <c r="M297" i="17"/>
  <c r="P297" i="17" s="1"/>
  <c r="M298" i="17"/>
  <c r="M299" i="17"/>
  <c r="M300" i="17"/>
  <c r="M301" i="17"/>
  <c r="M302" i="17"/>
  <c r="M303" i="17"/>
  <c r="M304" i="17"/>
  <c r="P304" i="17" s="1"/>
  <c r="M305" i="17"/>
  <c r="P305" i="17" s="1"/>
  <c r="M306" i="17"/>
  <c r="M307" i="17"/>
  <c r="P307" i="17" s="1"/>
  <c r="M308" i="17"/>
  <c r="M309" i="17"/>
  <c r="P309" i="17" s="1"/>
  <c r="M310" i="17"/>
  <c r="M311" i="17"/>
  <c r="M312" i="17"/>
  <c r="M313" i="17"/>
  <c r="M314" i="17"/>
  <c r="M315" i="17"/>
  <c r="M316" i="17"/>
  <c r="M317" i="17"/>
  <c r="P317" i="17" s="1"/>
  <c r="M318" i="17"/>
  <c r="M319" i="17"/>
  <c r="M320" i="17"/>
  <c r="P320" i="17" s="1"/>
  <c r="M321" i="17"/>
  <c r="P321" i="17" s="1"/>
  <c r="M322" i="17"/>
  <c r="M323" i="17"/>
  <c r="M324" i="17"/>
  <c r="M325" i="17"/>
  <c r="M326" i="17"/>
  <c r="M327" i="17"/>
  <c r="P327" i="17" s="1"/>
  <c r="M328" i="17"/>
  <c r="P328" i="17" s="1"/>
  <c r="M329" i="17"/>
  <c r="P329" i="17" s="1"/>
  <c r="M330" i="17"/>
  <c r="M331" i="17"/>
  <c r="M332" i="17"/>
  <c r="P332" i="17" s="1"/>
  <c r="M333" i="17"/>
  <c r="P333" i="17" s="1"/>
  <c r="M334" i="17"/>
  <c r="M335" i="17"/>
  <c r="M336" i="17"/>
  <c r="M337" i="17"/>
  <c r="M338" i="17"/>
  <c r="M339" i="17"/>
  <c r="P339" i="17" s="1"/>
  <c r="M340" i="17"/>
  <c r="M341" i="17"/>
  <c r="P341" i="17" s="1"/>
  <c r="M342" i="17"/>
  <c r="M343" i="17"/>
  <c r="P343" i="17" s="1"/>
  <c r="M344" i="17"/>
  <c r="P344" i="17" s="1"/>
  <c r="M345" i="17"/>
  <c r="P345" i="17" s="1"/>
  <c r="M346" i="17"/>
  <c r="M347" i="17"/>
  <c r="M348" i="17"/>
  <c r="M349" i="17"/>
  <c r="M350" i="17"/>
  <c r="M351" i="17"/>
  <c r="M352" i="17"/>
  <c r="P352" i="17" s="1"/>
  <c r="M353" i="17"/>
  <c r="P353" i="17" s="1"/>
  <c r="M354" i="17"/>
  <c r="M355" i="17"/>
  <c r="M356" i="17"/>
  <c r="P356" i="17" s="1"/>
  <c r="M357" i="17"/>
  <c r="P357" i="17" s="1"/>
  <c r="M358" i="17"/>
  <c r="M359" i="17"/>
  <c r="M360" i="17"/>
  <c r="M361" i="17"/>
  <c r="M362" i="17"/>
  <c r="M363" i="17"/>
  <c r="P363" i="17" s="1"/>
  <c r="M364" i="17"/>
  <c r="P364" i="17" s="1"/>
  <c r="M365" i="17"/>
  <c r="P365" i="17" s="1"/>
  <c r="M366" i="17"/>
  <c r="M367" i="17"/>
  <c r="P367" i="17" s="1"/>
  <c r="M368" i="17"/>
  <c r="M369" i="17"/>
  <c r="P369" i="17" s="1"/>
  <c r="M370" i="17"/>
  <c r="M371" i="17"/>
  <c r="M372" i="17"/>
  <c r="M373" i="17"/>
  <c r="M374" i="17"/>
  <c r="M375" i="17"/>
  <c r="M376" i="17"/>
  <c r="P376" i="17" s="1"/>
  <c r="M377" i="17"/>
  <c r="P377" i="17" s="1"/>
  <c r="M378" i="17"/>
  <c r="M379" i="17"/>
  <c r="P379" i="17" s="1"/>
  <c r="M380" i="17"/>
  <c r="P380" i="17" s="1"/>
  <c r="M381" i="17"/>
  <c r="P381" i="17" s="1"/>
  <c r="M382" i="17"/>
  <c r="M383" i="17"/>
  <c r="M384" i="17"/>
  <c r="M385" i="17"/>
  <c r="M386" i="17"/>
  <c r="M387" i="17"/>
  <c r="M388" i="17"/>
  <c r="M389" i="17"/>
  <c r="P389" i="17" s="1"/>
  <c r="M390" i="17"/>
  <c r="M391" i="17"/>
  <c r="M392" i="17"/>
  <c r="P392" i="17" s="1"/>
  <c r="M393" i="17"/>
  <c r="P393" i="17" s="1"/>
  <c r="M394" i="17"/>
  <c r="M395" i="17"/>
  <c r="M396" i="17"/>
  <c r="M397" i="17"/>
  <c r="M398" i="17"/>
  <c r="M399" i="17"/>
  <c r="P399" i="17" s="1"/>
  <c r="M400" i="17"/>
  <c r="P400" i="17" s="1"/>
  <c r="M401" i="17"/>
  <c r="P401" i="17" s="1"/>
  <c r="M402" i="17"/>
  <c r="M403" i="17"/>
  <c r="M404" i="17"/>
  <c r="P404" i="17" s="1"/>
  <c r="M405" i="17"/>
  <c r="P405" i="17" s="1"/>
  <c r="M406" i="17"/>
  <c r="M407" i="17"/>
  <c r="M408" i="17"/>
  <c r="M409" i="17"/>
  <c r="M410" i="17"/>
  <c r="M411" i="17"/>
  <c r="P411" i="17" s="1"/>
  <c r="M412" i="17"/>
  <c r="M413" i="17"/>
  <c r="P413" i="17" s="1"/>
  <c r="M414" i="17"/>
  <c r="M415" i="17"/>
  <c r="P415" i="17" s="1"/>
  <c r="M416" i="17"/>
  <c r="P416" i="17" s="1"/>
  <c r="M417" i="17"/>
  <c r="P417" i="17" s="1"/>
  <c r="M418" i="17"/>
  <c r="M419" i="17"/>
  <c r="M420" i="17"/>
  <c r="M421" i="17"/>
  <c r="M422" i="17"/>
  <c r="M423" i="17"/>
  <c r="P423" i="17" s="1"/>
  <c r="M424" i="17"/>
  <c r="M425" i="17"/>
  <c r="P425" i="17" s="1"/>
  <c r="M426" i="17"/>
  <c r="M427" i="17"/>
  <c r="M428" i="17"/>
  <c r="P428" i="17" s="1"/>
  <c r="M429" i="17"/>
  <c r="P429" i="17" s="1"/>
  <c r="M430" i="17"/>
  <c r="M431" i="17"/>
  <c r="M432" i="17"/>
  <c r="M433" i="17"/>
  <c r="M434" i="17"/>
  <c r="M435" i="17"/>
  <c r="P435" i="17" s="1"/>
  <c r="M436" i="17"/>
  <c r="P436" i="17" s="1"/>
  <c r="M437" i="17"/>
  <c r="P437" i="17" s="1"/>
  <c r="M438" i="17"/>
  <c r="M439" i="17"/>
  <c r="M440" i="17"/>
  <c r="P440" i="17" s="1"/>
  <c r="M441" i="17"/>
  <c r="P441" i="17" s="1"/>
  <c r="M442" i="17"/>
  <c r="M443" i="17"/>
  <c r="M444" i="17"/>
  <c r="M445" i="17"/>
  <c r="M446" i="17"/>
  <c r="M447" i="17"/>
  <c r="P447" i="17" s="1"/>
  <c r="M448" i="17"/>
  <c r="M449" i="17"/>
  <c r="P449" i="17" s="1"/>
  <c r="M450" i="17"/>
  <c r="M451" i="17"/>
  <c r="P451" i="17" s="1"/>
  <c r="M452" i="17"/>
  <c r="P452" i="17" s="1"/>
  <c r="M453" i="17"/>
  <c r="P453" i="17" s="1"/>
  <c r="M454" i="17"/>
  <c r="M455" i="17"/>
  <c r="M456" i="17"/>
  <c r="M457" i="17"/>
  <c r="M458" i="17"/>
  <c r="M459" i="17"/>
  <c r="P459" i="17" s="1"/>
  <c r="M460" i="17"/>
  <c r="M461" i="17"/>
  <c r="P461" i="17" s="1"/>
  <c r="M462" i="17"/>
  <c r="M463" i="17"/>
  <c r="M464" i="17"/>
  <c r="P464" i="17" s="1"/>
  <c r="M465" i="17"/>
  <c r="P465" i="17" s="1"/>
  <c r="M466" i="17"/>
  <c r="M467" i="17"/>
  <c r="M468" i="17"/>
  <c r="M469" i="17"/>
  <c r="M470" i="17"/>
  <c r="M471" i="17"/>
  <c r="M472" i="17"/>
  <c r="P472" i="17" s="1"/>
  <c r="M473" i="17"/>
  <c r="P473" i="17" s="1"/>
  <c r="M474" i="17"/>
  <c r="M475" i="17"/>
  <c r="M476" i="17"/>
  <c r="P476" i="17" s="1"/>
  <c r="M477" i="17"/>
  <c r="P477" i="17" s="1"/>
  <c r="M478" i="17"/>
  <c r="M479" i="17"/>
  <c r="M480" i="17"/>
  <c r="M481" i="17"/>
  <c r="M482" i="17"/>
  <c r="M483" i="17"/>
  <c r="M484" i="17"/>
  <c r="P484" i="17" s="1"/>
  <c r="M485" i="17"/>
  <c r="P485" i="17" s="1"/>
  <c r="M486" i="17"/>
  <c r="M487" i="17"/>
  <c r="P487" i="17" s="1"/>
  <c r="M488" i="17"/>
  <c r="P488" i="17" s="1"/>
  <c r="M489" i="17"/>
  <c r="P489" i="17" s="1"/>
  <c r="M490" i="17"/>
  <c r="M491" i="17"/>
  <c r="M492" i="17"/>
  <c r="M493" i="17"/>
  <c r="M494" i="17"/>
  <c r="M495" i="17"/>
  <c r="P495" i="17" s="1"/>
  <c r="M496" i="17"/>
  <c r="P496" i="17" s="1"/>
  <c r="M497" i="17"/>
  <c r="P497" i="17" s="1"/>
  <c r="M498" i="17"/>
  <c r="M499" i="17"/>
  <c r="M500" i="17"/>
  <c r="M501" i="17"/>
  <c r="P501" i="17" s="1"/>
  <c r="M502" i="17"/>
  <c r="M503" i="17"/>
  <c r="M504" i="17"/>
  <c r="M505" i="17"/>
  <c r="M506" i="17"/>
  <c r="M507" i="17"/>
  <c r="M508" i="17"/>
  <c r="P508" i="17" s="1"/>
  <c r="M509" i="17"/>
  <c r="P509" i="17" s="1"/>
  <c r="M510" i="17"/>
  <c r="M511" i="17"/>
  <c r="M512" i="17"/>
  <c r="M513" i="17"/>
  <c r="P513" i="17" s="1"/>
  <c r="M514" i="17"/>
  <c r="M515" i="17"/>
  <c r="M516" i="17"/>
  <c r="M517" i="17"/>
  <c r="M518" i="17"/>
  <c r="M519" i="17"/>
  <c r="M520" i="17"/>
  <c r="P520" i="17" s="1"/>
  <c r="M521" i="17"/>
  <c r="P521" i="17" s="1"/>
  <c r="M522" i="17"/>
  <c r="M523" i="17"/>
  <c r="P523" i="17" s="1"/>
  <c r="M524" i="17"/>
  <c r="P524" i="17" s="1"/>
  <c r="M525" i="17"/>
  <c r="P525" i="17" s="1"/>
  <c r="M526" i="17"/>
  <c r="M527" i="17"/>
  <c r="M528" i="17"/>
  <c r="M529" i="17"/>
  <c r="M530" i="17"/>
  <c r="M531" i="17"/>
  <c r="P531" i="17" s="1"/>
  <c r="M532" i="17"/>
  <c r="M533" i="17"/>
  <c r="P533" i="17" s="1"/>
  <c r="M534" i="17"/>
  <c r="M535" i="17"/>
  <c r="M536" i="17"/>
  <c r="P536" i="17" s="1"/>
  <c r="M537" i="17"/>
  <c r="P537" i="17" s="1"/>
  <c r="M538" i="17"/>
  <c r="M539" i="17"/>
  <c r="M540" i="17"/>
  <c r="M541" i="17"/>
  <c r="M542" i="17"/>
  <c r="M543" i="17"/>
  <c r="M544" i="17"/>
  <c r="P544" i="17" s="1"/>
  <c r="M545" i="17"/>
  <c r="P545" i="17" s="1"/>
  <c r="M546" i="17"/>
  <c r="M547" i="17"/>
  <c r="M548" i="17"/>
  <c r="M549" i="17"/>
  <c r="P549" i="17" s="1"/>
  <c r="M550" i="17"/>
  <c r="M551" i="17"/>
  <c r="M552" i="17"/>
  <c r="M553" i="17"/>
  <c r="M554" i="17"/>
  <c r="M555" i="17"/>
  <c r="M556" i="17"/>
  <c r="M557" i="17"/>
  <c r="P557" i="17" s="1"/>
  <c r="M558" i="17"/>
  <c r="M559" i="17"/>
  <c r="P559" i="17" s="1"/>
  <c r="M560" i="17"/>
  <c r="P560" i="17" s="1"/>
  <c r="M561" i="17"/>
  <c r="P561" i="17" s="1"/>
  <c r="M562" i="17"/>
  <c r="M563" i="17"/>
  <c r="M564" i="17"/>
  <c r="M565" i="17"/>
  <c r="M566" i="17"/>
  <c r="M567" i="17"/>
  <c r="P567" i="17" s="1"/>
  <c r="M568" i="17"/>
  <c r="M569" i="17"/>
  <c r="P569" i="17" s="1"/>
  <c r="M570" i="17"/>
  <c r="M571" i="17"/>
  <c r="M572" i="17"/>
  <c r="P572" i="17" s="1"/>
  <c r="M573" i="17"/>
  <c r="P573" i="17" s="1"/>
  <c r="M574" i="17"/>
  <c r="M575" i="17"/>
  <c r="M576" i="17"/>
  <c r="M577" i="17"/>
  <c r="M578" i="17"/>
  <c r="M579" i="17"/>
  <c r="P579" i="17" s="1"/>
  <c r="M580" i="17"/>
  <c r="P580" i="17" s="1"/>
  <c r="M581" i="17"/>
  <c r="P581" i="17" s="1"/>
  <c r="M582" i="17"/>
  <c r="M583" i="17"/>
  <c r="M584" i="17"/>
  <c r="P584" i="17" s="1"/>
  <c r="M585" i="17"/>
  <c r="P585" i="17" s="1"/>
  <c r="M586" i="17"/>
  <c r="M587" i="17"/>
  <c r="M588" i="17"/>
  <c r="M589" i="17"/>
  <c r="M590" i="17"/>
  <c r="M591" i="17"/>
  <c r="M592" i="17"/>
  <c r="M593" i="17"/>
  <c r="P593" i="17" s="1"/>
  <c r="M594" i="17"/>
  <c r="M595" i="17"/>
  <c r="P595" i="17" s="1"/>
  <c r="M596" i="17"/>
  <c r="P596" i="17" s="1"/>
  <c r="M597" i="17"/>
  <c r="P597" i="17" s="1"/>
  <c r="M598" i="17"/>
  <c r="M599" i="17"/>
  <c r="M600" i="17"/>
  <c r="M601" i="17"/>
  <c r="M602" i="17"/>
  <c r="M603" i="17"/>
  <c r="P603" i="17" s="1"/>
  <c r="M604" i="17"/>
  <c r="M605" i="17"/>
  <c r="P605" i="17" s="1"/>
  <c r="M606" i="17"/>
  <c r="M607" i="17"/>
  <c r="M608" i="17"/>
  <c r="P608" i="17" s="1"/>
  <c r="M609" i="17"/>
  <c r="P609" i="17" s="1"/>
  <c r="M610" i="17"/>
  <c r="M611" i="17"/>
  <c r="M612" i="17"/>
  <c r="M613" i="17"/>
  <c r="M614" i="17"/>
  <c r="M615" i="17"/>
  <c r="P615" i="17" s="1"/>
  <c r="M616" i="17"/>
  <c r="P616" i="17" s="1"/>
  <c r="M617" i="17"/>
  <c r="P617" i="17" s="1"/>
  <c r="M618" i="17"/>
  <c r="M619" i="17"/>
  <c r="P619" i="17" s="1"/>
  <c r="M620" i="17"/>
  <c r="M621" i="17"/>
  <c r="P621" i="17" s="1"/>
  <c r="M622" i="17"/>
  <c r="M623" i="17"/>
  <c r="M624" i="17"/>
  <c r="M625" i="17"/>
  <c r="M626" i="17"/>
  <c r="M627" i="17"/>
  <c r="M628" i="17"/>
  <c r="M629" i="17"/>
  <c r="P629" i="17" s="1"/>
  <c r="M630" i="17"/>
  <c r="M631" i="17"/>
  <c r="P631" i="17" s="1"/>
  <c r="M632" i="17"/>
  <c r="P632" i="17" s="1"/>
  <c r="M633" i="17"/>
  <c r="P633" i="17" s="1"/>
  <c r="M634" i="17"/>
  <c r="M635" i="17"/>
  <c r="M636" i="17"/>
  <c r="M637" i="17"/>
  <c r="M638" i="17"/>
  <c r="M639" i="17"/>
  <c r="P639" i="17" s="1"/>
  <c r="M640" i="17"/>
  <c r="M641" i="17"/>
  <c r="P641" i="17" s="1"/>
  <c r="M642" i="17"/>
  <c r="M643" i="17"/>
  <c r="M644" i="17"/>
  <c r="M645" i="17"/>
  <c r="P645" i="17" s="1"/>
  <c r="M646" i="17"/>
  <c r="M647" i="17"/>
  <c r="M648" i="17"/>
  <c r="M649" i="17"/>
  <c r="M650" i="17"/>
  <c r="M651" i="17"/>
  <c r="M652" i="17"/>
  <c r="P652" i="17" s="1"/>
  <c r="M653" i="17"/>
  <c r="P653" i="17" s="1"/>
  <c r="M654" i="17"/>
  <c r="M655" i="17"/>
  <c r="P655" i="17" s="1"/>
  <c r="M656" i="17"/>
  <c r="M657" i="17"/>
  <c r="P657" i="17" s="1"/>
  <c r="M658" i="17"/>
  <c r="M659" i="17"/>
  <c r="M660" i="17"/>
  <c r="M661" i="17"/>
  <c r="M662" i="17"/>
  <c r="M663" i="17"/>
  <c r="M664" i="17"/>
  <c r="P664" i="17" s="1"/>
  <c r="M665" i="17"/>
  <c r="P665" i="17" s="1"/>
  <c r="M666" i="17"/>
  <c r="M667" i="17"/>
  <c r="P667" i="17" s="1"/>
  <c r="M668" i="17"/>
  <c r="P668" i="17" s="1"/>
  <c r="M669" i="17"/>
  <c r="P669" i="17" s="1"/>
  <c r="M670" i="17"/>
  <c r="M671" i="17"/>
  <c r="M672" i="17"/>
  <c r="M673" i="17"/>
  <c r="M674" i="17"/>
  <c r="M675" i="17"/>
  <c r="P675" i="17" s="1"/>
  <c r="M676" i="17"/>
  <c r="P676" i="17" s="1"/>
  <c r="M677" i="17"/>
  <c r="P677" i="17" s="1"/>
  <c r="M678" i="17"/>
  <c r="M679" i="17"/>
  <c r="P679" i="17" s="1"/>
  <c r="M680" i="17"/>
  <c r="M681" i="17"/>
  <c r="P681" i="17" s="1"/>
  <c r="M682" i="17"/>
  <c r="M683" i="17"/>
  <c r="M684" i="17"/>
  <c r="M685" i="17"/>
  <c r="M686" i="17"/>
  <c r="M687" i="17"/>
  <c r="P687" i="17" s="1"/>
  <c r="M688" i="17"/>
  <c r="M689" i="17"/>
  <c r="P689" i="17" s="1"/>
  <c r="M690" i="17"/>
  <c r="M691" i="17"/>
  <c r="P691" i="17" s="1"/>
  <c r="M692" i="17"/>
  <c r="P692" i="17" s="1"/>
  <c r="M693" i="17"/>
  <c r="P693" i="17" s="1"/>
  <c r="M694" i="17"/>
  <c r="M695" i="17"/>
  <c r="M696" i="17"/>
  <c r="M697" i="17"/>
  <c r="M698" i="17"/>
  <c r="M699" i="17"/>
  <c r="P699" i="17" s="1"/>
  <c r="M700" i="17"/>
  <c r="M701" i="17"/>
  <c r="P701" i="17" s="1"/>
  <c r="M702" i="17"/>
  <c r="M703" i="17"/>
  <c r="M704" i="17"/>
  <c r="P704" i="17" s="1"/>
  <c r="M705" i="17"/>
  <c r="P705" i="17" s="1"/>
  <c r="M706" i="17"/>
  <c r="M707" i="17"/>
  <c r="M708" i="17"/>
  <c r="M709" i="17"/>
  <c r="M710" i="17"/>
  <c r="M711" i="17"/>
  <c r="P711" i="17" s="1"/>
  <c r="M712" i="17"/>
  <c r="P712" i="17" s="1"/>
  <c r="M713" i="17"/>
  <c r="P713" i="17" s="1"/>
  <c r="M714" i="17"/>
  <c r="M715" i="17"/>
  <c r="M716" i="17"/>
  <c r="P716" i="17" s="1"/>
  <c r="M717" i="17"/>
  <c r="P717" i="17" s="1"/>
  <c r="M718" i="17"/>
  <c r="M719" i="17"/>
  <c r="M720" i="17"/>
  <c r="M721" i="17"/>
  <c r="M722" i="17"/>
  <c r="M723" i="17"/>
  <c r="M724" i="17"/>
  <c r="P724" i="17" s="1"/>
  <c r="M725" i="17"/>
  <c r="P725" i="17" s="1"/>
  <c r="M726" i="17"/>
  <c r="M727" i="17"/>
  <c r="P727" i="17" s="1"/>
  <c r="M728" i="17"/>
  <c r="P728" i="17" s="1"/>
  <c r="M729" i="17"/>
  <c r="P729" i="17" s="1"/>
  <c r="M730" i="17"/>
  <c r="M731" i="17"/>
  <c r="M732" i="17"/>
  <c r="M733" i="17"/>
  <c r="M734" i="17"/>
  <c r="M735" i="17"/>
  <c r="P735" i="17" s="1"/>
  <c r="M736" i="17"/>
  <c r="M737" i="17"/>
  <c r="P737" i="17" s="1"/>
  <c r="M738" i="17"/>
  <c r="M739" i="17"/>
  <c r="M740" i="17"/>
  <c r="P740" i="17" s="1"/>
  <c r="M741" i="17"/>
  <c r="P741" i="17" s="1"/>
  <c r="M742" i="17"/>
  <c r="M743" i="17"/>
  <c r="M744" i="17"/>
  <c r="M745" i="17"/>
  <c r="M746" i="17"/>
  <c r="M747" i="17"/>
  <c r="P747" i="17" s="1"/>
  <c r="M748" i="17"/>
  <c r="P748" i="17" s="1"/>
  <c r="M749" i="17"/>
  <c r="P749" i="17" s="1"/>
  <c r="M750" i="17"/>
  <c r="M751" i="17"/>
  <c r="M752" i="17"/>
  <c r="M753" i="17"/>
  <c r="P753" i="17" s="1"/>
  <c r="M754" i="17"/>
  <c r="M755" i="17"/>
  <c r="M756" i="17"/>
  <c r="M757" i="17"/>
  <c r="M758" i="17"/>
  <c r="M759" i="17"/>
  <c r="M760" i="17"/>
  <c r="P760" i="17" s="1"/>
  <c r="M761" i="17"/>
  <c r="P761" i="17" s="1"/>
  <c r="M762" i="17"/>
  <c r="M763" i="17"/>
  <c r="P763" i="17" s="1"/>
  <c r="M764" i="17"/>
  <c r="P764" i="17" s="1"/>
  <c r="M765" i="17"/>
  <c r="P765" i="17" s="1"/>
  <c r="M766" i="17"/>
  <c r="M767" i="17"/>
  <c r="M768" i="17"/>
  <c r="M769" i="17"/>
  <c r="M770" i="17"/>
  <c r="M771" i="17"/>
  <c r="P771" i="17" s="1"/>
  <c r="M772" i="17"/>
  <c r="M773" i="17"/>
  <c r="P773" i="17" s="1"/>
  <c r="M774" i="17"/>
  <c r="M775" i="17"/>
  <c r="M776" i="17"/>
  <c r="P776" i="17" s="1"/>
  <c r="M777" i="17"/>
  <c r="P777" i="17" s="1"/>
  <c r="M778" i="17"/>
  <c r="M779" i="17"/>
  <c r="M780" i="17"/>
  <c r="M781" i="17"/>
  <c r="M782" i="17"/>
  <c r="M783" i="17"/>
  <c r="P783" i="17" s="1"/>
  <c r="M784" i="17"/>
  <c r="P784" i="17" s="1"/>
  <c r="M785" i="17"/>
  <c r="P785" i="17" s="1"/>
  <c r="M786" i="17"/>
  <c r="M787" i="17"/>
  <c r="M788" i="17"/>
  <c r="P788" i="17" s="1"/>
  <c r="M789" i="17"/>
  <c r="P789" i="17" s="1"/>
  <c r="M790" i="17"/>
  <c r="M791" i="17"/>
  <c r="M792" i="17"/>
  <c r="M793" i="17"/>
  <c r="M794" i="17"/>
  <c r="M795" i="17"/>
  <c r="P795" i="17" s="1"/>
  <c r="M796" i="17"/>
  <c r="M797" i="17"/>
  <c r="P797" i="17" s="1"/>
  <c r="M798" i="17"/>
  <c r="M799" i="17"/>
  <c r="P799" i="17" s="1"/>
  <c r="M800" i="17"/>
  <c r="P800" i="17" s="1"/>
  <c r="M801" i="17"/>
  <c r="P801" i="17" s="1"/>
  <c r="M802" i="17"/>
  <c r="M803" i="17"/>
  <c r="M804" i="17"/>
  <c r="M805" i="17"/>
  <c r="M806" i="17"/>
  <c r="M807" i="17"/>
  <c r="P807" i="17" s="1"/>
  <c r="M808" i="17"/>
  <c r="P808" i="17" s="1"/>
  <c r="M809" i="17"/>
  <c r="M810" i="17"/>
  <c r="M811" i="17"/>
  <c r="M812" i="17"/>
  <c r="M813" i="17"/>
  <c r="P813" i="17" s="1"/>
  <c r="M814" i="17"/>
  <c r="M815" i="17"/>
  <c r="M816" i="17"/>
  <c r="M817" i="17"/>
  <c r="M818" i="17"/>
  <c r="M819" i="17"/>
  <c r="M820" i="17"/>
  <c r="P820" i="17" s="1"/>
  <c r="M821" i="17"/>
  <c r="P821" i="17" s="1"/>
  <c r="M822" i="17"/>
  <c r="M823" i="17"/>
  <c r="M824" i="17"/>
  <c r="M825" i="17"/>
  <c r="P825" i="17" s="1"/>
  <c r="M826" i="17"/>
  <c r="M827" i="17"/>
  <c r="M828" i="17"/>
  <c r="M829" i="17"/>
  <c r="M830" i="17"/>
  <c r="M831" i="17"/>
  <c r="M832" i="17"/>
  <c r="P832" i="17" s="1"/>
  <c r="M833" i="17"/>
  <c r="P833" i="17" s="1"/>
  <c r="M834" i="17"/>
  <c r="M835" i="17"/>
  <c r="P835" i="17" s="1"/>
  <c r="M836" i="17"/>
  <c r="P836" i="17" s="1"/>
  <c r="M837" i="17"/>
  <c r="P837" i="17" s="1"/>
  <c r="M838" i="17"/>
  <c r="M839" i="17"/>
  <c r="M840" i="17"/>
  <c r="M841" i="17"/>
  <c r="M842" i="17"/>
  <c r="M843" i="17"/>
  <c r="P843" i="17" s="1"/>
  <c r="M844" i="17"/>
  <c r="P844" i="17" s="1"/>
  <c r="M845" i="17"/>
  <c r="P845" i="17" s="1"/>
  <c r="M846" i="17"/>
  <c r="M847" i="17"/>
  <c r="P847" i="17" s="1"/>
  <c r="M848" i="17"/>
  <c r="M849" i="17"/>
  <c r="P849" i="17" s="1"/>
  <c r="M850" i="17"/>
  <c r="M851" i="17"/>
  <c r="M852" i="17"/>
  <c r="M853" i="17"/>
  <c r="M854" i="17"/>
  <c r="M855" i="17"/>
  <c r="M856" i="17"/>
  <c r="P856" i="17" s="1"/>
  <c r="M857" i="17"/>
  <c r="P857" i="17" s="1"/>
  <c r="M858" i="17"/>
  <c r="M859" i="17"/>
  <c r="M860" i="17"/>
  <c r="P860" i="17" s="1"/>
  <c r="M861" i="17"/>
  <c r="P861" i="17" s="1"/>
  <c r="M862" i="17"/>
  <c r="M863" i="17"/>
  <c r="M864" i="17"/>
  <c r="M865" i="17"/>
  <c r="M866" i="17"/>
  <c r="M867" i="17"/>
  <c r="M868" i="17"/>
  <c r="P868" i="17" s="1"/>
  <c r="M869" i="17"/>
  <c r="M870" i="17"/>
  <c r="M871" i="17"/>
  <c r="P871" i="17" s="1"/>
  <c r="M872" i="17"/>
  <c r="P872" i="17" s="1"/>
  <c r="M873" i="17"/>
  <c r="P873" i="17" s="1"/>
  <c r="M874" i="17"/>
  <c r="M875" i="17"/>
  <c r="M876" i="17"/>
  <c r="M877" i="17"/>
  <c r="M878" i="17"/>
  <c r="M879" i="17"/>
  <c r="P879" i="17" s="1"/>
  <c r="M880" i="17"/>
  <c r="P880" i="17" s="1"/>
  <c r="M881" i="17"/>
  <c r="P881" i="17" s="1"/>
  <c r="M882" i="17"/>
  <c r="M883" i="17"/>
  <c r="M884" i="17"/>
  <c r="M885" i="17"/>
  <c r="P885" i="17" s="1"/>
  <c r="M886" i="17"/>
  <c r="M887" i="17"/>
  <c r="M888" i="17"/>
  <c r="M889" i="17"/>
  <c r="M890" i="17"/>
  <c r="M891" i="17"/>
  <c r="M892" i="17"/>
  <c r="P892" i="17" s="1"/>
  <c r="M893" i="17"/>
  <c r="P893" i="17" s="1"/>
  <c r="M894" i="17"/>
  <c r="M895" i="17"/>
  <c r="P895" i="17" s="1"/>
  <c r="M896" i="17"/>
  <c r="M897" i="17"/>
  <c r="P897" i="17" s="1"/>
  <c r="M898" i="17"/>
  <c r="M899" i="17"/>
  <c r="M900" i="17"/>
  <c r="M901" i="17"/>
  <c r="M902" i="17"/>
  <c r="M903" i="17"/>
  <c r="M904" i="17"/>
  <c r="P904" i="17" s="1"/>
  <c r="M905" i="17"/>
  <c r="P905" i="17" s="1"/>
  <c r="M906" i="17"/>
  <c r="M907" i="17"/>
  <c r="M908" i="17"/>
  <c r="P908" i="17" s="1"/>
  <c r="M909" i="17"/>
  <c r="P909" i="17" s="1"/>
  <c r="M910" i="17"/>
  <c r="M911" i="17"/>
  <c r="M912" i="17"/>
  <c r="M913" i="17"/>
  <c r="M914" i="17"/>
  <c r="M915" i="17"/>
  <c r="P915" i="17" s="1"/>
  <c r="M916" i="17"/>
  <c r="P916" i="17" s="1"/>
  <c r="M917" i="17"/>
  <c r="P917" i="17" s="1"/>
  <c r="M918" i="17"/>
  <c r="M919" i="17"/>
  <c r="M920" i="17"/>
  <c r="P920" i="17" s="1"/>
  <c r="M921" i="17"/>
  <c r="P921" i="17" s="1"/>
  <c r="M922" i="17"/>
  <c r="M923" i="17"/>
  <c r="M924" i="17"/>
  <c r="M925" i="17"/>
  <c r="M926" i="17"/>
  <c r="P926" i="17" s="1"/>
  <c r="M927" i="17"/>
  <c r="P927" i="17" s="1"/>
  <c r="M928" i="17"/>
  <c r="P928" i="17" s="1"/>
  <c r="M929" i="17"/>
  <c r="P929" i="17" s="1"/>
  <c r="M930" i="17"/>
  <c r="M931" i="17"/>
  <c r="P931" i="17" s="1"/>
  <c r="M932" i="17"/>
  <c r="P932" i="17" s="1"/>
  <c r="M933" i="17"/>
  <c r="P933" i="17" s="1"/>
  <c r="M934" i="17"/>
  <c r="M935" i="17"/>
  <c r="M936" i="17"/>
  <c r="M937" i="17"/>
  <c r="M938" i="17"/>
  <c r="M939" i="17"/>
  <c r="P939" i="17" s="1"/>
  <c r="M940" i="17"/>
  <c r="P940" i="17" s="1"/>
  <c r="M941" i="17"/>
  <c r="P941" i="17" s="1"/>
  <c r="M942" i="17"/>
  <c r="M943" i="17"/>
  <c r="M944" i="17"/>
  <c r="P944" i="17" s="1"/>
  <c r="M945" i="17"/>
  <c r="P945" i="17" s="1"/>
  <c r="M946" i="17"/>
  <c r="M947" i="17"/>
  <c r="P947" i="17" s="1"/>
  <c r="M948" i="17"/>
  <c r="M949" i="17"/>
  <c r="M950" i="17"/>
  <c r="M951" i="17"/>
  <c r="P951" i="17" s="1"/>
  <c r="M952" i="17"/>
  <c r="P952" i="17" s="1"/>
  <c r="M953" i="17"/>
  <c r="P953" i="17" s="1"/>
  <c r="M954" i="17"/>
  <c r="M955" i="17"/>
  <c r="M956" i="17"/>
  <c r="M957" i="17"/>
  <c r="P957" i="17" s="1"/>
  <c r="M958" i="17"/>
  <c r="M959" i="17"/>
  <c r="M960" i="17"/>
  <c r="M961" i="17"/>
  <c r="M962" i="17"/>
  <c r="P962" i="17" s="1"/>
  <c r="M963" i="17"/>
  <c r="P963" i="17" s="1"/>
  <c r="M964" i="17"/>
  <c r="P964" i="17" s="1"/>
  <c r="M965" i="17"/>
  <c r="P965" i="17" s="1"/>
  <c r="M966" i="17"/>
  <c r="M967" i="17"/>
  <c r="P967" i="17" s="1"/>
  <c r="M968" i="17"/>
  <c r="P968" i="17" s="1"/>
  <c r="M969" i="17"/>
  <c r="P969" i="17" s="1"/>
  <c r="M970" i="17"/>
  <c r="M971" i="17"/>
  <c r="M972" i="17"/>
  <c r="M973" i="17"/>
  <c r="M974" i="17"/>
  <c r="M975" i="17"/>
  <c r="P975" i="17" s="1"/>
  <c r="M976" i="17"/>
  <c r="P976" i="17" s="1"/>
  <c r="M977" i="17"/>
  <c r="M978" i="17"/>
  <c r="M979" i="17"/>
  <c r="P979" i="17" s="1"/>
  <c r="M980" i="17"/>
  <c r="P980" i="17" s="1"/>
  <c r="M981" i="17"/>
  <c r="P981" i="17" s="1"/>
  <c r="M982" i="17"/>
  <c r="M983" i="17"/>
  <c r="P983" i="17" s="1"/>
  <c r="M984" i="17"/>
  <c r="M985" i="17"/>
  <c r="M986" i="17"/>
  <c r="P986" i="17" s="1"/>
  <c r="M987" i="17"/>
  <c r="P987" i="17" s="1"/>
  <c r="M988" i="17"/>
  <c r="P988" i="17" s="1"/>
  <c r="M989" i="17"/>
  <c r="P989" i="17" s="1"/>
  <c r="M990" i="17"/>
  <c r="M991" i="17"/>
  <c r="P991" i="17" s="1"/>
  <c r="M992" i="17"/>
  <c r="P992" i="17" s="1"/>
  <c r="M993" i="17"/>
  <c r="P993" i="17" s="1"/>
  <c r="M994" i="17"/>
  <c r="M995" i="17"/>
  <c r="M996" i="17"/>
  <c r="M997" i="17"/>
  <c r="P997" i="17" s="1"/>
  <c r="M998" i="17"/>
  <c r="M999" i="17"/>
  <c r="P999" i="17" s="1"/>
  <c r="M1000" i="17"/>
  <c r="P1000" i="17" s="1"/>
  <c r="M1001" i="17"/>
  <c r="P1001" i="17" s="1"/>
  <c r="M1002" i="17"/>
  <c r="M1003" i="17"/>
  <c r="P1003" i="17" s="1"/>
  <c r="M1004" i="17"/>
  <c r="P1004" i="17" s="1"/>
  <c r="M1005" i="17"/>
  <c r="P1005" i="17" s="1"/>
  <c r="M1006" i="17"/>
  <c r="M9" i="17"/>
  <c r="M6" i="17"/>
  <c r="M7" i="17"/>
  <c r="M5" i="17"/>
  <c r="L10" i="17"/>
  <c r="L11" i="17"/>
  <c r="L12" i="17"/>
  <c r="L13" i="17"/>
  <c r="L14" i="17"/>
  <c r="L15" i="17"/>
  <c r="L16" i="17"/>
  <c r="L17" i="17"/>
  <c r="L18" i="17"/>
  <c r="L19" i="17"/>
  <c r="L20" i="17"/>
  <c r="L21" i="17"/>
  <c r="L22" i="17"/>
  <c r="L23" i="17"/>
  <c r="L24" i="17"/>
  <c r="L25" i="17"/>
  <c r="L26" i="17"/>
  <c r="L27" i="17"/>
  <c r="L28" i="17"/>
  <c r="L29" i="17"/>
  <c r="L30" i="17"/>
  <c r="L31" i="17"/>
  <c r="L32" i="17"/>
  <c r="L33" i="17"/>
  <c r="L34" i="17"/>
  <c r="L35" i="17"/>
  <c r="L36" i="17"/>
  <c r="L37" i="17"/>
  <c r="L38" i="17"/>
  <c r="L39" i="17"/>
  <c r="L40" i="17"/>
  <c r="L41" i="17"/>
  <c r="L42" i="17"/>
  <c r="L43" i="17"/>
  <c r="L44" i="17"/>
  <c r="L45" i="17"/>
  <c r="L46" i="17"/>
  <c r="L47" i="17"/>
  <c r="L48" i="17"/>
  <c r="L49" i="17"/>
  <c r="L50" i="17"/>
  <c r="L51" i="17"/>
  <c r="L52" i="17"/>
  <c r="L53" i="17"/>
  <c r="L54" i="17"/>
  <c r="L55" i="17"/>
  <c r="L56" i="17"/>
  <c r="L57" i="17"/>
  <c r="L58" i="17"/>
  <c r="L59" i="17"/>
  <c r="L60" i="17"/>
  <c r="L61" i="17"/>
  <c r="L62" i="17"/>
  <c r="L63" i="17"/>
  <c r="L64" i="17"/>
  <c r="L65" i="17"/>
  <c r="L66" i="17"/>
  <c r="L67" i="17"/>
  <c r="L68" i="17"/>
  <c r="L69" i="17"/>
  <c r="L70" i="17"/>
  <c r="L71" i="17"/>
  <c r="L72" i="17"/>
  <c r="L73" i="17"/>
  <c r="L74" i="17"/>
  <c r="L75" i="17"/>
  <c r="L76" i="17"/>
  <c r="L77" i="17"/>
  <c r="L78" i="17"/>
  <c r="L79" i="17"/>
  <c r="L80" i="17"/>
  <c r="L81" i="17"/>
  <c r="L82" i="17"/>
  <c r="L83" i="17"/>
  <c r="L84" i="17"/>
  <c r="L85" i="17"/>
  <c r="L86" i="17"/>
  <c r="L87" i="17"/>
  <c r="L88" i="17"/>
  <c r="L89" i="17"/>
  <c r="L90" i="17"/>
  <c r="L91" i="17"/>
  <c r="L92" i="17"/>
  <c r="L93" i="17"/>
  <c r="L94" i="17"/>
  <c r="L95" i="17"/>
  <c r="L96" i="17"/>
  <c r="L97" i="17"/>
  <c r="L98" i="17"/>
  <c r="L99" i="17"/>
  <c r="L100" i="17"/>
  <c r="L101" i="17"/>
  <c r="L102" i="17"/>
  <c r="L103" i="17"/>
  <c r="L104" i="17"/>
  <c r="L105" i="17"/>
  <c r="L106" i="17"/>
  <c r="L107" i="17"/>
  <c r="L108" i="17"/>
  <c r="L109" i="17"/>
  <c r="L110" i="17"/>
  <c r="L111" i="17"/>
  <c r="L112" i="17"/>
  <c r="L113" i="17"/>
  <c r="L114" i="17"/>
  <c r="L115" i="17"/>
  <c r="L116" i="17"/>
  <c r="L117" i="17"/>
  <c r="L118" i="17"/>
  <c r="L119" i="17"/>
  <c r="L120" i="17"/>
  <c r="L121" i="17"/>
  <c r="L122" i="17"/>
  <c r="L123" i="17"/>
  <c r="L124" i="17"/>
  <c r="L125" i="17"/>
  <c r="L126" i="17"/>
  <c r="L127" i="17"/>
  <c r="L128" i="17"/>
  <c r="L129" i="17"/>
  <c r="L130" i="17"/>
  <c r="L131" i="17"/>
  <c r="L132" i="17"/>
  <c r="L133" i="17"/>
  <c r="L134" i="17"/>
  <c r="L135" i="17"/>
  <c r="L136" i="17"/>
  <c r="L137" i="17"/>
  <c r="L138" i="17"/>
  <c r="L139" i="17"/>
  <c r="L140" i="17"/>
  <c r="L141" i="17"/>
  <c r="L142" i="17"/>
  <c r="L143" i="17"/>
  <c r="L144" i="17"/>
  <c r="L145" i="17"/>
  <c r="L146" i="17"/>
  <c r="L147" i="17"/>
  <c r="L148" i="17"/>
  <c r="L149" i="17"/>
  <c r="L150" i="17"/>
  <c r="L151" i="17"/>
  <c r="L152" i="17"/>
  <c r="L153" i="17"/>
  <c r="L154" i="17"/>
  <c r="L155" i="17"/>
  <c r="L156" i="17"/>
  <c r="L157" i="17"/>
  <c r="L158" i="17"/>
  <c r="L159" i="17"/>
  <c r="L160" i="17"/>
  <c r="L161" i="17"/>
  <c r="L162" i="17"/>
  <c r="L163" i="17"/>
  <c r="L164" i="17"/>
  <c r="L165" i="17"/>
  <c r="L166" i="17"/>
  <c r="L167" i="17"/>
  <c r="L168" i="17"/>
  <c r="L169" i="17"/>
  <c r="L170" i="17"/>
  <c r="L171" i="17"/>
  <c r="L172" i="17"/>
  <c r="L173" i="17"/>
  <c r="L174" i="17"/>
  <c r="L175" i="17"/>
  <c r="L176" i="17"/>
  <c r="L177" i="17"/>
  <c r="L178" i="17"/>
  <c r="L179" i="17"/>
  <c r="L180" i="17"/>
  <c r="L181" i="17"/>
  <c r="L182" i="17"/>
  <c r="L183" i="17"/>
  <c r="L184" i="17"/>
  <c r="L185" i="17"/>
  <c r="L186" i="17"/>
  <c r="L187" i="17"/>
  <c r="L188" i="17"/>
  <c r="L189" i="17"/>
  <c r="L190" i="17"/>
  <c r="L191" i="17"/>
  <c r="L192" i="17"/>
  <c r="L193" i="17"/>
  <c r="L194" i="17"/>
  <c r="L195" i="17"/>
  <c r="L196" i="17"/>
  <c r="L197" i="17"/>
  <c r="L198" i="17"/>
  <c r="L199" i="17"/>
  <c r="L200" i="17"/>
  <c r="L201" i="17"/>
  <c r="L202" i="17"/>
  <c r="L203" i="17"/>
  <c r="L204" i="17"/>
  <c r="L205" i="17"/>
  <c r="L206" i="17"/>
  <c r="L207" i="17"/>
  <c r="L208" i="17"/>
  <c r="L209" i="17"/>
  <c r="L210" i="17"/>
  <c r="L211" i="17"/>
  <c r="L212" i="17"/>
  <c r="L213" i="17"/>
  <c r="L214" i="17"/>
  <c r="L215" i="17"/>
  <c r="L216" i="17"/>
  <c r="L217" i="17"/>
  <c r="L218" i="17"/>
  <c r="L219" i="17"/>
  <c r="L220" i="17"/>
  <c r="L221" i="17"/>
  <c r="L222" i="17"/>
  <c r="L223" i="17"/>
  <c r="L224" i="17"/>
  <c r="L225" i="17"/>
  <c r="L226" i="17"/>
  <c r="L227" i="17"/>
  <c r="L228" i="17"/>
  <c r="L229" i="17"/>
  <c r="L230" i="17"/>
  <c r="L231" i="17"/>
  <c r="L232" i="17"/>
  <c r="L233" i="17"/>
  <c r="L234" i="17"/>
  <c r="L235" i="17"/>
  <c r="L236" i="17"/>
  <c r="L237" i="17"/>
  <c r="L238" i="17"/>
  <c r="L239" i="17"/>
  <c r="L240" i="17"/>
  <c r="L241" i="17"/>
  <c r="L242" i="17"/>
  <c r="L243" i="17"/>
  <c r="L244" i="17"/>
  <c r="L245" i="17"/>
  <c r="L246" i="17"/>
  <c r="L247" i="17"/>
  <c r="L248" i="17"/>
  <c r="L249" i="17"/>
  <c r="L250" i="17"/>
  <c r="L251" i="17"/>
  <c r="L252" i="17"/>
  <c r="L253" i="17"/>
  <c r="L254" i="17"/>
  <c r="L255" i="17"/>
  <c r="L256" i="17"/>
  <c r="L257" i="17"/>
  <c r="L258" i="17"/>
  <c r="L259" i="17"/>
  <c r="L260" i="17"/>
  <c r="L261" i="17"/>
  <c r="L262" i="17"/>
  <c r="L263" i="17"/>
  <c r="L264" i="17"/>
  <c r="L265" i="17"/>
  <c r="L266" i="17"/>
  <c r="L267" i="17"/>
  <c r="L268" i="17"/>
  <c r="L269" i="17"/>
  <c r="L270" i="17"/>
  <c r="L271" i="17"/>
  <c r="L272" i="17"/>
  <c r="L273" i="17"/>
  <c r="L274" i="17"/>
  <c r="L275" i="17"/>
  <c r="L276" i="17"/>
  <c r="L277" i="17"/>
  <c r="L278" i="17"/>
  <c r="L279" i="17"/>
  <c r="L280" i="17"/>
  <c r="L281" i="17"/>
  <c r="L282" i="17"/>
  <c r="L283" i="17"/>
  <c r="L284" i="17"/>
  <c r="L285" i="17"/>
  <c r="L286" i="17"/>
  <c r="L287" i="17"/>
  <c r="L288" i="17"/>
  <c r="L289" i="17"/>
  <c r="L290" i="17"/>
  <c r="L291" i="17"/>
  <c r="L292" i="17"/>
  <c r="L293" i="17"/>
  <c r="L294" i="17"/>
  <c r="L295" i="17"/>
  <c r="L296" i="17"/>
  <c r="L297" i="17"/>
  <c r="L298" i="17"/>
  <c r="L299" i="17"/>
  <c r="L300" i="17"/>
  <c r="L301" i="17"/>
  <c r="L302" i="17"/>
  <c r="L303" i="17"/>
  <c r="L304" i="17"/>
  <c r="L305" i="17"/>
  <c r="L306" i="17"/>
  <c r="L307" i="17"/>
  <c r="L308" i="17"/>
  <c r="L309" i="17"/>
  <c r="L310" i="17"/>
  <c r="L311" i="17"/>
  <c r="L312" i="17"/>
  <c r="L313" i="17"/>
  <c r="L314" i="17"/>
  <c r="L315" i="17"/>
  <c r="L316" i="17"/>
  <c r="L317" i="17"/>
  <c r="L318" i="17"/>
  <c r="L319" i="17"/>
  <c r="L320" i="17"/>
  <c r="L321" i="17"/>
  <c r="L322" i="17"/>
  <c r="L323" i="17"/>
  <c r="L324" i="17"/>
  <c r="L325" i="17"/>
  <c r="L326" i="17"/>
  <c r="L327" i="17"/>
  <c r="L328" i="17"/>
  <c r="L329" i="17"/>
  <c r="L330" i="17"/>
  <c r="L331" i="17"/>
  <c r="L332" i="17"/>
  <c r="L333" i="17"/>
  <c r="L334" i="17"/>
  <c r="L335" i="17"/>
  <c r="L336" i="17"/>
  <c r="L337" i="17"/>
  <c r="L338" i="17"/>
  <c r="L339" i="17"/>
  <c r="L340" i="17"/>
  <c r="L341" i="17"/>
  <c r="L342" i="17"/>
  <c r="L343" i="17"/>
  <c r="L344" i="17"/>
  <c r="L345" i="17"/>
  <c r="L346" i="17"/>
  <c r="L347" i="17"/>
  <c r="L348" i="17"/>
  <c r="L349" i="17"/>
  <c r="L350" i="17"/>
  <c r="L351" i="17"/>
  <c r="L352" i="17"/>
  <c r="L353" i="17"/>
  <c r="L354" i="17"/>
  <c r="L355" i="17"/>
  <c r="L356" i="17"/>
  <c r="L357" i="17"/>
  <c r="L358" i="17"/>
  <c r="L359" i="17"/>
  <c r="L360" i="17"/>
  <c r="L361" i="17"/>
  <c r="L362" i="17"/>
  <c r="L363" i="17"/>
  <c r="L364" i="17"/>
  <c r="L365" i="17"/>
  <c r="L366" i="17"/>
  <c r="L367" i="17"/>
  <c r="L368" i="17"/>
  <c r="L369" i="17"/>
  <c r="L370" i="17"/>
  <c r="L371" i="17"/>
  <c r="L372" i="17"/>
  <c r="L373" i="17"/>
  <c r="L374" i="17"/>
  <c r="L375" i="17"/>
  <c r="L376" i="17"/>
  <c r="L377" i="17"/>
  <c r="L378" i="17"/>
  <c r="L379" i="17"/>
  <c r="L380" i="17"/>
  <c r="L381" i="17"/>
  <c r="L382" i="17"/>
  <c r="L383" i="17"/>
  <c r="L384" i="17"/>
  <c r="L385" i="17"/>
  <c r="L386" i="17"/>
  <c r="L387" i="17"/>
  <c r="L388" i="17"/>
  <c r="L389" i="17"/>
  <c r="L390" i="17"/>
  <c r="L391" i="17"/>
  <c r="L392" i="17"/>
  <c r="L393" i="17"/>
  <c r="L394" i="17"/>
  <c r="L395" i="17"/>
  <c r="L396" i="17"/>
  <c r="L397" i="17"/>
  <c r="L398" i="17"/>
  <c r="L399" i="17"/>
  <c r="L400" i="17"/>
  <c r="L401" i="17"/>
  <c r="L402" i="17"/>
  <c r="L403" i="17"/>
  <c r="L404" i="17"/>
  <c r="L405" i="17"/>
  <c r="L406" i="17"/>
  <c r="L407" i="17"/>
  <c r="L408" i="17"/>
  <c r="L409" i="17"/>
  <c r="L410" i="17"/>
  <c r="L411" i="17"/>
  <c r="L412" i="17"/>
  <c r="L413" i="17"/>
  <c r="L414" i="17"/>
  <c r="L415" i="17"/>
  <c r="L416" i="17"/>
  <c r="L417" i="17"/>
  <c r="L418" i="17"/>
  <c r="L419" i="17"/>
  <c r="L420" i="17"/>
  <c r="L421" i="17"/>
  <c r="L422" i="17"/>
  <c r="L423" i="17"/>
  <c r="L424" i="17"/>
  <c r="L425" i="17"/>
  <c r="L426" i="17"/>
  <c r="L427" i="17"/>
  <c r="L428" i="17"/>
  <c r="L429" i="17"/>
  <c r="L430" i="17"/>
  <c r="L431" i="17"/>
  <c r="L432" i="17"/>
  <c r="L433" i="17"/>
  <c r="L434" i="17"/>
  <c r="L435" i="17"/>
  <c r="L436" i="17"/>
  <c r="L437" i="17"/>
  <c r="L438" i="17"/>
  <c r="L439" i="17"/>
  <c r="L440" i="17"/>
  <c r="L441" i="17"/>
  <c r="L442" i="17"/>
  <c r="L443" i="17"/>
  <c r="L444" i="17"/>
  <c r="L445" i="17"/>
  <c r="L446" i="17"/>
  <c r="L447" i="17"/>
  <c r="L448" i="17"/>
  <c r="L449" i="17"/>
  <c r="L450" i="17"/>
  <c r="L451" i="17"/>
  <c r="L452" i="17"/>
  <c r="L453" i="17"/>
  <c r="L454" i="17"/>
  <c r="L455" i="17"/>
  <c r="L456" i="17"/>
  <c r="L457" i="17"/>
  <c r="L458" i="17"/>
  <c r="L459" i="17"/>
  <c r="L460" i="17"/>
  <c r="L461" i="17"/>
  <c r="L462" i="17"/>
  <c r="L463" i="17"/>
  <c r="L464" i="17"/>
  <c r="L465" i="17"/>
  <c r="L466" i="17"/>
  <c r="L467" i="17"/>
  <c r="L468" i="17"/>
  <c r="L469" i="17"/>
  <c r="L470" i="17"/>
  <c r="L471" i="17"/>
  <c r="L472" i="17"/>
  <c r="L473" i="17"/>
  <c r="L474" i="17"/>
  <c r="L475" i="17"/>
  <c r="L476" i="17"/>
  <c r="L477" i="17"/>
  <c r="L478" i="17"/>
  <c r="L479" i="17"/>
  <c r="L480" i="17"/>
  <c r="L481" i="17"/>
  <c r="L482" i="17"/>
  <c r="L483" i="17"/>
  <c r="L484" i="17"/>
  <c r="L485" i="17"/>
  <c r="L486" i="17"/>
  <c r="L487" i="17"/>
  <c r="L488" i="17"/>
  <c r="L489" i="17"/>
  <c r="L490" i="17"/>
  <c r="L491" i="17"/>
  <c r="L492" i="17"/>
  <c r="L493" i="17"/>
  <c r="L494" i="17"/>
  <c r="L495" i="17"/>
  <c r="L496" i="17"/>
  <c r="L497" i="17"/>
  <c r="L498" i="17"/>
  <c r="L499" i="17"/>
  <c r="L500" i="17"/>
  <c r="L501" i="17"/>
  <c r="L502" i="17"/>
  <c r="L503" i="17"/>
  <c r="L504" i="17"/>
  <c r="L505" i="17"/>
  <c r="L506" i="17"/>
  <c r="L507" i="17"/>
  <c r="L508" i="17"/>
  <c r="L509" i="17"/>
  <c r="L510" i="17"/>
  <c r="L511" i="17"/>
  <c r="L512" i="17"/>
  <c r="L513" i="17"/>
  <c r="L514" i="17"/>
  <c r="L515" i="17"/>
  <c r="L516" i="17"/>
  <c r="L517" i="17"/>
  <c r="L518" i="17"/>
  <c r="L519" i="17"/>
  <c r="L520" i="17"/>
  <c r="L521" i="17"/>
  <c r="L522" i="17"/>
  <c r="L523" i="17"/>
  <c r="L524" i="17"/>
  <c r="L525" i="17"/>
  <c r="L526" i="17"/>
  <c r="L527" i="17"/>
  <c r="L528" i="17"/>
  <c r="L529" i="17"/>
  <c r="L530" i="17"/>
  <c r="L531" i="17"/>
  <c r="L532" i="17"/>
  <c r="L533" i="17"/>
  <c r="L534" i="17"/>
  <c r="L535" i="17"/>
  <c r="L536" i="17"/>
  <c r="L537" i="17"/>
  <c r="L538" i="17"/>
  <c r="L539" i="17"/>
  <c r="L540" i="17"/>
  <c r="L541" i="17"/>
  <c r="L542" i="17"/>
  <c r="L543" i="17"/>
  <c r="L544" i="17"/>
  <c r="L545" i="17"/>
  <c r="L546" i="17"/>
  <c r="L547" i="17"/>
  <c r="L548" i="17"/>
  <c r="L549" i="17"/>
  <c r="L550" i="17"/>
  <c r="L551" i="17"/>
  <c r="L552" i="17"/>
  <c r="L553" i="17"/>
  <c r="L554" i="17"/>
  <c r="L555" i="17"/>
  <c r="L556" i="17"/>
  <c r="L557" i="17"/>
  <c r="L558" i="17"/>
  <c r="L559" i="17"/>
  <c r="L560" i="17"/>
  <c r="L561" i="17"/>
  <c r="L562" i="17"/>
  <c r="L563" i="17"/>
  <c r="L564" i="17"/>
  <c r="L565" i="17"/>
  <c r="L566" i="17"/>
  <c r="L567" i="17"/>
  <c r="L568" i="17"/>
  <c r="L569" i="17"/>
  <c r="L570" i="17"/>
  <c r="L571" i="17"/>
  <c r="L572" i="17"/>
  <c r="L573" i="17"/>
  <c r="L574" i="17"/>
  <c r="L575" i="17"/>
  <c r="L576" i="17"/>
  <c r="L577" i="17"/>
  <c r="L578" i="17"/>
  <c r="L579" i="17"/>
  <c r="L580" i="17"/>
  <c r="L581" i="17"/>
  <c r="L582" i="17"/>
  <c r="L583" i="17"/>
  <c r="L584" i="17"/>
  <c r="L585" i="17"/>
  <c r="L586" i="17"/>
  <c r="L587" i="17"/>
  <c r="L588" i="17"/>
  <c r="L589" i="17"/>
  <c r="L590" i="17"/>
  <c r="L591" i="17"/>
  <c r="L592" i="17"/>
  <c r="L593" i="17"/>
  <c r="L594" i="17"/>
  <c r="L595" i="17"/>
  <c r="L596" i="17"/>
  <c r="L597" i="17"/>
  <c r="L598" i="17"/>
  <c r="L599" i="17"/>
  <c r="L600" i="17"/>
  <c r="L601" i="17"/>
  <c r="L602" i="17"/>
  <c r="L603" i="17"/>
  <c r="L604" i="17"/>
  <c r="L605" i="17"/>
  <c r="L606" i="17"/>
  <c r="L607" i="17"/>
  <c r="L608" i="17"/>
  <c r="L609" i="17"/>
  <c r="L610" i="17"/>
  <c r="L611" i="17"/>
  <c r="L612" i="17"/>
  <c r="L613" i="17"/>
  <c r="L614" i="17"/>
  <c r="L615" i="17"/>
  <c r="L616" i="17"/>
  <c r="L617" i="17"/>
  <c r="L618" i="17"/>
  <c r="L619" i="17"/>
  <c r="L620" i="17"/>
  <c r="L621" i="17"/>
  <c r="L622" i="17"/>
  <c r="L623" i="17"/>
  <c r="L624" i="17"/>
  <c r="L625" i="17"/>
  <c r="L626" i="17"/>
  <c r="L627" i="17"/>
  <c r="L628" i="17"/>
  <c r="L629" i="17"/>
  <c r="L630" i="17"/>
  <c r="L631" i="17"/>
  <c r="L632" i="17"/>
  <c r="L633" i="17"/>
  <c r="L634" i="17"/>
  <c r="L635" i="17"/>
  <c r="L636" i="17"/>
  <c r="L637" i="17"/>
  <c r="L638" i="17"/>
  <c r="L639" i="17"/>
  <c r="L640" i="17"/>
  <c r="L641" i="17"/>
  <c r="L642" i="17"/>
  <c r="L643" i="17"/>
  <c r="L644" i="17"/>
  <c r="L645" i="17"/>
  <c r="L646" i="17"/>
  <c r="L647" i="17"/>
  <c r="L648" i="17"/>
  <c r="L649" i="17"/>
  <c r="L650" i="17"/>
  <c r="L651" i="17"/>
  <c r="L652" i="17"/>
  <c r="L653" i="17"/>
  <c r="L654" i="17"/>
  <c r="L655" i="17"/>
  <c r="L656" i="17"/>
  <c r="L657" i="17"/>
  <c r="L658" i="17"/>
  <c r="L659" i="17"/>
  <c r="L660" i="17"/>
  <c r="L661" i="17"/>
  <c r="L662" i="17"/>
  <c r="L663" i="17"/>
  <c r="L664" i="17"/>
  <c r="L665" i="17"/>
  <c r="L666" i="17"/>
  <c r="L667" i="17"/>
  <c r="L668" i="17"/>
  <c r="L669" i="17"/>
  <c r="L670" i="17"/>
  <c r="L671" i="17"/>
  <c r="L672" i="17"/>
  <c r="L673" i="17"/>
  <c r="L674" i="17"/>
  <c r="L675" i="17"/>
  <c r="L676" i="17"/>
  <c r="L677" i="17"/>
  <c r="L678" i="17"/>
  <c r="L679" i="17"/>
  <c r="L680" i="17"/>
  <c r="L681" i="17"/>
  <c r="L682" i="17"/>
  <c r="L683" i="17"/>
  <c r="L684" i="17"/>
  <c r="L685" i="17"/>
  <c r="L686" i="17"/>
  <c r="L687" i="17"/>
  <c r="L688" i="17"/>
  <c r="L689" i="17"/>
  <c r="L690" i="17"/>
  <c r="L691" i="17"/>
  <c r="L692" i="17"/>
  <c r="L693" i="17"/>
  <c r="L694" i="17"/>
  <c r="L695" i="17"/>
  <c r="L696" i="17"/>
  <c r="L697" i="17"/>
  <c r="L698" i="17"/>
  <c r="L699" i="17"/>
  <c r="L700" i="17"/>
  <c r="L701" i="17"/>
  <c r="L702" i="17"/>
  <c r="L703" i="17"/>
  <c r="L704" i="17"/>
  <c r="L705" i="17"/>
  <c r="L706" i="17"/>
  <c r="L707" i="17"/>
  <c r="L708" i="17"/>
  <c r="L709" i="17"/>
  <c r="L710" i="17"/>
  <c r="L711" i="17"/>
  <c r="L712" i="17"/>
  <c r="L713" i="17"/>
  <c r="L714" i="17"/>
  <c r="L715" i="17"/>
  <c r="L716" i="17"/>
  <c r="L717" i="17"/>
  <c r="L718" i="17"/>
  <c r="L719" i="17"/>
  <c r="L720" i="17"/>
  <c r="L721" i="17"/>
  <c r="L722" i="17"/>
  <c r="L723" i="17"/>
  <c r="L724" i="17"/>
  <c r="L725" i="17"/>
  <c r="L726" i="17"/>
  <c r="L727" i="17"/>
  <c r="L728" i="17"/>
  <c r="L729" i="17"/>
  <c r="L730" i="17"/>
  <c r="L731" i="17"/>
  <c r="L732" i="17"/>
  <c r="L733" i="17"/>
  <c r="L734" i="17"/>
  <c r="L735" i="17"/>
  <c r="L736" i="17"/>
  <c r="L737" i="17"/>
  <c r="L738" i="17"/>
  <c r="L739" i="17"/>
  <c r="L740" i="17"/>
  <c r="L741" i="17"/>
  <c r="L742" i="17"/>
  <c r="L743" i="17"/>
  <c r="L744" i="17"/>
  <c r="L745" i="17"/>
  <c r="L746" i="17"/>
  <c r="L747" i="17"/>
  <c r="L748" i="17"/>
  <c r="L749" i="17"/>
  <c r="L750" i="17"/>
  <c r="L751" i="17"/>
  <c r="L752" i="17"/>
  <c r="L753" i="17"/>
  <c r="L754" i="17"/>
  <c r="L755" i="17"/>
  <c r="L756" i="17"/>
  <c r="L757" i="17"/>
  <c r="L758" i="17"/>
  <c r="L759" i="17"/>
  <c r="L760" i="17"/>
  <c r="L761" i="17"/>
  <c r="L762" i="17"/>
  <c r="L763" i="17"/>
  <c r="L764" i="17"/>
  <c r="L765" i="17"/>
  <c r="L766" i="17"/>
  <c r="L767" i="17"/>
  <c r="L768" i="17"/>
  <c r="L769" i="17"/>
  <c r="L770" i="17"/>
  <c r="L771" i="17"/>
  <c r="L772" i="17"/>
  <c r="L773" i="17"/>
  <c r="L774" i="17"/>
  <c r="L775" i="17"/>
  <c r="L776" i="17"/>
  <c r="L777" i="17"/>
  <c r="L778" i="17"/>
  <c r="L779" i="17"/>
  <c r="L780" i="17"/>
  <c r="L781" i="17"/>
  <c r="L782" i="17"/>
  <c r="L783" i="17"/>
  <c r="L784" i="17"/>
  <c r="L785" i="17"/>
  <c r="L786" i="17"/>
  <c r="L787" i="17"/>
  <c r="L788" i="17"/>
  <c r="L789" i="17"/>
  <c r="L790" i="17"/>
  <c r="L791" i="17"/>
  <c r="L792" i="17"/>
  <c r="L793" i="17"/>
  <c r="L794" i="17"/>
  <c r="L795" i="17"/>
  <c r="L796" i="17"/>
  <c r="L797" i="17"/>
  <c r="L798" i="17"/>
  <c r="L799" i="17"/>
  <c r="L800" i="17"/>
  <c r="L801" i="17"/>
  <c r="L802" i="17"/>
  <c r="L803" i="17"/>
  <c r="L804" i="17"/>
  <c r="L805" i="17"/>
  <c r="L806" i="17"/>
  <c r="L807" i="17"/>
  <c r="L808" i="17"/>
  <c r="L809" i="17"/>
  <c r="L810" i="17"/>
  <c r="L811" i="17"/>
  <c r="L812" i="17"/>
  <c r="L813" i="17"/>
  <c r="L814" i="17"/>
  <c r="L815" i="17"/>
  <c r="L816" i="17"/>
  <c r="L817" i="17"/>
  <c r="L818" i="17"/>
  <c r="L819" i="17"/>
  <c r="L820" i="17"/>
  <c r="L821" i="17"/>
  <c r="L822" i="17"/>
  <c r="L823" i="17"/>
  <c r="L824" i="17"/>
  <c r="L825" i="17"/>
  <c r="L826" i="17"/>
  <c r="L827" i="17"/>
  <c r="L828" i="17"/>
  <c r="L829" i="17"/>
  <c r="L830" i="17"/>
  <c r="L831" i="17"/>
  <c r="L832" i="17"/>
  <c r="L833" i="17"/>
  <c r="L834" i="17"/>
  <c r="L835" i="17"/>
  <c r="L836" i="17"/>
  <c r="L837" i="17"/>
  <c r="L838" i="17"/>
  <c r="L839" i="17"/>
  <c r="L840" i="17"/>
  <c r="L841" i="17"/>
  <c r="L842" i="17"/>
  <c r="L843" i="17"/>
  <c r="L844" i="17"/>
  <c r="L845" i="17"/>
  <c r="L846" i="17"/>
  <c r="L847" i="17"/>
  <c r="L848" i="17"/>
  <c r="L849" i="17"/>
  <c r="L850" i="17"/>
  <c r="L851" i="17"/>
  <c r="L852" i="17"/>
  <c r="L853" i="17"/>
  <c r="L854" i="17"/>
  <c r="L855" i="17"/>
  <c r="L856" i="17"/>
  <c r="L857" i="17"/>
  <c r="L858" i="17"/>
  <c r="L859" i="17"/>
  <c r="L860" i="17"/>
  <c r="L861" i="17"/>
  <c r="L862" i="17"/>
  <c r="L863" i="17"/>
  <c r="L864" i="17"/>
  <c r="L865" i="17"/>
  <c r="L866" i="17"/>
  <c r="L867" i="17"/>
  <c r="L868" i="17"/>
  <c r="L869" i="17"/>
  <c r="L870" i="17"/>
  <c r="L871" i="17"/>
  <c r="L872" i="17"/>
  <c r="L873" i="17"/>
  <c r="L874" i="17"/>
  <c r="L875" i="17"/>
  <c r="L876" i="17"/>
  <c r="L877" i="17"/>
  <c r="L878" i="17"/>
  <c r="L879" i="17"/>
  <c r="L880" i="17"/>
  <c r="L881" i="17"/>
  <c r="L882" i="17"/>
  <c r="L883" i="17"/>
  <c r="L884" i="17"/>
  <c r="L885" i="17"/>
  <c r="L886" i="17"/>
  <c r="L887" i="17"/>
  <c r="L888" i="17"/>
  <c r="L889" i="17"/>
  <c r="L890" i="17"/>
  <c r="L891" i="17"/>
  <c r="L892" i="17"/>
  <c r="L893" i="17"/>
  <c r="L894" i="17"/>
  <c r="L895" i="17"/>
  <c r="L896" i="17"/>
  <c r="L897" i="17"/>
  <c r="L898" i="17"/>
  <c r="L899" i="17"/>
  <c r="L900" i="17"/>
  <c r="L901" i="17"/>
  <c r="L902" i="17"/>
  <c r="L903" i="17"/>
  <c r="L904" i="17"/>
  <c r="L905" i="17"/>
  <c r="L906" i="17"/>
  <c r="L907" i="17"/>
  <c r="L908" i="17"/>
  <c r="L909" i="17"/>
  <c r="L910" i="17"/>
  <c r="L911" i="17"/>
  <c r="L912" i="17"/>
  <c r="L913" i="17"/>
  <c r="L914" i="17"/>
  <c r="L915" i="17"/>
  <c r="L916" i="17"/>
  <c r="L917" i="17"/>
  <c r="L918" i="17"/>
  <c r="L919" i="17"/>
  <c r="L920" i="17"/>
  <c r="L921" i="17"/>
  <c r="L922" i="17"/>
  <c r="L923" i="17"/>
  <c r="L924" i="17"/>
  <c r="L925" i="17"/>
  <c r="L926" i="17"/>
  <c r="L927" i="17"/>
  <c r="L928" i="17"/>
  <c r="L929" i="17"/>
  <c r="L930" i="17"/>
  <c r="L931" i="17"/>
  <c r="L932" i="17"/>
  <c r="L933" i="17"/>
  <c r="L934" i="17"/>
  <c r="L935" i="17"/>
  <c r="L936" i="17"/>
  <c r="L937" i="17"/>
  <c r="L938" i="17"/>
  <c r="L939" i="17"/>
  <c r="L940" i="17"/>
  <c r="L941" i="17"/>
  <c r="L942" i="17"/>
  <c r="L943" i="17"/>
  <c r="L944" i="17"/>
  <c r="L945" i="17"/>
  <c r="L946" i="17"/>
  <c r="L947" i="17"/>
  <c r="L948" i="17"/>
  <c r="L949" i="17"/>
  <c r="L950" i="17"/>
  <c r="L951" i="17"/>
  <c r="L952" i="17"/>
  <c r="L953" i="17"/>
  <c r="L954" i="17"/>
  <c r="L955" i="17"/>
  <c r="L956" i="17"/>
  <c r="L957" i="17"/>
  <c r="L958" i="17"/>
  <c r="L959" i="17"/>
  <c r="L960" i="17"/>
  <c r="L961" i="17"/>
  <c r="L962" i="17"/>
  <c r="L963" i="17"/>
  <c r="L964" i="17"/>
  <c r="L965" i="17"/>
  <c r="L966" i="17"/>
  <c r="L967" i="17"/>
  <c r="L968" i="17"/>
  <c r="L969" i="17"/>
  <c r="L970" i="17"/>
  <c r="L971" i="17"/>
  <c r="L972" i="17"/>
  <c r="L973" i="17"/>
  <c r="L974" i="17"/>
  <c r="L975" i="17"/>
  <c r="L976" i="17"/>
  <c r="L977" i="17"/>
  <c r="L978" i="17"/>
  <c r="L979" i="17"/>
  <c r="L980" i="17"/>
  <c r="L981" i="17"/>
  <c r="L982" i="17"/>
  <c r="L983" i="17"/>
  <c r="L984" i="17"/>
  <c r="L985" i="17"/>
  <c r="L986" i="17"/>
  <c r="L987" i="17"/>
  <c r="L988" i="17"/>
  <c r="L989" i="17"/>
  <c r="L990" i="17"/>
  <c r="L991" i="17"/>
  <c r="L992" i="17"/>
  <c r="L993" i="17"/>
  <c r="L994" i="17"/>
  <c r="L995" i="17"/>
  <c r="L996" i="17"/>
  <c r="L997" i="17"/>
  <c r="L998" i="17"/>
  <c r="L999" i="17"/>
  <c r="L1000" i="17"/>
  <c r="L1001" i="17"/>
  <c r="L1002" i="17"/>
  <c r="L1003" i="17"/>
  <c r="L1004" i="17"/>
  <c r="L1005" i="17"/>
  <c r="L1006" i="17"/>
  <c r="L9" i="17"/>
  <c r="L6" i="17"/>
  <c r="L7" i="17"/>
  <c r="L5" i="17"/>
  <c r="B29" i="17"/>
  <c r="B30" i="17"/>
  <c r="B31" i="17"/>
  <c r="B32" i="17"/>
  <c r="B33" i="17"/>
  <c r="B28" i="17"/>
  <c r="A29" i="17"/>
  <c r="A30" i="17"/>
  <c r="A31" i="17"/>
  <c r="A32" i="17"/>
  <c r="A33" i="17"/>
  <c r="A28" i="17"/>
  <c r="C12" i="17"/>
  <c r="C13" i="17"/>
  <c r="C14" i="17"/>
  <c r="C15" i="17"/>
  <c r="C16" i="17"/>
  <c r="C17" i="17"/>
  <c r="C18" i="17"/>
  <c r="C19" i="17"/>
  <c r="C20" i="17"/>
  <c r="C21" i="17"/>
  <c r="C22" i="17"/>
  <c r="C11" i="17"/>
  <c r="B12" i="17"/>
  <c r="B13" i="17"/>
  <c r="B14" i="17"/>
  <c r="B15" i="17"/>
  <c r="B16" i="17"/>
  <c r="B17" i="17"/>
  <c r="B18" i="17"/>
  <c r="B19" i="17"/>
  <c r="B20" i="17"/>
  <c r="B21" i="17"/>
  <c r="B22" i="17"/>
  <c r="B11" i="17"/>
  <c r="G3" i="17"/>
  <c r="D38" i="17" s="1"/>
  <c r="P1006" i="17"/>
  <c r="P1002" i="17"/>
  <c r="P998" i="17"/>
  <c r="P996" i="17"/>
  <c r="P995" i="17"/>
  <c r="P994" i="17"/>
  <c r="P990" i="17"/>
  <c r="P985" i="17"/>
  <c r="P984" i="17"/>
  <c r="P982" i="17"/>
  <c r="P978" i="17"/>
  <c r="P977" i="17"/>
  <c r="P974" i="17"/>
  <c r="P973" i="17"/>
  <c r="P972" i="17"/>
  <c r="P971" i="17"/>
  <c r="P970" i="17"/>
  <c r="P966" i="17"/>
  <c r="P961" i="17"/>
  <c r="P960" i="17"/>
  <c r="P959" i="17"/>
  <c r="P958" i="17"/>
  <c r="P956" i="17"/>
  <c r="P955" i="17"/>
  <c r="P954" i="17"/>
  <c r="P950" i="17"/>
  <c r="P949" i="17"/>
  <c r="P948" i="17"/>
  <c r="P946" i="17"/>
  <c r="P943" i="17"/>
  <c r="P942" i="17"/>
  <c r="P938" i="17"/>
  <c r="P937" i="17"/>
  <c r="P936" i="17"/>
  <c r="P935" i="17"/>
  <c r="P934" i="17"/>
  <c r="P930" i="17"/>
  <c r="P925" i="17"/>
  <c r="P924" i="17"/>
  <c r="P923" i="17"/>
  <c r="P922" i="17"/>
  <c r="P919" i="17"/>
  <c r="P918" i="17"/>
  <c r="P914" i="17"/>
  <c r="P913" i="17"/>
  <c r="P912" i="17"/>
  <c r="P911" i="17"/>
  <c r="P910" i="17"/>
  <c r="P907" i="17"/>
  <c r="P906" i="17"/>
  <c r="P903" i="17"/>
  <c r="P902" i="17"/>
  <c r="P901" i="17"/>
  <c r="P900" i="17"/>
  <c r="P899" i="17"/>
  <c r="P898" i="17"/>
  <c r="P896" i="17"/>
  <c r="P894" i="17"/>
  <c r="P891" i="17"/>
  <c r="P890" i="17"/>
  <c r="P889" i="17"/>
  <c r="P888" i="17"/>
  <c r="P887" i="17"/>
  <c r="P886" i="17"/>
  <c r="P884" i="17"/>
  <c r="P883" i="17"/>
  <c r="P882" i="17"/>
  <c r="P878" i="17"/>
  <c r="P877" i="17"/>
  <c r="P876" i="17"/>
  <c r="P875" i="17"/>
  <c r="P874" i="17"/>
  <c r="P870" i="17"/>
  <c r="P869" i="17"/>
  <c r="P867" i="17"/>
  <c r="P866" i="17"/>
  <c r="P865" i="17"/>
  <c r="P864" i="17"/>
  <c r="P863" i="17"/>
  <c r="P862" i="17"/>
  <c r="P859" i="17"/>
  <c r="P858" i="17"/>
  <c r="P855" i="17"/>
  <c r="P854" i="17"/>
  <c r="P853" i="17"/>
  <c r="P852" i="17"/>
  <c r="P851" i="17"/>
  <c r="P850" i="17"/>
  <c r="P848" i="17"/>
  <c r="P846" i="17"/>
  <c r="P842" i="17"/>
  <c r="P841" i="17"/>
  <c r="P840" i="17"/>
  <c r="P839" i="17"/>
  <c r="P838" i="17"/>
  <c r="P834" i="17"/>
  <c r="P831" i="17"/>
  <c r="P830" i="17"/>
  <c r="P829" i="17"/>
  <c r="P828" i="17"/>
  <c r="P827" i="17"/>
  <c r="P826" i="17"/>
  <c r="P824" i="17"/>
  <c r="P823" i="17"/>
  <c r="P822" i="17"/>
  <c r="P819" i="17"/>
  <c r="P818" i="17"/>
  <c r="P817" i="17"/>
  <c r="P816" i="17"/>
  <c r="P815" i="17"/>
  <c r="P814" i="17"/>
  <c r="P812" i="17"/>
  <c r="P811" i="17"/>
  <c r="P810" i="17"/>
  <c r="P809" i="17"/>
  <c r="P806" i="17"/>
  <c r="P805" i="17"/>
  <c r="P804" i="17"/>
  <c r="P803" i="17"/>
  <c r="P802" i="17"/>
  <c r="P798" i="17"/>
  <c r="P796" i="17"/>
  <c r="P794" i="17"/>
  <c r="P793" i="17"/>
  <c r="P792" i="17"/>
  <c r="P791" i="17"/>
  <c r="P790" i="17"/>
  <c r="P787" i="17"/>
  <c r="P786" i="17"/>
  <c r="P782" i="17"/>
  <c r="P781" i="17"/>
  <c r="P780" i="17"/>
  <c r="P779" i="17"/>
  <c r="P778" i="17"/>
  <c r="P775" i="17"/>
  <c r="P774" i="17"/>
  <c r="P772" i="17"/>
  <c r="P770" i="17"/>
  <c r="P769" i="17"/>
  <c r="P768" i="17"/>
  <c r="P767" i="17"/>
  <c r="P766" i="17"/>
  <c r="P762" i="17"/>
  <c r="P759" i="17"/>
  <c r="P758" i="17"/>
  <c r="P757" i="17"/>
  <c r="P756" i="17"/>
  <c r="P755" i="17"/>
  <c r="P754" i="17"/>
  <c r="P752" i="17"/>
  <c r="P751" i="17"/>
  <c r="P750" i="17"/>
  <c r="P746" i="17"/>
  <c r="P745" i="17"/>
  <c r="P744" i="17"/>
  <c r="P743" i="17"/>
  <c r="P742" i="17"/>
  <c r="P739" i="17"/>
  <c r="P738" i="17"/>
  <c r="P736" i="17"/>
  <c r="P734" i="17"/>
  <c r="P733" i="17"/>
  <c r="P732" i="17"/>
  <c r="P731" i="17"/>
  <c r="P730" i="17"/>
  <c r="P726" i="17"/>
  <c r="P723" i="17"/>
  <c r="P722" i="17"/>
  <c r="P721" i="17"/>
  <c r="P720" i="17"/>
  <c r="P719" i="17"/>
  <c r="P718" i="17"/>
  <c r="P715" i="17"/>
  <c r="P714" i="17"/>
  <c r="P710" i="17"/>
  <c r="P709" i="17"/>
  <c r="P708" i="17"/>
  <c r="P707" i="17"/>
  <c r="P706" i="17"/>
  <c r="P703" i="17"/>
  <c r="P702" i="17"/>
  <c r="P700" i="17"/>
  <c r="P698" i="17"/>
  <c r="P697" i="17"/>
  <c r="P696" i="17"/>
  <c r="P695" i="17"/>
  <c r="P694" i="17"/>
  <c r="P690" i="17"/>
  <c r="P688" i="17"/>
  <c r="P686" i="17"/>
  <c r="P685" i="17"/>
  <c r="P684" i="17"/>
  <c r="P683" i="17"/>
  <c r="P682" i="17"/>
  <c r="P680" i="17"/>
  <c r="P678" i="17"/>
  <c r="P674" i="17"/>
  <c r="P673" i="17"/>
  <c r="P672" i="17"/>
  <c r="P671" i="17"/>
  <c r="P670" i="17"/>
  <c r="P666" i="17"/>
  <c r="P663" i="17"/>
  <c r="P662" i="17"/>
  <c r="P661" i="17"/>
  <c r="P660" i="17"/>
  <c r="P659" i="17"/>
  <c r="P658" i="17"/>
  <c r="P656" i="17"/>
  <c r="P654" i="17"/>
  <c r="P651" i="17"/>
  <c r="P650" i="17"/>
  <c r="P649" i="17"/>
  <c r="P648" i="17"/>
  <c r="P647" i="17"/>
  <c r="P646" i="17"/>
  <c r="P644" i="17"/>
  <c r="P643" i="17"/>
  <c r="P642" i="17"/>
  <c r="P640" i="17"/>
  <c r="P638" i="17"/>
  <c r="P637" i="17"/>
  <c r="P636" i="17"/>
  <c r="P635" i="17"/>
  <c r="P634" i="17"/>
  <c r="P630" i="17"/>
  <c r="P628" i="17"/>
  <c r="P627" i="17"/>
  <c r="P626" i="17"/>
  <c r="P625" i="17"/>
  <c r="P624" i="17"/>
  <c r="P623" i="17"/>
  <c r="P622" i="17"/>
  <c r="P620" i="17"/>
  <c r="P618" i="17"/>
  <c r="P614" i="17"/>
  <c r="P613" i="17"/>
  <c r="P612" i="17"/>
  <c r="P611" i="17"/>
  <c r="P610" i="17"/>
  <c r="P607" i="17"/>
  <c r="P606" i="17"/>
  <c r="P604" i="17"/>
  <c r="P602" i="17"/>
  <c r="P601" i="17"/>
  <c r="P600" i="17"/>
  <c r="P599" i="17"/>
  <c r="P598" i="17"/>
  <c r="P594" i="17"/>
  <c r="P592" i="17"/>
  <c r="P591" i="17"/>
  <c r="P590" i="17"/>
  <c r="P589" i="17"/>
  <c r="P588" i="17"/>
  <c r="P587" i="17"/>
  <c r="P586" i="17"/>
  <c r="P583" i="17"/>
  <c r="P582" i="17"/>
  <c r="P578" i="17"/>
  <c r="P577" i="17"/>
  <c r="P576" i="17"/>
  <c r="P575" i="17"/>
  <c r="P574" i="17"/>
  <c r="P571" i="17"/>
  <c r="P570" i="17"/>
  <c r="P568" i="17"/>
  <c r="P566" i="17"/>
  <c r="P565" i="17"/>
  <c r="P564" i="17"/>
  <c r="P563" i="17"/>
  <c r="P562" i="17"/>
  <c r="P558" i="17"/>
  <c r="P556" i="17"/>
  <c r="P555" i="17"/>
  <c r="P554" i="17"/>
  <c r="P553" i="17"/>
  <c r="P552" i="17"/>
  <c r="P551" i="17"/>
  <c r="P550" i="17"/>
  <c r="P548" i="17"/>
  <c r="P547" i="17"/>
  <c r="P546" i="17"/>
  <c r="P543" i="17"/>
  <c r="P542" i="17"/>
  <c r="P541" i="17"/>
  <c r="P540" i="17"/>
  <c r="P539" i="17"/>
  <c r="P538" i="17"/>
  <c r="P535" i="17"/>
  <c r="P534" i="17"/>
  <c r="P532" i="17"/>
  <c r="P530" i="17"/>
  <c r="P529" i="17"/>
  <c r="P528" i="17"/>
  <c r="P527" i="17"/>
  <c r="P526" i="17"/>
  <c r="P522" i="17"/>
  <c r="P519" i="17"/>
  <c r="P518" i="17"/>
  <c r="P517" i="17"/>
  <c r="P516" i="17"/>
  <c r="P515" i="17"/>
  <c r="P514" i="17"/>
  <c r="P512" i="17"/>
  <c r="P511" i="17"/>
  <c r="P510" i="17"/>
  <c r="P507" i="17"/>
  <c r="P506" i="17"/>
  <c r="P505" i="17"/>
  <c r="P504" i="17"/>
  <c r="P503" i="17"/>
  <c r="P502" i="17"/>
  <c r="P500" i="17"/>
  <c r="P499" i="17"/>
  <c r="P498" i="17"/>
  <c r="P494" i="17"/>
  <c r="P493" i="17"/>
  <c r="P492" i="17"/>
  <c r="P491" i="17"/>
  <c r="P490" i="17"/>
  <c r="P486" i="17"/>
  <c r="P483" i="17"/>
  <c r="P482" i="17"/>
  <c r="P481" i="17"/>
  <c r="P480" i="17"/>
  <c r="P479" i="17"/>
  <c r="P478" i="17"/>
  <c r="P475" i="17"/>
  <c r="P474" i="17"/>
  <c r="P471" i="17"/>
  <c r="P470" i="17"/>
  <c r="P469" i="17"/>
  <c r="P468" i="17"/>
  <c r="P467" i="17"/>
  <c r="P466" i="17"/>
  <c r="P463" i="17"/>
  <c r="P462" i="17"/>
  <c r="P460" i="17"/>
  <c r="P458" i="17"/>
  <c r="P457" i="17"/>
  <c r="P456" i="17"/>
  <c r="P455" i="17"/>
  <c r="P454" i="17"/>
  <c r="P450" i="17"/>
  <c r="P448" i="17"/>
  <c r="P446" i="17"/>
  <c r="P445" i="17"/>
  <c r="P444" i="17"/>
  <c r="P443" i="17"/>
  <c r="P442" i="17"/>
  <c r="P439" i="17"/>
  <c r="P438" i="17"/>
  <c r="P434" i="17"/>
  <c r="P433" i="17"/>
  <c r="P432" i="17"/>
  <c r="P431" i="17"/>
  <c r="P430" i="17"/>
  <c r="P427" i="17"/>
  <c r="P426" i="17"/>
  <c r="P424" i="17"/>
  <c r="P422" i="17"/>
  <c r="P421" i="17"/>
  <c r="P420" i="17"/>
  <c r="P419" i="17"/>
  <c r="P418" i="17"/>
  <c r="P414" i="17"/>
  <c r="P412" i="17"/>
  <c r="P410" i="17"/>
  <c r="P409" i="17"/>
  <c r="P408" i="17"/>
  <c r="P407" i="17"/>
  <c r="P406" i="17"/>
  <c r="P403" i="17"/>
  <c r="P402" i="17"/>
  <c r="P398" i="17"/>
  <c r="P397" i="17"/>
  <c r="P396" i="17"/>
  <c r="P395" i="17"/>
  <c r="P394" i="17"/>
  <c r="P391" i="17"/>
  <c r="P390" i="17"/>
  <c r="P388" i="17"/>
  <c r="P387" i="17"/>
  <c r="P386" i="17"/>
  <c r="P385" i="17"/>
  <c r="P384" i="17"/>
  <c r="P383" i="17"/>
  <c r="P382" i="17"/>
  <c r="P378" i="17"/>
  <c r="P375" i="17"/>
  <c r="P374" i="17"/>
  <c r="P373" i="17"/>
  <c r="P372" i="17"/>
  <c r="P371" i="17"/>
  <c r="P370" i="17"/>
  <c r="P368" i="17"/>
  <c r="P366" i="17"/>
  <c r="P362" i="17"/>
  <c r="P361" i="17"/>
  <c r="P360" i="17"/>
  <c r="P359" i="17"/>
  <c r="P358" i="17"/>
  <c r="P355" i="17"/>
  <c r="P354" i="17"/>
  <c r="P351" i="17"/>
  <c r="P350" i="17"/>
  <c r="P349" i="17"/>
  <c r="P348" i="17"/>
  <c r="P347" i="17"/>
  <c r="P346" i="17"/>
  <c r="P342" i="17"/>
  <c r="P340" i="17"/>
  <c r="P338" i="17"/>
  <c r="P337" i="17"/>
  <c r="P336" i="17"/>
  <c r="P335" i="17"/>
  <c r="P334" i="17"/>
  <c r="P331" i="17"/>
  <c r="P330" i="17"/>
  <c r="P326" i="17"/>
  <c r="P325" i="17"/>
  <c r="P324" i="17"/>
  <c r="P323" i="17"/>
  <c r="P322" i="17"/>
  <c r="P319" i="17"/>
  <c r="P318" i="17"/>
  <c r="P316" i="17"/>
  <c r="P315" i="17"/>
  <c r="P314" i="17"/>
  <c r="P313" i="17"/>
  <c r="P312" i="17"/>
  <c r="P311" i="17"/>
  <c r="P310" i="17"/>
  <c r="P308" i="17"/>
  <c r="P306" i="17"/>
  <c r="P303" i="17"/>
  <c r="P302" i="17"/>
  <c r="P301" i="17"/>
  <c r="P300" i="17"/>
  <c r="P299" i="17"/>
  <c r="P298" i="17"/>
  <c r="P296" i="17"/>
  <c r="P295" i="17"/>
  <c r="P294" i="17"/>
  <c r="P290" i="17"/>
  <c r="P289" i="17"/>
  <c r="P288" i="17"/>
  <c r="P287" i="17"/>
  <c r="P286" i="17"/>
  <c r="P282" i="17"/>
  <c r="P281" i="17"/>
  <c r="P279" i="17"/>
  <c r="P278" i="17"/>
  <c r="P277" i="17"/>
  <c r="P276" i="17"/>
  <c r="P275" i="17"/>
  <c r="P274" i="17"/>
  <c r="P271" i="17"/>
  <c r="P270" i="17"/>
  <c r="P266" i="17"/>
  <c r="P265" i="17"/>
  <c r="P264" i="17"/>
  <c r="P263" i="17"/>
  <c r="P262" i="17"/>
  <c r="P259" i="17"/>
  <c r="P258" i="17"/>
  <c r="P256" i="17"/>
  <c r="P254" i="17"/>
  <c r="P253" i="17"/>
  <c r="P252" i="17"/>
  <c r="P251" i="17"/>
  <c r="P250" i="17"/>
  <c r="P246" i="17"/>
  <c r="P244" i="17"/>
  <c r="P243" i="17"/>
  <c r="P242" i="17"/>
  <c r="P241" i="17"/>
  <c r="P240" i="17"/>
  <c r="P239" i="17"/>
  <c r="P238" i="17"/>
  <c r="P236" i="17"/>
  <c r="P234" i="17"/>
  <c r="P233" i="17"/>
  <c r="P230" i="17"/>
  <c r="P229" i="17"/>
  <c r="P228" i="17"/>
  <c r="P227" i="17"/>
  <c r="P226" i="17"/>
  <c r="P222" i="17"/>
  <c r="P219" i="17"/>
  <c r="P218" i="17"/>
  <c r="P217" i="17"/>
  <c r="P216" i="17"/>
  <c r="P215" i="17"/>
  <c r="P214" i="17"/>
  <c r="P212" i="17"/>
  <c r="P210" i="17"/>
  <c r="P207" i="17"/>
  <c r="P206" i="17"/>
  <c r="P205" i="17"/>
  <c r="P204" i="17"/>
  <c r="P203" i="17"/>
  <c r="P202" i="17"/>
  <c r="P200" i="17"/>
  <c r="P198" i="17"/>
  <c r="P194" i="17"/>
  <c r="P193" i="17"/>
  <c r="P192" i="17"/>
  <c r="P191" i="17"/>
  <c r="P190" i="17"/>
  <c r="P186" i="17"/>
  <c r="P183" i="17"/>
  <c r="P182" i="17"/>
  <c r="P181" i="17"/>
  <c r="P180" i="17"/>
  <c r="P179" i="17"/>
  <c r="P178" i="17"/>
  <c r="P176" i="17"/>
  <c r="P175" i="17"/>
  <c r="P174" i="17"/>
  <c r="P170" i="17"/>
  <c r="P169" i="17"/>
  <c r="P168" i="17"/>
  <c r="P167" i="17"/>
  <c r="P166" i="17"/>
  <c r="P163" i="17"/>
  <c r="P162" i="17"/>
  <c r="P160" i="17"/>
  <c r="P159" i="17"/>
  <c r="P158" i="17"/>
  <c r="P157" i="17"/>
  <c r="P156" i="17"/>
  <c r="P155" i="17"/>
  <c r="P154" i="17"/>
  <c r="P152" i="17"/>
  <c r="P150" i="17"/>
  <c r="P147" i="17"/>
  <c r="P146" i="17"/>
  <c r="P145" i="17"/>
  <c r="P144" i="17"/>
  <c r="P143" i="17"/>
  <c r="P142" i="17"/>
  <c r="P140" i="17"/>
  <c r="P138" i="17"/>
  <c r="P134" i="17"/>
  <c r="P133" i="17"/>
  <c r="P132" i="17"/>
  <c r="P131" i="17"/>
  <c r="P130" i="17"/>
  <c r="P126" i="17"/>
  <c r="P123" i="17"/>
  <c r="P122" i="17"/>
  <c r="P121" i="17"/>
  <c r="P120" i="17"/>
  <c r="P119" i="17"/>
  <c r="P118" i="17"/>
  <c r="P116" i="17"/>
  <c r="P114" i="17"/>
  <c r="P111" i="17"/>
  <c r="P110" i="17"/>
  <c r="P109" i="17"/>
  <c r="P108" i="17"/>
  <c r="P107" i="17"/>
  <c r="P106" i="17"/>
  <c r="P104" i="17"/>
  <c r="P102" i="17"/>
  <c r="P98" i="17"/>
  <c r="P97" i="17"/>
  <c r="P96" i="17"/>
  <c r="P95" i="17"/>
  <c r="P94" i="17"/>
  <c r="P90" i="17"/>
  <c r="P87" i="17"/>
  <c r="P86" i="17"/>
  <c r="P85" i="17"/>
  <c r="P84" i="17"/>
  <c r="P83" i="17"/>
  <c r="P82" i="17"/>
  <c r="P80" i="17"/>
  <c r="P78" i="17"/>
  <c r="P75" i="17"/>
  <c r="P74" i="17"/>
  <c r="P73" i="17"/>
  <c r="P72" i="17"/>
  <c r="P71" i="17"/>
  <c r="P70" i="17"/>
  <c r="P68" i="17"/>
  <c r="P66" i="17"/>
  <c r="P62" i="17"/>
  <c r="P61" i="17"/>
  <c r="P60" i="17"/>
  <c r="P59" i="17"/>
  <c r="P58" i="17"/>
  <c r="P54" i="17"/>
  <c r="P51" i="17"/>
  <c r="P50" i="17"/>
  <c r="P49" i="17"/>
  <c r="P48" i="17"/>
  <c r="P47" i="17"/>
  <c r="P46" i="17"/>
  <c r="P43" i="17"/>
  <c r="P42" i="17"/>
  <c r="D42" i="17"/>
  <c r="P39" i="17"/>
  <c r="P38" i="17"/>
  <c r="P37" i="17"/>
  <c r="P36" i="17"/>
  <c r="P35" i="17"/>
  <c r="P34" i="17"/>
  <c r="P30" i="17"/>
  <c r="D28" i="17"/>
  <c r="B27" i="17"/>
  <c r="A27" i="17"/>
  <c r="P26" i="17"/>
  <c r="P25" i="17"/>
  <c r="P24" i="17"/>
  <c r="P23" i="17"/>
  <c r="P22" i="17"/>
  <c r="P18" i="17"/>
  <c r="P17" i="17"/>
  <c r="P15" i="17"/>
  <c r="P14" i="17"/>
  <c r="P13" i="17"/>
  <c r="P12" i="17"/>
  <c r="P11" i="17"/>
  <c r="P10" i="17"/>
  <c r="C10" i="17"/>
  <c r="B10" i="17"/>
  <c r="P9" i="17"/>
  <c r="P7" i="17"/>
  <c r="P6" i="17"/>
  <c r="P5" i="17"/>
  <c r="M4" i="17"/>
  <c r="L4" i="17"/>
  <c r="M10" i="15"/>
  <c r="M11" i="15"/>
  <c r="M12" i="15"/>
  <c r="M13" i="15"/>
  <c r="M14" i="15"/>
  <c r="M15" i="15"/>
  <c r="M16" i="15"/>
  <c r="P16" i="15" s="1"/>
  <c r="M17" i="15"/>
  <c r="P17" i="15" s="1"/>
  <c r="M18" i="15"/>
  <c r="M19" i="15"/>
  <c r="P19" i="15" s="1"/>
  <c r="M20" i="15"/>
  <c r="P20" i="15" s="1"/>
  <c r="M21" i="15"/>
  <c r="P21" i="15" s="1"/>
  <c r="M22" i="15"/>
  <c r="M23" i="15"/>
  <c r="M24" i="15"/>
  <c r="M25" i="15"/>
  <c r="M26" i="15"/>
  <c r="M27" i="15"/>
  <c r="M28" i="15"/>
  <c r="M29" i="15"/>
  <c r="P29" i="15" s="1"/>
  <c r="M30" i="15"/>
  <c r="P30" i="15" s="1"/>
  <c r="M31" i="15"/>
  <c r="P31" i="15" s="1"/>
  <c r="M32" i="15"/>
  <c r="M33" i="15"/>
  <c r="P33" i="15" s="1"/>
  <c r="M34" i="15"/>
  <c r="M35" i="15"/>
  <c r="M36" i="15"/>
  <c r="M37" i="15"/>
  <c r="M38" i="15"/>
  <c r="M39" i="15"/>
  <c r="M40" i="15"/>
  <c r="M41" i="15"/>
  <c r="P41" i="15" s="1"/>
  <c r="M42" i="15"/>
  <c r="P42" i="15" s="1"/>
  <c r="M43" i="15"/>
  <c r="P43" i="15" s="1"/>
  <c r="M44" i="15"/>
  <c r="P44" i="15" s="1"/>
  <c r="M45" i="15"/>
  <c r="M46" i="15"/>
  <c r="M47" i="15"/>
  <c r="M48" i="15"/>
  <c r="M49" i="15"/>
  <c r="M50" i="15"/>
  <c r="M51" i="15"/>
  <c r="M52" i="15"/>
  <c r="M53" i="15"/>
  <c r="M54" i="15"/>
  <c r="P54" i="15" s="1"/>
  <c r="M55" i="15"/>
  <c r="P55" i="15" s="1"/>
  <c r="M56" i="15"/>
  <c r="P56" i="15" s="1"/>
  <c r="M57" i="15"/>
  <c r="P57" i="15" s="1"/>
  <c r="M58" i="15"/>
  <c r="M59" i="15"/>
  <c r="M60" i="15"/>
  <c r="M61" i="15"/>
  <c r="M62" i="15"/>
  <c r="M63" i="15"/>
  <c r="M64" i="15"/>
  <c r="P64" i="15" s="1"/>
  <c r="M65" i="15"/>
  <c r="M66" i="15"/>
  <c r="M67" i="15"/>
  <c r="M68" i="15"/>
  <c r="P68" i="15" s="1"/>
  <c r="M69" i="15"/>
  <c r="P69" i="15" s="1"/>
  <c r="M70" i="15"/>
  <c r="M71" i="15"/>
  <c r="M72" i="15"/>
  <c r="M73" i="15"/>
  <c r="M74" i="15"/>
  <c r="M75" i="15"/>
  <c r="M76" i="15"/>
  <c r="P76" i="15" s="1"/>
  <c r="M77" i="15"/>
  <c r="P77" i="15" s="1"/>
  <c r="M78" i="15"/>
  <c r="P78" i="15" s="1"/>
  <c r="M79" i="15"/>
  <c r="P79" i="15" s="1"/>
  <c r="M80" i="15"/>
  <c r="P80" i="15" s="1"/>
  <c r="M81" i="15"/>
  <c r="P81" i="15" s="1"/>
  <c r="M82" i="15"/>
  <c r="M83" i="15"/>
  <c r="M84" i="15"/>
  <c r="M85" i="15"/>
  <c r="M86" i="15"/>
  <c r="M87" i="15"/>
  <c r="M88" i="15"/>
  <c r="M89" i="15"/>
  <c r="M90" i="15"/>
  <c r="M91" i="15"/>
  <c r="P91" i="15" s="1"/>
  <c r="M92" i="15"/>
  <c r="P92" i="15" s="1"/>
  <c r="M93" i="15"/>
  <c r="P93" i="15" s="1"/>
  <c r="M94" i="15"/>
  <c r="M95" i="15"/>
  <c r="M96" i="15"/>
  <c r="M97" i="15"/>
  <c r="M98" i="15"/>
  <c r="M99" i="15"/>
  <c r="M100" i="15"/>
  <c r="P100" i="15" s="1"/>
  <c r="M101" i="15"/>
  <c r="P101" i="15" s="1"/>
  <c r="M102" i="15"/>
  <c r="P102" i="15" s="1"/>
  <c r="M103" i="15"/>
  <c r="P103" i="15" s="1"/>
  <c r="M104" i="15"/>
  <c r="M105" i="15"/>
  <c r="P105" i="15" s="1"/>
  <c r="M106" i="15"/>
  <c r="M107" i="15"/>
  <c r="M108" i="15"/>
  <c r="M109" i="15"/>
  <c r="M110" i="15"/>
  <c r="M111" i="15"/>
  <c r="M112" i="15"/>
  <c r="M113" i="15"/>
  <c r="M114" i="15"/>
  <c r="P114" i="15" s="1"/>
  <c r="M115" i="15"/>
  <c r="P115" i="15" s="1"/>
  <c r="M116" i="15"/>
  <c r="P116" i="15" s="1"/>
  <c r="M117" i="15"/>
  <c r="P117" i="15" s="1"/>
  <c r="M118" i="15"/>
  <c r="M119" i="15"/>
  <c r="M120" i="15"/>
  <c r="M121" i="15"/>
  <c r="M122" i="15"/>
  <c r="M123" i="15"/>
  <c r="M124" i="15"/>
  <c r="P124" i="15" s="1"/>
  <c r="M125" i="15"/>
  <c r="P125" i="15" s="1"/>
  <c r="M126" i="15"/>
  <c r="P126" i="15" s="1"/>
  <c r="M127" i="15"/>
  <c r="M128" i="15"/>
  <c r="M129" i="15"/>
  <c r="P129" i="15" s="1"/>
  <c r="M130" i="15"/>
  <c r="M131" i="15"/>
  <c r="M132" i="15"/>
  <c r="M133" i="15"/>
  <c r="M134" i="15"/>
  <c r="M135" i="15"/>
  <c r="M136" i="15"/>
  <c r="M137" i="15"/>
  <c r="P137" i="15" s="1"/>
  <c r="M138" i="15"/>
  <c r="P138" i="15" s="1"/>
  <c r="M139" i="15"/>
  <c r="P139" i="15" s="1"/>
  <c r="M140" i="15"/>
  <c r="P140" i="15" s="1"/>
  <c r="M141" i="15"/>
  <c r="P141" i="15" s="1"/>
  <c r="M142" i="15"/>
  <c r="M143" i="15"/>
  <c r="M144" i="15"/>
  <c r="M145" i="15"/>
  <c r="M146" i="15"/>
  <c r="M147" i="15"/>
  <c r="M148" i="15"/>
  <c r="P148" i="15" s="1"/>
  <c r="M149" i="15"/>
  <c r="P149" i="15" s="1"/>
  <c r="M150" i="15"/>
  <c r="M151" i="15"/>
  <c r="M152" i="15"/>
  <c r="P152" i="15" s="1"/>
  <c r="M153" i="15"/>
  <c r="P153" i="15" s="1"/>
  <c r="M154" i="15"/>
  <c r="M155" i="15"/>
  <c r="M156" i="15"/>
  <c r="M157" i="15"/>
  <c r="M158" i="15"/>
  <c r="M159" i="15"/>
  <c r="M160" i="15"/>
  <c r="M161" i="15"/>
  <c r="P161" i="15" s="1"/>
  <c r="M162" i="15"/>
  <c r="P162" i="15" s="1"/>
  <c r="M163" i="15"/>
  <c r="P163" i="15" s="1"/>
  <c r="M164" i="15"/>
  <c r="P164" i="15" s="1"/>
  <c r="M165" i="15"/>
  <c r="P165" i="15" s="1"/>
  <c r="M166" i="15"/>
  <c r="M167" i="15"/>
  <c r="M168" i="15"/>
  <c r="M169" i="15"/>
  <c r="M170" i="15"/>
  <c r="M171" i="15"/>
  <c r="M172" i="15"/>
  <c r="M173" i="15"/>
  <c r="M174" i="15"/>
  <c r="M175" i="15"/>
  <c r="P175" i="15" s="1"/>
  <c r="M176" i="15"/>
  <c r="P176" i="15" s="1"/>
  <c r="M177" i="15"/>
  <c r="P177" i="15" s="1"/>
  <c r="M178" i="15"/>
  <c r="M179" i="15"/>
  <c r="M180" i="15"/>
  <c r="M181" i="15"/>
  <c r="M182" i="15"/>
  <c r="M183" i="15"/>
  <c r="M184" i="15"/>
  <c r="P184" i="15" s="1"/>
  <c r="M185" i="15"/>
  <c r="P185" i="15" s="1"/>
  <c r="M186" i="15"/>
  <c r="P186" i="15" s="1"/>
  <c r="M187" i="15"/>
  <c r="P187" i="15" s="1"/>
  <c r="M188" i="15"/>
  <c r="P188" i="15" s="1"/>
  <c r="M189" i="15"/>
  <c r="M190" i="15"/>
  <c r="M191" i="15"/>
  <c r="M192" i="15"/>
  <c r="M193" i="15"/>
  <c r="M194" i="15"/>
  <c r="M195" i="15"/>
  <c r="M196" i="15"/>
  <c r="M197" i="15"/>
  <c r="M198" i="15"/>
  <c r="P198" i="15" s="1"/>
  <c r="M199" i="15"/>
  <c r="P199" i="15" s="1"/>
  <c r="M200" i="15"/>
  <c r="P200" i="15" s="1"/>
  <c r="M201" i="15"/>
  <c r="P201" i="15" s="1"/>
  <c r="M202" i="15"/>
  <c r="M203" i="15"/>
  <c r="M204" i="15"/>
  <c r="M205" i="15"/>
  <c r="M206" i="15"/>
  <c r="M207" i="15"/>
  <c r="M208" i="15"/>
  <c r="P208" i="15" s="1"/>
  <c r="M209" i="15"/>
  <c r="P209" i="15" s="1"/>
  <c r="M210" i="15"/>
  <c r="P210" i="15" s="1"/>
  <c r="M211" i="15"/>
  <c r="M212" i="15"/>
  <c r="P212" i="15" s="1"/>
  <c r="M213" i="15"/>
  <c r="P213" i="15" s="1"/>
  <c r="M214" i="15"/>
  <c r="M215" i="15"/>
  <c r="M216" i="15"/>
  <c r="M217" i="15"/>
  <c r="M218" i="15"/>
  <c r="M219" i="15"/>
  <c r="M220" i="15"/>
  <c r="M221" i="15"/>
  <c r="M222" i="15"/>
  <c r="P222" i="15" s="1"/>
  <c r="M223" i="15"/>
  <c r="P223" i="15" s="1"/>
  <c r="M224" i="15"/>
  <c r="P224" i="15" s="1"/>
  <c r="M225" i="15"/>
  <c r="P225" i="15" s="1"/>
  <c r="M226" i="15"/>
  <c r="M227" i="15"/>
  <c r="M228" i="15"/>
  <c r="M229" i="15"/>
  <c r="M230" i="15"/>
  <c r="M231" i="15"/>
  <c r="M232" i="15"/>
  <c r="P232" i="15" s="1"/>
  <c r="M233" i="15"/>
  <c r="P233" i="15" s="1"/>
  <c r="M234" i="15"/>
  <c r="M235" i="15"/>
  <c r="M236" i="15"/>
  <c r="P236" i="15" s="1"/>
  <c r="M237" i="15"/>
  <c r="P237" i="15" s="1"/>
  <c r="M238" i="15"/>
  <c r="M239" i="15"/>
  <c r="M240" i="15"/>
  <c r="M241" i="15"/>
  <c r="M242" i="15"/>
  <c r="M243" i="15"/>
  <c r="M244" i="15"/>
  <c r="P244" i="15" s="1"/>
  <c r="M245" i="15"/>
  <c r="P245" i="15" s="1"/>
  <c r="M246" i="15"/>
  <c r="P246" i="15" s="1"/>
  <c r="M247" i="15"/>
  <c r="P247" i="15" s="1"/>
  <c r="M248" i="15"/>
  <c r="P248" i="15" s="1"/>
  <c r="M249" i="15"/>
  <c r="P249" i="15" s="1"/>
  <c r="M250" i="15"/>
  <c r="M251" i="15"/>
  <c r="M252" i="15"/>
  <c r="M253" i="15"/>
  <c r="M254" i="15"/>
  <c r="M255" i="15"/>
  <c r="M256" i="15"/>
  <c r="P256" i="15" s="1"/>
  <c r="M257" i="15"/>
  <c r="M258" i="15"/>
  <c r="M259" i="15"/>
  <c r="P259" i="15" s="1"/>
  <c r="M260" i="15"/>
  <c r="P260" i="15" s="1"/>
  <c r="M261" i="15"/>
  <c r="P261" i="15" s="1"/>
  <c r="M262" i="15"/>
  <c r="M263" i="15"/>
  <c r="M264" i="15"/>
  <c r="M265" i="15"/>
  <c r="M266" i="15"/>
  <c r="M267" i="15"/>
  <c r="M268" i="15"/>
  <c r="P268" i="15" s="1"/>
  <c r="M269" i="15"/>
  <c r="P269" i="15" s="1"/>
  <c r="M270" i="15"/>
  <c r="P270" i="15" s="1"/>
  <c r="M271" i="15"/>
  <c r="P271" i="15" s="1"/>
  <c r="M272" i="15"/>
  <c r="M273" i="15"/>
  <c r="P273" i="15" s="1"/>
  <c r="M274" i="15"/>
  <c r="M275" i="15"/>
  <c r="M276" i="15"/>
  <c r="M277" i="15"/>
  <c r="M278" i="15"/>
  <c r="M279" i="15"/>
  <c r="M280" i="15"/>
  <c r="M281" i="15"/>
  <c r="M282" i="15"/>
  <c r="P282" i="15" s="1"/>
  <c r="M283" i="15"/>
  <c r="P283" i="15" s="1"/>
  <c r="M284" i="15"/>
  <c r="P284" i="15" s="1"/>
  <c r="M285" i="15"/>
  <c r="P285" i="15" s="1"/>
  <c r="M286" i="15"/>
  <c r="M287" i="15"/>
  <c r="M288" i="15"/>
  <c r="M289" i="15"/>
  <c r="M290" i="15"/>
  <c r="M291" i="15"/>
  <c r="M292" i="15"/>
  <c r="P292" i="15" s="1"/>
  <c r="M293" i="15"/>
  <c r="P293" i="15" s="1"/>
  <c r="M294" i="15"/>
  <c r="P294" i="15" s="1"/>
  <c r="M295" i="15"/>
  <c r="M296" i="15"/>
  <c r="M297" i="15"/>
  <c r="P297" i="15" s="1"/>
  <c r="M298" i="15"/>
  <c r="M299" i="15"/>
  <c r="M300" i="15"/>
  <c r="M301" i="15"/>
  <c r="M302" i="15"/>
  <c r="M303" i="15"/>
  <c r="M304" i="15"/>
  <c r="M305" i="15"/>
  <c r="M306" i="15"/>
  <c r="P306" i="15" s="1"/>
  <c r="M307" i="15"/>
  <c r="P307" i="15" s="1"/>
  <c r="M308" i="15"/>
  <c r="P308" i="15" s="1"/>
  <c r="M309" i="15"/>
  <c r="P309" i="15" s="1"/>
  <c r="M310" i="15"/>
  <c r="M311" i="15"/>
  <c r="M312" i="15"/>
  <c r="M313" i="15"/>
  <c r="M314" i="15"/>
  <c r="M315" i="15"/>
  <c r="M316" i="15"/>
  <c r="P316" i="15" s="1"/>
  <c r="M317" i="15"/>
  <c r="P317" i="15" s="1"/>
  <c r="M318" i="15"/>
  <c r="M319" i="15"/>
  <c r="M320" i="15"/>
  <c r="P320" i="15" s="1"/>
  <c r="M321" i="15"/>
  <c r="P321" i="15" s="1"/>
  <c r="M322" i="15"/>
  <c r="M323" i="15"/>
  <c r="M324" i="15"/>
  <c r="M325" i="15"/>
  <c r="M326" i="15"/>
  <c r="M327" i="15"/>
  <c r="M328" i="15"/>
  <c r="M329" i="15"/>
  <c r="P329" i="15" s="1"/>
  <c r="M330" i="15"/>
  <c r="P330" i="15" s="1"/>
  <c r="M331" i="15"/>
  <c r="P331" i="15" s="1"/>
  <c r="M332" i="15"/>
  <c r="P332" i="15" s="1"/>
  <c r="M333" i="15"/>
  <c r="P333" i="15" s="1"/>
  <c r="M334" i="15"/>
  <c r="M335" i="15"/>
  <c r="M336" i="15"/>
  <c r="M337" i="15"/>
  <c r="M338" i="15"/>
  <c r="M339" i="15"/>
  <c r="M340" i="15"/>
  <c r="P340" i="15" s="1"/>
  <c r="M341" i="15"/>
  <c r="M342" i="15"/>
  <c r="M343" i="15"/>
  <c r="P343" i="15" s="1"/>
  <c r="M344" i="15"/>
  <c r="P344" i="15" s="1"/>
  <c r="M345" i="15"/>
  <c r="P345" i="15" s="1"/>
  <c r="M346" i="15"/>
  <c r="M347" i="15"/>
  <c r="M348" i="15"/>
  <c r="M349" i="15"/>
  <c r="M350" i="15"/>
  <c r="M351" i="15"/>
  <c r="M352" i="15"/>
  <c r="P352" i="15" s="1"/>
  <c r="M353" i="15"/>
  <c r="P353" i="15" s="1"/>
  <c r="M354" i="15"/>
  <c r="P354" i="15" s="1"/>
  <c r="M355" i="15"/>
  <c r="P355" i="15" s="1"/>
  <c r="M356" i="15"/>
  <c r="P356" i="15" s="1"/>
  <c r="M357" i="15"/>
  <c r="P357" i="15" s="1"/>
  <c r="M358" i="15"/>
  <c r="M359" i="15"/>
  <c r="M360" i="15"/>
  <c r="M361" i="15"/>
  <c r="M362" i="15"/>
  <c r="M363" i="15"/>
  <c r="M364" i="15"/>
  <c r="P364" i="15" s="1"/>
  <c r="M365" i="15"/>
  <c r="M366" i="15"/>
  <c r="M367" i="15"/>
  <c r="P367" i="15" s="1"/>
  <c r="M368" i="15"/>
  <c r="P368" i="15" s="1"/>
  <c r="M369" i="15"/>
  <c r="P369" i="15" s="1"/>
  <c r="M370" i="15"/>
  <c r="M371" i="15"/>
  <c r="M372" i="15"/>
  <c r="M373" i="15"/>
  <c r="M374" i="15"/>
  <c r="M375" i="15"/>
  <c r="M376" i="15"/>
  <c r="P376" i="15" s="1"/>
  <c r="M377" i="15"/>
  <c r="P377" i="15" s="1"/>
  <c r="M378" i="15"/>
  <c r="P378" i="15" s="1"/>
  <c r="M379" i="15"/>
  <c r="M380" i="15"/>
  <c r="M381" i="15"/>
  <c r="P381" i="15" s="1"/>
  <c r="M382" i="15"/>
  <c r="M383" i="15"/>
  <c r="M384" i="15"/>
  <c r="M385" i="15"/>
  <c r="M386" i="15"/>
  <c r="M387" i="15"/>
  <c r="M388" i="15"/>
  <c r="M389" i="15"/>
  <c r="M390" i="15"/>
  <c r="P390" i="15" s="1"/>
  <c r="M391" i="15"/>
  <c r="P391" i="15" s="1"/>
  <c r="M392" i="15"/>
  <c r="P392" i="15" s="1"/>
  <c r="M393" i="15"/>
  <c r="P393" i="15" s="1"/>
  <c r="M394" i="15"/>
  <c r="M395" i="15"/>
  <c r="M396" i="15"/>
  <c r="M397" i="15"/>
  <c r="M398" i="15"/>
  <c r="M399" i="15"/>
  <c r="M400" i="15"/>
  <c r="P400" i="15" s="1"/>
  <c r="M401" i="15"/>
  <c r="P401" i="15" s="1"/>
  <c r="M402" i="15"/>
  <c r="P402" i="15" s="1"/>
  <c r="M403" i="15"/>
  <c r="M404" i="15"/>
  <c r="P404" i="15" s="1"/>
  <c r="M405" i="15"/>
  <c r="P405" i="15" s="1"/>
  <c r="M406" i="15"/>
  <c r="M407" i="15"/>
  <c r="M408" i="15"/>
  <c r="M409" i="15"/>
  <c r="M410" i="15"/>
  <c r="M411" i="15"/>
  <c r="M412" i="15"/>
  <c r="M413" i="15"/>
  <c r="P413" i="15" s="1"/>
  <c r="M414" i="15"/>
  <c r="P414" i="15" s="1"/>
  <c r="M415" i="15"/>
  <c r="P415" i="15" s="1"/>
  <c r="M416" i="15"/>
  <c r="P416" i="15" s="1"/>
  <c r="M417" i="15"/>
  <c r="P417" i="15" s="1"/>
  <c r="M418" i="15"/>
  <c r="M419" i="15"/>
  <c r="M420" i="15"/>
  <c r="M421" i="15"/>
  <c r="M422" i="15"/>
  <c r="M423" i="15"/>
  <c r="M424" i="15"/>
  <c r="M425" i="15"/>
  <c r="M426" i="15"/>
  <c r="M427" i="15"/>
  <c r="P427" i="15" s="1"/>
  <c r="M428" i="15"/>
  <c r="P428" i="15" s="1"/>
  <c r="M429" i="15"/>
  <c r="P429" i="15" s="1"/>
  <c r="M430" i="15"/>
  <c r="M431" i="15"/>
  <c r="M432" i="15"/>
  <c r="M433" i="15"/>
  <c r="M434" i="15"/>
  <c r="M435" i="15"/>
  <c r="M436" i="15"/>
  <c r="M437" i="15"/>
  <c r="P437" i="15" s="1"/>
  <c r="M438" i="15"/>
  <c r="P438" i="15" s="1"/>
  <c r="M439" i="15"/>
  <c r="P439" i="15" s="1"/>
  <c r="M440" i="15"/>
  <c r="P440" i="15" s="1"/>
  <c r="M441" i="15"/>
  <c r="P441" i="15" s="1"/>
  <c r="M442" i="15"/>
  <c r="M443" i="15"/>
  <c r="M444" i="15"/>
  <c r="M445" i="15"/>
  <c r="M446" i="15"/>
  <c r="M447" i="15"/>
  <c r="M448" i="15"/>
  <c r="M449" i="15"/>
  <c r="M450" i="15"/>
  <c r="M451" i="15"/>
  <c r="P451" i="15" s="1"/>
  <c r="M452" i="15"/>
  <c r="P452" i="15" s="1"/>
  <c r="M453" i="15"/>
  <c r="P453" i="15" s="1"/>
  <c r="M454" i="15"/>
  <c r="M455" i="15"/>
  <c r="M456" i="15"/>
  <c r="M457" i="15"/>
  <c r="M458" i="15"/>
  <c r="M459" i="15"/>
  <c r="M460" i="15"/>
  <c r="P460" i="15" s="1"/>
  <c r="M461" i="15"/>
  <c r="P461" i="15" s="1"/>
  <c r="M462" i="15"/>
  <c r="P462" i="15" s="1"/>
  <c r="M463" i="15"/>
  <c r="P463" i="15" s="1"/>
  <c r="M464" i="15"/>
  <c r="P464" i="15" s="1"/>
  <c r="M465" i="15"/>
  <c r="M466" i="15"/>
  <c r="M467" i="15"/>
  <c r="M468" i="15"/>
  <c r="M469" i="15"/>
  <c r="M470" i="15"/>
  <c r="M471" i="15"/>
  <c r="M472" i="15"/>
  <c r="M473" i="15"/>
  <c r="M474" i="15"/>
  <c r="M475" i="15"/>
  <c r="P475" i="15" s="1"/>
  <c r="M476" i="15"/>
  <c r="P476" i="15" s="1"/>
  <c r="M477" i="15"/>
  <c r="P477" i="15" s="1"/>
  <c r="M478" i="15"/>
  <c r="M479" i="15"/>
  <c r="M480" i="15"/>
  <c r="M481" i="15"/>
  <c r="M482" i="15"/>
  <c r="M483" i="15"/>
  <c r="M484" i="15"/>
  <c r="P484" i="15" s="1"/>
  <c r="M485" i="15"/>
  <c r="P485" i="15" s="1"/>
  <c r="M486" i="15"/>
  <c r="P486" i="15" s="1"/>
  <c r="M487" i="15"/>
  <c r="M488" i="15"/>
  <c r="M489" i="15"/>
  <c r="P489" i="15" s="1"/>
  <c r="M490" i="15"/>
  <c r="M491" i="15"/>
  <c r="M492" i="15"/>
  <c r="M493" i="15"/>
  <c r="M494" i="15"/>
  <c r="M495" i="15"/>
  <c r="M496" i="15"/>
  <c r="M497" i="15"/>
  <c r="P497" i="15" s="1"/>
  <c r="M498" i="15"/>
  <c r="P498" i="15" s="1"/>
  <c r="M499" i="15"/>
  <c r="P499" i="15" s="1"/>
  <c r="M500" i="15"/>
  <c r="P500" i="15" s="1"/>
  <c r="M501" i="15"/>
  <c r="P501" i="15" s="1"/>
  <c r="M502" i="15"/>
  <c r="M503" i="15"/>
  <c r="M504" i="15"/>
  <c r="M505" i="15"/>
  <c r="M506" i="15"/>
  <c r="M507" i="15"/>
  <c r="M508" i="15"/>
  <c r="P508" i="15" s="1"/>
  <c r="M509" i="15"/>
  <c r="P509" i="15" s="1"/>
  <c r="M510" i="15"/>
  <c r="M511" i="15"/>
  <c r="M512" i="15"/>
  <c r="P512" i="15" s="1"/>
  <c r="M513" i="15"/>
  <c r="P513" i="15" s="1"/>
  <c r="M514" i="15"/>
  <c r="M515" i="15"/>
  <c r="M516" i="15"/>
  <c r="M517" i="15"/>
  <c r="M518" i="15"/>
  <c r="M519" i="15"/>
  <c r="M520" i="15"/>
  <c r="M521" i="15"/>
  <c r="P521" i="15" s="1"/>
  <c r="M522" i="15"/>
  <c r="P522" i="15" s="1"/>
  <c r="M523" i="15"/>
  <c r="P523" i="15" s="1"/>
  <c r="M524" i="15"/>
  <c r="P524" i="15" s="1"/>
  <c r="M525" i="15"/>
  <c r="P525" i="15" s="1"/>
  <c r="M526" i="15"/>
  <c r="M527" i="15"/>
  <c r="M528" i="15"/>
  <c r="M529" i="15"/>
  <c r="M530" i="15"/>
  <c r="M531" i="15"/>
  <c r="M532" i="15"/>
  <c r="P532" i="15" s="1"/>
  <c r="M533" i="15"/>
  <c r="M534" i="15"/>
  <c r="M535" i="15"/>
  <c r="P535" i="15" s="1"/>
  <c r="M536" i="15"/>
  <c r="P536" i="15" s="1"/>
  <c r="M537" i="15"/>
  <c r="P537" i="15" s="1"/>
  <c r="M538" i="15"/>
  <c r="M539" i="15"/>
  <c r="M540" i="15"/>
  <c r="M541" i="15"/>
  <c r="M542" i="15"/>
  <c r="M543" i="15"/>
  <c r="M544" i="15"/>
  <c r="P544" i="15" s="1"/>
  <c r="M545" i="15"/>
  <c r="P545" i="15" s="1"/>
  <c r="M546" i="15"/>
  <c r="P546" i="15" s="1"/>
  <c r="M547" i="15"/>
  <c r="P547" i="15" s="1"/>
  <c r="M548" i="15"/>
  <c r="M549" i="15"/>
  <c r="P549" i="15" s="1"/>
  <c r="M550" i="15"/>
  <c r="M551" i="15"/>
  <c r="M552" i="15"/>
  <c r="M553" i="15"/>
  <c r="M554" i="15"/>
  <c r="M555" i="15"/>
  <c r="M556" i="15"/>
  <c r="M557" i="15"/>
  <c r="M558" i="15"/>
  <c r="P558" i="15" s="1"/>
  <c r="M559" i="15"/>
  <c r="P559" i="15" s="1"/>
  <c r="M560" i="15"/>
  <c r="P560" i="15" s="1"/>
  <c r="M561" i="15"/>
  <c r="P561" i="15" s="1"/>
  <c r="M562" i="15"/>
  <c r="M563" i="15"/>
  <c r="M564" i="15"/>
  <c r="M565" i="15"/>
  <c r="M566" i="15"/>
  <c r="M567" i="15"/>
  <c r="M568" i="15"/>
  <c r="P568" i="15" s="1"/>
  <c r="M569" i="15"/>
  <c r="P569" i="15" s="1"/>
  <c r="M570" i="15"/>
  <c r="P570" i="15" s="1"/>
  <c r="M571" i="15"/>
  <c r="M572" i="15"/>
  <c r="M573" i="15"/>
  <c r="P573" i="15" s="1"/>
  <c r="M574" i="15"/>
  <c r="M575" i="15"/>
  <c r="M576" i="15"/>
  <c r="M577" i="15"/>
  <c r="M578" i="15"/>
  <c r="M579" i="15"/>
  <c r="M580" i="15"/>
  <c r="M581" i="15"/>
  <c r="M582" i="15"/>
  <c r="P582" i="15" s="1"/>
  <c r="M583" i="15"/>
  <c r="P583" i="15" s="1"/>
  <c r="M584" i="15"/>
  <c r="P584" i="15" s="1"/>
  <c r="M585" i="15"/>
  <c r="P585" i="15" s="1"/>
  <c r="M586" i="15"/>
  <c r="M587" i="15"/>
  <c r="M588" i="15"/>
  <c r="M589" i="15"/>
  <c r="M590" i="15"/>
  <c r="M591" i="15"/>
  <c r="M592" i="15"/>
  <c r="P592" i="15" s="1"/>
  <c r="M593" i="15"/>
  <c r="P593" i="15" s="1"/>
  <c r="M594" i="15"/>
  <c r="M595" i="15"/>
  <c r="M596" i="15"/>
  <c r="P596" i="15" s="1"/>
  <c r="M597" i="15"/>
  <c r="P597" i="15" s="1"/>
  <c r="M598" i="15"/>
  <c r="M599" i="15"/>
  <c r="M600" i="15"/>
  <c r="M601" i="15"/>
  <c r="M602" i="15"/>
  <c r="M603" i="15"/>
  <c r="M604" i="15"/>
  <c r="M605" i="15"/>
  <c r="P605" i="15" s="1"/>
  <c r="M606" i="15"/>
  <c r="P606" i="15" s="1"/>
  <c r="M607" i="15"/>
  <c r="P607" i="15" s="1"/>
  <c r="M608" i="15"/>
  <c r="P608" i="15" s="1"/>
  <c r="M609" i="15"/>
  <c r="M610" i="15"/>
  <c r="M611" i="15"/>
  <c r="M612" i="15"/>
  <c r="M613" i="15"/>
  <c r="M614" i="15"/>
  <c r="M615" i="15"/>
  <c r="M616" i="15"/>
  <c r="M617" i="15"/>
  <c r="M618" i="15"/>
  <c r="P618" i="15" s="1"/>
  <c r="M619" i="15"/>
  <c r="P619" i="15" s="1"/>
  <c r="M620" i="15"/>
  <c r="P620" i="15" s="1"/>
  <c r="M621" i="15"/>
  <c r="P621" i="15" s="1"/>
  <c r="M622" i="15"/>
  <c r="M623" i="15"/>
  <c r="M624" i="15"/>
  <c r="M625" i="15"/>
  <c r="M626" i="15"/>
  <c r="M627" i="15"/>
  <c r="M628" i="15"/>
  <c r="P628" i="15" s="1"/>
  <c r="M629" i="15"/>
  <c r="P629" i="15" s="1"/>
  <c r="M630" i="15"/>
  <c r="M631" i="15"/>
  <c r="M632" i="15"/>
  <c r="P632" i="15" s="1"/>
  <c r="M633" i="15"/>
  <c r="P633" i="15" s="1"/>
  <c r="M634" i="15"/>
  <c r="M635" i="15"/>
  <c r="M636" i="15"/>
  <c r="M637" i="15"/>
  <c r="M638" i="15"/>
  <c r="M639" i="15"/>
  <c r="M640" i="15"/>
  <c r="M641" i="15"/>
  <c r="P641" i="15" s="1"/>
  <c r="M642" i="15"/>
  <c r="P642" i="15" s="1"/>
  <c r="M643" i="15"/>
  <c r="P643" i="15" s="1"/>
  <c r="M644" i="15"/>
  <c r="P644" i="15" s="1"/>
  <c r="M645" i="15"/>
  <c r="P645" i="15" s="1"/>
  <c r="M646" i="15"/>
  <c r="M647" i="15"/>
  <c r="M648" i="15"/>
  <c r="M649" i="15"/>
  <c r="M650" i="15"/>
  <c r="M651" i="15"/>
  <c r="M652" i="15"/>
  <c r="P652" i="15" s="1"/>
  <c r="M653" i="15"/>
  <c r="P653" i="15" s="1"/>
  <c r="M654" i="15"/>
  <c r="M655" i="15"/>
  <c r="M656" i="15"/>
  <c r="P656" i="15" s="1"/>
  <c r="M657" i="15"/>
  <c r="P657" i="15" s="1"/>
  <c r="M658" i="15"/>
  <c r="M659" i="15"/>
  <c r="M660" i="15"/>
  <c r="M661" i="15"/>
  <c r="M662" i="15"/>
  <c r="M663" i="15"/>
  <c r="M664" i="15"/>
  <c r="M665" i="15"/>
  <c r="P665" i="15" s="1"/>
  <c r="M666" i="15"/>
  <c r="P666" i="15" s="1"/>
  <c r="M667" i="15"/>
  <c r="P667" i="15" s="1"/>
  <c r="M668" i="15"/>
  <c r="P668" i="15" s="1"/>
  <c r="M669" i="15"/>
  <c r="P669" i="15" s="1"/>
  <c r="M670" i="15"/>
  <c r="M671" i="15"/>
  <c r="M672" i="15"/>
  <c r="M673" i="15"/>
  <c r="M674" i="15"/>
  <c r="M675" i="15"/>
  <c r="M676" i="15"/>
  <c r="P676" i="15" s="1"/>
  <c r="M677" i="15"/>
  <c r="M678" i="15"/>
  <c r="M679" i="15"/>
  <c r="P679" i="15" s="1"/>
  <c r="M680" i="15"/>
  <c r="P680" i="15" s="1"/>
  <c r="M681" i="15"/>
  <c r="P681" i="15" s="1"/>
  <c r="M682" i="15"/>
  <c r="M683" i="15"/>
  <c r="M684" i="15"/>
  <c r="M685" i="15"/>
  <c r="M686" i="15"/>
  <c r="M687" i="15"/>
  <c r="M688" i="15"/>
  <c r="P688" i="15" s="1"/>
  <c r="M689" i="15"/>
  <c r="P689" i="15" s="1"/>
  <c r="M690" i="15"/>
  <c r="P690" i="15" s="1"/>
  <c r="M691" i="15"/>
  <c r="P691" i="15" s="1"/>
  <c r="M692" i="15"/>
  <c r="M693" i="15"/>
  <c r="P693" i="15" s="1"/>
  <c r="M694" i="15"/>
  <c r="M695" i="15"/>
  <c r="M696" i="15"/>
  <c r="M697" i="15"/>
  <c r="M698" i="15"/>
  <c r="M699" i="15"/>
  <c r="M700" i="15"/>
  <c r="M701" i="15"/>
  <c r="P701" i="15" s="1"/>
  <c r="M702" i="15"/>
  <c r="P702" i="15" s="1"/>
  <c r="M703" i="15"/>
  <c r="P703" i="15" s="1"/>
  <c r="M704" i="15"/>
  <c r="P704" i="15" s="1"/>
  <c r="M705" i="15"/>
  <c r="P705" i="15" s="1"/>
  <c r="M706" i="15"/>
  <c r="M707" i="15"/>
  <c r="M708" i="15"/>
  <c r="M709" i="15"/>
  <c r="M710" i="15"/>
  <c r="M711" i="15"/>
  <c r="M712" i="15"/>
  <c r="P712" i="15" s="1"/>
  <c r="M713" i="15"/>
  <c r="P713" i="15" s="1"/>
  <c r="M714" i="15"/>
  <c r="M715" i="15"/>
  <c r="M716" i="15"/>
  <c r="P716" i="15" s="1"/>
  <c r="M717" i="15"/>
  <c r="P717" i="15" s="1"/>
  <c r="M718" i="15"/>
  <c r="M719" i="15"/>
  <c r="M720" i="15"/>
  <c r="M721" i="15"/>
  <c r="M722" i="15"/>
  <c r="M723" i="15"/>
  <c r="M724" i="15"/>
  <c r="M725" i="15"/>
  <c r="P725" i="15" s="1"/>
  <c r="M726" i="15"/>
  <c r="P726" i="15" s="1"/>
  <c r="M727" i="15"/>
  <c r="P727" i="15" s="1"/>
  <c r="M728" i="15"/>
  <c r="P728" i="15" s="1"/>
  <c r="M729" i="15"/>
  <c r="P729" i="15" s="1"/>
  <c r="M730" i="15"/>
  <c r="M731" i="15"/>
  <c r="M732" i="15"/>
  <c r="M733" i="15"/>
  <c r="M734" i="15"/>
  <c r="M735" i="15"/>
  <c r="M736" i="15"/>
  <c r="P736" i="15" s="1"/>
  <c r="M737" i="15"/>
  <c r="M738" i="15"/>
  <c r="M739" i="15"/>
  <c r="P739" i="15" s="1"/>
  <c r="M740" i="15"/>
  <c r="P740" i="15" s="1"/>
  <c r="M741" i="15"/>
  <c r="P741" i="15" s="1"/>
  <c r="M742" i="15"/>
  <c r="M743" i="15"/>
  <c r="M744" i="15"/>
  <c r="M745" i="15"/>
  <c r="M746" i="15"/>
  <c r="M747" i="15"/>
  <c r="M748" i="15"/>
  <c r="P748" i="15" s="1"/>
  <c r="M749" i="15"/>
  <c r="P749" i="15" s="1"/>
  <c r="M750" i="15"/>
  <c r="P750" i="15" s="1"/>
  <c r="M751" i="15"/>
  <c r="P751" i="15" s="1"/>
  <c r="M752" i="15"/>
  <c r="P752" i="15" s="1"/>
  <c r="M753" i="15"/>
  <c r="M754" i="15"/>
  <c r="M755" i="15"/>
  <c r="M756" i="15"/>
  <c r="M757" i="15"/>
  <c r="M758" i="15"/>
  <c r="M759" i="15"/>
  <c r="M760" i="15"/>
  <c r="M761" i="15"/>
  <c r="M762" i="15"/>
  <c r="M763" i="15"/>
  <c r="P763" i="15" s="1"/>
  <c r="M764" i="15"/>
  <c r="P764" i="15" s="1"/>
  <c r="M765" i="15"/>
  <c r="P765" i="15" s="1"/>
  <c r="M766" i="15"/>
  <c r="M767" i="15"/>
  <c r="M768" i="15"/>
  <c r="M769" i="15"/>
  <c r="M770" i="15"/>
  <c r="M771" i="15"/>
  <c r="M772" i="15"/>
  <c r="P772" i="15" s="1"/>
  <c r="M773" i="15"/>
  <c r="P773" i="15" s="1"/>
  <c r="M774" i="15"/>
  <c r="P774" i="15" s="1"/>
  <c r="M775" i="15"/>
  <c r="M776" i="15"/>
  <c r="P776" i="15" s="1"/>
  <c r="M777" i="15"/>
  <c r="P777" i="15" s="1"/>
  <c r="M778" i="15"/>
  <c r="M779" i="15"/>
  <c r="M780" i="15"/>
  <c r="M781" i="15"/>
  <c r="M782" i="15"/>
  <c r="M783" i="15"/>
  <c r="M784" i="15"/>
  <c r="M785" i="15"/>
  <c r="M786" i="15"/>
  <c r="P786" i="15" s="1"/>
  <c r="M787" i="15"/>
  <c r="P787" i="15" s="1"/>
  <c r="M788" i="15"/>
  <c r="P788" i="15" s="1"/>
  <c r="M789" i="15"/>
  <c r="P789" i="15" s="1"/>
  <c r="M790" i="15"/>
  <c r="M791" i="15"/>
  <c r="M792" i="15"/>
  <c r="M793" i="15"/>
  <c r="M794" i="15"/>
  <c r="M795" i="15"/>
  <c r="M796" i="15"/>
  <c r="P796" i="15" s="1"/>
  <c r="M797" i="15"/>
  <c r="M798" i="15"/>
  <c r="M799" i="15"/>
  <c r="P799" i="15" s="1"/>
  <c r="M800" i="15"/>
  <c r="P800" i="15" s="1"/>
  <c r="M801" i="15"/>
  <c r="P801" i="15" s="1"/>
  <c r="M802" i="15"/>
  <c r="M803" i="15"/>
  <c r="M804" i="15"/>
  <c r="M805" i="15"/>
  <c r="M806" i="15"/>
  <c r="M807" i="15"/>
  <c r="M808" i="15"/>
  <c r="P808" i="15" s="1"/>
  <c r="M809" i="15"/>
  <c r="P809" i="15" s="1"/>
  <c r="M810" i="15"/>
  <c r="P810" i="15" s="1"/>
  <c r="M811" i="15"/>
  <c r="P811" i="15" s="1"/>
  <c r="M812" i="15"/>
  <c r="P812" i="15" s="1"/>
  <c r="M813" i="15"/>
  <c r="P813" i="15" s="1"/>
  <c r="M814" i="15"/>
  <c r="M815" i="15"/>
  <c r="M816" i="15"/>
  <c r="M817" i="15"/>
  <c r="M818" i="15"/>
  <c r="M819" i="15"/>
  <c r="M820" i="15"/>
  <c r="M821" i="15"/>
  <c r="M822" i="15"/>
  <c r="M823" i="15"/>
  <c r="P823" i="15" s="1"/>
  <c r="M824" i="15"/>
  <c r="P824" i="15" s="1"/>
  <c r="M825" i="15"/>
  <c r="P825" i="15" s="1"/>
  <c r="M826" i="15"/>
  <c r="M827" i="15"/>
  <c r="M828" i="15"/>
  <c r="M829" i="15"/>
  <c r="M830" i="15"/>
  <c r="M831" i="15"/>
  <c r="M832" i="15"/>
  <c r="P832" i="15" s="1"/>
  <c r="M833" i="15"/>
  <c r="P833" i="15" s="1"/>
  <c r="M834" i="15"/>
  <c r="P834" i="15" s="1"/>
  <c r="M835" i="15"/>
  <c r="M836" i="15"/>
  <c r="P836" i="15" s="1"/>
  <c r="M837" i="15"/>
  <c r="P837" i="15" s="1"/>
  <c r="M838" i="15"/>
  <c r="M839" i="15"/>
  <c r="M840" i="15"/>
  <c r="M841" i="15"/>
  <c r="M842" i="15"/>
  <c r="M843" i="15"/>
  <c r="M844" i="15"/>
  <c r="M845" i="15"/>
  <c r="M846" i="15"/>
  <c r="P846" i="15" s="1"/>
  <c r="M847" i="15"/>
  <c r="P847" i="15" s="1"/>
  <c r="M848" i="15"/>
  <c r="P848" i="15" s="1"/>
  <c r="M849" i="15"/>
  <c r="P849" i="15" s="1"/>
  <c r="M850" i="15"/>
  <c r="M851" i="15"/>
  <c r="M852" i="15"/>
  <c r="M853" i="15"/>
  <c r="M854" i="15"/>
  <c r="M855" i="15"/>
  <c r="M856" i="15"/>
  <c r="P856" i="15" s="1"/>
  <c r="M857" i="15"/>
  <c r="P857" i="15" s="1"/>
  <c r="M858" i="15"/>
  <c r="M859" i="15"/>
  <c r="M860" i="15"/>
  <c r="P860" i="15" s="1"/>
  <c r="M861" i="15"/>
  <c r="P861" i="15" s="1"/>
  <c r="M862" i="15"/>
  <c r="M863" i="15"/>
  <c r="M864" i="15"/>
  <c r="M865" i="15"/>
  <c r="M866" i="15"/>
  <c r="M867" i="15"/>
  <c r="M868" i="15"/>
  <c r="M869" i="15"/>
  <c r="P869" i="15" s="1"/>
  <c r="M870" i="15"/>
  <c r="P870" i="15" s="1"/>
  <c r="M871" i="15"/>
  <c r="P871" i="15" s="1"/>
  <c r="M872" i="15"/>
  <c r="P872" i="15" s="1"/>
  <c r="M873" i="15"/>
  <c r="P873" i="15" s="1"/>
  <c r="M874" i="15"/>
  <c r="M875" i="15"/>
  <c r="M876" i="15"/>
  <c r="M877" i="15"/>
  <c r="M878" i="15"/>
  <c r="M879" i="15"/>
  <c r="M880" i="15"/>
  <c r="P880" i="15" s="1"/>
  <c r="M881" i="15"/>
  <c r="M882" i="15"/>
  <c r="M883" i="15"/>
  <c r="M884" i="15"/>
  <c r="P884" i="15" s="1"/>
  <c r="M885" i="15"/>
  <c r="P885" i="15" s="1"/>
  <c r="M886" i="15"/>
  <c r="M887" i="15"/>
  <c r="M888" i="15"/>
  <c r="M889" i="15"/>
  <c r="M890" i="15"/>
  <c r="M891" i="15"/>
  <c r="M892" i="15"/>
  <c r="P892" i="15" s="1"/>
  <c r="M893" i="15"/>
  <c r="P893" i="15" s="1"/>
  <c r="M894" i="15"/>
  <c r="P894" i="15" s="1"/>
  <c r="M895" i="15"/>
  <c r="P895" i="15" s="1"/>
  <c r="M896" i="15"/>
  <c r="P896" i="15" s="1"/>
  <c r="M897" i="15"/>
  <c r="M898" i="15"/>
  <c r="M899" i="15"/>
  <c r="M900" i="15"/>
  <c r="M901" i="15"/>
  <c r="M902" i="15"/>
  <c r="M903" i="15"/>
  <c r="M904" i="15"/>
  <c r="M905" i="15"/>
  <c r="P905" i="15" s="1"/>
  <c r="M906" i="15"/>
  <c r="P906" i="15" s="1"/>
  <c r="M907" i="15"/>
  <c r="P907" i="15" s="1"/>
  <c r="M908" i="15"/>
  <c r="P908" i="15" s="1"/>
  <c r="M909" i="15"/>
  <c r="P909" i="15" s="1"/>
  <c r="M910" i="15"/>
  <c r="M911" i="15"/>
  <c r="M912" i="15"/>
  <c r="M913" i="15"/>
  <c r="M914" i="15"/>
  <c r="M915" i="15"/>
  <c r="M916" i="15"/>
  <c r="P916" i="15" s="1"/>
  <c r="M917" i="15"/>
  <c r="P917" i="15" s="1"/>
  <c r="M918" i="15"/>
  <c r="P918" i="15" s="1"/>
  <c r="M919" i="15"/>
  <c r="M920" i="15"/>
  <c r="M921" i="15"/>
  <c r="P921" i="15" s="1"/>
  <c r="M922" i="15"/>
  <c r="M923" i="15"/>
  <c r="M924" i="15"/>
  <c r="M925" i="15"/>
  <c r="M926" i="15"/>
  <c r="M927" i="15"/>
  <c r="M928" i="15"/>
  <c r="M929" i="15"/>
  <c r="M930" i="15"/>
  <c r="P930" i="15" s="1"/>
  <c r="M931" i="15"/>
  <c r="P931" i="15" s="1"/>
  <c r="M932" i="15"/>
  <c r="P932" i="15" s="1"/>
  <c r="M933" i="15"/>
  <c r="P933" i="15" s="1"/>
  <c r="M934" i="15"/>
  <c r="M935" i="15"/>
  <c r="M936" i="15"/>
  <c r="M937" i="15"/>
  <c r="M938" i="15"/>
  <c r="M939" i="15"/>
  <c r="M940" i="15"/>
  <c r="P940" i="15" s="1"/>
  <c r="M941" i="15"/>
  <c r="P941" i="15" s="1"/>
  <c r="M942" i="15"/>
  <c r="P942" i="15" s="1"/>
  <c r="M943" i="15"/>
  <c r="P943" i="15" s="1"/>
  <c r="M944" i="15"/>
  <c r="P944" i="15" s="1"/>
  <c r="M945" i="15"/>
  <c r="P945" i="15" s="1"/>
  <c r="M946" i="15"/>
  <c r="M947" i="15"/>
  <c r="M948" i="15"/>
  <c r="M949" i="15"/>
  <c r="M950" i="15"/>
  <c r="M951" i="15"/>
  <c r="M952" i="15"/>
  <c r="M953" i="15"/>
  <c r="P953" i="15" s="1"/>
  <c r="M954" i="15"/>
  <c r="P954" i="15" s="1"/>
  <c r="M955" i="15"/>
  <c r="P955" i="15" s="1"/>
  <c r="M956" i="15"/>
  <c r="P956" i="15" s="1"/>
  <c r="M957" i="15"/>
  <c r="P957" i="15" s="1"/>
  <c r="M958" i="15"/>
  <c r="M959" i="15"/>
  <c r="M960" i="15"/>
  <c r="M961" i="15"/>
  <c r="M962" i="15"/>
  <c r="M963" i="15"/>
  <c r="M964" i="15"/>
  <c r="P964" i="15" s="1"/>
  <c r="M965" i="15"/>
  <c r="P965" i="15" s="1"/>
  <c r="M966" i="15"/>
  <c r="M967" i="15"/>
  <c r="P967" i="15" s="1"/>
  <c r="M968" i="15"/>
  <c r="P968" i="15" s="1"/>
  <c r="M969" i="15"/>
  <c r="P969" i="15" s="1"/>
  <c r="M970" i="15"/>
  <c r="M971" i="15"/>
  <c r="M972" i="15"/>
  <c r="M973" i="15"/>
  <c r="M974" i="15"/>
  <c r="M975" i="15"/>
  <c r="M976" i="15"/>
  <c r="M977" i="15"/>
  <c r="P977" i="15" s="1"/>
  <c r="M978" i="15"/>
  <c r="P978" i="15" s="1"/>
  <c r="M979" i="15"/>
  <c r="P979" i="15" s="1"/>
  <c r="M980" i="15"/>
  <c r="P980" i="15" s="1"/>
  <c r="M981" i="15"/>
  <c r="P981" i="15" s="1"/>
  <c r="M982" i="15"/>
  <c r="M983" i="15"/>
  <c r="M984" i="15"/>
  <c r="M985" i="15"/>
  <c r="M986" i="15"/>
  <c r="M987" i="15"/>
  <c r="M988" i="15"/>
  <c r="P988" i="15" s="1"/>
  <c r="M989" i="15"/>
  <c r="P989" i="15" s="1"/>
  <c r="M990" i="15"/>
  <c r="P990" i="15" s="1"/>
  <c r="M991" i="15"/>
  <c r="M992" i="15"/>
  <c r="M993" i="15"/>
  <c r="P993" i="15" s="1"/>
  <c r="M994" i="15"/>
  <c r="M995" i="15"/>
  <c r="M996" i="15"/>
  <c r="M997" i="15"/>
  <c r="M998" i="15"/>
  <c r="M999" i="15"/>
  <c r="M1000" i="15"/>
  <c r="M1001" i="15"/>
  <c r="P1001" i="15" s="1"/>
  <c r="M1002" i="15"/>
  <c r="P1002" i="15" s="1"/>
  <c r="M1003" i="15"/>
  <c r="P1003" i="15" s="1"/>
  <c r="M1004" i="15"/>
  <c r="P1004" i="15" s="1"/>
  <c r="M1005" i="15"/>
  <c r="P1005" i="15" s="1"/>
  <c r="M1006" i="15"/>
  <c r="M9" i="15"/>
  <c r="L10" i="15"/>
  <c r="L11" i="15"/>
  <c r="L12" i="15"/>
  <c r="L13" i="15"/>
  <c r="L14" i="15"/>
  <c r="L15" i="15"/>
  <c r="L16" i="15"/>
  <c r="L17" i="15"/>
  <c r="L18" i="15"/>
  <c r="L19" i="15"/>
  <c r="L20" i="15"/>
  <c r="L21" i="15"/>
  <c r="L22" i="15"/>
  <c r="L23" i="15"/>
  <c r="L24" i="15"/>
  <c r="L25" i="15"/>
  <c r="L26" i="15"/>
  <c r="L27" i="15"/>
  <c r="L28" i="15"/>
  <c r="L29" i="15"/>
  <c r="L30" i="15"/>
  <c r="L31" i="15"/>
  <c r="L32" i="15"/>
  <c r="L33" i="15"/>
  <c r="L34" i="15"/>
  <c r="L35" i="15"/>
  <c r="L36" i="15"/>
  <c r="L37" i="15"/>
  <c r="L38" i="15"/>
  <c r="L39" i="15"/>
  <c r="L40" i="15"/>
  <c r="L41" i="15"/>
  <c r="L42" i="15"/>
  <c r="L43" i="15"/>
  <c r="L44" i="15"/>
  <c r="L45" i="15"/>
  <c r="L46" i="15"/>
  <c r="L47" i="15"/>
  <c r="L48" i="15"/>
  <c r="L49" i="15"/>
  <c r="L50" i="15"/>
  <c r="L51" i="15"/>
  <c r="L52" i="15"/>
  <c r="L53" i="15"/>
  <c r="L54" i="15"/>
  <c r="L55" i="15"/>
  <c r="L56" i="15"/>
  <c r="L57" i="15"/>
  <c r="L58" i="15"/>
  <c r="L59" i="15"/>
  <c r="L60" i="15"/>
  <c r="L61" i="15"/>
  <c r="L62" i="15"/>
  <c r="L63" i="15"/>
  <c r="L64" i="15"/>
  <c r="L65" i="15"/>
  <c r="L66" i="15"/>
  <c r="L67" i="15"/>
  <c r="L68" i="15"/>
  <c r="L69" i="15"/>
  <c r="L70" i="15"/>
  <c r="L71" i="15"/>
  <c r="L72" i="15"/>
  <c r="L73" i="15"/>
  <c r="L74" i="15"/>
  <c r="L75" i="15"/>
  <c r="L76" i="15"/>
  <c r="L77" i="15"/>
  <c r="L78" i="15"/>
  <c r="L79" i="15"/>
  <c r="L80" i="15"/>
  <c r="L81" i="15"/>
  <c r="L82" i="15"/>
  <c r="L83" i="15"/>
  <c r="L84" i="15"/>
  <c r="L85" i="15"/>
  <c r="L86" i="15"/>
  <c r="L87" i="15"/>
  <c r="L88" i="15"/>
  <c r="L89" i="15"/>
  <c r="L90" i="15"/>
  <c r="L91" i="15"/>
  <c r="L92" i="15"/>
  <c r="L93" i="15"/>
  <c r="L94" i="15"/>
  <c r="L95" i="15"/>
  <c r="L96" i="15"/>
  <c r="L97" i="15"/>
  <c r="L98" i="15"/>
  <c r="L99" i="15"/>
  <c r="L100" i="15"/>
  <c r="L101" i="15"/>
  <c r="L102" i="15"/>
  <c r="L103" i="15"/>
  <c r="L104" i="15"/>
  <c r="L105" i="15"/>
  <c r="L106" i="15"/>
  <c r="L107" i="15"/>
  <c r="L108" i="15"/>
  <c r="L109" i="15"/>
  <c r="L110" i="15"/>
  <c r="L111" i="15"/>
  <c r="L112" i="15"/>
  <c r="L113" i="15"/>
  <c r="L114" i="15"/>
  <c r="L115" i="15"/>
  <c r="L116" i="15"/>
  <c r="L117" i="15"/>
  <c r="L118" i="15"/>
  <c r="L119" i="15"/>
  <c r="L120" i="15"/>
  <c r="L121" i="15"/>
  <c r="L122" i="15"/>
  <c r="L123" i="15"/>
  <c r="L124" i="15"/>
  <c r="L125" i="15"/>
  <c r="L126" i="15"/>
  <c r="L127" i="15"/>
  <c r="L128" i="15"/>
  <c r="L129" i="15"/>
  <c r="L130" i="15"/>
  <c r="L131" i="15"/>
  <c r="L132" i="15"/>
  <c r="L133" i="15"/>
  <c r="L134" i="15"/>
  <c r="L135" i="15"/>
  <c r="L136" i="15"/>
  <c r="L137" i="15"/>
  <c r="L138" i="15"/>
  <c r="L139" i="15"/>
  <c r="L140" i="15"/>
  <c r="L141" i="15"/>
  <c r="L142" i="15"/>
  <c r="L143" i="15"/>
  <c r="L144" i="15"/>
  <c r="L145" i="15"/>
  <c r="L146" i="15"/>
  <c r="L147" i="15"/>
  <c r="L148" i="15"/>
  <c r="L149" i="15"/>
  <c r="L150" i="15"/>
  <c r="L151" i="15"/>
  <c r="L152" i="15"/>
  <c r="L153" i="15"/>
  <c r="L154" i="15"/>
  <c r="L155" i="15"/>
  <c r="L156" i="15"/>
  <c r="L157" i="15"/>
  <c r="L158" i="15"/>
  <c r="L159" i="15"/>
  <c r="L160" i="15"/>
  <c r="L161" i="15"/>
  <c r="L162" i="15"/>
  <c r="L163" i="15"/>
  <c r="L164" i="15"/>
  <c r="L165" i="15"/>
  <c r="L166" i="15"/>
  <c r="L167" i="15"/>
  <c r="L168" i="15"/>
  <c r="L169" i="15"/>
  <c r="L170" i="15"/>
  <c r="L171" i="15"/>
  <c r="L172" i="15"/>
  <c r="L173" i="15"/>
  <c r="L174" i="15"/>
  <c r="L175" i="15"/>
  <c r="L176" i="15"/>
  <c r="L177" i="15"/>
  <c r="L178" i="15"/>
  <c r="L179" i="15"/>
  <c r="L180" i="15"/>
  <c r="L181" i="15"/>
  <c r="L182" i="15"/>
  <c r="L183" i="15"/>
  <c r="L184" i="15"/>
  <c r="L185" i="15"/>
  <c r="L186" i="15"/>
  <c r="L187" i="15"/>
  <c r="L188" i="15"/>
  <c r="L189" i="15"/>
  <c r="L190" i="15"/>
  <c r="L191" i="15"/>
  <c r="L192" i="15"/>
  <c r="L193" i="15"/>
  <c r="L194" i="15"/>
  <c r="L195" i="15"/>
  <c r="L196" i="15"/>
  <c r="L197" i="15"/>
  <c r="L198" i="15"/>
  <c r="L199" i="15"/>
  <c r="L200" i="15"/>
  <c r="L201" i="15"/>
  <c r="L202" i="15"/>
  <c r="L203" i="15"/>
  <c r="L204" i="15"/>
  <c r="L205" i="15"/>
  <c r="L206" i="15"/>
  <c r="L207" i="15"/>
  <c r="L208" i="15"/>
  <c r="L209" i="15"/>
  <c r="L210" i="15"/>
  <c r="L211" i="15"/>
  <c r="L212" i="15"/>
  <c r="L213" i="15"/>
  <c r="L214" i="15"/>
  <c r="L215" i="15"/>
  <c r="L216" i="15"/>
  <c r="L217" i="15"/>
  <c r="L218" i="15"/>
  <c r="L219" i="15"/>
  <c r="L220" i="15"/>
  <c r="L221" i="15"/>
  <c r="L222" i="15"/>
  <c r="L223" i="15"/>
  <c r="L224" i="15"/>
  <c r="L225" i="15"/>
  <c r="L226" i="15"/>
  <c r="L227" i="15"/>
  <c r="L228" i="15"/>
  <c r="L229" i="15"/>
  <c r="L230" i="15"/>
  <c r="L231" i="15"/>
  <c r="L232" i="15"/>
  <c r="L233" i="15"/>
  <c r="L234" i="15"/>
  <c r="L235" i="15"/>
  <c r="L236" i="15"/>
  <c r="L237" i="15"/>
  <c r="L238" i="15"/>
  <c r="L239" i="15"/>
  <c r="L240" i="15"/>
  <c r="L241" i="15"/>
  <c r="L242" i="15"/>
  <c r="L243" i="15"/>
  <c r="L244" i="15"/>
  <c r="L245" i="15"/>
  <c r="L246" i="15"/>
  <c r="L247" i="15"/>
  <c r="L248" i="15"/>
  <c r="L249" i="15"/>
  <c r="L250" i="15"/>
  <c r="L251" i="15"/>
  <c r="L252" i="15"/>
  <c r="L253" i="15"/>
  <c r="L254" i="15"/>
  <c r="L255" i="15"/>
  <c r="L256" i="15"/>
  <c r="L257" i="15"/>
  <c r="L258" i="15"/>
  <c r="L259" i="15"/>
  <c r="L260" i="15"/>
  <c r="L261" i="15"/>
  <c r="L262" i="15"/>
  <c r="L263" i="15"/>
  <c r="L264" i="15"/>
  <c r="L265" i="15"/>
  <c r="L266" i="15"/>
  <c r="L267" i="15"/>
  <c r="L268" i="15"/>
  <c r="L269" i="15"/>
  <c r="L270" i="15"/>
  <c r="L271" i="15"/>
  <c r="L272" i="15"/>
  <c r="L273" i="15"/>
  <c r="L274" i="15"/>
  <c r="L275" i="15"/>
  <c r="L276" i="15"/>
  <c r="L277" i="15"/>
  <c r="L278" i="15"/>
  <c r="L279" i="15"/>
  <c r="L280" i="15"/>
  <c r="L281" i="15"/>
  <c r="L282" i="15"/>
  <c r="L283" i="15"/>
  <c r="L284" i="15"/>
  <c r="L285" i="15"/>
  <c r="L286" i="15"/>
  <c r="L287" i="15"/>
  <c r="L288" i="15"/>
  <c r="L289" i="15"/>
  <c r="L290" i="15"/>
  <c r="L291" i="15"/>
  <c r="L292" i="15"/>
  <c r="L293" i="15"/>
  <c r="L294" i="15"/>
  <c r="L295" i="15"/>
  <c r="L296" i="15"/>
  <c r="L297" i="15"/>
  <c r="L298" i="15"/>
  <c r="L299" i="15"/>
  <c r="L300" i="15"/>
  <c r="L301" i="15"/>
  <c r="L302" i="15"/>
  <c r="L303" i="15"/>
  <c r="L304" i="15"/>
  <c r="L305" i="15"/>
  <c r="L306" i="15"/>
  <c r="L307" i="15"/>
  <c r="L308" i="15"/>
  <c r="L309" i="15"/>
  <c r="L310" i="15"/>
  <c r="L311" i="15"/>
  <c r="L312" i="15"/>
  <c r="L313" i="15"/>
  <c r="L314" i="15"/>
  <c r="L315" i="15"/>
  <c r="L316" i="15"/>
  <c r="L317" i="15"/>
  <c r="L318" i="15"/>
  <c r="L319" i="15"/>
  <c r="L320" i="15"/>
  <c r="L321" i="15"/>
  <c r="L322" i="15"/>
  <c r="L323" i="15"/>
  <c r="L324" i="15"/>
  <c r="L325" i="15"/>
  <c r="L326" i="15"/>
  <c r="L327" i="15"/>
  <c r="L328" i="15"/>
  <c r="L329" i="15"/>
  <c r="L330" i="15"/>
  <c r="L331" i="15"/>
  <c r="L332" i="15"/>
  <c r="L333" i="15"/>
  <c r="L334" i="15"/>
  <c r="L335" i="15"/>
  <c r="L336" i="15"/>
  <c r="L337" i="15"/>
  <c r="L338" i="15"/>
  <c r="L339" i="15"/>
  <c r="L340" i="15"/>
  <c r="L341" i="15"/>
  <c r="L342" i="15"/>
  <c r="L343" i="15"/>
  <c r="L344" i="15"/>
  <c r="L345" i="15"/>
  <c r="L346" i="15"/>
  <c r="L347" i="15"/>
  <c r="L348" i="15"/>
  <c r="L349" i="15"/>
  <c r="L350" i="15"/>
  <c r="L351" i="15"/>
  <c r="L352" i="15"/>
  <c r="L353" i="15"/>
  <c r="L354" i="15"/>
  <c r="L355" i="15"/>
  <c r="L356" i="15"/>
  <c r="L357" i="15"/>
  <c r="L358" i="15"/>
  <c r="L359" i="15"/>
  <c r="L360" i="15"/>
  <c r="L361" i="15"/>
  <c r="L362" i="15"/>
  <c r="L363" i="15"/>
  <c r="L364" i="15"/>
  <c r="L365" i="15"/>
  <c r="L366" i="15"/>
  <c r="L367" i="15"/>
  <c r="L368" i="15"/>
  <c r="L369" i="15"/>
  <c r="L370" i="15"/>
  <c r="L371" i="15"/>
  <c r="L372" i="15"/>
  <c r="L373" i="15"/>
  <c r="L374" i="15"/>
  <c r="L375" i="15"/>
  <c r="L376" i="15"/>
  <c r="L377" i="15"/>
  <c r="L378" i="15"/>
  <c r="L379" i="15"/>
  <c r="L380" i="15"/>
  <c r="L381" i="15"/>
  <c r="L382" i="15"/>
  <c r="L383" i="15"/>
  <c r="L384" i="15"/>
  <c r="L385" i="15"/>
  <c r="L386" i="15"/>
  <c r="L387" i="15"/>
  <c r="L388" i="15"/>
  <c r="L389" i="15"/>
  <c r="L390" i="15"/>
  <c r="L391" i="15"/>
  <c r="L392" i="15"/>
  <c r="L393" i="15"/>
  <c r="L394" i="15"/>
  <c r="L395" i="15"/>
  <c r="L396" i="15"/>
  <c r="L397" i="15"/>
  <c r="L398" i="15"/>
  <c r="L399" i="15"/>
  <c r="L400" i="15"/>
  <c r="L401" i="15"/>
  <c r="L402" i="15"/>
  <c r="L403" i="15"/>
  <c r="L404" i="15"/>
  <c r="L405" i="15"/>
  <c r="L406" i="15"/>
  <c r="L407" i="15"/>
  <c r="L408" i="15"/>
  <c r="L409" i="15"/>
  <c r="L410" i="15"/>
  <c r="L411" i="15"/>
  <c r="L412" i="15"/>
  <c r="L413" i="15"/>
  <c r="L414" i="15"/>
  <c r="L415" i="15"/>
  <c r="L416" i="15"/>
  <c r="L417" i="15"/>
  <c r="L418" i="15"/>
  <c r="L419" i="15"/>
  <c r="L420" i="15"/>
  <c r="L421" i="15"/>
  <c r="L422" i="15"/>
  <c r="L423" i="15"/>
  <c r="L424" i="15"/>
  <c r="L425" i="15"/>
  <c r="L426" i="15"/>
  <c r="L427" i="15"/>
  <c r="L428" i="15"/>
  <c r="L429" i="15"/>
  <c r="L430" i="15"/>
  <c r="L431" i="15"/>
  <c r="L432" i="15"/>
  <c r="L433" i="15"/>
  <c r="L434" i="15"/>
  <c r="L435" i="15"/>
  <c r="L436" i="15"/>
  <c r="L437" i="15"/>
  <c r="L438" i="15"/>
  <c r="L439" i="15"/>
  <c r="L440" i="15"/>
  <c r="L441" i="15"/>
  <c r="L442" i="15"/>
  <c r="L443" i="15"/>
  <c r="L444" i="15"/>
  <c r="L445" i="15"/>
  <c r="L446" i="15"/>
  <c r="L447" i="15"/>
  <c r="L448" i="15"/>
  <c r="L449" i="15"/>
  <c r="L450" i="15"/>
  <c r="L451" i="15"/>
  <c r="L452" i="15"/>
  <c r="L453" i="15"/>
  <c r="L454" i="15"/>
  <c r="L455" i="15"/>
  <c r="L456" i="15"/>
  <c r="L457" i="15"/>
  <c r="L458" i="15"/>
  <c r="L459" i="15"/>
  <c r="L460" i="15"/>
  <c r="L461" i="15"/>
  <c r="L462" i="15"/>
  <c r="L463" i="15"/>
  <c r="L464" i="15"/>
  <c r="L465" i="15"/>
  <c r="L466" i="15"/>
  <c r="L467" i="15"/>
  <c r="L468" i="15"/>
  <c r="L469" i="15"/>
  <c r="L470" i="15"/>
  <c r="L471" i="15"/>
  <c r="L472" i="15"/>
  <c r="L473" i="15"/>
  <c r="L474" i="15"/>
  <c r="L475" i="15"/>
  <c r="L476" i="15"/>
  <c r="L477" i="15"/>
  <c r="L478" i="15"/>
  <c r="L479" i="15"/>
  <c r="L480" i="15"/>
  <c r="L481" i="15"/>
  <c r="L482" i="15"/>
  <c r="L483" i="15"/>
  <c r="L484" i="15"/>
  <c r="L485" i="15"/>
  <c r="L486" i="15"/>
  <c r="L487" i="15"/>
  <c r="L488" i="15"/>
  <c r="L489" i="15"/>
  <c r="L490" i="15"/>
  <c r="L491" i="15"/>
  <c r="L492" i="15"/>
  <c r="L493" i="15"/>
  <c r="L494" i="15"/>
  <c r="L495" i="15"/>
  <c r="L496" i="15"/>
  <c r="L497" i="15"/>
  <c r="L498" i="15"/>
  <c r="L499" i="15"/>
  <c r="L500" i="15"/>
  <c r="L501" i="15"/>
  <c r="L502" i="15"/>
  <c r="L503" i="15"/>
  <c r="L504" i="15"/>
  <c r="L505" i="15"/>
  <c r="L506" i="15"/>
  <c r="L507" i="15"/>
  <c r="L508" i="15"/>
  <c r="L509" i="15"/>
  <c r="L510" i="15"/>
  <c r="L511" i="15"/>
  <c r="L512" i="15"/>
  <c r="L513" i="15"/>
  <c r="L514" i="15"/>
  <c r="L515" i="15"/>
  <c r="L516" i="15"/>
  <c r="L517" i="15"/>
  <c r="L518" i="15"/>
  <c r="L519" i="15"/>
  <c r="L520" i="15"/>
  <c r="L521" i="15"/>
  <c r="L522" i="15"/>
  <c r="L523" i="15"/>
  <c r="L524" i="15"/>
  <c r="L525" i="15"/>
  <c r="L526" i="15"/>
  <c r="L527" i="15"/>
  <c r="L528" i="15"/>
  <c r="L529" i="15"/>
  <c r="L530" i="15"/>
  <c r="L531" i="15"/>
  <c r="L532" i="15"/>
  <c r="L533" i="15"/>
  <c r="L534" i="15"/>
  <c r="L535" i="15"/>
  <c r="L536" i="15"/>
  <c r="L537" i="15"/>
  <c r="L538" i="15"/>
  <c r="L539" i="15"/>
  <c r="L540" i="15"/>
  <c r="L541" i="15"/>
  <c r="L542" i="15"/>
  <c r="L543" i="15"/>
  <c r="L544" i="15"/>
  <c r="L545" i="15"/>
  <c r="L546" i="15"/>
  <c r="L547" i="15"/>
  <c r="L548" i="15"/>
  <c r="L549" i="15"/>
  <c r="L550" i="15"/>
  <c r="L551" i="15"/>
  <c r="L552" i="15"/>
  <c r="L553" i="15"/>
  <c r="L554" i="15"/>
  <c r="L555" i="15"/>
  <c r="L556" i="15"/>
  <c r="L557" i="15"/>
  <c r="L558" i="15"/>
  <c r="L559" i="15"/>
  <c r="L560" i="15"/>
  <c r="L561" i="15"/>
  <c r="L562" i="15"/>
  <c r="L563" i="15"/>
  <c r="L564" i="15"/>
  <c r="L565" i="15"/>
  <c r="L566" i="15"/>
  <c r="L567" i="15"/>
  <c r="L568" i="15"/>
  <c r="L569" i="15"/>
  <c r="L570" i="15"/>
  <c r="L571" i="15"/>
  <c r="L572" i="15"/>
  <c r="L573" i="15"/>
  <c r="L574" i="15"/>
  <c r="L575" i="15"/>
  <c r="L576" i="15"/>
  <c r="L577" i="15"/>
  <c r="L578" i="15"/>
  <c r="L579" i="15"/>
  <c r="L580" i="15"/>
  <c r="L581" i="15"/>
  <c r="L582" i="15"/>
  <c r="L583" i="15"/>
  <c r="L584" i="15"/>
  <c r="L585" i="15"/>
  <c r="L586" i="15"/>
  <c r="L587" i="15"/>
  <c r="L588" i="15"/>
  <c r="L589" i="15"/>
  <c r="L590" i="15"/>
  <c r="L591" i="15"/>
  <c r="L592" i="15"/>
  <c r="L593" i="15"/>
  <c r="L594" i="15"/>
  <c r="L595" i="15"/>
  <c r="L596" i="15"/>
  <c r="L597" i="15"/>
  <c r="L598" i="15"/>
  <c r="L599" i="15"/>
  <c r="L600" i="15"/>
  <c r="L601" i="15"/>
  <c r="L602" i="15"/>
  <c r="L603" i="15"/>
  <c r="L604" i="15"/>
  <c r="L605" i="15"/>
  <c r="L606" i="15"/>
  <c r="L607" i="15"/>
  <c r="L608" i="15"/>
  <c r="L609" i="15"/>
  <c r="L610" i="15"/>
  <c r="L611" i="15"/>
  <c r="L612" i="15"/>
  <c r="L613" i="15"/>
  <c r="L614" i="15"/>
  <c r="L615" i="15"/>
  <c r="L616" i="15"/>
  <c r="L617" i="15"/>
  <c r="L618" i="15"/>
  <c r="L619" i="15"/>
  <c r="L620" i="15"/>
  <c r="L621" i="15"/>
  <c r="L622" i="15"/>
  <c r="L623" i="15"/>
  <c r="L624" i="15"/>
  <c r="L625" i="15"/>
  <c r="L626" i="15"/>
  <c r="L627" i="15"/>
  <c r="L628" i="15"/>
  <c r="L629" i="15"/>
  <c r="L630" i="15"/>
  <c r="L631" i="15"/>
  <c r="L632" i="15"/>
  <c r="L633" i="15"/>
  <c r="L634" i="15"/>
  <c r="L635" i="15"/>
  <c r="L636" i="15"/>
  <c r="L637" i="15"/>
  <c r="L638" i="15"/>
  <c r="L639" i="15"/>
  <c r="L640" i="15"/>
  <c r="L641" i="15"/>
  <c r="L642" i="15"/>
  <c r="L643" i="15"/>
  <c r="L644" i="15"/>
  <c r="L645" i="15"/>
  <c r="L646" i="15"/>
  <c r="L647" i="15"/>
  <c r="L648" i="15"/>
  <c r="L649" i="15"/>
  <c r="L650" i="15"/>
  <c r="L651" i="15"/>
  <c r="L652" i="15"/>
  <c r="L653" i="15"/>
  <c r="L654" i="15"/>
  <c r="L655" i="15"/>
  <c r="L656" i="15"/>
  <c r="L657" i="15"/>
  <c r="L658" i="15"/>
  <c r="L659" i="15"/>
  <c r="L660" i="15"/>
  <c r="L661" i="15"/>
  <c r="L662" i="15"/>
  <c r="L663" i="15"/>
  <c r="L664" i="15"/>
  <c r="L665" i="15"/>
  <c r="L666" i="15"/>
  <c r="L667" i="15"/>
  <c r="L668" i="15"/>
  <c r="L669" i="15"/>
  <c r="L670" i="15"/>
  <c r="L671" i="15"/>
  <c r="L672" i="15"/>
  <c r="L673" i="15"/>
  <c r="L674" i="15"/>
  <c r="L675" i="15"/>
  <c r="L676" i="15"/>
  <c r="L677" i="15"/>
  <c r="L678" i="15"/>
  <c r="L679" i="15"/>
  <c r="L680" i="15"/>
  <c r="L681" i="15"/>
  <c r="L682" i="15"/>
  <c r="L683" i="15"/>
  <c r="L684" i="15"/>
  <c r="L685" i="15"/>
  <c r="L686" i="15"/>
  <c r="L687" i="15"/>
  <c r="L688" i="15"/>
  <c r="L689" i="15"/>
  <c r="L690" i="15"/>
  <c r="L691" i="15"/>
  <c r="L692" i="15"/>
  <c r="L693" i="15"/>
  <c r="L694" i="15"/>
  <c r="L695" i="15"/>
  <c r="L696" i="15"/>
  <c r="L697" i="15"/>
  <c r="L698" i="15"/>
  <c r="L699" i="15"/>
  <c r="L700" i="15"/>
  <c r="L701" i="15"/>
  <c r="L702" i="15"/>
  <c r="L703" i="15"/>
  <c r="L704" i="15"/>
  <c r="L705" i="15"/>
  <c r="L706" i="15"/>
  <c r="L707" i="15"/>
  <c r="L708" i="15"/>
  <c r="L709" i="15"/>
  <c r="L710" i="15"/>
  <c r="L711" i="15"/>
  <c r="L712" i="15"/>
  <c r="L713" i="15"/>
  <c r="L714" i="15"/>
  <c r="L715" i="15"/>
  <c r="L716" i="15"/>
  <c r="L717" i="15"/>
  <c r="L718" i="15"/>
  <c r="L719" i="15"/>
  <c r="L720" i="15"/>
  <c r="L721" i="15"/>
  <c r="L722" i="15"/>
  <c r="L723" i="15"/>
  <c r="L724" i="15"/>
  <c r="L725" i="15"/>
  <c r="L726" i="15"/>
  <c r="L727" i="15"/>
  <c r="L728" i="15"/>
  <c r="L729" i="15"/>
  <c r="L730" i="15"/>
  <c r="L731" i="15"/>
  <c r="L732" i="15"/>
  <c r="L733" i="15"/>
  <c r="L734" i="15"/>
  <c r="L735" i="15"/>
  <c r="L736" i="15"/>
  <c r="L737" i="15"/>
  <c r="L738" i="15"/>
  <c r="L739" i="15"/>
  <c r="L740" i="15"/>
  <c r="L741" i="15"/>
  <c r="L742" i="15"/>
  <c r="L743" i="15"/>
  <c r="L744" i="15"/>
  <c r="L745" i="15"/>
  <c r="L746" i="15"/>
  <c r="L747" i="15"/>
  <c r="L748" i="15"/>
  <c r="L749" i="15"/>
  <c r="L750" i="15"/>
  <c r="L751" i="15"/>
  <c r="L752" i="15"/>
  <c r="L753" i="15"/>
  <c r="L754" i="15"/>
  <c r="L755" i="15"/>
  <c r="L756" i="15"/>
  <c r="L757" i="15"/>
  <c r="L758" i="15"/>
  <c r="L759" i="15"/>
  <c r="L760" i="15"/>
  <c r="L761" i="15"/>
  <c r="L762" i="15"/>
  <c r="L763" i="15"/>
  <c r="L764" i="15"/>
  <c r="L765" i="15"/>
  <c r="L766" i="15"/>
  <c r="L767" i="15"/>
  <c r="L768" i="15"/>
  <c r="L769" i="15"/>
  <c r="L770" i="15"/>
  <c r="L771" i="15"/>
  <c r="L772" i="15"/>
  <c r="L773" i="15"/>
  <c r="L774" i="15"/>
  <c r="L775" i="15"/>
  <c r="L776" i="15"/>
  <c r="L777" i="15"/>
  <c r="L778" i="15"/>
  <c r="L779" i="15"/>
  <c r="L780" i="15"/>
  <c r="L781" i="15"/>
  <c r="L782" i="15"/>
  <c r="L783" i="15"/>
  <c r="L784" i="15"/>
  <c r="L785" i="15"/>
  <c r="L786" i="15"/>
  <c r="L787" i="15"/>
  <c r="L788" i="15"/>
  <c r="L789" i="15"/>
  <c r="L790" i="15"/>
  <c r="L791" i="15"/>
  <c r="L792" i="15"/>
  <c r="L793" i="15"/>
  <c r="L794" i="15"/>
  <c r="L795" i="15"/>
  <c r="L796" i="15"/>
  <c r="L797" i="15"/>
  <c r="L798" i="15"/>
  <c r="L799" i="15"/>
  <c r="L800" i="15"/>
  <c r="L801" i="15"/>
  <c r="L802" i="15"/>
  <c r="L803" i="15"/>
  <c r="L804" i="15"/>
  <c r="L805" i="15"/>
  <c r="L806" i="15"/>
  <c r="L807" i="15"/>
  <c r="L808" i="15"/>
  <c r="L809" i="15"/>
  <c r="L810" i="15"/>
  <c r="L811" i="15"/>
  <c r="L812" i="15"/>
  <c r="L813" i="15"/>
  <c r="L814" i="15"/>
  <c r="L815" i="15"/>
  <c r="L816" i="15"/>
  <c r="L817" i="15"/>
  <c r="L818" i="15"/>
  <c r="L819" i="15"/>
  <c r="L820" i="15"/>
  <c r="L821" i="15"/>
  <c r="L822" i="15"/>
  <c r="L823" i="15"/>
  <c r="L824" i="15"/>
  <c r="L825" i="15"/>
  <c r="L826" i="15"/>
  <c r="L827" i="15"/>
  <c r="L828" i="15"/>
  <c r="L829" i="15"/>
  <c r="L830" i="15"/>
  <c r="L831" i="15"/>
  <c r="L832" i="15"/>
  <c r="L833" i="15"/>
  <c r="L834" i="15"/>
  <c r="L835" i="15"/>
  <c r="L836" i="15"/>
  <c r="L837" i="15"/>
  <c r="L838" i="15"/>
  <c r="L839" i="15"/>
  <c r="L840" i="15"/>
  <c r="L841" i="15"/>
  <c r="L842" i="15"/>
  <c r="L843" i="15"/>
  <c r="L844" i="15"/>
  <c r="L845" i="15"/>
  <c r="L846" i="15"/>
  <c r="L847" i="15"/>
  <c r="L848" i="15"/>
  <c r="L849" i="15"/>
  <c r="L850" i="15"/>
  <c r="L851" i="15"/>
  <c r="L852" i="15"/>
  <c r="L853" i="15"/>
  <c r="L854" i="15"/>
  <c r="L855" i="15"/>
  <c r="L856" i="15"/>
  <c r="L857" i="15"/>
  <c r="L858" i="15"/>
  <c r="L859" i="15"/>
  <c r="L860" i="15"/>
  <c r="L861" i="15"/>
  <c r="L862" i="15"/>
  <c r="L863" i="15"/>
  <c r="L864" i="15"/>
  <c r="L865" i="15"/>
  <c r="L866" i="15"/>
  <c r="L867" i="15"/>
  <c r="L868" i="15"/>
  <c r="L869" i="15"/>
  <c r="L870" i="15"/>
  <c r="L871" i="15"/>
  <c r="L872" i="15"/>
  <c r="L873" i="15"/>
  <c r="L874" i="15"/>
  <c r="L875" i="15"/>
  <c r="L876" i="15"/>
  <c r="L877" i="15"/>
  <c r="L878" i="15"/>
  <c r="L879" i="15"/>
  <c r="L880" i="15"/>
  <c r="L881" i="15"/>
  <c r="L882" i="15"/>
  <c r="L883" i="15"/>
  <c r="L884" i="15"/>
  <c r="L885" i="15"/>
  <c r="L886" i="15"/>
  <c r="L887" i="15"/>
  <c r="L888" i="15"/>
  <c r="L889" i="15"/>
  <c r="L890" i="15"/>
  <c r="L891" i="15"/>
  <c r="L892" i="15"/>
  <c r="L893" i="15"/>
  <c r="L894" i="15"/>
  <c r="L895" i="15"/>
  <c r="L896" i="15"/>
  <c r="L897" i="15"/>
  <c r="L898" i="15"/>
  <c r="L899" i="15"/>
  <c r="L900" i="15"/>
  <c r="L901" i="15"/>
  <c r="L902" i="15"/>
  <c r="L903" i="15"/>
  <c r="L904" i="15"/>
  <c r="L905" i="15"/>
  <c r="L906" i="15"/>
  <c r="L907" i="15"/>
  <c r="L908" i="15"/>
  <c r="L909" i="15"/>
  <c r="L910" i="15"/>
  <c r="L911" i="15"/>
  <c r="L912" i="15"/>
  <c r="L913" i="15"/>
  <c r="L914" i="15"/>
  <c r="L915" i="15"/>
  <c r="L916" i="15"/>
  <c r="L917" i="15"/>
  <c r="L918" i="15"/>
  <c r="L919" i="15"/>
  <c r="L920" i="15"/>
  <c r="L921" i="15"/>
  <c r="L922" i="15"/>
  <c r="L923" i="15"/>
  <c r="L924" i="15"/>
  <c r="L925" i="15"/>
  <c r="L926" i="15"/>
  <c r="L927" i="15"/>
  <c r="L928" i="15"/>
  <c r="L929" i="15"/>
  <c r="L930" i="15"/>
  <c r="L931" i="15"/>
  <c r="L932" i="15"/>
  <c r="L933" i="15"/>
  <c r="L934" i="15"/>
  <c r="L935" i="15"/>
  <c r="L936" i="15"/>
  <c r="L937" i="15"/>
  <c r="L938" i="15"/>
  <c r="L939" i="15"/>
  <c r="L940" i="15"/>
  <c r="L941" i="15"/>
  <c r="L942" i="15"/>
  <c r="L943" i="15"/>
  <c r="L944" i="15"/>
  <c r="L945" i="15"/>
  <c r="L946" i="15"/>
  <c r="L947" i="15"/>
  <c r="L948" i="15"/>
  <c r="L949" i="15"/>
  <c r="L950" i="15"/>
  <c r="L951" i="15"/>
  <c r="L952" i="15"/>
  <c r="L953" i="15"/>
  <c r="L954" i="15"/>
  <c r="L955" i="15"/>
  <c r="L956" i="15"/>
  <c r="L957" i="15"/>
  <c r="L958" i="15"/>
  <c r="L959" i="15"/>
  <c r="L960" i="15"/>
  <c r="L961" i="15"/>
  <c r="L962" i="15"/>
  <c r="L963" i="15"/>
  <c r="L964" i="15"/>
  <c r="L965" i="15"/>
  <c r="L966" i="15"/>
  <c r="L967" i="15"/>
  <c r="L968" i="15"/>
  <c r="L969" i="15"/>
  <c r="L970" i="15"/>
  <c r="L971" i="15"/>
  <c r="L972" i="15"/>
  <c r="L973" i="15"/>
  <c r="L974" i="15"/>
  <c r="L975" i="15"/>
  <c r="L976" i="15"/>
  <c r="L977" i="15"/>
  <c r="L978" i="15"/>
  <c r="L979" i="15"/>
  <c r="L980" i="15"/>
  <c r="L981" i="15"/>
  <c r="L982" i="15"/>
  <c r="L983" i="15"/>
  <c r="L984" i="15"/>
  <c r="L985" i="15"/>
  <c r="L986" i="15"/>
  <c r="L987" i="15"/>
  <c r="L988" i="15"/>
  <c r="L989" i="15"/>
  <c r="L990" i="15"/>
  <c r="L991" i="15"/>
  <c r="L992" i="15"/>
  <c r="L993" i="15"/>
  <c r="L994" i="15"/>
  <c r="L995" i="15"/>
  <c r="L996" i="15"/>
  <c r="L997" i="15"/>
  <c r="L998" i="15"/>
  <c r="L999" i="15"/>
  <c r="L1000" i="15"/>
  <c r="L1001" i="15"/>
  <c r="L1002" i="15"/>
  <c r="L1003" i="15"/>
  <c r="L1004" i="15"/>
  <c r="L1005" i="15"/>
  <c r="L1006" i="15"/>
  <c r="L9" i="15"/>
  <c r="M6" i="15"/>
  <c r="M7" i="15"/>
  <c r="M5" i="15"/>
  <c r="L6" i="15"/>
  <c r="L7" i="15"/>
  <c r="L5" i="15"/>
  <c r="B29" i="15"/>
  <c r="B30" i="15"/>
  <c r="B31" i="15"/>
  <c r="B32" i="15"/>
  <c r="B33" i="15"/>
  <c r="B28" i="15"/>
  <c r="A29" i="15"/>
  <c r="A30" i="15"/>
  <c r="A31" i="15"/>
  <c r="A32" i="15"/>
  <c r="A33" i="15"/>
  <c r="A28" i="15"/>
  <c r="G3" i="15"/>
  <c r="D38" i="15" s="1"/>
  <c r="D17" i="1"/>
  <c r="P1006" i="15"/>
  <c r="P1000" i="15"/>
  <c r="P999" i="15"/>
  <c r="P998" i="15"/>
  <c r="P997" i="15"/>
  <c r="P996" i="15"/>
  <c r="P995" i="15"/>
  <c r="P994" i="15"/>
  <c r="P992" i="15"/>
  <c r="P991" i="15"/>
  <c r="P987" i="15"/>
  <c r="P986" i="15"/>
  <c r="P985" i="15"/>
  <c r="P984" i="15"/>
  <c r="P983" i="15"/>
  <c r="P982" i="15"/>
  <c r="P976" i="15"/>
  <c r="P975" i="15"/>
  <c r="P974" i="15"/>
  <c r="P973" i="15"/>
  <c r="P972" i="15"/>
  <c r="P971" i="15"/>
  <c r="P970" i="15"/>
  <c r="P966" i="15"/>
  <c r="P963" i="15"/>
  <c r="P962" i="15"/>
  <c r="P961" i="15"/>
  <c r="P960" i="15"/>
  <c r="P959" i="15"/>
  <c r="P958" i="15"/>
  <c r="P952" i="15"/>
  <c r="P951" i="15"/>
  <c r="P950" i="15"/>
  <c r="P949" i="15"/>
  <c r="P948" i="15"/>
  <c r="P947" i="15"/>
  <c r="P946" i="15"/>
  <c r="P939" i="15"/>
  <c r="P938" i="15"/>
  <c r="P937" i="15"/>
  <c r="P936" i="15"/>
  <c r="P935" i="15"/>
  <c r="P934" i="15"/>
  <c r="P929" i="15"/>
  <c r="P928" i="15"/>
  <c r="P927" i="15"/>
  <c r="P926" i="15"/>
  <c r="P925" i="15"/>
  <c r="P924" i="15"/>
  <c r="P923" i="15"/>
  <c r="P922" i="15"/>
  <c r="P920" i="15"/>
  <c r="P919" i="15"/>
  <c r="P915" i="15"/>
  <c r="P914" i="15"/>
  <c r="P913" i="15"/>
  <c r="P912" i="15"/>
  <c r="P911" i="15"/>
  <c r="P910" i="15"/>
  <c r="P904" i="15"/>
  <c r="P903" i="15"/>
  <c r="P902" i="15"/>
  <c r="P901" i="15"/>
  <c r="P900" i="15"/>
  <c r="P899" i="15"/>
  <c r="P898" i="15"/>
  <c r="P897" i="15"/>
  <c r="P891" i="15"/>
  <c r="P890" i="15"/>
  <c r="P889" i="15"/>
  <c r="P888" i="15"/>
  <c r="P887" i="15"/>
  <c r="P886" i="15"/>
  <c r="P883" i="15"/>
  <c r="P882" i="15"/>
  <c r="P881" i="15"/>
  <c r="P879" i="15"/>
  <c r="P878" i="15"/>
  <c r="P877" i="15"/>
  <c r="P876" i="15"/>
  <c r="P875" i="15"/>
  <c r="P874" i="15"/>
  <c r="P868" i="15"/>
  <c r="P867" i="15"/>
  <c r="P866" i="15"/>
  <c r="P865" i="15"/>
  <c r="P864" i="15"/>
  <c r="P863" i="15"/>
  <c r="P862" i="15"/>
  <c r="P859" i="15"/>
  <c r="P858" i="15"/>
  <c r="P855" i="15"/>
  <c r="P854" i="15"/>
  <c r="P853" i="15"/>
  <c r="P852" i="15"/>
  <c r="P851" i="15"/>
  <c r="P850" i="15"/>
  <c r="P845" i="15"/>
  <c r="P844" i="15"/>
  <c r="P843" i="15"/>
  <c r="P842" i="15"/>
  <c r="P841" i="15"/>
  <c r="P840" i="15"/>
  <c r="P839" i="15"/>
  <c r="P838" i="15"/>
  <c r="P835" i="15"/>
  <c r="P831" i="15"/>
  <c r="P830" i="15"/>
  <c r="P829" i="15"/>
  <c r="P828" i="15"/>
  <c r="P827" i="15"/>
  <c r="P826" i="15"/>
  <c r="P822" i="15"/>
  <c r="P821" i="15"/>
  <c r="P820" i="15"/>
  <c r="P819" i="15"/>
  <c r="P818" i="15"/>
  <c r="P817" i="15"/>
  <c r="P816" i="15"/>
  <c r="P815" i="15"/>
  <c r="P814" i="15"/>
  <c r="P807" i="15"/>
  <c r="P806" i="15"/>
  <c r="P805" i="15"/>
  <c r="P804" i="15"/>
  <c r="P803" i="15"/>
  <c r="P802" i="15"/>
  <c r="P798" i="15"/>
  <c r="P797" i="15"/>
  <c r="P795" i="15"/>
  <c r="P794" i="15"/>
  <c r="P793" i="15"/>
  <c r="P792" i="15"/>
  <c r="P791" i="15"/>
  <c r="P790" i="15"/>
  <c r="P785" i="15"/>
  <c r="P784" i="15"/>
  <c r="P783" i="15"/>
  <c r="P782" i="15"/>
  <c r="P781" i="15"/>
  <c r="P780" i="15"/>
  <c r="P779" i="15"/>
  <c r="P778" i="15"/>
  <c r="P775" i="15"/>
  <c r="P771" i="15"/>
  <c r="P770" i="15"/>
  <c r="P769" i="15"/>
  <c r="P768" i="15"/>
  <c r="P767" i="15"/>
  <c r="P766" i="15"/>
  <c r="P762" i="15"/>
  <c r="P761" i="15"/>
  <c r="P760" i="15"/>
  <c r="P759" i="15"/>
  <c r="P758" i="15"/>
  <c r="P757" i="15"/>
  <c r="P756" i="15"/>
  <c r="P755" i="15"/>
  <c r="P754" i="15"/>
  <c r="P753" i="15"/>
  <c r="P747" i="15"/>
  <c r="P746" i="15"/>
  <c r="P745" i="15"/>
  <c r="P744" i="15"/>
  <c r="P743" i="15"/>
  <c r="P742" i="15"/>
  <c r="P738" i="15"/>
  <c r="P737" i="15"/>
  <c r="P735" i="15"/>
  <c r="P734" i="15"/>
  <c r="P733" i="15"/>
  <c r="P732" i="15"/>
  <c r="P731" i="15"/>
  <c r="P730" i="15"/>
  <c r="P724" i="15"/>
  <c r="P723" i="15"/>
  <c r="P722" i="15"/>
  <c r="P721" i="15"/>
  <c r="P720" i="15"/>
  <c r="P719" i="15"/>
  <c r="P718" i="15"/>
  <c r="P715" i="15"/>
  <c r="P714" i="15"/>
  <c r="P711" i="15"/>
  <c r="P710" i="15"/>
  <c r="P709" i="15"/>
  <c r="P708" i="15"/>
  <c r="P707" i="15"/>
  <c r="P706" i="15"/>
  <c r="P700" i="15"/>
  <c r="P699" i="15"/>
  <c r="P698" i="15"/>
  <c r="P697" i="15"/>
  <c r="P696" i="15"/>
  <c r="P695" i="15"/>
  <c r="P694" i="15"/>
  <c r="P692" i="15"/>
  <c r="P687" i="15"/>
  <c r="P686" i="15"/>
  <c r="P685" i="15"/>
  <c r="P684" i="15"/>
  <c r="P683" i="15"/>
  <c r="P682" i="15"/>
  <c r="P678" i="15"/>
  <c r="P677" i="15"/>
  <c r="P675" i="15"/>
  <c r="P674" i="15"/>
  <c r="P673" i="15"/>
  <c r="P672" i="15"/>
  <c r="P671" i="15"/>
  <c r="P670" i="15"/>
  <c r="P664" i="15"/>
  <c r="P663" i="15"/>
  <c r="P662" i="15"/>
  <c r="P661" i="15"/>
  <c r="P660" i="15"/>
  <c r="P659" i="15"/>
  <c r="P658" i="15"/>
  <c r="P655" i="15"/>
  <c r="P654" i="15"/>
  <c r="P651" i="15"/>
  <c r="P650" i="15"/>
  <c r="P649" i="15"/>
  <c r="P648" i="15"/>
  <c r="P647" i="15"/>
  <c r="P646" i="15"/>
  <c r="P640" i="15"/>
  <c r="P639" i="15"/>
  <c r="P638" i="15"/>
  <c r="P637" i="15"/>
  <c r="P636" i="15"/>
  <c r="P635" i="15"/>
  <c r="P634" i="15"/>
  <c r="P631" i="15"/>
  <c r="P630" i="15"/>
  <c r="P627" i="15"/>
  <c r="P626" i="15"/>
  <c r="P625" i="15"/>
  <c r="P624" i="15"/>
  <c r="P623" i="15"/>
  <c r="P622" i="15"/>
  <c r="P617" i="15"/>
  <c r="P616" i="15"/>
  <c r="P615" i="15"/>
  <c r="P614" i="15"/>
  <c r="P613" i="15"/>
  <c r="P612" i="15"/>
  <c r="P611" i="15"/>
  <c r="P610" i="15"/>
  <c r="P609" i="15"/>
  <c r="P604" i="15"/>
  <c r="P603" i="15"/>
  <c r="P602" i="15"/>
  <c r="P601" i="15"/>
  <c r="P600" i="15"/>
  <c r="P599" i="15"/>
  <c r="P598" i="15"/>
  <c r="P595" i="15"/>
  <c r="P594" i="15"/>
  <c r="P591" i="15"/>
  <c r="P590" i="15"/>
  <c r="P589" i="15"/>
  <c r="P588" i="15"/>
  <c r="P587" i="15"/>
  <c r="P586" i="15"/>
  <c r="P581" i="15"/>
  <c r="P580" i="15"/>
  <c r="P579" i="15"/>
  <c r="P578" i="15"/>
  <c r="P577" i="15"/>
  <c r="P576" i="15"/>
  <c r="P575" i="15"/>
  <c r="P574" i="15"/>
  <c r="P572" i="15"/>
  <c r="P571" i="15"/>
  <c r="P567" i="15"/>
  <c r="P566" i="15"/>
  <c r="P565" i="15"/>
  <c r="P564" i="15"/>
  <c r="P563" i="15"/>
  <c r="P562" i="15"/>
  <c r="P557" i="15"/>
  <c r="P556" i="15"/>
  <c r="P555" i="15"/>
  <c r="P554" i="15"/>
  <c r="P553" i="15"/>
  <c r="P552" i="15"/>
  <c r="P551" i="15"/>
  <c r="P550" i="15"/>
  <c r="P548" i="15"/>
  <c r="P543" i="15"/>
  <c r="P542" i="15"/>
  <c r="P541" i="15"/>
  <c r="P540" i="15"/>
  <c r="P539" i="15"/>
  <c r="P538" i="15"/>
  <c r="P534" i="15"/>
  <c r="P533" i="15"/>
  <c r="P531" i="15"/>
  <c r="P530" i="15"/>
  <c r="P529" i="15"/>
  <c r="P528" i="15"/>
  <c r="P527" i="15"/>
  <c r="P526" i="15"/>
  <c r="P520" i="15"/>
  <c r="P519" i="15"/>
  <c r="P518" i="15"/>
  <c r="P517" i="15"/>
  <c r="P516" i="15"/>
  <c r="P515" i="15"/>
  <c r="P514" i="15"/>
  <c r="P511" i="15"/>
  <c r="P510" i="15"/>
  <c r="P507" i="15"/>
  <c r="P506" i="15"/>
  <c r="P505" i="15"/>
  <c r="P504" i="15"/>
  <c r="P503" i="15"/>
  <c r="P502" i="15"/>
  <c r="P496" i="15"/>
  <c r="P495" i="15"/>
  <c r="P494" i="15"/>
  <c r="P493" i="15"/>
  <c r="P492" i="15"/>
  <c r="P491" i="15"/>
  <c r="P490" i="15"/>
  <c r="P488" i="15"/>
  <c r="P487" i="15"/>
  <c r="P483" i="15"/>
  <c r="P482" i="15"/>
  <c r="P481" i="15"/>
  <c r="P480" i="15"/>
  <c r="P479" i="15"/>
  <c r="P478" i="15"/>
  <c r="P474" i="15"/>
  <c r="P473" i="15"/>
  <c r="P472" i="15"/>
  <c r="P471" i="15"/>
  <c r="P470" i="15"/>
  <c r="P469" i="15"/>
  <c r="P468" i="15"/>
  <c r="P467" i="15"/>
  <c r="P466" i="15"/>
  <c r="P465" i="15"/>
  <c r="P459" i="15"/>
  <c r="P458" i="15"/>
  <c r="P457" i="15"/>
  <c r="P456" i="15"/>
  <c r="P455" i="15"/>
  <c r="P454" i="15"/>
  <c r="P450" i="15"/>
  <c r="P449" i="15"/>
  <c r="P448" i="15"/>
  <c r="P447" i="15"/>
  <c r="P446" i="15"/>
  <c r="P445" i="15"/>
  <c r="P444" i="15"/>
  <c r="P443" i="15"/>
  <c r="P442" i="15"/>
  <c r="P436" i="15"/>
  <c r="P435" i="15"/>
  <c r="P434" i="15"/>
  <c r="P433" i="15"/>
  <c r="P432" i="15"/>
  <c r="P431" i="15"/>
  <c r="P430" i="15"/>
  <c r="P426" i="15"/>
  <c r="P425" i="15"/>
  <c r="P424" i="15"/>
  <c r="P423" i="15"/>
  <c r="P422" i="15"/>
  <c r="P421" i="15"/>
  <c r="P420" i="15"/>
  <c r="P419" i="15"/>
  <c r="P418" i="15"/>
  <c r="P412" i="15"/>
  <c r="P411" i="15"/>
  <c r="P410" i="15"/>
  <c r="P409" i="15"/>
  <c r="P408" i="15"/>
  <c r="P407" i="15"/>
  <c r="P406" i="15"/>
  <c r="P403" i="15"/>
  <c r="P399" i="15"/>
  <c r="P398" i="15"/>
  <c r="P397" i="15"/>
  <c r="P396" i="15"/>
  <c r="P395" i="15"/>
  <c r="P394" i="15"/>
  <c r="P389" i="15"/>
  <c r="P388" i="15"/>
  <c r="P387" i="15"/>
  <c r="P386" i="15"/>
  <c r="P385" i="15"/>
  <c r="P384" i="15"/>
  <c r="P383" i="15"/>
  <c r="P382" i="15"/>
  <c r="P380" i="15"/>
  <c r="P379" i="15"/>
  <c r="P375" i="15"/>
  <c r="P374" i="15"/>
  <c r="P373" i="15"/>
  <c r="P372" i="15"/>
  <c r="P371" i="15"/>
  <c r="P370" i="15"/>
  <c r="P366" i="15"/>
  <c r="P365" i="15"/>
  <c r="P363" i="15"/>
  <c r="P362" i="15"/>
  <c r="P361" i="15"/>
  <c r="P360" i="15"/>
  <c r="P359" i="15"/>
  <c r="P358" i="15"/>
  <c r="P351" i="15"/>
  <c r="P350" i="15"/>
  <c r="P349" i="15"/>
  <c r="P348" i="15"/>
  <c r="P347" i="15"/>
  <c r="P346" i="15"/>
  <c r="P342" i="15"/>
  <c r="P341" i="15"/>
  <c r="P339" i="15"/>
  <c r="P338" i="15"/>
  <c r="P337" i="15"/>
  <c r="P336" i="15"/>
  <c r="P335" i="15"/>
  <c r="P334" i="15"/>
  <c r="P328" i="15"/>
  <c r="P327" i="15"/>
  <c r="P326" i="15"/>
  <c r="P325" i="15"/>
  <c r="P324" i="15"/>
  <c r="P323" i="15"/>
  <c r="P322" i="15"/>
  <c r="P319" i="15"/>
  <c r="P318" i="15"/>
  <c r="P315" i="15"/>
  <c r="P314" i="15"/>
  <c r="P313" i="15"/>
  <c r="P312" i="15"/>
  <c r="P311" i="15"/>
  <c r="P310" i="15"/>
  <c r="P305" i="15"/>
  <c r="P304" i="15"/>
  <c r="P303" i="15"/>
  <c r="P302" i="15"/>
  <c r="P301" i="15"/>
  <c r="P300" i="15"/>
  <c r="P299" i="15"/>
  <c r="P298" i="15"/>
  <c r="P296" i="15"/>
  <c r="P295" i="15"/>
  <c r="P291" i="15"/>
  <c r="P290" i="15"/>
  <c r="P289" i="15"/>
  <c r="P288" i="15"/>
  <c r="P287" i="15"/>
  <c r="P286" i="15"/>
  <c r="P281" i="15"/>
  <c r="P280" i="15"/>
  <c r="P279" i="15"/>
  <c r="P278" i="15"/>
  <c r="P277" i="15"/>
  <c r="P276" i="15"/>
  <c r="P275" i="15"/>
  <c r="P274" i="15"/>
  <c r="P272" i="15"/>
  <c r="P267" i="15"/>
  <c r="P266" i="15"/>
  <c r="P265" i="15"/>
  <c r="P264" i="15"/>
  <c r="P263" i="15"/>
  <c r="P262" i="15"/>
  <c r="P258" i="15"/>
  <c r="P257" i="15"/>
  <c r="P255" i="15"/>
  <c r="P254" i="15"/>
  <c r="P253" i="15"/>
  <c r="P252" i="15"/>
  <c r="P251" i="15"/>
  <c r="P250" i="15"/>
  <c r="P243" i="15"/>
  <c r="P242" i="15"/>
  <c r="P241" i="15"/>
  <c r="P240" i="15"/>
  <c r="P239" i="15"/>
  <c r="P238" i="15"/>
  <c r="P235" i="15"/>
  <c r="P234" i="15"/>
  <c r="P231" i="15"/>
  <c r="P230" i="15"/>
  <c r="P229" i="15"/>
  <c r="P228" i="15"/>
  <c r="P227" i="15"/>
  <c r="P226" i="15"/>
  <c r="P221" i="15"/>
  <c r="P220" i="15"/>
  <c r="P219" i="15"/>
  <c r="P218" i="15"/>
  <c r="P217" i="15"/>
  <c r="P216" i="15"/>
  <c r="P215" i="15"/>
  <c r="P214" i="15"/>
  <c r="P211" i="15"/>
  <c r="P207" i="15"/>
  <c r="P206" i="15"/>
  <c r="P205" i="15"/>
  <c r="P204" i="15"/>
  <c r="P203" i="15"/>
  <c r="P202" i="15"/>
  <c r="P197" i="15"/>
  <c r="P196" i="15"/>
  <c r="P195" i="15"/>
  <c r="P194" i="15"/>
  <c r="P193" i="15"/>
  <c r="P192" i="15"/>
  <c r="P191" i="15"/>
  <c r="P190" i="15"/>
  <c r="P189" i="15"/>
  <c r="P183" i="15"/>
  <c r="P182" i="15"/>
  <c r="P181" i="15"/>
  <c r="P180" i="15"/>
  <c r="P179" i="15"/>
  <c r="P178" i="15"/>
  <c r="P174" i="15"/>
  <c r="P173" i="15"/>
  <c r="P172" i="15"/>
  <c r="P171" i="15"/>
  <c r="P170" i="15"/>
  <c r="P169" i="15"/>
  <c r="P168" i="15"/>
  <c r="P167" i="15"/>
  <c r="P166" i="15"/>
  <c r="P160" i="15"/>
  <c r="P159" i="15"/>
  <c r="P158" i="15"/>
  <c r="P157" i="15"/>
  <c r="P156" i="15"/>
  <c r="P155" i="15"/>
  <c r="P154" i="15"/>
  <c r="P151" i="15"/>
  <c r="P150" i="15"/>
  <c r="P147" i="15"/>
  <c r="P146" i="15"/>
  <c r="P145" i="15"/>
  <c r="P144" i="15"/>
  <c r="P143" i="15"/>
  <c r="P142" i="15"/>
  <c r="P136" i="15"/>
  <c r="P135" i="15"/>
  <c r="P134" i="15"/>
  <c r="P133" i="15"/>
  <c r="P132" i="15"/>
  <c r="P131" i="15"/>
  <c r="P130" i="15"/>
  <c r="P128" i="15"/>
  <c r="P127" i="15"/>
  <c r="P123" i="15"/>
  <c r="P122" i="15"/>
  <c r="P121" i="15"/>
  <c r="P120" i="15"/>
  <c r="P119" i="15"/>
  <c r="P118" i="15"/>
  <c r="P113" i="15"/>
  <c r="P112" i="15"/>
  <c r="P111" i="15"/>
  <c r="P110" i="15"/>
  <c r="P109" i="15"/>
  <c r="P108" i="15"/>
  <c r="P107" i="15"/>
  <c r="P106" i="15"/>
  <c r="P104" i="15"/>
  <c r="P99" i="15"/>
  <c r="P98" i="15"/>
  <c r="P97" i="15"/>
  <c r="P96" i="15"/>
  <c r="P95" i="15"/>
  <c r="P94" i="15"/>
  <c r="P90" i="15"/>
  <c r="P89" i="15"/>
  <c r="P88" i="15"/>
  <c r="P87" i="15"/>
  <c r="P86" i="15"/>
  <c r="P85" i="15"/>
  <c r="P84" i="15"/>
  <c r="P83" i="15"/>
  <c r="P82" i="15"/>
  <c r="P75" i="15"/>
  <c r="P74" i="15"/>
  <c r="P73" i="15"/>
  <c r="P72" i="15"/>
  <c r="P71" i="15"/>
  <c r="P70" i="15"/>
  <c r="P67" i="15"/>
  <c r="P66" i="15"/>
  <c r="P65" i="15"/>
  <c r="P63" i="15"/>
  <c r="P62" i="15"/>
  <c r="P61" i="15"/>
  <c r="P60" i="15"/>
  <c r="P59" i="15"/>
  <c r="P58" i="15"/>
  <c r="P53" i="15"/>
  <c r="P52" i="15"/>
  <c r="P51" i="15"/>
  <c r="P50" i="15"/>
  <c r="P49" i="15"/>
  <c r="P48" i="15"/>
  <c r="P47" i="15"/>
  <c r="P46" i="15"/>
  <c r="P45" i="15"/>
  <c r="D42" i="15"/>
  <c r="P40" i="15"/>
  <c r="P39" i="15"/>
  <c r="P38" i="15"/>
  <c r="P37" i="15"/>
  <c r="P36" i="15"/>
  <c r="P35" i="15"/>
  <c r="P34" i="15"/>
  <c r="P32" i="15"/>
  <c r="P28" i="15"/>
  <c r="D28" i="15"/>
  <c r="P27" i="15"/>
  <c r="B27" i="15"/>
  <c r="A27" i="15"/>
  <c r="P26" i="15"/>
  <c r="P25" i="15"/>
  <c r="P24" i="15"/>
  <c r="P23" i="15"/>
  <c r="P22" i="15"/>
  <c r="C22" i="15"/>
  <c r="B22" i="15"/>
  <c r="C21" i="15"/>
  <c r="B21" i="15"/>
  <c r="C20" i="15"/>
  <c r="B20" i="15"/>
  <c r="C19" i="15"/>
  <c r="B19" i="15"/>
  <c r="P18" i="15"/>
  <c r="C18" i="15"/>
  <c r="B18" i="15"/>
  <c r="C17" i="15"/>
  <c r="B17" i="15"/>
  <c r="C16" i="15"/>
  <c r="B16" i="15"/>
  <c r="P15" i="15"/>
  <c r="C15" i="15"/>
  <c r="B15" i="15"/>
  <c r="P14" i="15"/>
  <c r="C14" i="15"/>
  <c r="B14" i="15"/>
  <c r="P13" i="15"/>
  <c r="C13" i="15"/>
  <c r="B13" i="15"/>
  <c r="P12" i="15"/>
  <c r="C12" i="15"/>
  <c r="B12" i="15"/>
  <c r="P11" i="15"/>
  <c r="C11" i="15"/>
  <c r="B11" i="15"/>
  <c r="P10" i="15"/>
  <c r="C10" i="15"/>
  <c r="B10" i="15"/>
  <c r="P9" i="15"/>
  <c r="P7" i="15"/>
  <c r="P6" i="15"/>
  <c r="P5" i="15"/>
  <c r="M4" i="15"/>
  <c r="L4" i="15"/>
  <c r="A29" i="6"/>
  <c r="A30" i="6"/>
  <c r="A31" i="6"/>
  <c r="A32" i="6"/>
  <c r="A33" i="6"/>
  <c r="A28" i="6"/>
  <c r="A29" i="11"/>
  <c r="A30" i="11"/>
  <c r="A31" i="11"/>
  <c r="A32" i="11"/>
  <c r="A33" i="11"/>
  <c r="A28" i="11"/>
  <c r="M10" i="13"/>
  <c r="P10" i="13" s="1"/>
  <c r="M11" i="13"/>
  <c r="M12" i="13"/>
  <c r="M13" i="13"/>
  <c r="P13" i="13" s="1"/>
  <c r="M14" i="13"/>
  <c r="P14" i="13" s="1"/>
  <c r="M15" i="13"/>
  <c r="P15" i="13" s="1"/>
  <c r="M16" i="13"/>
  <c r="P16" i="13" s="1"/>
  <c r="M17" i="13"/>
  <c r="P17" i="13" s="1"/>
  <c r="M18" i="13"/>
  <c r="P18" i="13" s="1"/>
  <c r="M19" i="13"/>
  <c r="P19" i="13" s="1"/>
  <c r="M20" i="13"/>
  <c r="P20" i="13" s="1"/>
  <c r="M21" i="13"/>
  <c r="P21" i="13" s="1"/>
  <c r="M22" i="13"/>
  <c r="P22" i="13" s="1"/>
  <c r="M23" i="13"/>
  <c r="P23" i="13" s="1"/>
  <c r="M24" i="13"/>
  <c r="M25" i="13"/>
  <c r="M26" i="13"/>
  <c r="P26" i="13" s="1"/>
  <c r="M27" i="13"/>
  <c r="M28" i="13"/>
  <c r="M29" i="13"/>
  <c r="P29" i="13" s="1"/>
  <c r="M30" i="13"/>
  <c r="P30" i="13" s="1"/>
  <c r="M31" i="13"/>
  <c r="P31" i="13" s="1"/>
  <c r="M32" i="13"/>
  <c r="P32" i="13" s="1"/>
  <c r="M33" i="13"/>
  <c r="P33" i="13" s="1"/>
  <c r="M34" i="13"/>
  <c r="P34" i="13" s="1"/>
  <c r="M35" i="13"/>
  <c r="M36" i="13"/>
  <c r="P36" i="13" s="1"/>
  <c r="M37" i="13"/>
  <c r="P37" i="13" s="1"/>
  <c r="M38" i="13"/>
  <c r="P38" i="13" s="1"/>
  <c r="M39" i="13"/>
  <c r="P39" i="13" s="1"/>
  <c r="M40" i="13"/>
  <c r="M41" i="13"/>
  <c r="P41" i="13" s="1"/>
  <c r="M42" i="13"/>
  <c r="M43" i="13"/>
  <c r="P43" i="13" s="1"/>
  <c r="M44" i="13"/>
  <c r="P44" i="13" s="1"/>
  <c r="M45" i="13"/>
  <c r="P45" i="13" s="1"/>
  <c r="M46" i="13"/>
  <c r="P46" i="13" s="1"/>
  <c r="M47" i="13"/>
  <c r="M48" i="13"/>
  <c r="P48" i="13" s="1"/>
  <c r="M49" i="13"/>
  <c r="P49" i="13" s="1"/>
  <c r="M50" i="13"/>
  <c r="M51" i="13"/>
  <c r="P51" i="13" s="1"/>
  <c r="M52" i="13"/>
  <c r="M53" i="13"/>
  <c r="M54" i="13"/>
  <c r="M55" i="13"/>
  <c r="P55" i="13" s="1"/>
  <c r="M56" i="13"/>
  <c r="P56" i="13" s="1"/>
  <c r="M57" i="13"/>
  <c r="P57" i="13" s="1"/>
  <c r="M58" i="13"/>
  <c r="M59" i="13"/>
  <c r="P59" i="13" s="1"/>
  <c r="M60" i="13"/>
  <c r="P60" i="13" s="1"/>
  <c r="M61" i="13"/>
  <c r="P61" i="13" s="1"/>
  <c r="M62" i="13"/>
  <c r="P62" i="13" s="1"/>
  <c r="M63" i="13"/>
  <c r="P63" i="13" s="1"/>
  <c r="M64" i="13"/>
  <c r="M65" i="13"/>
  <c r="P65" i="13" s="1"/>
  <c r="M66" i="13"/>
  <c r="M67" i="13"/>
  <c r="P67" i="13" s="1"/>
  <c r="M68" i="13"/>
  <c r="P68" i="13" s="1"/>
  <c r="M69" i="13"/>
  <c r="P69" i="13" s="1"/>
  <c r="M70" i="13"/>
  <c r="M71" i="13"/>
  <c r="M72" i="13"/>
  <c r="M73" i="13"/>
  <c r="M74" i="13"/>
  <c r="P74" i="13" s="1"/>
  <c r="M75" i="13"/>
  <c r="P75" i="13" s="1"/>
  <c r="M76" i="13"/>
  <c r="P76" i="13" s="1"/>
  <c r="M77" i="13"/>
  <c r="P77" i="13" s="1"/>
  <c r="M78" i="13"/>
  <c r="M79" i="13"/>
  <c r="P79" i="13" s="1"/>
  <c r="M80" i="13"/>
  <c r="P80" i="13" s="1"/>
  <c r="M81" i="13"/>
  <c r="P81" i="13" s="1"/>
  <c r="M82" i="13"/>
  <c r="M83" i="13"/>
  <c r="P83" i="13" s="1"/>
  <c r="M84" i="13"/>
  <c r="P84" i="13" s="1"/>
  <c r="M85" i="13"/>
  <c r="P85" i="13" s="1"/>
  <c r="M86" i="13"/>
  <c r="P86" i="13" s="1"/>
  <c r="M87" i="13"/>
  <c r="P87" i="13" s="1"/>
  <c r="M88" i="13"/>
  <c r="M89" i="13"/>
  <c r="M90" i="13"/>
  <c r="M91" i="13"/>
  <c r="P91" i="13" s="1"/>
  <c r="M92" i="13"/>
  <c r="P92" i="13" s="1"/>
  <c r="M93" i="13"/>
  <c r="P93" i="13" s="1"/>
  <c r="M94" i="13"/>
  <c r="M95" i="13"/>
  <c r="M96" i="13"/>
  <c r="M97" i="13"/>
  <c r="M98" i="13"/>
  <c r="M99" i="13"/>
  <c r="P99" i="13" s="1"/>
  <c r="M100" i="13"/>
  <c r="M101" i="13"/>
  <c r="M102" i="13"/>
  <c r="M103" i="13"/>
  <c r="P103" i="13" s="1"/>
  <c r="M104" i="13"/>
  <c r="P104" i="13" s="1"/>
  <c r="M105" i="13"/>
  <c r="P105" i="13" s="1"/>
  <c r="M106" i="13"/>
  <c r="P106" i="13" s="1"/>
  <c r="M107" i="13"/>
  <c r="P107" i="13" s="1"/>
  <c r="M108" i="13"/>
  <c r="P108" i="13" s="1"/>
  <c r="M109" i="13"/>
  <c r="P109" i="13" s="1"/>
  <c r="M110" i="13"/>
  <c r="M111" i="13"/>
  <c r="M112" i="13"/>
  <c r="M113" i="13"/>
  <c r="P113" i="13" s="1"/>
  <c r="M114" i="13"/>
  <c r="M115" i="13"/>
  <c r="P115" i="13" s="1"/>
  <c r="M116" i="13"/>
  <c r="P116" i="13" s="1"/>
  <c r="M117" i="13"/>
  <c r="P117" i="13" s="1"/>
  <c r="M118" i="13"/>
  <c r="P118" i="13" s="1"/>
  <c r="M119" i="13"/>
  <c r="P119" i="13" s="1"/>
  <c r="M120" i="13"/>
  <c r="M121" i="13"/>
  <c r="M122" i="13"/>
  <c r="P122" i="13" s="1"/>
  <c r="M123" i="13"/>
  <c r="P123" i="13" s="1"/>
  <c r="M124" i="13"/>
  <c r="M125" i="13"/>
  <c r="P125" i="13" s="1"/>
  <c r="M126" i="13"/>
  <c r="M127" i="13"/>
  <c r="P127" i="13" s="1"/>
  <c r="M128" i="13"/>
  <c r="P128" i="13" s="1"/>
  <c r="M129" i="13"/>
  <c r="P129" i="13" s="1"/>
  <c r="M130" i="13"/>
  <c r="M131" i="13"/>
  <c r="P131" i="13" s="1"/>
  <c r="M132" i="13"/>
  <c r="P132" i="13" s="1"/>
  <c r="M133" i="13"/>
  <c r="P133" i="13" s="1"/>
  <c r="M134" i="13"/>
  <c r="P134" i="13" s="1"/>
  <c r="M135" i="13"/>
  <c r="P135" i="13" s="1"/>
  <c r="M136" i="13"/>
  <c r="M137" i="13"/>
  <c r="M138" i="13"/>
  <c r="M139" i="13"/>
  <c r="P139" i="13" s="1"/>
  <c r="M140" i="13"/>
  <c r="P140" i="13" s="1"/>
  <c r="M141" i="13"/>
  <c r="P141" i="13" s="1"/>
  <c r="M142" i="13"/>
  <c r="M143" i="13"/>
  <c r="P143" i="13" s="1"/>
  <c r="M144" i="13"/>
  <c r="P144" i="13" s="1"/>
  <c r="M145" i="13"/>
  <c r="P145" i="13" s="1"/>
  <c r="M146" i="13"/>
  <c r="M147" i="13"/>
  <c r="P147" i="13" s="1"/>
  <c r="M148" i="13"/>
  <c r="M149" i="13"/>
  <c r="M150" i="13"/>
  <c r="P150" i="13" s="1"/>
  <c r="M151" i="13"/>
  <c r="P151" i="13" s="1"/>
  <c r="M152" i="13"/>
  <c r="P152" i="13" s="1"/>
  <c r="M153" i="13"/>
  <c r="P153" i="13" s="1"/>
  <c r="M154" i="13"/>
  <c r="M155" i="13"/>
  <c r="P155" i="13" s="1"/>
  <c r="M156" i="13"/>
  <c r="P156" i="13" s="1"/>
  <c r="M157" i="13"/>
  <c r="P157" i="13" s="1"/>
  <c r="M158" i="13"/>
  <c r="M159" i="13"/>
  <c r="P159" i="13" s="1"/>
  <c r="M160" i="13"/>
  <c r="M161" i="13"/>
  <c r="P161" i="13" s="1"/>
  <c r="M162" i="13"/>
  <c r="M163" i="13"/>
  <c r="P163" i="13" s="1"/>
  <c r="M164" i="13"/>
  <c r="P164" i="13" s="1"/>
  <c r="M165" i="13"/>
  <c r="P165" i="13" s="1"/>
  <c r="M166" i="13"/>
  <c r="M167" i="13"/>
  <c r="M168" i="13"/>
  <c r="P168" i="13" s="1"/>
  <c r="M169" i="13"/>
  <c r="P169" i="13" s="1"/>
  <c r="M170" i="13"/>
  <c r="M171" i="13"/>
  <c r="P171" i="13" s="1"/>
  <c r="M172" i="13"/>
  <c r="M173" i="13"/>
  <c r="P173" i="13" s="1"/>
  <c r="M174" i="13"/>
  <c r="M175" i="13"/>
  <c r="P175" i="13" s="1"/>
  <c r="M176" i="13"/>
  <c r="P176" i="13" s="1"/>
  <c r="M177" i="13"/>
  <c r="P177" i="13" s="1"/>
  <c r="M178" i="13"/>
  <c r="M179" i="13"/>
  <c r="P179" i="13" s="1"/>
  <c r="M180" i="13"/>
  <c r="P180" i="13" s="1"/>
  <c r="M181" i="13"/>
  <c r="P181" i="13" s="1"/>
  <c r="M182" i="13"/>
  <c r="P182" i="13" s="1"/>
  <c r="M183" i="13"/>
  <c r="P183" i="13" s="1"/>
  <c r="M184" i="13"/>
  <c r="M185" i="13"/>
  <c r="M186" i="13"/>
  <c r="M187" i="13"/>
  <c r="P187" i="13" s="1"/>
  <c r="M188" i="13"/>
  <c r="P188" i="13" s="1"/>
  <c r="M189" i="13"/>
  <c r="P189" i="13" s="1"/>
  <c r="M190" i="13"/>
  <c r="M191" i="13"/>
  <c r="M192" i="13"/>
  <c r="M193" i="13"/>
  <c r="M194" i="13"/>
  <c r="P194" i="13" s="1"/>
  <c r="M195" i="13"/>
  <c r="P195" i="13" s="1"/>
  <c r="M196" i="13"/>
  <c r="M197" i="13"/>
  <c r="M198" i="13"/>
  <c r="M199" i="13"/>
  <c r="P199" i="13" s="1"/>
  <c r="M200" i="13"/>
  <c r="P200" i="13" s="1"/>
  <c r="M201" i="13"/>
  <c r="P201" i="13" s="1"/>
  <c r="M202" i="13"/>
  <c r="P202" i="13" s="1"/>
  <c r="M203" i="13"/>
  <c r="P203" i="13" s="1"/>
  <c r="M204" i="13"/>
  <c r="M205" i="13"/>
  <c r="M206" i="13"/>
  <c r="M207" i="13"/>
  <c r="M208" i="13"/>
  <c r="M209" i="13"/>
  <c r="P209" i="13" s="1"/>
  <c r="M210" i="13"/>
  <c r="M211" i="13"/>
  <c r="P211" i="13" s="1"/>
  <c r="M212" i="13"/>
  <c r="P212" i="13" s="1"/>
  <c r="M213" i="13"/>
  <c r="P213" i="13" s="1"/>
  <c r="M214" i="13"/>
  <c r="M215" i="13"/>
  <c r="M216" i="13"/>
  <c r="P216" i="13" s="1"/>
  <c r="M217" i="13"/>
  <c r="P217" i="13" s="1"/>
  <c r="M218" i="13"/>
  <c r="P218" i="13" s="1"/>
  <c r="M219" i="13"/>
  <c r="P219" i="13" s="1"/>
  <c r="M220" i="13"/>
  <c r="M221" i="13"/>
  <c r="P221" i="13" s="1"/>
  <c r="M222" i="13"/>
  <c r="M223" i="13"/>
  <c r="P223" i="13" s="1"/>
  <c r="M224" i="13"/>
  <c r="P224" i="13" s="1"/>
  <c r="M225" i="13"/>
  <c r="P225" i="13" s="1"/>
  <c r="M226" i="13"/>
  <c r="P226" i="13" s="1"/>
  <c r="M227" i="13"/>
  <c r="M228" i="13"/>
  <c r="M229" i="13"/>
  <c r="M230" i="13"/>
  <c r="M231" i="13"/>
  <c r="M232" i="13"/>
  <c r="M233" i="13"/>
  <c r="M234" i="13"/>
  <c r="P234" i="13" s="1"/>
  <c r="M235" i="13"/>
  <c r="P235" i="13" s="1"/>
  <c r="M236" i="13"/>
  <c r="P236" i="13" s="1"/>
  <c r="M237" i="13"/>
  <c r="P237" i="13" s="1"/>
  <c r="M238" i="13"/>
  <c r="P238" i="13" s="1"/>
  <c r="M239" i="13"/>
  <c r="M240" i="13"/>
  <c r="P240" i="13" s="1"/>
  <c r="M241" i="13"/>
  <c r="P241" i="13" s="1"/>
  <c r="M242" i="13"/>
  <c r="P242" i="13" s="1"/>
  <c r="M243" i="13"/>
  <c r="P243" i="13" s="1"/>
  <c r="M244" i="13"/>
  <c r="M245" i="13"/>
  <c r="M246" i="13"/>
  <c r="M247" i="13"/>
  <c r="P247" i="13" s="1"/>
  <c r="M248" i="13"/>
  <c r="P248" i="13" s="1"/>
  <c r="M249" i="13"/>
  <c r="P249" i="13" s="1"/>
  <c r="M250" i="13"/>
  <c r="M251" i="13"/>
  <c r="M252" i="13"/>
  <c r="P252" i="13" s="1"/>
  <c r="M253" i="13"/>
  <c r="P253" i="13" s="1"/>
  <c r="M254" i="13"/>
  <c r="M255" i="13"/>
  <c r="M256" i="13"/>
  <c r="M257" i="13"/>
  <c r="P257" i="13" s="1"/>
  <c r="M258" i="13"/>
  <c r="M259" i="13"/>
  <c r="P259" i="13" s="1"/>
  <c r="M260" i="13"/>
  <c r="P260" i="13" s="1"/>
  <c r="M261" i="13"/>
  <c r="P261" i="13" s="1"/>
  <c r="M262" i="13"/>
  <c r="P262" i="13" s="1"/>
  <c r="M263" i="13"/>
  <c r="P263" i="13" s="1"/>
  <c r="M264" i="13"/>
  <c r="M265" i="13"/>
  <c r="P265" i="13" s="1"/>
  <c r="M266" i="13"/>
  <c r="P266" i="13" s="1"/>
  <c r="M267" i="13"/>
  <c r="P267" i="13" s="1"/>
  <c r="M268" i="13"/>
  <c r="M269" i="13"/>
  <c r="P269" i="13" s="1"/>
  <c r="M270" i="13"/>
  <c r="P270" i="13" s="1"/>
  <c r="M271" i="13"/>
  <c r="P271" i="13" s="1"/>
  <c r="M272" i="13"/>
  <c r="P272" i="13" s="1"/>
  <c r="M273" i="13"/>
  <c r="P273" i="13" s="1"/>
  <c r="M274" i="13"/>
  <c r="P274" i="13" s="1"/>
  <c r="M275" i="13"/>
  <c r="P275" i="13" s="1"/>
  <c r="M276" i="13"/>
  <c r="M277" i="13"/>
  <c r="M278" i="13"/>
  <c r="M279" i="13"/>
  <c r="P279" i="13" s="1"/>
  <c r="M280" i="13"/>
  <c r="M281" i="13"/>
  <c r="M282" i="13"/>
  <c r="M283" i="13"/>
  <c r="P283" i="13" s="1"/>
  <c r="M284" i="13"/>
  <c r="P284" i="13" s="1"/>
  <c r="M285" i="13"/>
  <c r="P285" i="13" s="1"/>
  <c r="M286" i="13"/>
  <c r="M287" i="13"/>
  <c r="M288" i="13"/>
  <c r="P288" i="13" s="1"/>
  <c r="M289" i="13"/>
  <c r="P289" i="13" s="1"/>
  <c r="M290" i="13"/>
  <c r="P290" i="13" s="1"/>
  <c r="M291" i="13"/>
  <c r="P291" i="13" s="1"/>
  <c r="M292" i="13"/>
  <c r="M293" i="13"/>
  <c r="M294" i="13"/>
  <c r="M295" i="13"/>
  <c r="P295" i="13" s="1"/>
  <c r="M296" i="13"/>
  <c r="P296" i="13" s="1"/>
  <c r="M297" i="13"/>
  <c r="P297" i="13" s="1"/>
  <c r="M298" i="13"/>
  <c r="M299" i="13"/>
  <c r="P299" i="13" s="1"/>
  <c r="M300" i="13"/>
  <c r="P300" i="13" s="1"/>
  <c r="M301" i="13"/>
  <c r="P301" i="13" s="1"/>
  <c r="M302" i="13"/>
  <c r="M303" i="13"/>
  <c r="P303" i="13" s="1"/>
  <c r="M304" i="13"/>
  <c r="M305" i="13"/>
  <c r="P305" i="13" s="1"/>
  <c r="M306" i="13"/>
  <c r="P306" i="13" s="1"/>
  <c r="M307" i="13"/>
  <c r="P307" i="13" s="1"/>
  <c r="M308" i="13"/>
  <c r="P308" i="13" s="1"/>
  <c r="M309" i="13"/>
  <c r="P309" i="13" s="1"/>
  <c r="M310" i="13"/>
  <c r="M311" i="13"/>
  <c r="M312" i="13"/>
  <c r="M313" i="13"/>
  <c r="P313" i="13" s="1"/>
  <c r="M314" i="13"/>
  <c r="P314" i="13" s="1"/>
  <c r="M315" i="13"/>
  <c r="P315" i="13" s="1"/>
  <c r="M316" i="13"/>
  <c r="M317" i="13"/>
  <c r="P317" i="13" s="1"/>
  <c r="M318" i="13"/>
  <c r="P318" i="13" s="1"/>
  <c r="M319" i="13"/>
  <c r="P319" i="13" s="1"/>
  <c r="M320" i="13"/>
  <c r="P320" i="13" s="1"/>
  <c r="M321" i="13"/>
  <c r="P321" i="13" s="1"/>
  <c r="M322" i="13"/>
  <c r="P322" i="13" s="1"/>
  <c r="M323" i="13"/>
  <c r="P323" i="13" s="1"/>
  <c r="M324" i="13"/>
  <c r="P324" i="13" s="1"/>
  <c r="M325" i="13"/>
  <c r="P325" i="13" s="1"/>
  <c r="M326" i="13"/>
  <c r="P326" i="13" s="1"/>
  <c r="M327" i="13"/>
  <c r="P327" i="13" s="1"/>
  <c r="M328" i="13"/>
  <c r="M329" i="13"/>
  <c r="M330" i="13"/>
  <c r="M331" i="13"/>
  <c r="P331" i="13" s="1"/>
  <c r="M332" i="13"/>
  <c r="P332" i="13" s="1"/>
  <c r="M333" i="13"/>
  <c r="P333" i="13" s="1"/>
  <c r="M334" i="13"/>
  <c r="M335" i="13"/>
  <c r="M336" i="13"/>
  <c r="M337" i="13"/>
  <c r="M338" i="13"/>
  <c r="P338" i="13" s="1"/>
  <c r="M339" i="13"/>
  <c r="P339" i="13" s="1"/>
  <c r="M340" i="13"/>
  <c r="M341" i="13"/>
  <c r="M342" i="13"/>
  <c r="M343" i="13"/>
  <c r="P343" i="13" s="1"/>
  <c r="M344" i="13"/>
  <c r="P344" i="13" s="1"/>
  <c r="M345" i="13"/>
  <c r="P345" i="13" s="1"/>
  <c r="M346" i="13"/>
  <c r="P346" i="13" s="1"/>
  <c r="M347" i="13"/>
  <c r="M348" i="13"/>
  <c r="M349" i="13"/>
  <c r="M350" i="13"/>
  <c r="M351" i="13"/>
  <c r="M352" i="13"/>
  <c r="M353" i="13"/>
  <c r="P353" i="13" s="1"/>
  <c r="M354" i="13"/>
  <c r="P354" i="13" s="1"/>
  <c r="M355" i="13"/>
  <c r="P355" i="13" s="1"/>
  <c r="M356" i="13"/>
  <c r="P356" i="13" s="1"/>
  <c r="M357" i="13"/>
  <c r="P357" i="13" s="1"/>
  <c r="M358" i="13"/>
  <c r="M359" i="13"/>
  <c r="P359" i="13" s="1"/>
  <c r="M360" i="13"/>
  <c r="P360" i="13" s="1"/>
  <c r="M361" i="13"/>
  <c r="P361" i="13" s="1"/>
  <c r="M362" i="13"/>
  <c r="P362" i="13" s="1"/>
  <c r="M363" i="13"/>
  <c r="P363" i="13" s="1"/>
  <c r="M364" i="13"/>
  <c r="M365" i="13"/>
  <c r="P365" i="13" s="1"/>
  <c r="M366" i="13"/>
  <c r="P366" i="13" s="1"/>
  <c r="M367" i="13"/>
  <c r="P367" i="13" s="1"/>
  <c r="M368" i="13"/>
  <c r="P368" i="13" s="1"/>
  <c r="M369" i="13"/>
  <c r="P369" i="13" s="1"/>
  <c r="M370" i="13"/>
  <c r="M371" i="13"/>
  <c r="P371" i="13" s="1"/>
  <c r="M372" i="13"/>
  <c r="P372" i="13" s="1"/>
  <c r="M373" i="13"/>
  <c r="P373" i="13" s="1"/>
  <c r="M374" i="13"/>
  <c r="M375" i="13"/>
  <c r="M376" i="13"/>
  <c r="M377" i="13"/>
  <c r="M378" i="13"/>
  <c r="P378" i="13" s="1"/>
  <c r="M379" i="13"/>
  <c r="P379" i="13" s="1"/>
  <c r="M380" i="13"/>
  <c r="P380" i="13" s="1"/>
  <c r="M381" i="13"/>
  <c r="P381" i="13" s="1"/>
  <c r="M382" i="13"/>
  <c r="P382" i="13" s="1"/>
  <c r="M383" i="13"/>
  <c r="P383" i="13" s="1"/>
  <c r="M384" i="13"/>
  <c r="P384" i="13" s="1"/>
  <c r="M385" i="13"/>
  <c r="M386" i="13"/>
  <c r="M387" i="13"/>
  <c r="P387" i="13" s="1"/>
  <c r="M388" i="13"/>
  <c r="M389" i="13"/>
  <c r="M390" i="13"/>
  <c r="M391" i="13"/>
  <c r="P391" i="13" s="1"/>
  <c r="M392" i="13"/>
  <c r="P392" i="13" s="1"/>
  <c r="M393" i="13"/>
  <c r="P393" i="13" s="1"/>
  <c r="M394" i="13"/>
  <c r="P394" i="13" s="1"/>
  <c r="M395" i="13"/>
  <c r="P395" i="13" s="1"/>
  <c r="M396" i="13"/>
  <c r="P396" i="13" s="1"/>
  <c r="M397" i="13"/>
  <c r="P397" i="13" s="1"/>
  <c r="M398" i="13"/>
  <c r="M399" i="13"/>
  <c r="P399" i="13" s="1"/>
  <c r="M400" i="13"/>
  <c r="M401" i="13"/>
  <c r="P401" i="13" s="1"/>
  <c r="M402" i="13"/>
  <c r="P402" i="13" s="1"/>
  <c r="M403" i="13"/>
  <c r="P403" i="13" s="1"/>
  <c r="M404" i="13"/>
  <c r="P404" i="13" s="1"/>
  <c r="M405" i="13"/>
  <c r="P405" i="13" s="1"/>
  <c r="M406" i="13"/>
  <c r="P406" i="13" s="1"/>
  <c r="M407" i="13"/>
  <c r="M408" i="13"/>
  <c r="M409" i="13"/>
  <c r="M410" i="13"/>
  <c r="M411" i="13"/>
  <c r="P411" i="13" s="1"/>
  <c r="M412" i="13"/>
  <c r="M413" i="13"/>
  <c r="P413" i="13" s="1"/>
  <c r="M414" i="13"/>
  <c r="P414" i="13" s="1"/>
  <c r="M415" i="13"/>
  <c r="P415" i="13" s="1"/>
  <c r="M416" i="13"/>
  <c r="P416" i="13" s="1"/>
  <c r="M417" i="13"/>
  <c r="P417" i="13" s="1"/>
  <c r="M418" i="13"/>
  <c r="P418" i="13" s="1"/>
  <c r="M419" i="13"/>
  <c r="M420" i="13"/>
  <c r="P420" i="13" s="1"/>
  <c r="M421" i="13"/>
  <c r="P421" i="13" s="1"/>
  <c r="M422" i="13"/>
  <c r="P422" i="13" s="1"/>
  <c r="M423" i="13"/>
  <c r="P423" i="13" s="1"/>
  <c r="M424" i="13"/>
  <c r="M425" i="13"/>
  <c r="M426" i="13"/>
  <c r="M427" i="13"/>
  <c r="P427" i="13" s="1"/>
  <c r="M428" i="13"/>
  <c r="P428" i="13" s="1"/>
  <c r="M429" i="13"/>
  <c r="P429" i="13" s="1"/>
  <c r="M430" i="13"/>
  <c r="M431" i="13"/>
  <c r="M432" i="13"/>
  <c r="P432" i="13" s="1"/>
  <c r="M433" i="13"/>
  <c r="P433" i="13" s="1"/>
  <c r="M434" i="13"/>
  <c r="M435" i="13"/>
  <c r="P435" i="13" s="1"/>
  <c r="M436" i="13"/>
  <c r="M437" i="13"/>
  <c r="M438" i="13"/>
  <c r="M439" i="13"/>
  <c r="P439" i="13" s="1"/>
  <c r="M440" i="13"/>
  <c r="P440" i="13" s="1"/>
  <c r="M441" i="13"/>
  <c r="P441" i="13" s="1"/>
  <c r="M442" i="13"/>
  <c r="P442" i="13" s="1"/>
  <c r="M443" i="13"/>
  <c r="P443" i="13" s="1"/>
  <c r="M444" i="13"/>
  <c r="P444" i="13" s="1"/>
  <c r="M445" i="13"/>
  <c r="P445" i="13" s="1"/>
  <c r="M446" i="13"/>
  <c r="P446" i="13" s="1"/>
  <c r="M447" i="13"/>
  <c r="P447" i="13" s="1"/>
  <c r="M448" i="13"/>
  <c r="M449" i="13"/>
  <c r="P449" i="13" s="1"/>
  <c r="M450" i="13"/>
  <c r="P450" i="13" s="1"/>
  <c r="M451" i="13"/>
  <c r="P451" i="13" s="1"/>
  <c r="M452" i="13"/>
  <c r="P452" i="13" s="1"/>
  <c r="M453" i="13"/>
  <c r="P453" i="13" s="1"/>
  <c r="M454" i="13"/>
  <c r="M455" i="13"/>
  <c r="M456" i="13"/>
  <c r="M457" i="13"/>
  <c r="M458" i="13"/>
  <c r="M459" i="13"/>
  <c r="P459" i="13" s="1"/>
  <c r="M460" i="13"/>
  <c r="M461" i="13"/>
  <c r="P461" i="13" s="1"/>
  <c r="M462" i="13"/>
  <c r="P462" i="13" s="1"/>
  <c r="M463" i="13"/>
  <c r="P463" i="13" s="1"/>
  <c r="M464" i="13"/>
  <c r="P464" i="13" s="1"/>
  <c r="M465" i="13"/>
  <c r="P465" i="13" s="1"/>
  <c r="M466" i="13"/>
  <c r="P466" i="13" s="1"/>
  <c r="M467" i="13"/>
  <c r="P467" i="13" s="1"/>
  <c r="M468" i="13"/>
  <c r="M469" i="13"/>
  <c r="P469" i="13" s="1"/>
  <c r="M470" i="13"/>
  <c r="P470" i="13" s="1"/>
  <c r="M471" i="13"/>
  <c r="P471" i="13" s="1"/>
  <c r="M472" i="13"/>
  <c r="M473" i="13"/>
  <c r="M474" i="13"/>
  <c r="M475" i="13"/>
  <c r="P475" i="13" s="1"/>
  <c r="M476" i="13"/>
  <c r="P476" i="13" s="1"/>
  <c r="M477" i="13"/>
  <c r="P477" i="13" s="1"/>
  <c r="M478" i="13"/>
  <c r="M479" i="13"/>
  <c r="M480" i="13"/>
  <c r="M481" i="13"/>
  <c r="M482" i="13"/>
  <c r="P482" i="13" s="1"/>
  <c r="M483" i="13"/>
  <c r="P483" i="13" s="1"/>
  <c r="M484" i="13"/>
  <c r="M485" i="13"/>
  <c r="M486" i="13"/>
  <c r="M487" i="13"/>
  <c r="P487" i="13" s="1"/>
  <c r="M488" i="13"/>
  <c r="P488" i="13" s="1"/>
  <c r="M489" i="13"/>
  <c r="P489" i="13" s="1"/>
  <c r="M490" i="13"/>
  <c r="M491" i="13"/>
  <c r="M492" i="13"/>
  <c r="P492" i="13" s="1"/>
  <c r="M493" i="13"/>
  <c r="P493" i="13" s="1"/>
  <c r="M494" i="13"/>
  <c r="P494" i="13" s="1"/>
  <c r="M495" i="13"/>
  <c r="M496" i="13"/>
  <c r="M497" i="13"/>
  <c r="P497" i="13" s="1"/>
  <c r="M498" i="13"/>
  <c r="P498" i="13" s="1"/>
  <c r="M499" i="13"/>
  <c r="P499" i="13" s="1"/>
  <c r="M500" i="13"/>
  <c r="P500" i="13" s="1"/>
  <c r="M501" i="13"/>
  <c r="P501" i="13" s="1"/>
  <c r="M502" i="13"/>
  <c r="P502" i="13" s="1"/>
  <c r="M503" i="13"/>
  <c r="P503" i="13" s="1"/>
  <c r="M504" i="13"/>
  <c r="P504" i="13" s="1"/>
  <c r="M505" i="13"/>
  <c r="P505" i="13" s="1"/>
  <c r="M506" i="13"/>
  <c r="P506" i="13" s="1"/>
  <c r="M507" i="13"/>
  <c r="M508" i="13"/>
  <c r="M509" i="13"/>
  <c r="P509" i="13" s="1"/>
  <c r="M510" i="13"/>
  <c r="P510" i="13" s="1"/>
  <c r="M511" i="13"/>
  <c r="P511" i="13" s="1"/>
  <c r="M512" i="13"/>
  <c r="P512" i="13" s="1"/>
  <c r="M513" i="13"/>
  <c r="P513" i="13" s="1"/>
  <c r="M514" i="13"/>
  <c r="M515" i="13"/>
  <c r="M516" i="13"/>
  <c r="M517" i="13"/>
  <c r="P517" i="13" s="1"/>
  <c r="M518" i="13"/>
  <c r="P518" i="13" s="1"/>
  <c r="M519" i="13"/>
  <c r="P519" i="13" s="1"/>
  <c r="M520" i="13"/>
  <c r="M521" i="13"/>
  <c r="M522" i="13"/>
  <c r="P522" i="13" s="1"/>
  <c r="M523" i="13"/>
  <c r="P523" i="13" s="1"/>
  <c r="M524" i="13"/>
  <c r="P524" i="13" s="1"/>
  <c r="M525" i="13"/>
  <c r="P525" i="13" s="1"/>
  <c r="M526" i="13"/>
  <c r="P526" i="13" s="1"/>
  <c r="M527" i="13"/>
  <c r="P527" i="13" s="1"/>
  <c r="M528" i="13"/>
  <c r="M529" i="13"/>
  <c r="M530" i="13"/>
  <c r="M531" i="13"/>
  <c r="M532" i="13"/>
  <c r="M533" i="13"/>
  <c r="M534" i="13"/>
  <c r="M535" i="13"/>
  <c r="P535" i="13" s="1"/>
  <c r="M536" i="13"/>
  <c r="P536" i="13" s="1"/>
  <c r="M537" i="13"/>
  <c r="P537" i="13" s="1"/>
  <c r="M538" i="13"/>
  <c r="M539" i="13"/>
  <c r="P539" i="13" s="1"/>
  <c r="M540" i="13"/>
  <c r="P540" i="13" s="1"/>
  <c r="M541" i="13"/>
  <c r="P541" i="13" s="1"/>
  <c r="M542" i="13"/>
  <c r="P542" i="13" s="1"/>
  <c r="M543" i="13"/>
  <c r="P543" i="13" s="1"/>
  <c r="M544" i="13"/>
  <c r="M545" i="13"/>
  <c r="P545" i="13" s="1"/>
  <c r="M546" i="13"/>
  <c r="P546" i="13" s="1"/>
  <c r="M547" i="13"/>
  <c r="P547" i="13" s="1"/>
  <c r="M548" i="13"/>
  <c r="P548" i="13" s="1"/>
  <c r="M549" i="13"/>
  <c r="P549" i="13" s="1"/>
  <c r="M550" i="13"/>
  <c r="P550" i="13" s="1"/>
  <c r="M551" i="13"/>
  <c r="P551" i="13" s="1"/>
  <c r="M552" i="13"/>
  <c r="M553" i="13"/>
  <c r="M554" i="13"/>
  <c r="M555" i="13"/>
  <c r="M556" i="13"/>
  <c r="M557" i="13"/>
  <c r="P557" i="13" s="1"/>
  <c r="M558" i="13"/>
  <c r="P558" i="13" s="1"/>
  <c r="M559" i="13"/>
  <c r="P559" i="13" s="1"/>
  <c r="M560" i="13"/>
  <c r="P560" i="13" s="1"/>
  <c r="M561" i="13"/>
  <c r="P561" i="13" s="1"/>
  <c r="M562" i="13"/>
  <c r="P562" i="13" s="1"/>
  <c r="M563" i="13"/>
  <c r="M564" i="13"/>
  <c r="M565" i="13"/>
  <c r="P565" i="13" s="1"/>
  <c r="M566" i="13"/>
  <c r="P566" i="13" s="1"/>
  <c r="M567" i="13"/>
  <c r="P567" i="13" s="1"/>
  <c r="M568" i="13"/>
  <c r="M569" i="13"/>
  <c r="M570" i="13"/>
  <c r="M571" i="13"/>
  <c r="P571" i="13" s="1"/>
  <c r="M572" i="13"/>
  <c r="P572" i="13" s="1"/>
  <c r="M573" i="13"/>
  <c r="P573" i="13" s="1"/>
  <c r="M574" i="13"/>
  <c r="P574" i="13" s="1"/>
  <c r="M575" i="13"/>
  <c r="P575" i="13" s="1"/>
  <c r="M576" i="13"/>
  <c r="P576" i="13" s="1"/>
  <c r="M577" i="13"/>
  <c r="P577" i="13" s="1"/>
  <c r="M578" i="13"/>
  <c r="M579" i="13"/>
  <c r="M580" i="13"/>
  <c r="M581" i="13"/>
  <c r="M582" i="13"/>
  <c r="M583" i="13"/>
  <c r="P583" i="13" s="1"/>
  <c r="M584" i="13"/>
  <c r="P584" i="13" s="1"/>
  <c r="M585" i="13"/>
  <c r="P585" i="13" s="1"/>
  <c r="M586" i="13"/>
  <c r="P586" i="13" s="1"/>
  <c r="M587" i="13"/>
  <c r="P587" i="13" s="1"/>
  <c r="M588" i="13"/>
  <c r="M589" i="13"/>
  <c r="M590" i="13"/>
  <c r="P590" i="13" s="1"/>
  <c r="M591" i="13"/>
  <c r="P591" i="13" s="1"/>
  <c r="M592" i="13"/>
  <c r="M593" i="13"/>
  <c r="P593" i="13" s="1"/>
  <c r="M594" i="13"/>
  <c r="P594" i="13" s="1"/>
  <c r="M595" i="13"/>
  <c r="P595" i="13" s="1"/>
  <c r="M596" i="13"/>
  <c r="P596" i="13" s="1"/>
  <c r="M597" i="13"/>
  <c r="P597" i="13" s="1"/>
  <c r="M598" i="13"/>
  <c r="M599" i="13"/>
  <c r="P599" i="13" s="1"/>
  <c r="M600" i="13"/>
  <c r="P600" i="13" s="1"/>
  <c r="M601" i="13"/>
  <c r="M602" i="13"/>
  <c r="M603" i="13"/>
  <c r="P603" i="13" s="1"/>
  <c r="M604" i="13"/>
  <c r="M605" i="13"/>
  <c r="P605" i="13" s="1"/>
  <c r="M606" i="13"/>
  <c r="P606" i="13" s="1"/>
  <c r="M607" i="13"/>
  <c r="P607" i="13" s="1"/>
  <c r="M608" i="13"/>
  <c r="P608" i="13" s="1"/>
  <c r="M609" i="13"/>
  <c r="P609" i="13" s="1"/>
  <c r="M610" i="13"/>
  <c r="P610" i="13" s="1"/>
  <c r="M611" i="13"/>
  <c r="M612" i="13"/>
  <c r="M613" i="13"/>
  <c r="P613" i="13" s="1"/>
  <c r="M614" i="13"/>
  <c r="P614" i="13" s="1"/>
  <c r="M615" i="13"/>
  <c r="P615" i="13" s="1"/>
  <c r="M616" i="13"/>
  <c r="M617" i="13"/>
  <c r="M618" i="13"/>
  <c r="M619" i="13"/>
  <c r="P619" i="13" s="1"/>
  <c r="M620" i="13"/>
  <c r="P620" i="13" s="1"/>
  <c r="M621" i="13"/>
  <c r="P621" i="13" s="1"/>
  <c r="M622" i="13"/>
  <c r="M623" i="13"/>
  <c r="P623" i="13" s="1"/>
  <c r="M624" i="13"/>
  <c r="P624" i="13" s="1"/>
  <c r="M625" i="13"/>
  <c r="P625" i="13" s="1"/>
  <c r="M626" i="13"/>
  <c r="P626" i="13" s="1"/>
  <c r="M627" i="13"/>
  <c r="P627" i="13" s="1"/>
  <c r="M628" i="13"/>
  <c r="M629" i="13"/>
  <c r="M630" i="13"/>
  <c r="M631" i="13"/>
  <c r="P631" i="13" s="1"/>
  <c r="M632" i="13"/>
  <c r="P632" i="13" s="1"/>
  <c r="M633" i="13"/>
  <c r="P633" i="13" s="1"/>
  <c r="M634" i="13"/>
  <c r="M635" i="13"/>
  <c r="M636" i="13"/>
  <c r="M637" i="13"/>
  <c r="M638" i="13"/>
  <c r="P638" i="13" s="1"/>
  <c r="M639" i="13"/>
  <c r="P639" i="13" s="1"/>
  <c r="M640" i="13"/>
  <c r="M641" i="13"/>
  <c r="P641" i="13" s="1"/>
  <c r="M642" i="13"/>
  <c r="P642" i="13" s="1"/>
  <c r="M643" i="13"/>
  <c r="P643" i="13" s="1"/>
  <c r="M644" i="13"/>
  <c r="P644" i="13" s="1"/>
  <c r="M645" i="13"/>
  <c r="P645" i="13" s="1"/>
  <c r="M646" i="13"/>
  <c r="P646" i="13" s="1"/>
  <c r="M647" i="13"/>
  <c r="P647" i="13" s="1"/>
  <c r="M648" i="13"/>
  <c r="P648" i="13" s="1"/>
  <c r="M649" i="13"/>
  <c r="P649" i="13" s="1"/>
  <c r="M650" i="13"/>
  <c r="P650" i="13" s="1"/>
  <c r="M651" i="13"/>
  <c r="P651" i="13" s="1"/>
  <c r="M652" i="13"/>
  <c r="M653" i="13"/>
  <c r="P653" i="13" s="1"/>
  <c r="M654" i="13"/>
  <c r="P654" i="13" s="1"/>
  <c r="M655" i="13"/>
  <c r="P655" i="13" s="1"/>
  <c r="M656" i="13"/>
  <c r="P656" i="13" s="1"/>
  <c r="M657" i="13"/>
  <c r="P657" i="13" s="1"/>
  <c r="M658" i="13"/>
  <c r="M659" i="13"/>
  <c r="M660" i="13"/>
  <c r="M661" i="13"/>
  <c r="M662" i="13"/>
  <c r="M663" i="13"/>
  <c r="P663" i="13" s="1"/>
  <c r="M664" i="13"/>
  <c r="M665" i="13"/>
  <c r="M666" i="13"/>
  <c r="P666" i="13" s="1"/>
  <c r="M667" i="13"/>
  <c r="P667" i="13" s="1"/>
  <c r="M668" i="13"/>
  <c r="P668" i="13" s="1"/>
  <c r="M669" i="13"/>
  <c r="P669" i="13" s="1"/>
  <c r="M670" i="13"/>
  <c r="P670" i="13" s="1"/>
  <c r="M671" i="13"/>
  <c r="P671" i="13" s="1"/>
  <c r="M672" i="13"/>
  <c r="P672" i="13" s="1"/>
  <c r="M673" i="13"/>
  <c r="P673" i="13" s="1"/>
  <c r="M674" i="13"/>
  <c r="M675" i="13"/>
  <c r="M676" i="13"/>
  <c r="M677" i="13"/>
  <c r="M678" i="13"/>
  <c r="M679" i="13"/>
  <c r="P679" i="13" s="1"/>
  <c r="M680" i="13"/>
  <c r="P680" i="13" s="1"/>
  <c r="M681" i="13"/>
  <c r="P681" i="13" s="1"/>
  <c r="M682" i="13"/>
  <c r="M683" i="13"/>
  <c r="P683" i="13" s="1"/>
  <c r="M684" i="13"/>
  <c r="P684" i="13" s="1"/>
  <c r="M685" i="13"/>
  <c r="P685" i="13" s="1"/>
  <c r="M686" i="13"/>
  <c r="P686" i="13" s="1"/>
  <c r="M687" i="13"/>
  <c r="P687" i="13" s="1"/>
  <c r="M688" i="13"/>
  <c r="M689" i="13"/>
  <c r="P689" i="13" s="1"/>
  <c r="M690" i="13"/>
  <c r="P690" i="13" s="1"/>
  <c r="M691" i="13"/>
  <c r="P691" i="13" s="1"/>
  <c r="M692" i="13"/>
  <c r="P692" i="13" s="1"/>
  <c r="M693" i="13"/>
  <c r="P693" i="13" s="1"/>
  <c r="M694" i="13"/>
  <c r="M695" i="13"/>
  <c r="M696" i="13"/>
  <c r="P696" i="13" s="1"/>
  <c r="M697" i="13"/>
  <c r="P697" i="13" s="1"/>
  <c r="M698" i="13"/>
  <c r="P698" i="13" s="1"/>
  <c r="M699" i="13"/>
  <c r="M700" i="13"/>
  <c r="M701" i="13"/>
  <c r="P701" i="13" s="1"/>
  <c r="M702" i="13"/>
  <c r="P702" i="13" s="1"/>
  <c r="M703" i="13"/>
  <c r="P703" i="13" s="1"/>
  <c r="M704" i="13"/>
  <c r="P704" i="13" s="1"/>
  <c r="M705" i="13"/>
  <c r="P705" i="13" s="1"/>
  <c r="M706" i="13"/>
  <c r="P706" i="13" s="1"/>
  <c r="M707" i="13"/>
  <c r="M708" i="13"/>
  <c r="P708" i="13" s="1"/>
  <c r="M709" i="13"/>
  <c r="P709" i="13" s="1"/>
  <c r="M710" i="13"/>
  <c r="P710" i="13" s="1"/>
  <c r="M711" i="13"/>
  <c r="M712" i="13"/>
  <c r="M713" i="13"/>
  <c r="M714" i="13"/>
  <c r="M715" i="13"/>
  <c r="P715" i="13" s="1"/>
  <c r="M716" i="13"/>
  <c r="P716" i="13" s="1"/>
  <c r="M717" i="13"/>
  <c r="P717" i="13" s="1"/>
  <c r="M718" i="13"/>
  <c r="M719" i="13"/>
  <c r="M720" i="13"/>
  <c r="P720" i="13" s="1"/>
  <c r="M721" i="13"/>
  <c r="P721" i="13" s="1"/>
  <c r="M722" i="13"/>
  <c r="P722" i="13" s="1"/>
  <c r="M723" i="13"/>
  <c r="P723" i="13" s="1"/>
  <c r="M724" i="13"/>
  <c r="M725" i="13"/>
  <c r="M726" i="13"/>
  <c r="M727" i="13"/>
  <c r="P727" i="13" s="1"/>
  <c r="M728" i="13"/>
  <c r="P728" i="13" s="1"/>
  <c r="M729" i="13"/>
  <c r="P729" i="13" s="1"/>
  <c r="M730" i="13"/>
  <c r="P730" i="13" s="1"/>
  <c r="M731" i="13"/>
  <c r="M732" i="13"/>
  <c r="M733" i="13"/>
  <c r="M734" i="13"/>
  <c r="M735" i="13"/>
  <c r="P735" i="13" s="1"/>
  <c r="M736" i="13"/>
  <c r="M737" i="13"/>
  <c r="P737" i="13" s="1"/>
  <c r="M738" i="13"/>
  <c r="P738" i="13" s="1"/>
  <c r="M739" i="13"/>
  <c r="P739" i="13" s="1"/>
  <c r="M740" i="13"/>
  <c r="P740" i="13" s="1"/>
  <c r="M741" i="13"/>
  <c r="P741" i="13" s="1"/>
  <c r="M742" i="13"/>
  <c r="M743" i="13"/>
  <c r="M744" i="13"/>
  <c r="P744" i="13" s="1"/>
  <c r="M745" i="13"/>
  <c r="P745" i="13" s="1"/>
  <c r="M746" i="13"/>
  <c r="P746" i="13" s="1"/>
  <c r="M747" i="13"/>
  <c r="P747" i="13" s="1"/>
  <c r="M748" i="13"/>
  <c r="M749" i="13"/>
  <c r="P749" i="13" s="1"/>
  <c r="M750" i="13"/>
  <c r="P750" i="13" s="1"/>
  <c r="M751" i="13"/>
  <c r="P751" i="13" s="1"/>
  <c r="M752" i="13"/>
  <c r="P752" i="13" s="1"/>
  <c r="M753" i="13"/>
  <c r="P753" i="13" s="1"/>
  <c r="M754" i="13"/>
  <c r="M755" i="13"/>
  <c r="M756" i="13"/>
  <c r="M757" i="13"/>
  <c r="P757" i="13" s="1"/>
  <c r="M758" i="13"/>
  <c r="P758" i="13" s="1"/>
  <c r="M759" i="13"/>
  <c r="M760" i="13"/>
  <c r="M761" i="13"/>
  <c r="M762" i="13"/>
  <c r="M763" i="13"/>
  <c r="P763" i="13" s="1"/>
  <c r="M764" i="13"/>
  <c r="P764" i="13" s="1"/>
  <c r="M765" i="13"/>
  <c r="P765" i="13" s="1"/>
  <c r="M766" i="13"/>
  <c r="M767" i="13"/>
  <c r="M768" i="13"/>
  <c r="P768" i="13" s="1"/>
  <c r="M769" i="13"/>
  <c r="P769" i="13" s="1"/>
  <c r="M770" i="13"/>
  <c r="P770" i="13" s="1"/>
  <c r="M771" i="13"/>
  <c r="P771" i="13" s="1"/>
  <c r="M772" i="13"/>
  <c r="M773" i="13"/>
  <c r="M774" i="13"/>
  <c r="M775" i="13"/>
  <c r="P775" i="13" s="1"/>
  <c r="M776" i="13"/>
  <c r="P776" i="13" s="1"/>
  <c r="M777" i="13"/>
  <c r="P777" i="13" s="1"/>
  <c r="M778" i="13"/>
  <c r="M779" i="13"/>
  <c r="M780" i="13"/>
  <c r="M781" i="13"/>
  <c r="M782" i="13"/>
  <c r="M783" i="13"/>
  <c r="P783" i="13" s="1"/>
  <c r="M784" i="13"/>
  <c r="M785" i="13"/>
  <c r="P785" i="13" s="1"/>
  <c r="M786" i="13"/>
  <c r="P786" i="13" s="1"/>
  <c r="M787" i="13"/>
  <c r="P787" i="13" s="1"/>
  <c r="M788" i="13"/>
  <c r="P788" i="13" s="1"/>
  <c r="M789" i="13"/>
  <c r="P789" i="13" s="1"/>
  <c r="M790" i="13"/>
  <c r="P790" i="13" s="1"/>
  <c r="M791" i="13"/>
  <c r="M792" i="13"/>
  <c r="P792" i="13" s="1"/>
  <c r="M793" i="13"/>
  <c r="P793" i="13" s="1"/>
  <c r="M794" i="13"/>
  <c r="P794" i="13" s="1"/>
  <c r="M795" i="13"/>
  <c r="P795" i="13" s="1"/>
  <c r="M796" i="13"/>
  <c r="M797" i="13"/>
  <c r="P797" i="13" s="1"/>
  <c r="M798" i="13"/>
  <c r="P798" i="13" s="1"/>
  <c r="M799" i="13"/>
  <c r="P799" i="13" s="1"/>
  <c r="M800" i="13"/>
  <c r="P800" i="13" s="1"/>
  <c r="M801" i="13"/>
  <c r="P801" i="13" s="1"/>
  <c r="M802" i="13"/>
  <c r="P802" i="13" s="1"/>
  <c r="M803" i="13"/>
  <c r="M804" i="13"/>
  <c r="M805" i="13"/>
  <c r="M806" i="13"/>
  <c r="M807" i="13"/>
  <c r="P807" i="13" s="1"/>
  <c r="M808" i="13"/>
  <c r="M809" i="13"/>
  <c r="M810" i="13"/>
  <c r="P810" i="13" s="1"/>
  <c r="M811" i="13"/>
  <c r="P811" i="13" s="1"/>
  <c r="M812" i="13"/>
  <c r="P812" i="13" s="1"/>
  <c r="M813" i="13"/>
  <c r="P813" i="13" s="1"/>
  <c r="M814" i="13"/>
  <c r="M815" i="13"/>
  <c r="M816" i="13"/>
  <c r="P816" i="13" s="1"/>
  <c r="M817" i="13"/>
  <c r="P817" i="13" s="1"/>
  <c r="M818" i="13"/>
  <c r="P818" i="13" s="1"/>
  <c r="M819" i="13"/>
  <c r="P819" i="13" s="1"/>
  <c r="M820" i="13"/>
  <c r="M821" i="13"/>
  <c r="M822" i="13"/>
  <c r="M823" i="13"/>
  <c r="P823" i="13" s="1"/>
  <c r="M824" i="13"/>
  <c r="P824" i="13" s="1"/>
  <c r="M825" i="13"/>
  <c r="P825" i="13" s="1"/>
  <c r="M826" i="13"/>
  <c r="P826" i="13" s="1"/>
  <c r="M827" i="13"/>
  <c r="P827" i="13" s="1"/>
  <c r="M828" i="13"/>
  <c r="P828" i="13" s="1"/>
  <c r="M829" i="13"/>
  <c r="P829" i="13" s="1"/>
  <c r="M830" i="13"/>
  <c r="P830" i="13" s="1"/>
  <c r="M831" i="13"/>
  <c r="M832" i="13"/>
  <c r="M833" i="13"/>
  <c r="P833" i="13" s="1"/>
  <c r="M834" i="13"/>
  <c r="P834" i="13" s="1"/>
  <c r="M835" i="13"/>
  <c r="P835" i="13" s="1"/>
  <c r="M836" i="13"/>
  <c r="P836" i="13" s="1"/>
  <c r="M837" i="13"/>
  <c r="P837" i="13" s="1"/>
  <c r="M838" i="13"/>
  <c r="M839" i="13"/>
  <c r="M840" i="13"/>
  <c r="P840" i="13" s="1"/>
  <c r="M841" i="13"/>
  <c r="P841" i="13" s="1"/>
  <c r="M842" i="13"/>
  <c r="P842" i="13" s="1"/>
  <c r="M843" i="13"/>
  <c r="P843" i="13" s="1"/>
  <c r="M844" i="13"/>
  <c r="M845" i="13"/>
  <c r="P845" i="13" s="1"/>
  <c r="M846" i="13"/>
  <c r="P846" i="13" s="1"/>
  <c r="M847" i="13"/>
  <c r="P847" i="13" s="1"/>
  <c r="M848" i="13"/>
  <c r="P848" i="13" s="1"/>
  <c r="M849" i="13"/>
  <c r="P849" i="13" s="1"/>
  <c r="M850" i="13"/>
  <c r="P850" i="13" s="1"/>
  <c r="M851" i="13"/>
  <c r="P851" i="13" s="1"/>
  <c r="M852" i="13"/>
  <c r="P852" i="13" s="1"/>
  <c r="M853" i="13"/>
  <c r="P853" i="13" s="1"/>
  <c r="M854" i="13"/>
  <c r="P854" i="13" s="1"/>
  <c r="M855" i="13"/>
  <c r="M856" i="13"/>
  <c r="M857" i="13"/>
  <c r="M858" i="13"/>
  <c r="M859" i="13"/>
  <c r="P859" i="13" s="1"/>
  <c r="M860" i="13"/>
  <c r="P860" i="13" s="1"/>
  <c r="M861" i="13"/>
  <c r="P861" i="13" s="1"/>
  <c r="M862" i="13"/>
  <c r="M863" i="13"/>
  <c r="M864" i="13"/>
  <c r="P864" i="13" s="1"/>
  <c r="M865" i="13"/>
  <c r="P865" i="13" s="1"/>
  <c r="M866" i="13"/>
  <c r="P866" i="13" s="1"/>
  <c r="M867" i="13"/>
  <c r="P867" i="13" s="1"/>
  <c r="M868" i="13"/>
  <c r="M869" i="13"/>
  <c r="M870" i="13"/>
  <c r="M871" i="13"/>
  <c r="P871" i="13" s="1"/>
  <c r="M872" i="13"/>
  <c r="P872" i="13" s="1"/>
  <c r="M873" i="13"/>
  <c r="P873" i="13" s="1"/>
  <c r="M874" i="13"/>
  <c r="P874" i="13" s="1"/>
  <c r="M875" i="13"/>
  <c r="P875" i="13" s="1"/>
  <c r="M876" i="13"/>
  <c r="M877" i="13"/>
  <c r="M878" i="13"/>
  <c r="P878" i="13" s="1"/>
  <c r="M879" i="13"/>
  <c r="P879" i="13" s="1"/>
  <c r="M880" i="13"/>
  <c r="M881" i="13"/>
  <c r="P881" i="13" s="1"/>
  <c r="M882" i="13"/>
  <c r="P882" i="13" s="1"/>
  <c r="M883" i="13"/>
  <c r="P883" i="13" s="1"/>
  <c r="M884" i="13"/>
  <c r="P884" i="13" s="1"/>
  <c r="M885" i="13"/>
  <c r="P885" i="13" s="1"/>
  <c r="M886" i="13"/>
  <c r="M887" i="13"/>
  <c r="M888" i="13"/>
  <c r="M889" i="13"/>
  <c r="M890" i="13"/>
  <c r="P890" i="13" s="1"/>
  <c r="M891" i="13"/>
  <c r="P891" i="13" s="1"/>
  <c r="M892" i="13"/>
  <c r="M893" i="13"/>
  <c r="P893" i="13" s="1"/>
  <c r="M894" i="13"/>
  <c r="P894" i="13" s="1"/>
  <c r="M895" i="13"/>
  <c r="P895" i="13" s="1"/>
  <c r="M896" i="13"/>
  <c r="P896" i="13" s="1"/>
  <c r="M897" i="13"/>
  <c r="P897" i="13" s="1"/>
  <c r="M898" i="13"/>
  <c r="P898" i="13" s="1"/>
  <c r="M899" i="13"/>
  <c r="P899" i="13" s="1"/>
  <c r="M900" i="13"/>
  <c r="P900" i="13" s="1"/>
  <c r="M901" i="13"/>
  <c r="P901" i="13" s="1"/>
  <c r="M902" i="13"/>
  <c r="P902" i="13" s="1"/>
  <c r="M903" i="13"/>
  <c r="P903" i="13" s="1"/>
  <c r="M904" i="13"/>
  <c r="M905" i="13"/>
  <c r="P905" i="13" s="1"/>
  <c r="M906" i="13"/>
  <c r="M907" i="13"/>
  <c r="P907" i="13" s="1"/>
  <c r="M908" i="13"/>
  <c r="P908" i="13" s="1"/>
  <c r="M909" i="13"/>
  <c r="P909" i="13" s="1"/>
  <c r="M910" i="13"/>
  <c r="M911" i="13"/>
  <c r="M912" i="13"/>
  <c r="M913" i="13"/>
  <c r="M914" i="13"/>
  <c r="M915" i="13"/>
  <c r="P915" i="13" s="1"/>
  <c r="M916" i="13"/>
  <c r="M917" i="13"/>
  <c r="M918" i="13"/>
  <c r="P918" i="13" s="1"/>
  <c r="M919" i="13"/>
  <c r="P919" i="13" s="1"/>
  <c r="M920" i="13"/>
  <c r="P920" i="13" s="1"/>
  <c r="M921" i="13"/>
  <c r="P921" i="13" s="1"/>
  <c r="M922" i="13"/>
  <c r="P922" i="13" s="1"/>
  <c r="M923" i="13"/>
  <c r="M924" i="13"/>
  <c r="P924" i="13" s="1"/>
  <c r="M925" i="13"/>
  <c r="P925" i="13" s="1"/>
  <c r="M926" i="13"/>
  <c r="P926" i="13" s="1"/>
  <c r="M927" i="13"/>
  <c r="M928" i="13"/>
  <c r="M929" i="13"/>
  <c r="P929" i="13" s="1"/>
  <c r="M930" i="13"/>
  <c r="P930" i="13" s="1"/>
  <c r="M931" i="13"/>
  <c r="P931" i="13" s="1"/>
  <c r="M932" i="13"/>
  <c r="P932" i="13" s="1"/>
  <c r="M933" i="13"/>
  <c r="P933" i="13" s="1"/>
  <c r="M934" i="13"/>
  <c r="M935" i="13"/>
  <c r="M936" i="13"/>
  <c r="M937" i="13"/>
  <c r="P937" i="13" s="1"/>
  <c r="M938" i="13"/>
  <c r="P938" i="13" s="1"/>
  <c r="M939" i="13"/>
  <c r="P939" i="13" s="1"/>
  <c r="M940" i="13"/>
  <c r="M941" i="13"/>
  <c r="M942" i="13"/>
  <c r="P942" i="13" s="1"/>
  <c r="M943" i="13"/>
  <c r="P943" i="13" s="1"/>
  <c r="M944" i="13"/>
  <c r="P944" i="13" s="1"/>
  <c r="M945" i="13"/>
  <c r="P945" i="13" s="1"/>
  <c r="M946" i="13"/>
  <c r="P946" i="13" s="1"/>
  <c r="M947" i="13"/>
  <c r="M948" i="13"/>
  <c r="P948" i="13" s="1"/>
  <c r="M949" i="13"/>
  <c r="P949" i="13" s="1"/>
  <c r="M950" i="13"/>
  <c r="P950" i="13" s="1"/>
  <c r="M951" i="13"/>
  <c r="P951" i="13" s="1"/>
  <c r="M952" i="13"/>
  <c r="M953" i="13"/>
  <c r="M954" i="13"/>
  <c r="P954" i="13" s="1"/>
  <c r="M955" i="13"/>
  <c r="P955" i="13" s="1"/>
  <c r="M956" i="13"/>
  <c r="P956" i="13" s="1"/>
  <c r="M957" i="13"/>
  <c r="P957" i="13" s="1"/>
  <c r="M958" i="13"/>
  <c r="P958" i="13" s="1"/>
  <c r="M959" i="13"/>
  <c r="P959" i="13" s="1"/>
  <c r="M960" i="13"/>
  <c r="P960" i="13" s="1"/>
  <c r="M961" i="13"/>
  <c r="M962" i="13"/>
  <c r="P962" i="13" s="1"/>
  <c r="M963" i="13"/>
  <c r="P963" i="13" s="1"/>
  <c r="M964" i="13"/>
  <c r="M965" i="13"/>
  <c r="P965" i="13" s="1"/>
  <c r="M966" i="13"/>
  <c r="P966" i="13" s="1"/>
  <c r="M967" i="13"/>
  <c r="P967" i="13" s="1"/>
  <c r="M968" i="13"/>
  <c r="P968" i="13" s="1"/>
  <c r="M969" i="13"/>
  <c r="P969" i="13" s="1"/>
  <c r="M970" i="13"/>
  <c r="M971" i="13"/>
  <c r="M972" i="13"/>
  <c r="M973" i="13"/>
  <c r="P973" i="13" s="1"/>
  <c r="M974" i="13"/>
  <c r="P974" i="13" s="1"/>
  <c r="M975" i="13"/>
  <c r="P975" i="13" s="1"/>
  <c r="M976" i="13"/>
  <c r="M977" i="13"/>
  <c r="M978" i="13"/>
  <c r="P978" i="13" s="1"/>
  <c r="M979" i="13"/>
  <c r="P979" i="13" s="1"/>
  <c r="M980" i="13"/>
  <c r="P980" i="13" s="1"/>
  <c r="M981" i="13"/>
  <c r="P981" i="13" s="1"/>
  <c r="M982" i="13"/>
  <c r="P982" i="13" s="1"/>
  <c r="M983" i="13"/>
  <c r="M984" i="13"/>
  <c r="P984" i="13" s="1"/>
  <c r="M985" i="13"/>
  <c r="P985" i="13" s="1"/>
  <c r="M986" i="13"/>
  <c r="P986" i="13" s="1"/>
  <c r="M987" i="13"/>
  <c r="P987" i="13" s="1"/>
  <c r="M988" i="13"/>
  <c r="M989" i="13"/>
  <c r="M990" i="13"/>
  <c r="P990" i="13" s="1"/>
  <c r="M991" i="13"/>
  <c r="P991" i="13" s="1"/>
  <c r="M992" i="13"/>
  <c r="P992" i="13" s="1"/>
  <c r="M993" i="13"/>
  <c r="P993" i="13" s="1"/>
  <c r="M994" i="13"/>
  <c r="P994" i="13" s="1"/>
  <c r="M995" i="13"/>
  <c r="P995" i="13" s="1"/>
  <c r="M996" i="13"/>
  <c r="P996" i="13" s="1"/>
  <c r="M997" i="13"/>
  <c r="M998" i="13"/>
  <c r="M999" i="13"/>
  <c r="P999" i="13" s="1"/>
  <c r="M1000" i="13"/>
  <c r="M1001" i="13"/>
  <c r="P1001" i="13" s="1"/>
  <c r="M1002" i="13"/>
  <c r="P1002" i="13" s="1"/>
  <c r="M1003" i="13"/>
  <c r="P1003" i="13" s="1"/>
  <c r="M1004" i="13"/>
  <c r="P1004" i="13" s="1"/>
  <c r="M1005" i="13"/>
  <c r="P1005" i="13" s="1"/>
  <c r="M1006" i="13"/>
  <c r="M9" i="13"/>
  <c r="M6" i="13"/>
  <c r="P6" i="13" s="1"/>
  <c r="M7" i="13"/>
  <c r="M5" i="13"/>
  <c r="P5" i="13" s="1"/>
  <c r="L10" i="13"/>
  <c r="L11" i="13"/>
  <c r="L12" i="13"/>
  <c r="L13" i="13"/>
  <c r="L14" i="13"/>
  <c r="L15" i="13"/>
  <c r="L16" i="13"/>
  <c r="L17" i="13"/>
  <c r="L18" i="13"/>
  <c r="L19" i="13"/>
  <c r="L20" i="13"/>
  <c r="L21" i="13"/>
  <c r="L22" i="13"/>
  <c r="L23" i="13"/>
  <c r="L24" i="13"/>
  <c r="L25" i="13"/>
  <c r="L26" i="13"/>
  <c r="L27" i="13"/>
  <c r="L28" i="13"/>
  <c r="L29" i="13"/>
  <c r="L30" i="13"/>
  <c r="L31" i="13"/>
  <c r="L32" i="13"/>
  <c r="L33" i="13"/>
  <c r="L34" i="13"/>
  <c r="L35" i="13"/>
  <c r="L36" i="13"/>
  <c r="L37" i="13"/>
  <c r="L38" i="13"/>
  <c r="L39" i="13"/>
  <c r="L40" i="13"/>
  <c r="L41" i="13"/>
  <c r="L42" i="13"/>
  <c r="L43" i="13"/>
  <c r="L44" i="13"/>
  <c r="L45" i="13"/>
  <c r="L46" i="13"/>
  <c r="L47" i="13"/>
  <c r="L48" i="13"/>
  <c r="L49" i="13"/>
  <c r="L50" i="13"/>
  <c r="L51" i="13"/>
  <c r="L52" i="13"/>
  <c r="L53" i="13"/>
  <c r="L54" i="13"/>
  <c r="L55" i="13"/>
  <c r="L56" i="13"/>
  <c r="L57" i="13"/>
  <c r="L58" i="13"/>
  <c r="L59" i="13"/>
  <c r="L60" i="13"/>
  <c r="L61" i="13"/>
  <c r="L62" i="13"/>
  <c r="L63" i="13"/>
  <c r="L64" i="13"/>
  <c r="L65" i="13"/>
  <c r="L66" i="13"/>
  <c r="L67" i="13"/>
  <c r="L68" i="13"/>
  <c r="L69" i="13"/>
  <c r="L70" i="13"/>
  <c r="L71" i="13"/>
  <c r="L72" i="13"/>
  <c r="L73" i="13"/>
  <c r="L74" i="13"/>
  <c r="L75" i="13"/>
  <c r="L76" i="13"/>
  <c r="L77" i="13"/>
  <c r="L78" i="13"/>
  <c r="L79" i="13"/>
  <c r="L80" i="13"/>
  <c r="L81" i="13"/>
  <c r="L82" i="13"/>
  <c r="L83" i="13"/>
  <c r="L84" i="13"/>
  <c r="L85" i="13"/>
  <c r="L86" i="13"/>
  <c r="L87" i="13"/>
  <c r="L88" i="13"/>
  <c r="L89" i="13"/>
  <c r="L90" i="13"/>
  <c r="L91" i="13"/>
  <c r="L92" i="13"/>
  <c r="L93" i="13"/>
  <c r="L94" i="13"/>
  <c r="L95" i="13"/>
  <c r="L96" i="13"/>
  <c r="L97" i="13"/>
  <c r="L98" i="13"/>
  <c r="L99" i="13"/>
  <c r="L100" i="13"/>
  <c r="L101" i="13"/>
  <c r="L102" i="13"/>
  <c r="L103" i="13"/>
  <c r="L104" i="13"/>
  <c r="L105" i="13"/>
  <c r="L106" i="13"/>
  <c r="L107" i="13"/>
  <c r="L108" i="13"/>
  <c r="L109" i="13"/>
  <c r="L110" i="13"/>
  <c r="L111" i="13"/>
  <c r="L112" i="13"/>
  <c r="L113" i="13"/>
  <c r="L114" i="13"/>
  <c r="L115" i="13"/>
  <c r="L116" i="13"/>
  <c r="L117" i="13"/>
  <c r="L118" i="13"/>
  <c r="L119" i="13"/>
  <c r="L120" i="13"/>
  <c r="L121" i="13"/>
  <c r="L122" i="13"/>
  <c r="L123" i="13"/>
  <c r="L124" i="13"/>
  <c r="L125" i="13"/>
  <c r="L126" i="13"/>
  <c r="L127" i="13"/>
  <c r="L128" i="13"/>
  <c r="L129" i="13"/>
  <c r="L130" i="13"/>
  <c r="L131" i="13"/>
  <c r="L132" i="13"/>
  <c r="L133" i="13"/>
  <c r="L134" i="13"/>
  <c r="L135" i="13"/>
  <c r="L136" i="13"/>
  <c r="L137" i="13"/>
  <c r="L138" i="13"/>
  <c r="L139" i="13"/>
  <c r="L140" i="13"/>
  <c r="L141" i="13"/>
  <c r="L142" i="13"/>
  <c r="L143" i="13"/>
  <c r="L144" i="13"/>
  <c r="L145" i="13"/>
  <c r="L146" i="13"/>
  <c r="L147" i="13"/>
  <c r="L148" i="13"/>
  <c r="L149" i="13"/>
  <c r="L150" i="13"/>
  <c r="L151" i="13"/>
  <c r="L152" i="13"/>
  <c r="L153" i="13"/>
  <c r="L154" i="13"/>
  <c r="L155" i="13"/>
  <c r="L156" i="13"/>
  <c r="L157" i="13"/>
  <c r="L158" i="13"/>
  <c r="L159" i="13"/>
  <c r="L160" i="13"/>
  <c r="L161" i="13"/>
  <c r="L162" i="13"/>
  <c r="L163" i="13"/>
  <c r="L164" i="13"/>
  <c r="L165" i="13"/>
  <c r="L166" i="13"/>
  <c r="L167" i="13"/>
  <c r="L168" i="13"/>
  <c r="L169" i="13"/>
  <c r="L170" i="13"/>
  <c r="L171" i="13"/>
  <c r="L172" i="13"/>
  <c r="L173" i="13"/>
  <c r="L174" i="13"/>
  <c r="L175" i="13"/>
  <c r="L176" i="13"/>
  <c r="L177" i="13"/>
  <c r="L178" i="13"/>
  <c r="L179" i="13"/>
  <c r="L180" i="13"/>
  <c r="L181" i="13"/>
  <c r="L182" i="13"/>
  <c r="L183" i="13"/>
  <c r="L184" i="13"/>
  <c r="L185" i="13"/>
  <c r="L186" i="13"/>
  <c r="L187" i="13"/>
  <c r="L188" i="13"/>
  <c r="L189" i="13"/>
  <c r="L190" i="13"/>
  <c r="L191" i="13"/>
  <c r="L192" i="13"/>
  <c r="L193" i="13"/>
  <c r="L194" i="13"/>
  <c r="L195" i="13"/>
  <c r="L196" i="13"/>
  <c r="L197" i="13"/>
  <c r="L198" i="13"/>
  <c r="L199" i="13"/>
  <c r="L200" i="13"/>
  <c r="L201" i="13"/>
  <c r="L202" i="13"/>
  <c r="L203" i="13"/>
  <c r="L204" i="13"/>
  <c r="L205" i="13"/>
  <c r="L206" i="13"/>
  <c r="L207" i="13"/>
  <c r="L208" i="13"/>
  <c r="L209" i="13"/>
  <c r="L210" i="13"/>
  <c r="L211" i="13"/>
  <c r="L212" i="13"/>
  <c r="L213" i="13"/>
  <c r="L214" i="13"/>
  <c r="L215" i="13"/>
  <c r="L216" i="13"/>
  <c r="L217" i="13"/>
  <c r="L218" i="13"/>
  <c r="L219" i="13"/>
  <c r="L220" i="13"/>
  <c r="L221" i="13"/>
  <c r="L222" i="13"/>
  <c r="L223" i="13"/>
  <c r="L224" i="13"/>
  <c r="L225" i="13"/>
  <c r="L226" i="13"/>
  <c r="L227" i="13"/>
  <c r="L228" i="13"/>
  <c r="L229" i="13"/>
  <c r="L230" i="13"/>
  <c r="L231" i="13"/>
  <c r="L232" i="13"/>
  <c r="L233" i="13"/>
  <c r="L234" i="13"/>
  <c r="L235" i="13"/>
  <c r="L236" i="13"/>
  <c r="L237" i="13"/>
  <c r="L238" i="13"/>
  <c r="L239" i="13"/>
  <c r="L240" i="13"/>
  <c r="L241" i="13"/>
  <c r="L242" i="13"/>
  <c r="L243" i="13"/>
  <c r="L244" i="13"/>
  <c r="L245" i="13"/>
  <c r="L246" i="13"/>
  <c r="L247" i="13"/>
  <c r="L248" i="13"/>
  <c r="L249" i="13"/>
  <c r="L250" i="13"/>
  <c r="L251" i="13"/>
  <c r="L252" i="13"/>
  <c r="L253" i="13"/>
  <c r="L254" i="13"/>
  <c r="L255" i="13"/>
  <c r="L256" i="13"/>
  <c r="L257" i="13"/>
  <c r="L258" i="13"/>
  <c r="L259" i="13"/>
  <c r="L260" i="13"/>
  <c r="L261" i="13"/>
  <c r="L262" i="13"/>
  <c r="L263" i="13"/>
  <c r="L264" i="13"/>
  <c r="L265" i="13"/>
  <c r="L266" i="13"/>
  <c r="L267" i="13"/>
  <c r="L268" i="13"/>
  <c r="L269" i="13"/>
  <c r="L270" i="13"/>
  <c r="L271" i="13"/>
  <c r="L272" i="13"/>
  <c r="L273" i="13"/>
  <c r="L274" i="13"/>
  <c r="L275" i="13"/>
  <c r="L276" i="13"/>
  <c r="L277" i="13"/>
  <c r="L278" i="13"/>
  <c r="L279" i="13"/>
  <c r="L280" i="13"/>
  <c r="L281" i="13"/>
  <c r="L282" i="13"/>
  <c r="L283" i="13"/>
  <c r="L284" i="13"/>
  <c r="L285" i="13"/>
  <c r="L286" i="13"/>
  <c r="L287" i="13"/>
  <c r="L288" i="13"/>
  <c r="L289" i="13"/>
  <c r="L290" i="13"/>
  <c r="L291" i="13"/>
  <c r="L292" i="13"/>
  <c r="L293" i="13"/>
  <c r="L294" i="13"/>
  <c r="L295" i="13"/>
  <c r="L296" i="13"/>
  <c r="L297" i="13"/>
  <c r="L298" i="13"/>
  <c r="L299" i="13"/>
  <c r="L300" i="13"/>
  <c r="L301" i="13"/>
  <c r="L302" i="13"/>
  <c r="L303" i="13"/>
  <c r="L304" i="13"/>
  <c r="L305" i="13"/>
  <c r="L306" i="13"/>
  <c r="L307" i="13"/>
  <c r="L308" i="13"/>
  <c r="L309" i="13"/>
  <c r="L310" i="13"/>
  <c r="L311" i="13"/>
  <c r="L312" i="13"/>
  <c r="L313" i="13"/>
  <c r="L314" i="13"/>
  <c r="L315" i="13"/>
  <c r="L316" i="13"/>
  <c r="L317" i="13"/>
  <c r="L318" i="13"/>
  <c r="L319" i="13"/>
  <c r="L320" i="13"/>
  <c r="L321" i="13"/>
  <c r="L322" i="13"/>
  <c r="L323" i="13"/>
  <c r="L324" i="13"/>
  <c r="L325" i="13"/>
  <c r="L326" i="13"/>
  <c r="L327" i="13"/>
  <c r="L328" i="13"/>
  <c r="L329" i="13"/>
  <c r="L330" i="13"/>
  <c r="L331" i="13"/>
  <c r="L332" i="13"/>
  <c r="L333" i="13"/>
  <c r="L334" i="13"/>
  <c r="L335" i="13"/>
  <c r="L336" i="13"/>
  <c r="L337" i="13"/>
  <c r="L338" i="13"/>
  <c r="L339" i="13"/>
  <c r="L340" i="13"/>
  <c r="L341" i="13"/>
  <c r="L342" i="13"/>
  <c r="L343" i="13"/>
  <c r="L344" i="13"/>
  <c r="L345" i="13"/>
  <c r="L346" i="13"/>
  <c r="L347" i="13"/>
  <c r="L348" i="13"/>
  <c r="L349" i="13"/>
  <c r="L350" i="13"/>
  <c r="L351" i="13"/>
  <c r="L352" i="13"/>
  <c r="L353" i="13"/>
  <c r="L354" i="13"/>
  <c r="L355" i="13"/>
  <c r="L356" i="13"/>
  <c r="L357" i="13"/>
  <c r="L358" i="13"/>
  <c r="L359" i="13"/>
  <c r="L360" i="13"/>
  <c r="L361" i="13"/>
  <c r="L362" i="13"/>
  <c r="L363" i="13"/>
  <c r="L364" i="13"/>
  <c r="L365" i="13"/>
  <c r="L366" i="13"/>
  <c r="L367" i="13"/>
  <c r="L368" i="13"/>
  <c r="L369" i="13"/>
  <c r="L370" i="13"/>
  <c r="L371" i="13"/>
  <c r="L372" i="13"/>
  <c r="L373" i="13"/>
  <c r="L374" i="13"/>
  <c r="L375" i="13"/>
  <c r="L376" i="13"/>
  <c r="L377" i="13"/>
  <c r="L378" i="13"/>
  <c r="L379" i="13"/>
  <c r="L380" i="13"/>
  <c r="L381" i="13"/>
  <c r="L382" i="13"/>
  <c r="L383" i="13"/>
  <c r="L384" i="13"/>
  <c r="L385" i="13"/>
  <c r="L386" i="13"/>
  <c r="L387" i="13"/>
  <c r="L388" i="13"/>
  <c r="L389" i="13"/>
  <c r="L390" i="13"/>
  <c r="L391" i="13"/>
  <c r="L392" i="13"/>
  <c r="L393" i="13"/>
  <c r="L394" i="13"/>
  <c r="L395" i="13"/>
  <c r="L396" i="13"/>
  <c r="L397" i="13"/>
  <c r="L398" i="13"/>
  <c r="L399" i="13"/>
  <c r="L400" i="13"/>
  <c r="L401" i="13"/>
  <c r="L402" i="13"/>
  <c r="L403" i="13"/>
  <c r="L404" i="13"/>
  <c r="L405" i="13"/>
  <c r="L406" i="13"/>
  <c r="L407" i="13"/>
  <c r="L408" i="13"/>
  <c r="L409" i="13"/>
  <c r="L410" i="13"/>
  <c r="L411" i="13"/>
  <c r="L412" i="13"/>
  <c r="L413" i="13"/>
  <c r="L414" i="13"/>
  <c r="L415" i="13"/>
  <c r="L416" i="13"/>
  <c r="L417" i="13"/>
  <c r="L418" i="13"/>
  <c r="L419" i="13"/>
  <c r="L420" i="13"/>
  <c r="L421" i="13"/>
  <c r="L422" i="13"/>
  <c r="L423" i="13"/>
  <c r="L424" i="13"/>
  <c r="L425" i="13"/>
  <c r="L426" i="13"/>
  <c r="L427" i="13"/>
  <c r="L428" i="13"/>
  <c r="L429" i="13"/>
  <c r="L430" i="13"/>
  <c r="L431" i="13"/>
  <c r="L432" i="13"/>
  <c r="L433" i="13"/>
  <c r="L434" i="13"/>
  <c r="L435" i="13"/>
  <c r="L436" i="13"/>
  <c r="L437" i="13"/>
  <c r="L438" i="13"/>
  <c r="L439" i="13"/>
  <c r="L440" i="13"/>
  <c r="L441" i="13"/>
  <c r="L442" i="13"/>
  <c r="L443" i="13"/>
  <c r="L444" i="13"/>
  <c r="L445" i="13"/>
  <c r="L446" i="13"/>
  <c r="L447" i="13"/>
  <c r="L448" i="13"/>
  <c r="L449" i="13"/>
  <c r="L450" i="13"/>
  <c r="L451" i="13"/>
  <c r="L452" i="13"/>
  <c r="L453" i="13"/>
  <c r="L454" i="13"/>
  <c r="L455" i="13"/>
  <c r="L456" i="13"/>
  <c r="L457" i="13"/>
  <c r="L458" i="13"/>
  <c r="L459" i="13"/>
  <c r="L460" i="13"/>
  <c r="L461" i="13"/>
  <c r="L462" i="13"/>
  <c r="L463" i="13"/>
  <c r="L464" i="13"/>
  <c r="L465" i="13"/>
  <c r="L466" i="13"/>
  <c r="L467" i="13"/>
  <c r="L468" i="13"/>
  <c r="L469" i="13"/>
  <c r="L470" i="13"/>
  <c r="L471" i="13"/>
  <c r="L472" i="13"/>
  <c r="L473" i="13"/>
  <c r="L474" i="13"/>
  <c r="L475" i="13"/>
  <c r="L476" i="13"/>
  <c r="L477" i="13"/>
  <c r="L478" i="13"/>
  <c r="L479" i="13"/>
  <c r="L480" i="13"/>
  <c r="L481" i="13"/>
  <c r="L482" i="13"/>
  <c r="L483" i="13"/>
  <c r="L484" i="13"/>
  <c r="L485" i="13"/>
  <c r="L486" i="13"/>
  <c r="L487" i="13"/>
  <c r="L488" i="13"/>
  <c r="L489" i="13"/>
  <c r="L490" i="13"/>
  <c r="L491" i="13"/>
  <c r="L492" i="13"/>
  <c r="L493" i="13"/>
  <c r="L494" i="13"/>
  <c r="L495" i="13"/>
  <c r="L496" i="13"/>
  <c r="L497" i="13"/>
  <c r="L498" i="13"/>
  <c r="L499" i="13"/>
  <c r="L500" i="13"/>
  <c r="L501" i="13"/>
  <c r="L502" i="13"/>
  <c r="L503" i="13"/>
  <c r="L504" i="13"/>
  <c r="L505" i="13"/>
  <c r="L506" i="13"/>
  <c r="L507" i="13"/>
  <c r="L508" i="13"/>
  <c r="L509" i="13"/>
  <c r="L510" i="13"/>
  <c r="L511" i="13"/>
  <c r="L512" i="13"/>
  <c r="L513" i="13"/>
  <c r="L514" i="13"/>
  <c r="L515" i="13"/>
  <c r="L516" i="13"/>
  <c r="L517" i="13"/>
  <c r="L518" i="13"/>
  <c r="L519" i="13"/>
  <c r="L520" i="13"/>
  <c r="L521" i="13"/>
  <c r="L522" i="13"/>
  <c r="L523" i="13"/>
  <c r="L524" i="13"/>
  <c r="L525" i="13"/>
  <c r="L526" i="13"/>
  <c r="L527" i="13"/>
  <c r="L528" i="13"/>
  <c r="L529" i="13"/>
  <c r="L530" i="13"/>
  <c r="L531" i="13"/>
  <c r="L532" i="13"/>
  <c r="L533" i="13"/>
  <c r="L534" i="13"/>
  <c r="L535" i="13"/>
  <c r="L536" i="13"/>
  <c r="L537" i="13"/>
  <c r="L538" i="13"/>
  <c r="L539" i="13"/>
  <c r="L540" i="13"/>
  <c r="L541" i="13"/>
  <c r="L542" i="13"/>
  <c r="L543" i="13"/>
  <c r="L544" i="13"/>
  <c r="L545" i="13"/>
  <c r="L546" i="13"/>
  <c r="L547" i="13"/>
  <c r="L548" i="13"/>
  <c r="L549" i="13"/>
  <c r="L550" i="13"/>
  <c r="L551" i="13"/>
  <c r="L552" i="13"/>
  <c r="L553" i="13"/>
  <c r="L554" i="13"/>
  <c r="L555" i="13"/>
  <c r="L556" i="13"/>
  <c r="L557" i="13"/>
  <c r="L558" i="13"/>
  <c r="L559" i="13"/>
  <c r="L560" i="13"/>
  <c r="L561" i="13"/>
  <c r="L562" i="13"/>
  <c r="L563" i="13"/>
  <c r="L564" i="13"/>
  <c r="L565" i="13"/>
  <c r="L566" i="13"/>
  <c r="L567" i="13"/>
  <c r="L568" i="13"/>
  <c r="L569" i="13"/>
  <c r="L570" i="13"/>
  <c r="L571" i="13"/>
  <c r="L572" i="13"/>
  <c r="L573" i="13"/>
  <c r="L574" i="13"/>
  <c r="L575" i="13"/>
  <c r="L576" i="13"/>
  <c r="L577" i="13"/>
  <c r="L578" i="13"/>
  <c r="L579" i="13"/>
  <c r="L580" i="13"/>
  <c r="L581" i="13"/>
  <c r="L582" i="13"/>
  <c r="L583" i="13"/>
  <c r="L584" i="13"/>
  <c r="L585" i="13"/>
  <c r="L586" i="13"/>
  <c r="L587" i="13"/>
  <c r="L588" i="13"/>
  <c r="L589" i="13"/>
  <c r="L590" i="13"/>
  <c r="L591" i="13"/>
  <c r="L592" i="13"/>
  <c r="L593" i="13"/>
  <c r="L594" i="13"/>
  <c r="L595" i="13"/>
  <c r="L596" i="13"/>
  <c r="L597" i="13"/>
  <c r="L598" i="13"/>
  <c r="L599" i="13"/>
  <c r="L600" i="13"/>
  <c r="L601" i="13"/>
  <c r="L602" i="13"/>
  <c r="L603" i="13"/>
  <c r="L604" i="13"/>
  <c r="L605" i="13"/>
  <c r="L606" i="13"/>
  <c r="L607" i="13"/>
  <c r="L608" i="13"/>
  <c r="L609" i="13"/>
  <c r="L610" i="13"/>
  <c r="L611" i="13"/>
  <c r="L612" i="13"/>
  <c r="L613" i="13"/>
  <c r="L614" i="13"/>
  <c r="L615" i="13"/>
  <c r="L616" i="13"/>
  <c r="L617" i="13"/>
  <c r="L618" i="13"/>
  <c r="L619" i="13"/>
  <c r="L620" i="13"/>
  <c r="L621" i="13"/>
  <c r="L622" i="13"/>
  <c r="L623" i="13"/>
  <c r="L624" i="13"/>
  <c r="L625" i="13"/>
  <c r="L626" i="13"/>
  <c r="L627" i="13"/>
  <c r="L628" i="13"/>
  <c r="L629" i="13"/>
  <c r="L630" i="13"/>
  <c r="L631" i="13"/>
  <c r="L632" i="13"/>
  <c r="L633" i="13"/>
  <c r="L634" i="13"/>
  <c r="L635" i="13"/>
  <c r="L636" i="13"/>
  <c r="L637" i="13"/>
  <c r="L638" i="13"/>
  <c r="L639" i="13"/>
  <c r="L640" i="13"/>
  <c r="L641" i="13"/>
  <c r="L642" i="13"/>
  <c r="L643" i="13"/>
  <c r="L644" i="13"/>
  <c r="L645" i="13"/>
  <c r="L646" i="13"/>
  <c r="L647" i="13"/>
  <c r="L648" i="13"/>
  <c r="L649" i="13"/>
  <c r="L650" i="13"/>
  <c r="L651" i="13"/>
  <c r="L652" i="13"/>
  <c r="L653" i="13"/>
  <c r="L654" i="13"/>
  <c r="L655" i="13"/>
  <c r="L656" i="13"/>
  <c r="L657" i="13"/>
  <c r="L658" i="13"/>
  <c r="L659" i="13"/>
  <c r="L660" i="13"/>
  <c r="L661" i="13"/>
  <c r="L662" i="13"/>
  <c r="L663" i="13"/>
  <c r="L664" i="13"/>
  <c r="L665" i="13"/>
  <c r="L666" i="13"/>
  <c r="L667" i="13"/>
  <c r="L668" i="13"/>
  <c r="L669" i="13"/>
  <c r="L670" i="13"/>
  <c r="L671" i="13"/>
  <c r="L672" i="13"/>
  <c r="L673" i="13"/>
  <c r="L674" i="13"/>
  <c r="L675" i="13"/>
  <c r="L676" i="13"/>
  <c r="L677" i="13"/>
  <c r="L678" i="13"/>
  <c r="L679" i="13"/>
  <c r="L680" i="13"/>
  <c r="L681" i="13"/>
  <c r="L682" i="13"/>
  <c r="L683" i="13"/>
  <c r="L684" i="13"/>
  <c r="L685" i="13"/>
  <c r="L686" i="13"/>
  <c r="L687" i="13"/>
  <c r="L688" i="13"/>
  <c r="L689" i="13"/>
  <c r="L690" i="13"/>
  <c r="L691" i="13"/>
  <c r="L692" i="13"/>
  <c r="L693" i="13"/>
  <c r="L694" i="13"/>
  <c r="L695" i="13"/>
  <c r="L696" i="13"/>
  <c r="L697" i="13"/>
  <c r="L698" i="13"/>
  <c r="L699" i="13"/>
  <c r="L700" i="13"/>
  <c r="L701" i="13"/>
  <c r="L702" i="13"/>
  <c r="L703" i="13"/>
  <c r="L704" i="13"/>
  <c r="L705" i="13"/>
  <c r="L706" i="13"/>
  <c r="L707" i="13"/>
  <c r="L708" i="13"/>
  <c r="L709" i="13"/>
  <c r="L710" i="13"/>
  <c r="L711" i="13"/>
  <c r="L712" i="13"/>
  <c r="L713" i="13"/>
  <c r="L714" i="13"/>
  <c r="L715" i="13"/>
  <c r="L716" i="13"/>
  <c r="L717" i="13"/>
  <c r="L718" i="13"/>
  <c r="L719" i="13"/>
  <c r="L720" i="13"/>
  <c r="L721" i="13"/>
  <c r="L722" i="13"/>
  <c r="L723" i="13"/>
  <c r="L724" i="13"/>
  <c r="L725" i="13"/>
  <c r="L726" i="13"/>
  <c r="L727" i="13"/>
  <c r="L728" i="13"/>
  <c r="L729" i="13"/>
  <c r="L730" i="13"/>
  <c r="L731" i="13"/>
  <c r="L732" i="13"/>
  <c r="L733" i="13"/>
  <c r="L734" i="13"/>
  <c r="L735" i="13"/>
  <c r="L736" i="13"/>
  <c r="L737" i="13"/>
  <c r="L738" i="13"/>
  <c r="L739" i="13"/>
  <c r="L740" i="13"/>
  <c r="L741" i="13"/>
  <c r="L742" i="13"/>
  <c r="L743" i="13"/>
  <c r="L744" i="13"/>
  <c r="L745" i="13"/>
  <c r="L746" i="13"/>
  <c r="L747" i="13"/>
  <c r="L748" i="13"/>
  <c r="L749" i="13"/>
  <c r="L750" i="13"/>
  <c r="L751" i="13"/>
  <c r="L752" i="13"/>
  <c r="L753" i="13"/>
  <c r="L754" i="13"/>
  <c r="L755" i="13"/>
  <c r="L756" i="13"/>
  <c r="L757" i="13"/>
  <c r="L758" i="13"/>
  <c r="L759" i="13"/>
  <c r="L760" i="13"/>
  <c r="L761" i="13"/>
  <c r="L762" i="13"/>
  <c r="L763" i="13"/>
  <c r="L764" i="13"/>
  <c r="L765" i="13"/>
  <c r="L766" i="13"/>
  <c r="L767" i="13"/>
  <c r="L768" i="13"/>
  <c r="L769" i="13"/>
  <c r="L770" i="13"/>
  <c r="L771" i="13"/>
  <c r="L772" i="13"/>
  <c r="L773" i="13"/>
  <c r="L774" i="13"/>
  <c r="L775" i="13"/>
  <c r="L776" i="13"/>
  <c r="L777" i="13"/>
  <c r="L778" i="13"/>
  <c r="L779" i="13"/>
  <c r="L780" i="13"/>
  <c r="L781" i="13"/>
  <c r="L782" i="13"/>
  <c r="L783" i="13"/>
  <c r="L784" i="13"/>
  <c r="L785" i="13"/>
  <c r="L786" i="13"/>
  <c r="L787" i="13"/>
  <c r="L788" i="13"/>
  <c r="L789" i="13"/>
  <c r="L790" i="13"/>
  <c r="L791" i="13"/>
  <c r="L792" i="13"/>
  <c r="L793" i="13"/>
  <c r="L794" i="13"/>
  <c r="L795" i="13"/>
  <c r="L796" i="13"/>
  <c r="L797" i="13"/>
  <c r="L798" i="13"/>
  <c r="L799" i="13"/>
  <c r="L800" i="13"/>
  <c r="L801" i="13"/>
  <c r="L802" i="13"/>
  <c r="L803" i="13"/>
  <c r="L804" i="13"/>
  <c r="L805" i="13"/>
  <c r="L806" i="13"/>
  <c r="L807" i="13"/>
  <c r="L808" i="13"/>
  <c r="L809" i="13"/>
  <c r="L810" i="13"/>
  <c r="L811" i="13"/>
  <c r="L812" i="13"/>
  <c r="L813" i="13"/>
  <c r="L814" i="13"/>
  <c r="L815" i="13"/>
  <c r="L816" i="13"/>
  <c r="L817" i="13"/>
  <c r="L818" i="13"/>
  <c r="L819" i="13"/>
  <c r="L820" i="13"/>
  <c r="L821" i="13"/>
  <c r="L822" i="13"/>
  <c r="L823" i="13"/>
  <c r="L824" i="13"/>
  <c r="L825" i="13"/>
  <c r="L826" i="13"/>
  <c r="L827" i="13"/>
  <c r="L828" i="13"/>
  <c r="L829" i="13"/>
  <c r="L830" i="13"/>
  <c r="L831" i="13"/>
  <c r="L832" i="13"/>
  <c r="L833" i="13"/>
  <c r="L834" i="13"/>
  <c r="L835" i="13"/>
  <c r="L836" i="13"/>
  <c r="L837" i="13"/>
  <c r="L838" i="13"/>
  <c r="L839" i="13"/>
  <c r="L840" i="13"/>
  <c r="L841" i="13"/>
  <c r="L842" i="13"/>
  <c r="L843" i="13"/>
  <c r="L844" i="13"/>
  <c r="L845" i="13"/>
  <c r="L846" i="13"/>
  <c r="L847" i="13"/>
  <c r="L848" i="13"/>
  <c r="L849" i="13"/>
  <c r="L850" i="13"/>
  <c r="L851" i="13"/>
  <c r="L852" i="13"/>
  <c r="L853" i="13"/>
  <c r="L854" i="13"/>
  <c r="L855" i="13"/>
  <c r="L856" i="13"/>
  <c r="L857" i="13"/>
  <c r="L858" i="13"/>
  <c r="L859" i="13"/>
  <c r="L860" i="13"/>
  <c r="L861" i="13"/>
  <c r="L862" i="13"/>
  <c r="L863" i="13"/>
  <c r="L864" i="13"/>
  <c r="L865" i="13"/>
  <c r="L866" i="13"/>
  <c r="L867" i="13"/>
  <c r="L868" i="13"/>
  <c r="L869" i="13"/>
  <c r="L870" i="13"/>
  <c r="L871" i="13"/>
  <c r="L872" i="13"/>
  <c r="L873" i="13"/>
  <c r="L874" i="13"/>
  <c r="L875" i="13"/>
  <c r="L876" i="13"/>
  <c r="L877" i="13"/>
  <c r="L878" i="13"/>
  <c r="L879" i="13"/>
  <c r="L880" i="13"/>
  <c r="L881" i="13"/>
  <c r="L882" i="13"/>
  <c r="L883" i="13"/>
  <c r="L884" i="13"/>
  <c r="L885" i="13"/>
  <c r="L886" i="13"/>
  <c r="L887" i="13"/>
  <c r="L888" i="13"/>
  <c r="L889" i="13"/>
  <c r="L890" i="13"/>
  <c r="L891" i="13"/>
  <c r="L892" i="13"/>
  <c r="L893" i="13"/>
  <c r="L894" i="13"/>
  <c r="L895" i="13"/>
  <c r="L896" i="13"/>
  <c r="L897" i="13"/>
  <c r="L898" i="13"/>
  <c r="L899" i="13"/>
  <c r="L900" i="13"/>
  <c r="L901" i="13"/>
  <c r="L902" i="13"/>
  <c r="L903" i="13"/>
  <c r="L904" i="13"/>
  <c r="L905" i="13"/>
  <c r="L906" i="13"/>
  <c r="L907" i="13"/>
  <c r="L908" i="13"/>
  <c r="L909" i="13"/>
  <c r="L910" i="13"/>
  <c r="L911" i="13"/>
  <c r="L912" i="13"/>
  <c r="L913" i="13"/>
  <c r="L914" i="13"/>
  <c r="L915" i="13"/>
  <c r="L916" i="13"/>
  <c r="L917" i="13"/>
  <c r="L918" i="13"/>
  <c r="L919" i="13"/>
  <c r="L920" i="13"/>
  <c r="L921" i="13"/>
  <c r="L922" i="13"/>
  <c r="L923" i="13"/>
  <c r="L924" i="13"/>
  <c r="L925" i="13"/>
  <c r="L926" i="13"/>
  <c r="L927" i="13"/>
  <c r="L928" i="13"/>
  <c r="L929" i="13"/>
  <c r="L930" i="13"/>
  <c r="L931" i="13"/>
  <c r="L932" i="13"/>
  <c r="L933" i="13"/>
  <c r="L934" i="13"/>
  <c r="L935" i="13"/>
  <c r="L936" i="13"/>
  <c r="L937" i="13"/>
  <c r="L938" i="13"/>
  <c r="L939" i="13"/>
  <c r="L940" i="13"/>
  <c r="L941" i="13"/>
  <c r="L942" i="13"/>
  <c r="L943" i="13"/>
  <c r="L944" i="13"/>
  <c r="L945" i="13"/>
  <c r="L946" i="13"/>
  <c r="L947" i="13"/>
  <c r="L948" i="13"/>
  <c r="L949" i="13"/>
  <c r="L950" i="13"/>
  <c r="L951" i="13"/>
  <c r="L952" i="13"/>
  <c r="L953" i="13"/>
  <c r="L954" i="13"/>
  <c r="L955" i="13"/>
  <c r="L956" i="13"/>
  <c r="L957" i="13"/>
  <c r="L958" i="13"/>
  <c r="L959" i="13"/>
  <c r="L960" i="13"/>
  <c r="L961" i="13"/>
  <c r="L962" i="13"/>
  <c r="L963" i="13"/>
  <c r="L964" i="13"/>
  <c r="L965" i="13"/>
  <c r="L966" i="13"/>
  <c r="L967" i="13"/>
  <c r="L968" i="13"/>
  <c r="L969" i="13"/>
  <c r="L970" i="13"/>
  <c r="L971" i="13"/>
  <c r="L972" i="13"/>
  <c r="L973" i="13"/>
  <c r="L974" i="13"/>
  <c r="L975" i="13"/>
  <c r="L976" i="13"/>
  <c r="L977" i="13"/>
  <c r="L978" i="13"/>
  <c r="L979" i="13"/>
  <c r="L980" i="13"/>
  <c r="L981" i="13"/>
  <c r="L982" i="13"/>
  <c r="L983" i="13"/>
  <c r="L984" i="13"/>
  <c r="L985" i="13"/>
  <c r="L986" i="13"/>
  <c r="L987" i="13"/>
  <c r="L988" i="13"/>
  <c r="L989" i="13"/>
  <c r="L990" i="13"/>
  <c r="L991" i="13"/>
  <c r="L992" i="13"/>
  <c r="L993" i="13"/>
  <c r="L994" i="13"/>
  <c r="L995" i="13"/>
  <c r="L996" i="13"/>
  <c r="L997" i="13"/>
  <c r="L998" i="13"/>
  <c r="L999" i="13"/>
  <c r="L1000" i="13"/>
  <c r="L1001" i="13"/>
  <c r="L1002" i="13"/>
  <c r="L1003" i="13"/>
  <c r="L1004" i="13"/>
  <c r="L1005" i="13"/>
  <c r="L1006" i="13"/>
  <c r="L9" i="13"/>
  <c r="L6" i="13"/>
  <c r="L7" i="13"/>
  <c r="L5" i="13"/>
  <c r="A29" i="13"/>
  <c r="A30" i="13"/>
  <c r="A31" i="13"/>
  <c r="A32" i="13"/>
  <c r="A33" i="13"/>
  <c r="A28" i="13"/>
  <c r="B29" i="13"/>
  <c r="B30" i="13"/>
  <c r="B31" i="13"/>
  <c r="B32" i="13"/>
  <c r="B33" i="13"/>
  <c r="B28" i="13"/>
  <c r="C12" i="13"/>
  <c r="C13" i="13"/>
  <c r="C14" i="13"/>
  <c r="C15" i="13"/>
  <c r="C16" i="13"/>
  <c r="C17" i="13"/>
  <c r="C18" i="13"/>
  <c r="C19" i="13"/>
  <c r="C20" i="13"/>
  <c r="C21" i="13"/>
  <c r="C22" i="13"/>
  <c r="C11" i="13"/>
  <c r="B12" i="13"/>
  <c r="B13" i="13"/>
  <c r="B14" i="13"/>
  <c r="B15" i="13"/>
  <c r="B16" i="13"/>
  <c r="B17" i="13"/>
  <c r="B18" i="13"/>
  <c r="B19" i="13"/>
  <c r="B20" i="13"/>
  <c r="B21" i="13"/>
  <c r="B22" i="13"/>
  <c r="B11" i="13"/>
  <c r="G3" i="13"/>
  <c r="D38" i="13" s="1"/>
  <c r="B8" i="13"/>
  <c r="P1006" i="13"/>
  <c r="P1000" i="13"/>
  <c r="P998" i="13"/>
  <c r="P997" i="13"/>
  <c r="P989" i="13"/>
  <c r="P988" i="13"/>
  <c r="P983" i="13"/>
  <c r="P977" i="13"/>
  <c r="P976" i="13"/>
  <c r="P972" i="13"/>
  <c r="P971" i="13"/>
  <c r="P970" i="13"/>
  <c r="P964" i="13"/>
  <c r="P961" i="13"/>
  <c r="P953" i="13"/>
  <c r="P952" i="13"/>
  <c r="P947" i="13"/>
  <c r="P941" i="13"/>
  <c r="P940" i="13"/>
  <c r="P936" i="13"/>
  <c r="P935" i="13"/>
  <c r="P934" i="13"/>
  <c r="P928" i="13"/>
  <c r="P927" i="13"/>
  <c r="P923" i="13"/>
  <c r="P917" i="13"/>
  <c r="P916" i="13"/>
  <c r="P914" i="13"/>
  <c r="P913" i="13"/>
  <c r="P912" i="13"/>
  <c r="P911" i="13"/>
  <c r="P910" i="13"/>
  <c r="P906" i="13"/>
  <c r="P904" i="13"/>
  <c r="P892" i="13"/>
  <c r="P889" i="13"/>
  <c r="P888" i="13"/>
  <c r="P887" i="13"/>
  <c r="P886" i="13"/>
  <c r="P880" i="13"/>
  <c r="P877" i="13"/>
  <c r="P876" i="13"/>
  <c r="P870" i="13"/>
  <c r="P869" i="13"/>
  <c r="P868" i="13"/>
  <c r="P863" i="13"/>
  <c r="P862" i="13"/>
  <c r="P858" i="13"/>
  <c r="P857" i="13"/>
  <c r="P856" i="13"/>
  <c r="P855" i="13"/>
  <c r="P844" i="13"/>
  <c r="P839" i="13"/>
  <c r="P838" i="13"/>
  <c r="P832" i="13"/>
  <c r="P831" i="13"/>
  <c r="P822" i="13"/>
  <c r="P821" i="13"/>
  <c r="P820" i="13"/>
  <c r="P815" i="13"/>
  <c r="P814" i="13"/>
  <c r="P809" i="13"/>
  <c r="P808" i="13"/>
  <c r="P806" i="13"/>
  <c r="P805" i="13"/>
  <c r="P804" i="13"/>
  <c r="P803" i="13"/>
  <c r="P796" i="13"/>
  <c r="P791" i="13"/>
  <c r="P784" i="13"/>
  <c r="P782" i="13"/>
  <c r="P781" i="13"/>
  <c r="P780" i="13"/>
  <c r="P779" i="13"/>
  <c r="P778" i="13"/>
  <c r="P774" i="13"/>
  <c r="P773" i="13"/>
  <c r="P772" i="13"/>
  <c r="P767" i="13"/>
  <c r="P766" i="13"/>
  <c r="P762" i="13"/>
  <c r="P761" i="13"/>
  <c r="P760" i="13"/>
  <c r="P759" i="13"/>
  <c r="P756" i="13"/>
  <c r="P755" i="13"/>
  <c r="P754" i="13"/>
  <c r="P748" i="13"/>
  <c r="P743" i="13"/>
  <c r="P742" i="13"/>
  <c r="P736" i="13"/>
  <c r="P734" i="13"/>
  <c r="P733" i="13"/>
  <c r="P732" i="13"/>
  <c r="P731" i="13"/>
  <c r="P726" i="13"/>
  <c r="P725" i="13"/>
  <c r="P724" i="13"/>
  <c r="P719" i="13"/>
  <c r="P718" i="13"/>
  <c r="P714" i="13"/>
  <c r="P713" i="13"/>
  <c r="P712" i="13"/>
  <c r="P711" i="13"/>
  <c r="P707" i="13"/>
  <c r="P700" i="13"/>
  <c r="P699" i="13"/>
  <c r="P695" i="13"/>
  <c r="P694" i="13"/>
  <c r="P688" i="13"/>
  <c r="P682" i="13"/>
  <c r="P678" i="13"/>
  <c r="P677" i="13"/>
  <c r="P676" i="13"/>
  <c r="P675" i="13"/>
  <c r="P674" i="13"/>
  <c r="P665" i="13"/>
  <c r="P664" i="13"/>
  <c r="P662" i="13"/>
  <c r="P661" i="13"/>
  <c r="P660" i="13"/>
  <c r="P659" i="13"/>
  <c r="P658" i="13"/>
  <c r="P652" i="13"/>
  <c r="P640" i="13"/>
  <c r="P637" i="13"/>
  <c r="P636" i="13"/>
  <c r="P635" i="13"/>
  <c r="P634" i="13"/>
  <c r="P630" i="13"/>
  <c r="P629" i="13"/>
  <c r="P628" i="13"/>
  <c r="P622" i="13"/>
  <c r="P618" i="13"/>
  <c r="P617" i="13"/>
  <c r="P616" i="13"/>
  <c r="P612" i="13"/>
  <c r="P611" i="13"/>
  <c r="P604" i="13"/>
  <c r="P602" i="13"/>
  <c r="P601" i="13"/>
  <c r="P598" i="13"/>
  <c r="P592" i="13"/>
  <c r="P589" i="13"/>
  <c r="P588" i="13"/>
  <c r="P582" i="13"/>
  <c r="P581" i="13"/>
  <c r="P580" i="13"/>
  <c r="P579" i="13"/>
  <c r="P578" i="13"/>
  <c r="P570" i="13"/>
  <c r="P569" i="13"/>
  <c r="P568" i="13"/>
  <c r="P564" i="13"/>
  <c r="P563" i="13"/>
  <c r="P556" i="13"/>
  <c r="P555" i="13"/>
  <c r="P554" i="13"/>
  <c r="P553" i="13"/>
  <c r="P552" i="13"/>
  <c r="P544" i="13"/>
  <c r="P538" i="13"/>
  <c r="P534" i="13"/>
  <c r="P533" i="13"/>
  <c r="P532" i="13"/>
  <c r="P531" i="13"/>
  <c r="P530" i="13"/>
  <c r="P529" i="13"/>
  <c r="P528" i="13"/>
  <c r="P521" i="13"/>
  <c r="P520" i="13"/>
  <c r="P516" i="13"/>
  <c r="P515" i="13"/>
  <c r="P514" i="13"/>
  <c r="P508" i="13"/>
  <c r="P507" i="13"/>
  <c r="P496" i="13"/>
  <c r="P495" i="13"/>
  <c r="P491" i="13"/>
  <c r="P490" i="13"/>
  <c r="P486" i="13"/>
  <c r="P485" i="13"/>
  <c r="P484" i="13"/>
  <c r="P481" i="13"/>
  <c r="P480" i="13"/>
  <c r="P479" i="13"/>
  <c r="P478" i="13"/>
  <c r="P474" i="13"/>
  <c r="P473" i="13"/>
  <c r="P472" i="13"/>
  <c r="P468" i="13"/>
  <c r="P460" i="13"/>
  <c r="P458" i="13"/>
  <c r="P457" i="13"/>
  <c r="P456" i="13"/>
  <c r="P455" i="13"/>
  <c r="P454" i="13"/>
  <c r="P448" i="13"/>
  <c r="P438" i="13"/>
  <c r="P437" i="13"/>
  <c r="P436" i="13"/>
  <c r="P434" i="13"/>
  <c r="P431" i="13"/>
  <c r="P430" i="13"/>
  <c r="P426" i="13"/>
  <c r="P425" i="13"/>
  <c r="P424" i="13"/>
  <c r="P419" i="13"/>
  <c r="P412" i="13"/>
  <c r="P410" i="13"/>
  <c r="P409" i="13"/>
  <c r="P408" i="13"/>
  <c r="P407" i="13"/>
  <c r="P400" i="13"/>
  <c r="P398" i="13"/>
  <c r="P390" i="13"/>
  <c r="P389" i="13"/>
  <c r="P388" i="13"/>
  <c r="P386" i="13"/>
  <c r="P385" i="13"/>
  <c r="P377" i="13"/>
  <c r="P376" i="13"/>
  <c r="P375" i="13"/>
  <c r="P374" i="13"/>
  <c r="P370" i="13"/>
  <c r="P364" i="13"/>
  <c r="P358" i="13"/>
  <c r="P352" i="13"/>
  <c r="P351" i="13"/>
  <c r="P350" i="13"/>
  <c r="P349" i="13"/>
  <c r="P348" i="13"/>
  <c r="P347" i="13"/>
  <c r="P342" i="13"/>
  <c r="P341" i="13"/>
  <c r="P340" i="13"/>
  <c r="P337" i="13"/>
  <c r="P336" i="13"/>
  <c r="P335" i="13"/>
  <c r="P334" i="13"/>
  <c r="P330" i="13"/>
  <c r="P329" i="13"/>
  <c r="P328" i="13"/>
  <c r="P316" i="13"/>
  <c r="P312" i="13"/>
  <c r="P311" i="13"/>
  <c r="P310" i="13"/>
  <c r="P304" i="13"/>
  <c r="P302" i="13"/>
  <c r="P298" i="13"/>
  <c r="P294" i="13"/>
  <c r="P293" i="13"/>
  <c r="P292" i="13"/>
  <c r="P287" i="13"/>
  <c r="P286" i="13"/>
  <c r="P282" i="13"/>
  <c r="P281" i="13"/>
  <c r="P280" i="13"/>
  <c r="P278" i="13"/>
  <c r="P277" i="13"/>
  <c r="P276" i="13"/>
  <c r="P268" i="13"/>
  <c r="P264" i="13"/>
  <c r="P258" i="13"/>
  <c r="P256" i="13"/>
  <c r="P255" i="13"/>
  <c r="P254" i="13"/>
  <c r="P251" i="13"/>
  <c r="P250" i="13"/>
  <c r="P246" i="13"/>
  <c r="P245" i="13"/>
  <c r="P244" i="13"/>
  <c r="P239" i="13"/>
  <c r="P233" i="13"/>
  <c r="P232" i="13"/>
  <c r="P231" i="13"/>
  <c r="P230" i="13"/>
  <c r="P229" i="13"/>
  <c r="P228" i="13"/>
  <c r="P227" i="13"/>
  <c r="P222" i="13"/>
  <c r="P220" i="13"/>
  <c r="P215" i="13"/>
  <c r="P214" i="13"/>
  <c r="P210" i="13"/>
  <c r="P208" i="13"/>
  <c r="P207" i="13"/>
  <c r="P206" i="13"/>
  <c r="P205" i="13"/>
  <c r="P204" i="13"/>
  <c r="P198" i="13"/>
  <c r="P197" i="13"/>
  <c r="P196" i="13"/>
  <c r="P193" i="13"/>
  <c r="P192" i="13"/>
  <c r="P191" i="13"/>
  <c r="P190" i="13"/>
  <c r="P186" i="13"/>
  <c r="P185" i="13"/>
  <c r="P184" i="13"/>
  <c r="P178" i="13"/>
  <c r="P174" i="13"/>
  <c r="P172" i="13"/>
  <c r="P170" i="13"/>
  <c r="P167" i="13"/>
  <c r="P166" i="13"/>
  <c r="P162" i="13"/>
  <c r="P160" i="13"/>
  <c r="P158" i="13"/>
  <c r="P154" i="13"/>
  <c r="P149" i="13"/>
  <c r="P148" i="13"/>
  <c r="P146" i="13"/>
  <c r="P142" i="13"/>
  <c r="P138" i="13"/>
  <c r="P137" i="13"/>
  <c r="P136" i="13"/>
  <c r="P130" i="13"/>
  <c r="P126" i="13"/>
  <c r="P124" i="13"/>
  <c r="P121" i="13"/>
  <c r="P120" i="13"/>
  <c r="P114" i="13"/>
  <c r="P112" i="13"/>
  <c r="P111" i="13"/>
  <c r="P110" i="13"/>
  <c r="P102" i="13"/>
  <c r="P101" i="13"/>
  <c r="P100" i="13"/>
  <c r="P98" i="13"/>
  <c r="P97" i="13"/>
  <c r="P96" i="13"/>
  <c r="P95" i="13"/>
  <c r="P94" i="13"/>
  <c r="P90" i="13"/>
  <c r="P89" i="13"/>
  <c r="P88" i="13"/>
  <c r="P82" i="13"/>
  <c r="P78" i="13"/>
  <c r="P73" i="13"/>
  <c r="P72" i="13"/>
  <c r="P71" i="13"/>
  <c r="P70" i="13"/>
  <c r="P66" i="13"/>
  <c r="P64" i="13"/>
  <c r="P58" i="13"/>
  <c r="P54" i="13"/>
  <c r="P53" i="13"/>
  <c r="P52" i="13"/>
  <c r="P50" i="13"/>
  <c r="P47" i="13"/>
  <c r="P42" i="13"/>
  <c r="D42" i="13"/>
  <c r="P40" i="13"/>
  <c r="P35" i="13"/>
  <c r="P28" i="13"/>
  <c r="D28" i="13"/>
  <c r="P27" i="13"/>
  <c r="B27" i="13"/>
  <c r="A27" i="13"/>
  <c r="P25" i="13"/>
  <c r="P24" i="13"/>
  <c r="P12" i="13"/>
  <c r="P11" i="13"/>
  <c r="C10" i="13"/>
  <c r="B10" i="13"/>
  <c r="P9" i="13"/>
  <c r="P7" i="13"/>
  <c r="M4" i="13"/>
  <c r="L4" i="13"/>
  <c r="G3" i="11"/>
  <c r="M10" i="11"/>
  <c r="M11" i="11"/>
  <c r="M12" i="11"/>
  <c r="M13" i="11"/>
  <c r="M14" i="11"/>
  <c r="M15" i="11"/>
  <c r="M16" i="11"/>
  <c r="P16" i="11" s="1"/>
  <c r="M17" i="11"/>
  <c r="P17" i="11" s="1"/>
  <c r="M18" i="11"/>
  <c r="P18" i="11" s="1"/>
  <c r="M19" i="11"/>
  <c r="P19" i="11" s="1"/>
  <c r="M20" i="11"/>
  <c r="P20" i="11" s="1"/>
  <c r="M21" i="11"/>
  <c r="P21" i="11" s="1"/>
  <c r="M22" i="11"/>
  <c r="M23" i="11"/>
  <c r="M24" i="11"/>
  <c r="M25" i="11"/>
  <c r="M26" i="11"/>
  <c r="M27" i="11"/>
  <c r="M28" i="11"/>
  <c r="P28" i="11" s="1"/>
  <c r="M29" i="11"/>
  <c r="M30" i="11"/>
  <c r="P30" i="11" s="1"/>
  <c r="M31" i="11"/>
  <c r="P31" i="11" s="1"/>
  <c r="M32" i="11"/>
  <c r="P32" i="11" s="1"/>
  <c r="M33" i="11"/>
  <c r="P33" i="11" s="1"/>
  <c r="M34" i="11"/>
  <c r="M35" i="11"/>
  <c r="M36" i="11"/>
  <c r="M37" i="11"/>
  <c r="M38" i="11"/>
  <c r="M39" i="11"/>
  <c r="M40" i="11"/>
  <c r="P40" i="11" s="1"/>
  <c r="M41" i="11"/>
  <c r="P41" i="11" s="1"/>
  <c r="M42" i="11"/>
  <c r="P42" i="11" s="1"/>
  <c r="M43" i="11"/>
  <c r="M44" i="11"/>
  <c r="P44" i="11" s="1"/>
  <c r="M45" i="11"/>
  <c r="P45" i="11" s="1"/>
  <c r="M46" i="11"/>
  <c r="M47" i="11"/>
  <c r="M48" i="11"/>
  <c r="M49" i="11"/>
  <c r="M50" i="11"/>
  <c r="M51" i="11"/>
  <c r="M52" i="11"/>
  <c r="P52" i="11" s="1"/>
  <c r="M53" i="11"/>
  <c r="P53" i="11" s="1"/>
  <c r="M54" i="11"/>
  <c r="P54" i="11" s="1"/>
  <c r="M55" i="11"/>
  <c r="M56" i="11"/>
  <c r="P56" i="11" s="1"/>
  <c r="M57" i="11"/>
  <c r="P57" i="11" s="1"/>
  <c r="M58" i="11"/>
  <c r="M59" i="11"/>
  <c r="M60" i="11"/>
  <c r="M61" i="11"/>
  <c r="M62" i="11"/>
  <c r="M63" i="11"/>
  <c r="M64" i="11"/>
  <c r="P64" i="11" s="1"/>
  <c r="M65" i="11"/>
  <c r="P65" i="11" s="1"/>
  <c r="M66" i="11"/>
  <c r="P66" i="11" s="1"/>
  <c r="M67" i="11"/>
  <c r="M68" i="11"/>
  <c r="P68" i="11" s="1"/>
  <c r="M69" i="11"/>
  <c r="P69" i="11" s="1"/>
  <c r="M70" i="11"/>
  <c r="M71" i="11"/>
  <c r="M72" i="11"/>
  <c r="M73" i="11"/>
  <c r="M74" i="11"/>
  <c r="M75" i="11"/>
  <c r="M76" i="11"/>
  <c r="P76" i="11" s="1"/>
  <c r="M77" i="11"/>
  <c r="P77" i="11" s="1"/>
  <c r="M78" i="11"/>
  <c r="P78" i="11" s="1"/>
  <c r="M79" i="11"/>
  <c r="M80" i="11"/>
  <c r="P80" i="11" s="1"/>
  <c r="M81" i="11"/>
  <c r="M82" i="11"/>
  <c r="M83" i="11"/>
  <c r="M84" i="11"/>
  <c r="M85" i="11"/>
  <c r="M86" i="11"/>
  <c r="M87" i="11"/>
  <c r="M88" i="11"/>
  <c r="P88" i="11" s="1"/>
  <c r="M89" i="11"/>
  <c r="P89" i="11" s="1"/>
  <c r="M90" i="11"/>
  <c r="P90" i="11" s="1"/>
  <c r="M91" i="11"/>
  <c r="M92" i="11"/>
  <c r="P92" i="11" s="1"/>
  <c r="M93" i="11"/>
  <c r="P93" i="11" s="1"/>
  <c r="M94" i="11"/>
  <c r="M95" i="11"/>
  <c r="M96" i="11"/>
  <c r="M97" i="11"/>
  <c r="M98" i="11"/>
  <c r="M99" i="11"/>
  <c r="M100" i="11"/>
  <c r="P100" i="11" s="1"/>
  <c r="M101" i="11"/>
  <c r="P101" i="11" s="1"/>
  <c r="M102" i="11"/>
  <c r="P102" i="11" s="1"/>
  <c r="M103" i="11"/>
  <c r="M104" i="11"/>
  <c r="P104" i="11" s="1"/>
  <c r="M105" i="11"/>
  <c r="P105" i="11" s="1"/>
  <c r="M106" i="11"/>
  <c r="M107" i="11"/>
  <c r="M108" i="11"/>
  <c r="M109" i="11"/>
  <c r="M110" i="11"/>
  <c r="M111" i="11"/>
  <c r="M112" i="11"/>
  <c r="P112" i="11" s="1"/>
  <c r="M113" i="11"/>
  <c r="P113" i="11" s="1"/>
  <c r="M114" i="11"/>
  <c r="P114" i="11" s="1"/>
  <c r="M115" i="11"/>
  <c r="M116" i="11"/>
  <c r="P116" i="11" s="1"/>
  <c r="M117" i="11"/>
  <c r="P117" i="11" s="1"/>
  <c r="M118" i="11"/>
  <c r="M119" i="11"/>
  <c r="M120" i="11"/>
  <c r="M121" i="11"/>
  <c r="M122" i="11"/>
  <c r="M123" i="11"/>
  <c r="M124" i="11"/>
  <c r="P124" i="11" s="1"/>
  <c r="M125" i="11"/>
  <c r="P125" i="11" s="1"/>
  <c r="M126" i="11"/>
  <c r="P126" i="11" s="1"/>
  <c r="M127" i="11"/>
  <c r="M128" i="11"/>
  <c r="P128" i="11" s="1"/>
  <c r="M129" i="11"/>
  <c r="M130" i="11"/>
  <c r="M131" i="11"/>
  <c r="M132" i="11"/>
  <c r="M133" i="11"/>
  <c r="M134" i="11"/>
  <c r="M135" i="11"/>
  <c r="M136" i="11"/>
  <c r="P136" i="11" s="1"/>
  <c r="M137" i="11"/>
  <c r="P137" i="11" s="1"/>
  <c r="M138" i="11"/>
  <c r="P138" i="11" s="1"/>
  <c r="M139" i="11"/>
  <c r="M140" i="11"/>
  <c r="P140" i="11" s="1"/>
  <c r="M141" i="11"/>
  <c r="P141" i="11" s="1"/>
  <c r="M142" i="11"/>
  <c r="M143" i="11"/>
  <c r="M144" i="11"/>
  <c r="M145" i="11"/>
  <c r="M146" i="11"/>
  <c r="M147" i="11"/>
  <c r="M148" i="11"/>
  <c r="P148" i="11" s="1"/>
  <c r="M149" i="11"/>
  <c r="P149" i="11" s="1"/>
  <c r="M150" i="11"/>
  <c r="P150" i="11" s="1"/>
  <c r="M151" i="11"/>
  <c r="M152" i="11"/>
  <c r="P152" i="11" s="1"/>
  <c r="M153" i="11"/>
  <c r="P153" i="11" s="1"/>
  <c r="M154" i="11"/>
  <c r="M155" i="11"/>
  <c r="M156" i="11"/>
  <c r="M157" i="11"/>
  <c r="M158" i="11"/>
  <c r="M159" i="11"/>
  <c r="M160" i="11"/>
  <c r="P160" i="11" s="1"/>
  <c r="M161" i="11"/>
  <c r="P161" i="11" s="1"/>
  <c r="M162" i="11"/>
  <c r="P162" i="11" s="1"/>
  <c r="M163" i="11"/>
  <c r="M164" i="11"/>
  <c r="P164" i="11" s="1"/>
  <c r="M165" i="11"/>
  <c r="P165" i="11" s="1"/>
  <c r="M166" i="11"/>
  <c r="M167" i="11"/>
  <c r="M168" i="11"/>
  <c r="M169" i="11"/>
  <c r="M170" i="11"/>
  <c r="M171" i="11"/>
  <c r="M172" i="11"/>
  <c r="P172" i="11" s="1"/>
  <c r="M173" i="11"/>
  <c r="P173" i="11" s="1"/>
  <c r="M174" i="11"/>
  <c r="P174" i="11" s="1"/>
  <c r="M175" i="11"/>
  <c r="M176" i="11"/>
  <c r="P176" i="11" s="1"/>
  <c r="M177" i="11"/>
  <c r="M178" i="11"/>
  <c r="M179" i="11"/>
  <c r="M180" i="11"/>
  <c r="M181" i="11"/>
  <c r="M182" i="11"/>
  <c r="M183" i="11"/>
  <c r="M184" i="11"/>
  <c r="P184" i="11" s="1"/>
  <c r="M185" i="11"/>
  <c r="P185" i="11" s="1"/>
  <c r="M186" i="11"/>
  <c r="P186" i="11" s="1"/>
  <c r="M187" i="11"/>
  <c r="M188" i="11"/>
  <c r="P188" i="11" s="1"/>
  <c r="M189" i="11"/>
  <c r="P189" i="11" s="1"/>
  <c r="M190" i="11"/>
  <c r="M191" i="11"/>
  <c r="M192" i="11"/>
  <c r="M193" i="11"/>
  <c r="M194" i="11"/>
  <c r="M195" i="11"/>
  <c r="M196" i="11"/>
  <c r="P196" i="11" s="1"/>
  <c r="M197" i="11"/>
  <c r="P197" i="11" s="1"/>
  <c r="M198" i="11"/>
  <c r="P198" i="11" s="1"/>
  <c r="M199" i="11"/>
  <c r="M200" i="11"/>
  <c r="P200" i="11" s="1"/>
  <c r="M201" i="11"/>
  <c r="P201" i="11" s="1"/>
  <c r="M202" i="11"/>
  <c r="M203" i="11"/>
  <c r="M204" i="11"/>
  <c r="M205" i="11"/>
  <c r="M206" i="11"/>
  <c r="M207" i="11"/>
  <c r="M208" i="11"/>
  <c r="P208" i="11" s="1"/>
  <c r="M209" i="11"/>
  <c r="P209" i="11" s="1"/>
  <c r="M210" i="11"/>
  <c r="P210" i="11" s="1"/>
  <c r="M211" i="11"/>
  <c r="M212" i="11"/>
  <c r="P212" i="11" s="1"/>
  <c r="M213" i="11"/>
  <c r="P213" i="11" s="1"/>
  <c r="M214" i="11"/>
  <c r="M215" i="11"/>
  <c r="M216" i="11"/>
  <c r="M217" i="11"/>
  <c r="M218" i="11"/>
  <c r="M219" i="11"/>
  <c r="M220" i="11"/>
  <c r="P220" i="11" s="1"/>
  <c r="M221" i="11"/>
  <c r="P221" i="11" s="1"/>
  <c r="M222" i="11"/>
  <c r="P222" i="11" s="1"/>
  <c r="M223" i="11"/>
  <c r="M224" i="11"/>
  <c r="P224" i="11" s="1"/>
  <c r="M225" i="11"/>
  <c r="M226" i="11"/>
  <c r="M227" i="11"/>
  <c r="M228" i="11"/>
  <c r="M229" i="11"/>
  <c r="M230" i="11"/>
  <c r="M231" i="11"/>
  <c r="M232" i="11"/>
  <c r="P232" i="11" s="1"/>
  <c r="M233" i="11"/>
  <c r="P233" i="11" s="1"/>
  <c r="M234" i="11"/>
  <c r="P234" i="11" s="1"/>
  <c r="M235" i="11"/>
  <c r="M236" i="11"/>
  <c r="P236" i="11" s="1"/>
  <c r="M237" i="11"/>
  <c r="P237" i="11" s="1"/>
  <c r="M238" i="11"/>
  <c r="M239" i="11"/>
  <c r="M240" i="11"/>
  <c r="M241" i="11"/>
  <c r="M242" i="11"/>
  <c r="M243" i="11"/>
  <c r="M244" i="11"/>
  <c r="P244" i="11" s="1"/>
  <c r="M245" i="11"/>
  <c r="P245" i="11" s="1"/>
  <c r="M246" i="11"/>
  <c r="P246" i="11" s="1"/>
  <c r="M247" i="11"/>
  <c r="M248" i="11"/>
  <c r="P248" i="11" s="1"/>
  <c r="M249" i="11"/>
  <c r="P249" i="11" s="1"/>
  <c r="M250" i="11"/>
  <c r="M251" i="11"/>
  <c r="M252" i="11"/>
  <c r="M253" i="11"/>
  <c r="M254" i="11"/>
  <c r="M255" i="11"/>
  <c r="M256" i="11"/>
  <c r="P256" i="11" s="1"/>
  <c r="M257" i="11"/>
  <c r="P257" i="11" s="1"/>
  <c r="M258" i="11"/>
  <c r="P258" i="11" s="1"/>
  <c r="M259" i="11"/>
  <c r="M260" i="11"/>
  <c r="P260" i="11" s="1"/>
  <c r="M261" i="11"/>
  <c r="P261" i="11" s="1"/>
  <c r="M262" i="11"/>
  <c r="M263" i="11"/>
  <c r="M264" i="11"/>
  <c r="M265" i="11"/>
  <c r="M266" i="11"/>
  <c r="M267" i="11"/>
  <c r="M268" i="11"/>
  <c r="P268" i="11" s="1"/>
  <c r="M269" i="11"/>
  <c r="P269" i="11" s="1"/>
  <c r="M270" i="11"/>
  <c r="P270" i="11" s="1"/>
  <c r="M271" i="11"/>
  <c r="P271" i="11" s="1"/>
  <c r="M272" i="11"/>
  <c r="P272" i="11" s="1"/>
  <c r="M273" i="11"/>
  <c r="M274" i="11"/>
  <c r="M275" i="11"/>
  <c r="M276" i="11"/>
  <c r="M277" i="11"/>
  <c r="M278" i="11"/>
  <c r="M279" i="11"/>
  <c r="M280" i="11"/>
  <c r="P280" i="11" s="1"/>
  <c r="M281" i="11"/>
  <c r="P281" i="11" s="1"/>
  <c r="M282" i="11"/>
  <c r="P282" i="11" s="1"/>
  <c r="M283" i="11"/>
  <c r="M284" i="11"/>
  <c r="P284" i="11" s="1"/>
  <c r="M285" i="11"/>
  <c r="P285" i="11" s="1"/>
  <c r="M286" i="11"/>
  <c r="M287" i="11"/>
  <c r="M288" i="11"/>
  <c r="M289" i="11"/>
  <c r="M290" i="11"/>
  <c r="M291" i="11"/>
  <c r="M292" i="11"/>
  <c r="P292" i="11" s="1"/>
  <c r="M293" i="11"/>
  <c r="P293" i="11" s="1"/>
  <c r="M294" i="11"/>
  <c r="P294" i="11" s="1"/>
  <c r="M295" i="11"/>
  <c r="M296" i="11"/>
  <c r="P296" i="11" s="1"/>
  <c r="M297" i="11"/>
  <c r="P297" i="11" s="1"/>
  <c r="M298" i="11"/>
  <c r="M299" i="11"/>
  <c r="M300" i="11"/>
  <c r="M301" i="11"/>
  <c r="M302" i="11"/>
  <c r="M303" i="11"/>
  <c r="M304" i="11"/>
  <c r="P304" i="11" s="1"/>
  <c r="M305" i="11"/>
  <c r="P305" i="11" s="1"/>
  <c r="M306" i="11"/>
  <c r="P306" i="11" s="1"/>
  <c r="M307" i="11"/>
  <c r="M308" i="11"/>
  <c r="P308" i="11" s="1"/>
  <c r="M309" i="11"/>
  <c r="P309" i="11" s="1"/>
  <c r="M310" i="11"/>
  <c r="M311" i="11"/>
  <c r="M312" i="11"/>
  <c r="M313" i="11"/>
  <c r="M314" i="11"/>
  <c r="M315" i="11"/>
  <c r="M316" i="11"/>
  <c r="P316" i="11" s="1"/>
  <c r="M317" i="11"/>
  <c r="P317" i="11" s="1"/>
  <c r="M318" i="11"/>
  <c r="P318" i="11" s="1"/>
  <c r="M319" i="11"/>
  <c r="M320" i="11"/>
  <c r="P320" i="11" s="1"/>
  <c r="M321" i="11"/>
  <c r="M322" i="11"/>
  <c r="M323" i="11"/>
  <c r="M324" i="11"/>
  <c r="M325" i="11"/>
  <c r="M326" i="11"/>
  <c r="M327" i="11"/>
  <c r="M328" i="11"/>
  <c r="P328" i="11" s="1"/>
  <c r="M329" i="11"/>
  <c r="P329" i="11" s="1"/>
  <c r="M330" i="11"/>
  <c r="P330" i="11" s="1"/>
  <c r="M331" i="11"/>
  <c r="M332" i="11"/>
  <c r="P332" i="11" s="1"/>
  <c r="M333" i="11"/>
  <c r="P333" i="11" s="1"/>
  <c r="M334" i="11"/>
  <c r="M335" i="11"/>
  <c r="M336" i="11"/>
  <c r="M337" i="11"/>
  <c r="M338" i="11"/>
  <c r="M339" i="11"/>
  <c r="M340" i="11"/>
  <c r="P340" i="11" s="1"/>
  <c r="M341" i="11"/>
  <c r="P341" i="11" s="1"/>
  <c r="M342" i="11"/>
  <c r="P342" i="11" s="1"/>
  <c r="M343" i="11"/>
  <c r="M344" i="11"/>
  <c r="P344" i="11" s="1"/>
  <c r="M345" i="11"/>
  <c r="P345" i="11" s="1"/>
  <c r="M346" i="11"/>
  <c r="M347" i="11"/>
  <c r="M348" i="11"/>
  <c r="M349" i="11"/>
  <c r="M350" i="11"/>
  <c r="M351" i="11"/>
  <c r="M352" i="11"/>
  <c r="P352" i="11" s="1"/>
  <c r="M353" i="11"/>
  <c r="P353" i="11" s="1"/>
  <c r="M354" i="11"/>
  <c r="P354" i="11" s="1"/>
  <c r="M355" i="11"/>
  <c r="M356" i="11"/>
  <c r="P356" i="11" s="1"/>
  <c r="M357" i="11"/>
  <c r="P357" i="11" s="1"/>
  <c r="M358" i="11"/>
  <c r="M359" i="11"/>
  <c r="M360" i="11"/>
  <c r="M361" i="11"/>
  <c r="M362" i="11"/>
  <c r="M363" i="11"/>
  <c r="M364" i="11"/>
  <c r="P364" i="11" s="1"/>
  <c r="M365" i="11"/>
  <c r="P365" i="11" s="1"/>
  <c r="M366" i="11"/>
  <c r="P366" i="11" s="1"/>
  <c r="M367" i="11"/>
  <c r="M368" i="11"/>
  <c r="P368" i="11" s="1"/>
  <c r="M369" i="11"/>
  <c r="M370" i="11"/>
  <c r="M371" i="11"/>
  <c r="M372" i="11"/>
  <c r="M373" i="11"/>
  <c r="M374" i="11"/>
  <c r="M375" i="11"/>
  <c r="M376" i="11"/>
  <c r="P376" i="11" s="1"/>
  <c r="M377" i="11"/>
  <c r="P377" i="11" s="1"/>
  <c r="M378" i="11"/>
  <c r="P378" i="11" s="1"/>
  <c r="M379" i="11"/>
  <c r="M380" i="11"/>
  <c r="P380" i="11" s="1"/>
  <c r="M381" i="11"/>
  <c r="P381" i="11" s="1"/>
  <c r="M382" i="11"/>
  <c r="M383" i="11"/>
  <c r="M384" i="11"/>
  <c r="M385" i="11"/>
  <c r="M386" i="11"/>
  <c r="M387" i="11"/>
  <c r="M388" i="11"/>
  <c r="P388" i="11" s="1"/>
  <c r="M389" i="11"/>
  <c r="P389" i="11" s="1"/>
  <c r="M390" i="11"/>
  <c r="P390" i="11" s="1"/>
  <c r="M391" i="11"/>
  <c r="M392" i="11"/>
  <c r="P392" i="11" s="1"/>
  <c r="M393" i="11"/>
  <c r="P393" i="11" s="1"/>
  <c r="M394" i="11"/>
  <c r="M395" i="11"/>
  <c r="M396" i="11"/>
  <c r="M397" i="11"/>
  <c r="M398" i="11"/>
  <c r="M399" i="11"/>
  <c r="M400" i="11"/>
  <c r="P400" i="11" s="1"/>
  <c r="M401" i="11"/>
  <c r="P401" i="11" s="1"/>
  <c r="M402" i="11"/>
  <c r="P402" i="11" s="1"/>
  <c r="M403" i="11"/>
  <c r="M404" i="11"/>
  <c r="P404" i="11" s="1"/>
  <c r="M405" i="11"/>
  <c r="P405" i="11" s="1"/>
  <c r="M406" i="11"/>
  <c r="M407" i="11"/>
  <c r="M408" i="11"/>
  <c r="M409" i="11"/>
  <c r="M410" i="11"/>
  <c r="M411" i="11"/>
  <c r="M412" i="11"/>
  <c r="P412" i="11" s="1"/>
  <c r="M413" i="11"/>
  <c r="P413" i="11" s="1"/>
  <c r="M414" i="11"/>
  <c r="P414" i="11" s="1"/>
  <c r="M415" i="11"/>
  <c r="M416" i="11"/>
  <c r="P416" i="11" s="1"/>
  <c r="M417" i="11"/>
  <c r="M418" i="11"/>
  <c r="M419" i="11"/>
  <c r="M420" i="11"/>
  <c r="M421" i="11"/>
  <c r="M422" i="11"/>
  <c r="M423" i="11"/>
  <c r="M424" i="11"/>
  <c r="P424" i="11" s="1"/>
  <c r="M425" i="11"/>
  <c r="P425" i="11" s="1"/>
  <c r="M426" i="11"/>
  <c r="P426" i="11" s="1"/>
  <c r="M427" i="11"/>
  <c r="M428" i="11"/>
  <c r="P428" i="11" s="1"/>
  <c r="M429" i="11"/>
  <c r="P429" i="11" s="1"/>
  <c r="M430" i="11"/>
  <c r="M431" i="11"/>
  <c r="M432" i="11"/>
  <c r="M433" i="11"/>
  <c r="M434" i="11"/>
  <c r="M435" i="11"/>
  <c r="M436" i="11"/>
  <c r="P436" i="11" s="1"/>
  <c r="M437" i="11"/>
  <c r="P437" i="11" s="1"/>
  <c r="M438" i="11"/>
  <c r="P438" i="11" s="1"/>
  <c r="M439" i="11"/>
  <c r="M440" i="11"/>
  <c r="P440" i="11" s="1"/>
  <c r="M441" i="11"/>
  <c r="P441" i="11" s="1"/>
  <c r="M442" i="11"/>
  <c r="M443" i="11"/>
  <c r="M444" i="11"/>
  <c r="M445" i="11"/>
  <c r="M446" i="11"/>
  <c r="M447" i="11"/>
  <c r="M448" i="11"/>
  <c r="P448" i="11" s="1"/>
  <c r="M449" i="11"/>
  <c r="P449" i="11" s="1"/>
  <c r="M450" i="11"/>
  <c r="P450" i="11" s="1"/>
  <c r="M451" i="11"/>
  <c r="M452" i="11"/>
  <c r="P452" i="11" s="1"/>
  <c r="M453" i="11"/>
  <c r="P453" i="11" s="1"/>
  <c r="M454" i="11"/>
  <c r="M455" i="11"/>
  <c r="M456" i="11"/>
  <c r="M457" i="11"/>
  <c r="M458" i="11"/>
  <c r="M459" i="11"/>
  <c r="M460" i="11"/>
  <c r="P460" i="11" s="1"/>
  <c r="M461" i="11"/>
  <c r="P461" i="11" s="1"/>
  <c r="M462" i="11"/>
  <c r="P462" i="11" s="1"/>
  <c r="M463" i="11"/>
  <c r="M464" i="11"/>
  <c r="P464" i="11" s="1"/>
  <c r="M465" i="11"/>
  <c r="M466" i="11"/>
  <c r="M467" i="11"/>
  <c r="M468" i="11"/>
  <c r="M469" i="11"/>
  <c r="M470" i="11"/>
  <c r="M471" i="11"/>
  <c r="M472" i="11"/>
  <c r="P472" i="11" s="1"/>
  <c r="M473" i="11"/>
  <c r="P473" i="11" s="1"/>
  <c r="M474" i="11"/>
  <c r="P474" i="11" s="1"/>
  <c r="M475" i="11"/>
  <c r="M476" i="11"/>
  <c r="P476" i="11" s="1"/>
  <c r="M477" i="11"/>
  <c r="P477" i="11" s="1"/>
  <c r="M478" i="11"/>
  <c r="M479" i="11"/>
  <c r="M480" i="11"/>
  <c r="M481" i="11"/>
  <c r="M482" i="11"/>
  <c r="M483" i="11"/>
  <c r="M484" i="11"/>
  <c r="P484" i="11" s="1"/>
  <c r="M485" i="11"/>
  <c r="P485" i="11" s="1"/>
  <c r="M486" i="11"/>
  <c r="P486" i="11" s="1"/>
  <c r="M487" i="11"/>
  <c r="M488" i="11"/>
  <c r="P488" i="11" s="1"/>
  <c r="M489" i="11"/>
  <c r="P489" i="11" s="1"/>
  <c r="M490" i="11"/>
  <c r="M491" i="11"/>
  <c r="M492" i="11"/>
  <c r="M493" i="11"/>
  <c r="M494" i="11"/>
  <c r="M495" i="11"/>
  <c r="M496" i="11"/>
  <c r="P496" i="11" s="1"/>
  <c r="M497" i="11"/>
  <c r="P497" i="11" s="1"/>
  <c r="M498" i="11"/>
  <c r="P498" i="11" s="1"/>
  <c r="M499" i="11"/>
  <c r="M500" i="11"/>
  <c r="P500" i="11" s="1"/>
  <c r="M501" i="11"/>
  <c r="P501" i="11" s="1"/>
  <c r="M502" i="11"/>
  <c r="M503" i="11"/>
  <c r="M504" i="11"/>
  <c r="M505" i="11"/>
  <c r="M506" i="11"/>
  <c r="M507" i="11"/>
  <c r="M508" i="11"/>
  <c r="P508" i="11" s="1"/>
  <c r="M509" i="11"/>
  <c r="P509" i="11" s="1"/>
  <c r="M510" i="11"/>
  <c r="P510" i="11" s="1"/>
  <c r="M511" i="11"/>
  <c r="M512" i="11"/>
  <c r="P512" i="11" s="1"/>
  <c r="M513" i="11"/>
  <c r="M514" i="11"/>
  <c r="M515" i="11"/>
  <c r="M516" i="11"/>
  <c r="M517" i="11"/>
  <c r="M518" i="11"/>
  <c r="M519" i="11"/>
  <c r="M520" i="11"/>
  <c r="P520" i="11" s="1"/>
  <c r="M521" i="11"/>
  <c r="P521" i="11" s="1"/>
  <c r="M522" i="11"/>
  <c r="P522" i="11" s="1"/>
  <c r="M523" i="11"/>
  <c r="M524" i="11"/>
  <c r="P524" i="11" s="1"/>
  <c r="M525" i="11"/>
  <c r="P525" i="11" s="1"/>
  <c r="M526" i="11"/>
  <c r="M527" i="11"/>
  <c r="M528" i="11"/>
  <c r="M529" i="11"/>
  <c r="M530" i="11"/>
  <c r="M531" i="11"/>
  <c r="M532" i="11"/>
  <c r="P532" i="11" s="1"/>
  <c r="M533" i="11"/>
  <c r="P533" i="11" s="1"/>
  <c r="M534" i="11"/>
  <c r="P534" i="11" s="1"/>
  <c r="M535" i="11"/>
  <c r="M536" i="11"/>
  <c r="P536" i="11" s="1"/>
  <c r="M537" i="11"/>
  <c r="P537" i="11" s="1"/>
  <c r="M538" i="11"/>
  <c r="M539" i="11"/>
  <c r="M540" i="11"/>
  <c r="M541" i="11"/>
  <c r="M542" i="11"/>
  <c r="M543" i="11"/>
  <c r="M544" i="11"/>
  <c r="P544" i="11" s="1"/>
  <c r="M545" i="11"/>
  <c r="P545" i="11" s="1"/>
  <c r="M546" i="11"/>
  <c r="P546" i="11" s="1"/>
  <c r="M547" i="11"/>
  <c r="M548" i="11"/>
  <c r="P548" i="11" s="1"/>
  <c r="M549" i="11"/>
  <c r="P549" i="11" s="1"/>
  <c r="M550" i="11"/>
  <c r="M551" i="11"/>
  <c r="M552" i="11"/>
  <c r="M553" i="11"/>
  <c r="M554" i="11"/>
  <c r="M555" i="11"/>
  <c r="M556" i="11"/>
  <c r="P556" i="11" s="1"/>
  <c r="M557" i="11"/>
  <c r="P557" i="11" s="1"/>
  <c r="M558" i="11"/>
  <c r="P558" i="11" s="1"/>
  <c r="M559" i="11"/>
  <c r="M560" i="11"/>
  <c r="P560" i="11" s="1"/>
  <c r="M561" i="11"/>
  <c r="M562" i="11"/>
  <c r="M563" i="11"/>
  <c r="M564" i="11"/>
  <c r="M565" i="11"/>
  <c r="M566" i="11"/>
  <c r="M567" i="11"/>
  <c r="M568" i="11"/>
  <c r="P568" i="11" s="1"/>
  <c r="M569" i="11"/>
  <c r="P569" i="11" s="1"/>
  <c r="M570" i="11"/>
  <c r="P570" i="11" s="1"/>
  <c r="M571" i="11"/>
  <c r="M572" i="11"/>
  <c r="P572" i="11" s="1"/>
  <c r="M573" i="11"/>
  <c r="P573" i="11" s="1"/>
  <c r="M574" i="11"/>
  <c r="M575" i="11"/>
  <c r="M576" i="11"/>
  <c r="M577" i="11"/>
  <c r="M578" i="11"/>
  <c r="M579" i="11"/>
  <c r="M580" i="11"/>
  <c r="P580" i="11" s="1"/>
  <c r="M581" i="11"/>
  <c r="P581" i="11" s="1"/>
  <c r="M582" i="11"/>
  <c r="P582" i="11" s="1"/>
  <c r="M583" i="11"/>
  <c r="M584" i="11"/>
  <c r="P584" i="11" s="1"/>
  <c r="M585" i="11"/>
  <c r="P585" i="11" s="1"/>
  <c r="M586" i="11"/>
  <c r="M587" i="11"/>
  <c r="M588" i="11"/>
  <c r="M589" i="11"/>
  <c r="M590" i="11"/>
  <c r="M591" i="11"/>
  <c r="M592" i="11"/>
  <c r="P592" i="11" s="1"/>
  <c r="M593" i="11"/>
  <c r="P593" i="11" s="1"/>
  <c r="M594" i="11"/>
  <c r="P594" i="11" s="1"/>
  <c r="M595" i="11"/>
  <c r="M596" i="11"/>
  <c r="P596" i="11" s="1"/>
  <c r="M597" i="11"/>
  <c r="P597" i="11" s="1"/>
  <c r="M598" i="11"/>
  <c r="M599" i="11"/>
  <c r="M600" i="11"/>
  <c r="M601" i="11"/>
  <c r="M602" i="11"/>
  <c r="M603" i="11"/>
  <c r="M604" i="11"/>
  <c r="P604" i="11" s="1"/>
  <c r="M605" i="11"/>
  <c r="P605" i="11" s="1"/>
  <c r="M606" i="11"/>
  <c r="P606" i="11" s="1"/>
  <c r="M607" i="11"/>
  <c r="M608" i="11"/>
  <c r="P608" i="11" s="1"/>
  <c r="M609" i="11"/>
  <c r="M610" i="11"/>
  <c r="M611" i="11"/>
  <c r="M612" i="11"/>
  <c r="M613" i="11"/>
  <c r="M614" i="11"/>
  <c r="M615" i="11"/>
  <c r="M616" i="11"/>
  <c r="P616" i="11" s="1"/>
  <c r="M617" i="11"/>
  <c r="P617" i="11" s="1"/>
  <c r="M618" i="11"/>
  <c r="P618" i="11" s="1"/>
  <c r="M619" i="11"/>
  <c r="M620" i="11"/>
  <c r="P620" i="11" s="1"/>
  <c r="M621" i="11"/>
  <c r="P621" i="11" s="1"/>
  <c r="M622" i="11"/>
  <c r="M623" i="11"/>
  <c r="M624" i="11"/>
  <c r="M625" i="11"/>
  <c r="M626" i="11"/>
  <c r="M627" i="11"/>
  <c r="M628" i="11"/>
  <c r="P628" i="11" s="1"/>
  <c r="M629" i="11"/>
  <c r="P629" i="11" s="1"/>
  <c r="M630" i="11"/>
  <c r="P630" i="11" s="1"/>
  <c r="M631" i="11"/>
  <c r="M632" i="11"/>
  <c r="P632" i="11" s="1"/>
  <c r="M633" i="11"/>
  <c r="P633" i="11" s="1"/>
  <c r="M634" i="11"/>
  <c r="M635" i="11"/>
  <c r="M636" i="11"/>
  <c r="M637" i="11"/>
  <c r="M638" i="11"/>
  <c r="M639" i="11"/>
  <c r="M640" i="11"/>
  <c r="P640" i="11" s="1"/>
  <c r="M641" i="11"/>
  <c r="P641" i="11" s="1"/>
  <c r="M642" i="11"/>
  <c r="P642" i="11" s="1"/>
  <c r="M643" i="11"/>
  <c r="M644" i="11"/>
  <c r="P644" i="11" s="1"/>
  <c r="M645" i="11"/>
  <c r="P645" i="11" s="1"/>
  <c r="M646" i="11"/>
  <c r="M647" i="11"/>
  <c r="M648" i="11"/>
  <c r="M649" i="11"/>
  <c r="M650" i="11"/>
  <c r="M651" i="11"/>
  <c r="M652" i="11"/>
  <c r="P652" i="11" s="1"/>
  <c r="M653" i="11"/>
  <c r="P653" i="11" s="1"/>
  <c r="M654" i="11"/>
  <c r="P654" i="11" s="1"/>
  <c r="M655" i="11"/>
  <c r="M656" i="11"/>
  <c r="P656" i="11" s="1"/>
  <c r="M657" i="11"/>
  <c r="M658" i="11"/>
  <c r="M659" i="11"/>
  <c r="M660" i="11"/>
  <c r="M661" i="11"/>
  <c r="M662" i="11"/>
  <c r="M663" i="11"/>
  <c r="M664" i="11"/>
  <c r="P664" i="11" s="1"/>
  <c r="M665" i="11"/>
  <c r="P665" i="11" s="1"/>
  <c r="M666" i="11"/>
  <c r="P666" i="11" s="1"/>
  <c r="M667" i="11"/>
  <c r="M668" i="11"/>
  <c r="P668" i="11" s="1"/>
  <c r="M669" i="11"/>
  <c r="P669" i="11" s="1"/>
  <c r="M670" i="11"/>
  <c r="M671" i="11"/>
  <c r="M672" i="11"/>
  <c r="M673" i="11"/>
  <c r="M674" i="11"/>
  <c r="M675" i="11"/>
  <c r="M676" i="11"/>
  <c r="P676" i="11" s="1"/>
  <c r="M677" i="11"/>
  <c r="P677" i="11" s="1"/>
  <c r="M678" i="11"/>
  <c r="P678" i="11" s="1"/>
  <c r="M679" i="11"/>
  <c r="M680" i="11"/>
  <c r="P680" i="11" s="1"/>
  <c r="M681" i="11"/>
  <c r="P681" i="11" s="1"/>
  <c r="M682" i="11"/>
  <c r="M683" i="11"/>
  <c r="M684" i="11"/>
  <c r="M685" i="11"/>
  <c r="M686" i="11"/>
  <c r="M687" i="11"/>
  <c r="M688" i="11"/>
  <c r="P688" i="11" s="1"/>
  <c r="M689" i="11"/>
  <c r="P689" i="11" s="1"/>
  <c r="M690" i="11"/>
  <c r="P690" i="11" s="1"/>
  <c r="M691" i="11"/>
  <c r="M692" i="11"/>
  <c r="P692" i="11" s="1"/>
  <c r="M693" i="11"/>
  <c r="P693" i="11" s="1"/>
  <c r="M694" i="11"/>
  <c r="M695" i="11"/>
  <c r="M696" i="11"/>
  <c r="M697" i="11"/>
  <c r="M698" i="11"/>
  <c r="M699" i="11"/>
  <c r="M700" i="11"/>
  <c r="P700" i="11" s="1"/>
  <c r="M701" i="11"/>
  <c r="P701" i="11" s="1"/>
  <c r="M702" i="11"/>
  <c r="P702" i="11" s="1"/>
  <c r="M703" i="11"/>
  <c r="M704" i="11"/>
  <c r="P704" i="11" s="1"/>
  <c r="M705" i="11"/>
  <c r="M706" i="11"/>
  <c r="M707" i="11"/>
  <c r="M708" i="11"/>
  <c r="M709" i="11"/>
  <c r="M710" i="11"/>
  <c r="M711" i="11"/>
  <c r="M712" i="11"/>
  <c r="P712" i="11" s="1"/>
  <c r="M713" i="11"/>
  <c r="P713" i="11" s="1"/>
  <c r="M714" i="11"/>
  <c r="P714" i="11" s="1"/>
  <c r="M715" i="11"/>
  <c r="M716" i="11"/>
  <c r="P716" i="11" s="1"/>
  <c r="M717" i="11"/>
  <c r="P717" i="11" s="1"/>
  <c r="M718" i="11"/>
  <c r="M719" i="11"/>
  <c r="M720" i="11"/>
  <c r="M721" i="11"/>
  <c r="M722" i="11"/>
  <c r="M723" i="11"/>
  <c r="M724" i="11"/>
  <c r="P724" i="11" s="1"/>
  <c r="M725" i="11"/>
  <c r="P725" i="11" s="1"/>
  <c r="M726" i="11"/>
  <c r="P726" i="11" s="1"/>
  <c r="M727" i="11"/>
  <c r="M728" i="11"/>
  <c r="P728" i="11" s="1"/>
  <c r="M729" i="11"/>
  <c r="P729" i="11" s="1"/>
  <c r="M730" i="11"/>
  <c r="M731" i="11"/>
  <c r="M732" i="11"/>
  <c r="M733" i="11"/>
  <c r="M734" i="11"/>
  <c r="M735" i="11"/>
  <c r="M736" i="11"/>
  <c r="P736" i="11" s="1"/>
  <c r="M737" i="11"/>
  <c r="P737" i="11" s="1"/>
  <c r="M738" i="11"/>
  <c r="P738" i="11" s="1"/>
  <c r="M739" i="11"/>
  <c r="M740" i="11"/>
  <c r="P740" i="11" s="1"/>
  <c r="M741" i="11"/>
  <c r="P741" i="11" s="1"/>
  <c r="M742" i="11"/>
  <c r="M743" i="11"/>
  <c r="M744" i="11"/>
  <c r="M745" i="11"/>
  <c r="M746" i="11"/>
  <c r="M747" i="11"/>
  <c r="M748" i="11"/>
  <c r="P748" i="11" s="1"/>
  <c r="M749" i="11"/>
  <c r="P749" i="11" s="1"/>
  <c r="M750" i="11"/>
  <c r="P750" i="11" s="1"/>
  <c r="M751" i="11"/>
  <c r="M752" i="11"/>
  <c r="P752" i="11" s="1"/>
  <c r="M753" i="11"/>
  <c r="M754" i="11"/>
  <c r="M755" i="11"/>
  <c r="M756" i="11"/>
  <c r="M757" i="11"/>
  <c r="M758" i="11"/>
  <c r="M759" i="11"/>
  <c r="M760" i="11"/>
  <c r="P760" i="11" s="1"/>
  <c r="M761" i="11"/>
  <c r="P761" i="11" s="1"/>
  <c r="M762" i="11"/>
  <c r="P762" i="11" s="1"/>
  <c r="M763" i="11"/>
  <c r="M764" i="11"/>
  <c r="P764" i="11" s="1"/>
  <c r="M765" i="11"/>
  <c r="P765" i="11" s="1"/>
  <c r="M766" i="11"/>
  <c r="M767" i="11"/>
  <c r="M768" i="11"/>
  <c r="M769" i="11"/>
  <c r="M770" i="11"/>
  <c r="M771" i="11"/>
  <c r="M772" i="11"/>
  <c r="P772" i="11" s="1"/>
  <c r="M773" i="11"/>
  <c r="P773" i="11" s="1"/>
  <c r="M774" i="11"/>
  <c r="P774" i="11" s="1"/>
  <c r="M775" i="11"/>
  <c r="M776" i="11"/>
  <c r="P776" i="11" s="1"/>
  <c r="M777" i="11"/>
  <c r="P777" i="11" s="1"/>
  <c r="M778" i="11"/>
  <c r="M779" i="11"/>
  <c r="M780" i="11"/>
  <c r="M781" i="11"/>
  <c r="M782" i="11"/>
  <c r="M783" i="11"/>
  <c r="M784" i="11"/>
  <c r="P784" i="11" s="1"/>
  <c r="M785" i="11"/>
  <c r="P785" i="11" s="1"/>
  <c r="M786" i="11"/>
  <c r="P786" i="11" s="1"/>
  <c r="M787" i="11"/>
  <c r="M788" i="11"/>
  <c r="M789" i="11"/>
  <c r="P789" i="11" s="1"/>
  <c r="M790" i="11"/>
  <c r="M791" i="11"/>
  <c r="M792" i="11"/>
  <c r="M793" i="11"/>
  <c r="M794" i="11"/>
  <c r="M795" i="11"/>
  <c r="M796" i="11"/>
  <c r="P796" i="11" s="1"/>
  <c r="M797" i="11"/>
  <c r="P797" i="11" s="1"/>
  <c r="M798" i="11"/>
  <c r="P798" i="11" s="1"/>
  <c r="M799" i="11"/>
  <c r="M800" i="11"/>
  <c r="P800" i="11" s="1"/>
  <c r="M801" i="11"/>
  <c r="P801" i="11" s="1"/>
  <c r="M802" i="11"/>
  <c r="M803" i="11"/>
  <c r="M804" i="11"/>
  <c r="M805" i="11"/>
  <c r="M806" i="11"/>
  <c r="M807" i="11"/>
  <c r="M808" i="11"/>
  <c r="P808" i="11" s="1"/>
  <c r="M809" i="11"/>
  <c r="P809" i="11" s="1"/>
  <c r="M810" i="11"/>
  <c r="P810" i="11" s="1"/>
  <c r="M811" i="11"/>
  <c r="M812" i="11"/>
  <c r="P812" i="11" s="1"/>
  <c r="M813" i="11"/>
  <c r="P813" i="11" s="1"/>
  <c r="M814" i="11"/>
  <c r="M815" i="11"/>
  <c r="M816" i="11"/>
  <c r="M817" i="11"/>
  <c r="M818" i="11"/>
  <c r="M819" i="11"/>
  <c r="M820" i="11"/>
  <c r="P820" i="11" s="1"/>
  <c r="M821" i="11"/>
  <c r="P821" i="11" s="1"/>
  <c r="M822" i="11"/>
  <c r="P822" i="11" s="1"/>
  <c r="M823" i="11"/>
  <c r="M824" i="11"/>
  <c r="P824" i="11" s="1"/>
  <c r="M825" i="11"/>
  <c r="P825" i="11" s="1"/>
  <c r="M826" i="11"/>
  <c r="M827" i="11"/>
  <c r="M828" i="11"/>
  <c r="M829" i="11"/>
  <c r="M830" i="11"/>
  <c r="M831" i="11"/>
  <c r="M832" i="11"/>
  <c r="P832" i="11" s="1"/>
  <c r="M833" i="11"/>
  <c r="P833" i="11" s="1"/>
  <c r="M834" i="11"/>
  <c r="P834" i="11" s="1"/>
  <c r="M835" i="11"/>
  <c r="M836" i="11"/>
  <c r="P836" i="11" s="1"/>
  <c r="M837" i="11"/>
  <c r="P837" i="11" s="1"/>
  <c r="M838" i="11"/>
  <c r="M839" i="11"/>
  <c r="M840" i="11"/>
  <c r="M841" i="11"/>
  <c r="M842" i="11"/>
  <c r="M843" i="11"/>
  <c r="M844" i="11"/>
  <c r="P844" i="11" s="1"/>
  <c r="M845" i="11"/>
  <c r="P845" i="11" s="1"/>
  <c r="M846" i="11"/>
  <c r="P846" i="11" s="1"/>
  <c r="M847" i="11"/>
  <c r="M848" i="11"/>
  <c r="P848" i="11" s="1"/>
  <c r="M849" i="11"/>
  <c r="P849" i="11" s="1"/>
  <c r="M850" i="11"/>
  <c r="M851" i="11"/>
  <c r="M852" i="11"/>
  <c r="M853" i="11"/>
  <c r="M854" i="11"/>
  <c r="M855" i="11"/>
  <c r="M856" i="11"/>
  <c r="P856" i="11" s="1"/>
  <c r="M857" i="11"/>
  <c r="P857" i="11" s="1"/>
  <c r="M858" i="11"/>
  <c r="P858" i="11" s="1"/>
  <c r="M859" i="11"/>
  <c r="M860" i="11"/>
  <c r="P860" i="11" s="1"/>
  <c r="M861" i="11"/>
  <c r="P861" i="11" s="1"/>
  <c r="M862" i="11"/>
  <c r="M863" i="11"/>
  <c r="M864" i="11"/>
  <c r="M865" i="11"/>
  <c r="M866" i="11"/>
  <c r="M867" i="11"/>
  <c r="M868" i="11"/>
  <c r="P868" i="11" s="1"/>
  <c r="M869" i="11"/>
  <c r="P869" i="11" s="1"/>
  <c r="M870" i="11"/>
  <c r="P870" i="11" s="1"/>
  <c r="M871" i="11"/>
  <c r="M872" i="11"/>
  <c r="P872" i="11" s="1"/>
  <c r="M873" i="11"/>
  <c r="P873" i="11" s="1"/>
  <c r="M874" i="11"/>
  <c r="M875" i="11"/>
  <c r="M876" i="11"/>
  <c r="M877" i="11"/>
  <c r="M878" i="11"/>
  <c r="M879" i="11"/>
  <c r="M880" i="11"/>
  <c r="P880" i="11" s="1"/>
  <c r="M881" i="11"/>
  <c r="P881" i="11" s="1"/>
  <c r="M882" i="11"/>
  <c r="P882" i="11" s="1"/>
  <c r="M883" i="11"/>
  <c r="M884" i="11"/>
  <c r="P884" i="11" s="1"/>
  <c r="M885" i="11"/>
  <c r="P885" i="11" s="1"/>
  <c r="M886" i="11"/>
  <c r="M887" i="11"/>
  <c r="M888" i="11"/>
  <c r="M889" i="11"/>
  <c r="M890" i="11"/>
  <c r="M891" i="11"/>
  <c r="M892" i="11"/>
  <c r="P892" i="11" s="1"/>
  <c r="M893" i="11"/>
  <c r="P893" i="11" s="1"/>
  <c r="M894" i="11"/>
  <c r="P894" i="11" s="1"/>
  <c r="M895" i="11"/>
  <c r="M896" i="11"/>
  <c r="P896" i="11" s="1"/>
  <c r="M897" i="11"/>
  <c r="P897" i="11" s="1"/>
  <c r="M898" i="11"/>
  <c r="M899" i="11"/>
  <c r="M900" i="11"/>
  <c r="M901" i="11"/>
  <c r="M902" i="11"/>
  <c r="M903" i="11"/>
  <c r="M904" i="11"/>
  <c r="P904" i="11" s="1"/>
  <c r="M905" i="11"/>
  <c r="P905" i="11" s="1"/>
  <c r="M906" i="11"/>
  <c r="P906" i="11" s="1"/>
  <c r="M907" i="11"/>
  <c r="M908" i="11"/>
  <c r="P908" i="11" s="1"/>
  <c r="M909" i="11"/>
  <c r="P909" i="11" s="1"/>
  <c r="M910" i="11"/>
  <c r="M911" i="11"/>
  <c r="M912" i="11"/>
  <c r="M913" i="11"/>
  <c r="M914" i="11"/>
  <c r="M915" i="11"/>
  <c r="M916" i="11"/>
  <c r="P916" i="11" s="1"/>
  <c r="M917" i="11"/>
  <c r="P917" i="11" s="1"/>
  <c r="M918" i="11"/>
  <c r="P918" i="11" s="1"/>
  <c r="M919" i="11"/>
  <c r="M920" i="11"/>
  <c r="P920" i="11" s="1"/>
  <c r="M921" i="11"/>
  <c r="P921" i="11" s="1"/>
  <c r="M922" i="11"/>
  <c r="M923" i="11"/>
  <c r="M924" i="11"/>
  <c r="M925" i="11"/>
  <c r="M926" i="11"/>
  <c r="M927" i="11"/>
  <c r="M928" i="11"/>
  <c r="P928" i="11" s="1"/>
  <c r="M929" i="11"/>
  <c r="P929" i="11" s="1"/>
  <c r="M930" i="11"/>
  <c r="P930" i="11" s="1"/>
  <c r="M931" i="11"/>
  <c r="M932" i="11"/>
  <c r="P932" i="11" s="1"/>
  <c r="M933" i="11"/>
  <c r="P933" i="11" s="1"/>
  <c r="M934" i="11"/>
  <c r="M935" i="11"/>
  <c r="M936" i="11"/>
  <c r="M937" i="11"/>
  <c r="M938" i="11"/>
  <c r="M939" i="11"/>
  <c r="M940" i="11"/>
  <c r="P940" i="11" s="1"/>
  <c r="M941" i="11"/>
  <c r="P941" i="11" s="1"/>
  <c r="M942" i="11"/>
  <c r="P942" i="11" s="1"/>
  <c r="M943" i="11"/>
  <c r="M944" i="11"/>
  <c r="P944" i="11" s="1"/>
  <c r="M945" i="11"/>
  <c r="P945" i="11" s="1"/>
  <c r="M946" i="11"/>
  <c r="M947" i="11"/>
  <c r="M948" i="11"/>
  <c r="M949" i="11"/>
  <c r="M950" i="11"/>
  <c r="M951" i="11"/>
  <c r="M952" i="11"/>
  <c r="P952" i="11" s="1"/>
  <c r="M953" i="11"/>
  <c r="P953" i="11" s="1"/>
  <c r="M954" i="11"/>
  <c r="P954" i="11" s="1"/>
  <c r="M955" i="11"/>
  <c r="M956" i="11"/>
  <c r="P956" i="11" s="1"/>
  <c r="M957" i="11"/>
  <c r="P957" i="11" s="1"/>
  <c r="M958" i="11"/>
  <c r="M959" i="11"/>
  <c r="M960" i="11"/>
  <c r="M961" i="11"/>
  <c r="M962" i="11"/>
  <c r="M963" i="11"/>
  <c r="M964" i="11"/>
  <c r="P964" i="11" s="1"/>
  <c r="M965" i="11"/>
  <c r="P965" i="11" s="1"/>
  <c r="M966" i="11"/>
  <c r="P966" i="11" s="1"/>
  <c r="M967" i="11"/>
  <c r="M968" i="11"/>
  <c r="P968" i="11" s="1"/>
  <c r="M969" i="11"/>
  <c r="P969" i="11" s="1"/>
  <c r="M970" i="11"/>
  <c r="M971" i="11"/>
  <c r="M972" i="11"/>
  <c r="M973" i="11"/>
  <c r="M974" i="11"/>
  <c r="M975" i="11"/>
  <c r="M976" i="11"/>
  <c r="P976" i="11" s="1"/>
  <c r="M977" i="11"/>
  <c r="P977" i="11" s="1"/>
  <c r="M978" i="11"/>
  <c r="P978" i="11" s="1"/>
  <c r="M979" i="11"/>
  <c r="M980" i="11"/>
  <c r="P980" i="11" s="1"/>
  <c r="M981" i="11"/>
  <c r="P981" i="11" s="1"/>
  <c r="M982" i="11"/>
  <c r="M983" i="11"/>
  <c r="M984" i="11"/>
  <c r="M985" i="11"/>
  <c r="M986" i="11"/>
  <c r="M987" i="11"/>
  <c r="M988" i="11"/>
  <c r="P988" i="11" s="1"/>
  <c r="M989" i="11"/>
  <c r="P989" i="11" s="1"/>
  <c r="M990" i="11"/>
  <c r="P990" i="11" s="1"/>
  <c r="M991" i="11"/>
  <c r="M992" i="11"/>
  <c r="P992" i="11" s="1"/>
  <c r="M993" i="11"/>
  <c r="P993" i="11" s="1"/>
  <c r="M994" i="11"/>
  <c r="M995" i="11"/>
  <c r="M996" i="11"/>
  <c r="M997" i="11"/>
  <c r="M998" i="11"/>
  <c r="M999" i="11"/>
  <c r="M1000" i="11"/>
  <c r="P1000" i="11" s="1"/>
  <c r="M1001" i="11"/>
  <c r="P1001" i="11" s="1"/>
  <c r="M1002" i="11"/>
  <c r="P1002" i="11" s="1"/>
  <c r="M1003" i="11"/>
  <c r="M1004" i="11"/>
  <c r="P1004" i="11" s="1"/>
  <c r="M1005" i="11"/>
  <c r="P1005" i="11" s="1"/>
  <c r="M1006" i="11"/>
  <c r="M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2" i="11"/>
  <c r="L23" i="11"/>
  <c r="L24" i="11"/>
  <c r="L25" i="11"/>
  <c r="L26" i="11"/>
  <c r="L27" i="11"/>
  <c r="L28" i="11"/>
  <c r="L29" i="11"/>
  <c r="L30" i="11"/>
  <c r="L31" i="11"/>
  <c r="L32" i="11"/>
  <c r="L33" i="11"/>
  <c r="L34" i="11"/>
  <c r="L35" i="11"/>
  <c r="L36" i="11"/>
  <c r="L37" i="11"/>
  <c r="L38" i="11"/>
  <c r="L39" i="11"/>
  <c r="L40" i="11"/>
  <c r="L41" i="11"/>
  <c r="L42" i="11"/>
  <c r="L43" i="11"/>
  <c r="L44" i="11"/>
  <c r="L45" i="11"/>
  <c r="L46" i="11"/>
  <c r="L47" i="11"/>
  <c r="L48" i="11"/>
  <c r="L49" i="11"/>
  <c r="L50" i="11"/>
  <c r="L51" i="11"/>
  <c r="L52" i="11"/>
  <c r="L53" i="11"/>
  <c r="L54" i="11"/>
  <c r="L55" i="11"/>
  <c r="L56" i="11"/>
  <c r="L57" i="11"/>
  <c r="L58" i="11"/>
  <c r="L59" i="11"/>
  <c r="L60" i="11"/>
  <c r="L61" i="11"/>
  <c r="L62" i="11"/>
  <c r="L63" i="11"/>
  <c r="L64" i="11"/>
  <c r="L65" i="11"/>
  <c r="L66" i="11"/>
  <c r="L67" i="11"/>
  <c r="L68" i="11"/>
  <c r="L69" i="11"/>
  <c r="L70" i="11"/>
  <c r="L71" i="11"/>
  <c r="L72" i="11"/>
  <c r="L73" i="11"/>
  <c r="L74" i="11"/>
  <c r="L75" i="11"/>
  <c r="L76" i="11"/>
  <c r="L77" i="11"/>
  <c r="L78" i="11"/>
  <c r="L79" i="11"/>
  <c r="L80" i="11"/>
  <c r="L81" i="11"/>
  <c r="L82" i="11"/>
  <c r="L83" i="11"/>
  <c r="L84" i="11"/>
  <c r="L85" i="11"/>
  <c r="L86" i="11"/>
  <c r="L87" i="11"/>
  <c r="L88" i="11"/>
  <c r="L89" i="11"/>
  <c r="L90" i="11"/>
  <c r="L91" i="11"/>
  <c r="L92" i="11"/>
  <c r="L93" i="11"/>
  <c r="L94" i="11"/>
  <c r="L95" i="11"/>
  <c r="L96" i="11"/>
  <c r="L97" i="11"/>
  <c r="L98" i="11"/>
  <c r="L99" i="11"/>
  <c r="L100" i="11"/>
  <c r="L101" i="11"/>
  <c r="L102" i="11"/>
  <c r="L103" i="11"/>
  <c r="L104" i="11"/>
  <c r="L105" i="11"/>
  <c r="L106" i="11"/>
  <c r="L107" i="11"/>
  <c r="L108" i="11"/>
  <c r="L109" i="11"/>
  <c r="L110" i="11"/>
  <c r="L111" i="11"/>
  <c r="L112" i="11"/>
  <c r="L113" i="11"/>
  <c r="L114" i="11"/>
  <c r="L115" i="11"/>
  <c r="L116" i="11"/>
  <c r="L117" i="11"/>
  <c r="L118" i="11"/>
  <c r="L119" i="11"/>
  <c r="L120" i="11"/>
  <c r="L121" i="11"/>
  <c r="L122" i="11"/>
  <c r="L123" i="11"/>
  <c r="L124" i="11"/>
  <c r="L125" i="11"/>
  <c r="L126" i="11"/>
  <c r="L127" i="11"/>
  <c r="L128" i="11"/>
  <c r="L129" i="11"/>
  <c r="L130" i="11"/>
  <c r="L131" i="11"/>
  <c r="L132" i="11"/>
  <c r="L133" i="11"/>
  <c r="L134" i="11"/>
  <c r="L135" i="11"/>
  <c r="L136" i="11"/>
  <c r="L137" i="11"/>
  <c r="L138" i="11"/>
  <c r="L139" i="11"/>
  <c r="L140" i="11"/>
  <c r="L141" i="11"/>
  <c r="L142" i="11"/>
  <c r="L143" i="11"/>
  <c r="L144" i="11"/>
  <c r="L145" i="11"/>
  <c r="L146" i="11"/>
  <c r="L147" i="11"/>
  <c r="L148" i="11"/>
  <c r="L149" i="11"/>
  <c r="L150" i="11"/>
  <c r="L151" i="11"/>
  <c r="L152" i="11"/>
  <c r="L153" i="11"/>
  <c r="L154" i="11"/>
  <c r="L155" i="11"/>
  <c r="L156" i="11"/>
  <c r="L157" i="11"/>
  <c r="L158" i="11"/>
  <c r="L159" i="11"/>
  <c r="L160" i="11"/>
  <c r="L161" i="11"/>
  <c r="L162" i="11"/>
  <c r="L163" i="11"/>
  <c r="L164" i="11"/>
  <c r="L165" i="11"/>
  <c r="L166" i="11"/>
  <c r="L167" i="11"/>
  <c r="L168" i="11"/>
  <c r="L169" i="11"/>
  <c r="L170" i="11"/>
  <c r="L171" i="11"/>
  <c r="L172" i="11"/>
  <c r="L173" i="11"/>
  <c r="L174" i="11"/>
  <c r="L175" i="11"/>
  <c r="L176" i="11"/>
  <c r="L177" i="11"/>
  <c r="L178" i="11"/>
  <c r="L179" i="11"/>
  <c r="L180" i="11"/>
  <c r="L181" i="11"/>
  <c r="L182" i="11"/>
  <c r="L183" i="11"/>
  <c r="L184" i="11"/>
  <c r="L185" i="11"/>
  <c r="L186" i="11"/>
  <c r="L187" i="11"/>
  <c r="L188" i="11"/>
  <c r="L189" i="11"/>
  <c r="L190" i="11"/>
  <c r="L191" i="11"/>
  <c r="L192" i="11"/>
  <c r="L193" i="11"/>
  <c r="L194" i="11"/>
  <c r="L195" i="11"/>
  <c r="L196" i="11"/>
  <c r="L197" i="11"/>
  <c r="L198" i="11"/>
  <c r="L199" i="11"/>
  <c r="L200" i="11"/>
  <c r="L201" i="11"/>
  <c r="L202" i="11"/>
  <c r="L203" i="11"/>
  <c r="L204" i="11"/>
  <c r="L205" i="11"/>
  <c r="L206" i="11"/>
  <c r="L207" i="11"/>
  <c r="L208" i="11"/>
  <c r="L209" i="11"/>
  <c r="L210" i="11"/>
  <c r="L211" i="11"/>
  <c r="L212" i="11"/>
  <c r="L213" i="11"/>
  <c r="L214" i="11"/>
  <c r="L215" i="11"/>
  <c r="L216" i="11"/>
  <c r="L217" i="11"/>
  <c r="L218" i="11"/>
  <c r="L219" i="11"/>
  <c r="L220" i="11"/>
  <c r="L221" i="11"/>
  <c r="L222" i="11"/>
  <c r="L223" i="11"/>
  <c r="L224" i="11"/>
  <c r="L225" i="11"/>
  <c r="L226" i="11"/>
  <c r="L227" i="11"/>
  <c r="L228" i="11"/>
  <c r="L229" i="11"/>
  <c r="L230" i="11"/>
  <c r="L231" i="11"/>
  <c r="L232" i="11"/>
  <c r="L233" i="11"/>
  <c r="L234" i="11"/>
  <c r="L235" i="11"/>
  <c r="L236" i="11"/>
  <c r="L237" i="11"/>
  <c r="L238" i="11"/>
  <c r="L239" i="11"/>
  <c r="L240" i="11"/>
  <c r="L241" i="11"/>
  <c r="L242" i="11"/>
  <c r="L243" i="11"/>
  <c r="L244" i="11"/>
  <c r="L245" i="11"/>
  <c r="L246" i="11"/>
  <c r="L247" i="11"/>
  <c r="L248" i="11"/>
  <c r="L249" i="11"/>
  <c r="L250" i="11"/>
  <c r="L251" i="11"/>
  <c r="L252" i="11"/>
  <c r="L253" i="11"/>
  <c r="L254" i="11"/>
  <c r="L255" i="11"/>
  <c r="L256" i="11"/>
  <c r="L257" i="11"/>
  <c r="L258" i="11"/>
  <c r="L259" i="11"/>
  <c r="L260" i="11"/>
  <c r="L261" i="11"/>
  <c r="L262" i="11"/>
  <c r="L263" i="11"/>
  <c r="L264" i="11"/>
  <c r="L265" i="11"/>
  <c r="L266" i="11"/>
  <c r="L267" i="11"/>
  <c r="L268" i="11"/>
  <c r="L269" i="11"/>
  <c r="L270" i="11"/>
  <c r="L271" i="11"/>
  <c r="L272" i="11"/>
  <c r="L273" i="11"/>
  <c r="L274" i="11"/>
  <c r="L275" i="11"/>
  <c r="L276" i="11"/>
  <c r="L277" i="11"/>
  <c r="L278" i="11"/>
  <c r="L279" i="11"/>
  <c r="L280" i="11"/>
  <c r="L281" i="11"/>
  <c r="L282" i="11"/>
  <c r="L283" i="11"/>
  <c r="L284" i="11"/>
  <c r="L285" i="11"/>
  <c r="L286" i="11"/>
  <c r="L287" i="11"/>
  <c r="L288" i="11"/>
  <c r="L289" i="11"/>
  <c r="L290" i="11"/>
  <c r="L291" i="11"/>
  <c r="L292" i="11"/>
  <c r="L293" i="11"/>
  <c r="L294" i="11"/>
  <c r="L295" i="11"/>
  <c r="L296" i="11"/>
  <c r="L297" i="11"/>
  <c r="L298" i="11"/>
  <c r="L299" i="11"/>
  <c r="L300" i="11"/>
  <c r="L301" i="11"/>
  <c r="L302" i="11"/>
  <c r="L303" i="11"/>
  <c r="L304" i="11"/>
  <c r="L305" i="11"/>
  <c r="L306" i="11"/>
  <c r="L307" i="11"/>
  <c r="L308" i="11"/>
  <c r="L309" i="11"/>
  <c r="L310" i="11"/>
  <c r="L311" i="11"/>
  <c r="L312" i="11"/>
  <c r="L313" i="11"/>
  <c r="L314" i="11"/>
  <c r="L315" i="11"/>
  <c r="L316" i="11"/>
  <c r="L317" i="11"/>
  <c r="L318" i="11"/>
  <c r="L319" i="11"/>
  <c r="L320" i="11"/>
  <c r="L321" i="11"/>
  <c r="L322" i="11"/>
  <c r="L323" i="11"/>
  <c r="L324" i="11"/>
  <c r="L325" i="11"/>
  <c r="L326" i="11"/>
  <c r="L327" i="11"/>
  <c r="L328" i="11"/>
  <c r="L329" i="11"/>
  <c r="L330" i="11"/>
  <c r="L331" i="11"/>
  <c r="L332" i="11"/>
  <c r="L333" i="11"/>
  <c r="L334" i="11"/>
  <c r="L335" i="11"/>
  <c r="L336" i="11"/>
  <c r="L337" i="11"/>
  <c r="L338" i="11"/>
  <c r="L339" i="11"/>
  <c r="L340" i="11"/>
  <c r="L341" i="11"/>
  <c r="L342" i="11"/>
  <c r="L343" i="11"/>
  <c r="L344" i="11"/>
  <c r="L345" i="11"/>
  <c r="L346" i="11"/>
  <c r="L347" i="11"/>
  <c r="L348" i="11"/>
  <c r="L349" i="11"/>
  <c r="L350" i="11"/>
  <c r="L351" i="11"/>
  <c r="L352" i="11"/>
  <c r="L353" i="11"/>
  <c r="L354" i="11"/>
  <c r="L355" i="11"/>
  <c r="L356" i="11"/>
  <c r="L357" i="11"/>
  <c r="L358" i="11"/>
  <c r="L359" i="11"/>
  <c r="L360" i="11"/>
  <c r="L361" i="11"/>
  <c r="L362" i="11"/>
  <c r="L363" i="11"/>
  <c r="L364" i="11"/>
  <c r="L365" i="11"/>
  <c r="L366" i="11"/>
  <c r="L367" i="11"/>
  <c r="L368" i="11"/>
  <c r="L369" i="11"/>
  <c r="L370" i="11"/>
  <c r="L371" i="11"/>
  <c r="L372" i="11"/>
  <c r="L373" i="11"/>
  <c r="L374" i="11"/>
  <c r="L375" i="11"/>
  <c r="L376" i="11"/>
  <c r="L377" i="11"/>
  <c r="L378" i="11"/>
  <c r="L379" i="11"/>
  <c r="L380" i="11"/>
  <c r="L381" i="11"/>
  <c r="L382" i="11"/>
  <c r="L383" i="11"/>
  <c r="L384" i="11"/>
  <c r="L385" i="11"/>
  <c r="L386" i="11"/>
  <c r="L387" i="11"/>
  <c r="L388" i="11"/>
  <c r="L389" i="11"/>
  <c r="L390" i="11"/>
  <c r="L391" i="11"/>
  <c r="L392" i="11"/>
  <c r="L393" i="11"/>
  <c r="L394" i="11"/>
  <c r="L395" i="11"/>
  <c r="L396" i="11"/>
  <c r="L397" i="11"/>
  <c r="L398" i="11"/>
  <c r="L399" i="11"/>
  <c r="L400" i="11"/>
  <c r="L401" i="11"/>
  <c r="L402" i="11"/>
  <c r="L403" i="11"/>
  <c r="L404" i="11"/>
  <c r="L405" i="11"/>
  <c r="L406" i="11"/>
  <c r="L407" i="11"/>
  <c r="L408" i="11"/>
  <c r="L409" i="11"/>
  <c r="L410" i="11"/>
  <c r="L411" i="11"/>
  <c r="L412" i="11"/>
  <c r="L413" i="11"/>
  <c r="L414" i="11"/>
  <c r="L415" i="11"/>
  <c r="L416" i="11"/>
  <c r="L417" i="11"/>
  <c r="L418" i="11"/>
  <c r="L419" i="11"/>
  <c r="L420" i="11"/>
  <c r="L421" i="11"/>
  <c r="L422" i="11"/>
  <c r="L423" i="11"/>
  <c r="L424" i="11"/>
  <c r="L425" i="11"/>
  <c r="L426" i="11"/>
  <c r="L427" i="11"/>
  <c r="L428" i="11"/>
  <c r="L429" i="11"/>
  <c r="L430" i="11"/>
  <c r="L431" i="11"/>
  <c r="L432" i="11"/>
  <c r="L433" i="11"/>
  <c r="L434" i="11"/>
  <c r="L435" i="11"/>
  <c r="L436" i="11"/>
  <c r="L437" i="11"/>
  <c r="L438" i="11"/>
  <c r="L439" i="11"/>
  <c r="L440" i="11"/>
  <c r="L441" i="11"/>
  <c r="L442" i="11"/>
  <c r="L443" i="11"/>
  <c r="L444" i="11"/>
  <c r="L445" i="11"/>
  <c r="L446" i="11"/>
  <c r="L447" i="11"/>
  <c r="L448" i="11"/>
  <c r="L449" i="11"/>
  <c r="L450" i="11"/>
  <c r="L451" i="11"/>
  <c r="L452" i="11"/>
  <c r="L453" i="11"/>
  <c r="L454" i="11"/>
  <c r="L455" i="11"/>
  <c r="L456" i="11"/>
  <c r="L457" i="11"/>
  <c r="L458" i="11"/>
  <c r="L459" i="11"/>
  <c r="L460" i="11"/>
  <c r="L461" i="11"/>
  <c r="L462" i="11"/>
  <c r="L463" i="11"/>
  <c r="L464" i="11"/>
  <c r="L465" i="11"/>
  <c r="L466" i="11"/>
  <c r="L467" i="11"/>
  <c r="L468" i="11"/>
  <c r="L469" i="11"/>
  <c r="L470" i="11"/>
  <c r="L471" i="11"/>
  <c r="L472" i="11"/>
  <c r="L473" i="11"/>
  <c r="L474" i="11"/>
  <c r="L475" i="11"/>
  <c r="L476" i="11"/>
  <c r="L477" i="11"/>
  <c r="L478" i="11"/>
  <c r="L479" i="11"/>
  <c r="L480" i="11"/>
  <c r="L481" i="11"/>
  <c r="L482" i="11"/>
  <c r="L483" i="11"/>
  <c r="L484" i="11"/>
  <c r="L485" i="11"/>
  <c r="L486" i="11"/>
  <c r="L487" i="11"/>
  <c r="L488" i="11"/>
  <c r="L489" i="11"/>
  <c r="L490" i="11"/>
  <c r="L491" i="11"/>
  <c r="L492" i="11"/>
  <c r="L493" i="11"/>
  <c r="L494" i="11"/>
  <c r="L495" i="11"/>
  <c r="L496" i="11"/>
  <c r="L497" i="11"/>
  <c r="L498" i="11"/>
  <c r="L499" i="11"/>
  <c r="L500" i="11"/>
  <c r="L501" i="11"/>
  <c r="L502" i="11"/>
  <c r="L503" i="11"/>
  <c r="L504" i="11"/>
  <c r="L505" i="11"/>
  <c r="L506" i="11"/>
  <c r="L507" i="11"/>
  <c r="L508" i="11"/>
  <c r="L509" i="11"/>
  <c r="L510" i="11"/>
  <c r="L511" i="11"/>
  <c r="L512" i="11"/>
  <c r="L513" i="11"/>
  <c r="L514" i="11"/>
  <c r="L515" i="11"/>
  <c r="L516" i="11"/>
  <c r="L517" i="11"/>
  <c r="L518" i="11"/>
  <c r="L519" i="11"/>
  <c r="L520" i="11"/>
  <c r="L521" i="11"/>
  <c r="L522" i="11"/>
  <c r="L523" i="11"/>
  <c r="L524" i="11"/>
  <c r="L525" i="11"/>
  <c r="L526" i="11"/>
  <c r="L527" i="11"/>
  <c r="L528" i="11"/>
  <c r="L529" i="11"/>
  <c r="L530" i="11"/>
  <c r="L531" i="11"/>
  <c r="L532" i="11"/>
  <c r="L533" i="11"/>
  <c r="L534" i="11"/>
  <c r="L535" i="11"/>
  <c r="L536" i="11"/>
  <c r="L537" i="11"/>
  <c r="L538" i="11"/>
  <c r="L539" i="11"/>
  <c r="L540" i="11"/>
  <c r="L541" i="11"/>
  <c r="L542" i="11"/>
  <c r="L543" i="11"/>
  <c r="L544" i="11"/>
  <c r="L545" i="11"/>
  <c r="L546" i="11"/>
  <c r="L547" i="11"/>
  <c r="L548" i="11"/>
  <c r="L549" i="11"/>
  <c r="L550" i="11"/>
  <c r="L551" i="11"/>
  <c r="L552" i="11"/>
  <c r="L553" i="11"/>
  <c r="L554" i="11"/>
  <c r="L555" i="11"/>
  <c r="L556" i="11"/>
  <c r="L557" i="11"/>
  <c r="L558" i="11"/>
  <c r="L559" i="11"/>
  <c r="L560" i="11"/>
  <c r="L561" i="11"/>
  <c r="L562" i="11"/>
  <c r="L563" i="11"/>
  <c r="L564" i="11"/>
  <c r="L565" i="11"/>
  <c r="L566" i="11"/>
  <c r="L567" i="11"/>
  <c r="L568" i="11"/>
  <c r="L569" i="11"/>
  <c r="L570" i="11"/>
  <c r="L571" i="11"/>
  <c r="L572" i="11"/>
  <c r="L573" i="11"/>
  <c r="L574" i="11"/>
  <c r="L575" i="11"/>
  <c r="L576" i="11"/>
  <c r="L577" i="11"/>
  <c r="L578" i="11"/>
  <c r="L579" i="11"/>
  <c r="L580" i="11"/>
  <c r="L581" i="11"/>
  <c r="L582" i="11"/>
  <c r="L583" i="11"/>
  <c r="L584" i="11"/>
  <c r="L585" i="11"/>
  <c r="L586" i="11"/>
  <c r="L587" i="11"/>
  <c r="L588" i="11"/>
  <c r="L589" i="11"/>
  <c r="L590" i="11"/>
  <c r="L591" i="11"/>
  <c r="L592" i="11"/>
  <c r="L593" i="11"/>
  <c r="L594" i="11"/>
  <c r="L595" i="11"/>
  <c r="L596" i="11"/>
  <c r="L597" i="11"/>
  <c r="L598" i="11"/>
  <c r="L599" i="11"/>
  <c r="L600" i="11"/>
  <c r="L601" i="11"/>
  <c r="L602" i="11"/>
  <c r="L603" i="11"/>
  <c r="L604" i="11"/>
  <c r="L605" i="11"/>
  <c r="L606" i="11"/>
  <c r="L607" i="11"/>
  <c r="L608" i="11"/>
  <c r="L609" i="11"/>
  <c r="L610" i="11"/>
  <c r="L611" i="11"/>
  <c r="L612" i="11"/>
  <c r="L613" i="11"/>
  <c r="L614" i="11"/>
  <c r="L615" i="11"/>
  <c r="L616" i="11"/>
  <c r="L617" i="11"/>
  <c r="L618" i="11"/>
  <c r="L619" i="11"/>
  <c r="L620" i="11"/>
  <c r="L621" i="11"/>
  <c r="L622" i="11"/>
  <c r="L623" i="11"/>
  <c r="L624" i="11"/>
  <c r="L625" i="11"/>
  <c r="L626" i="11"/>
  <c r="L627" i="11"/>
  <c r="L628" i="11"/>
  <c r="L629" i="11"/>
  <c r="L630" i="11"/>
  <c r="L631" i="11"/>
  <c r="L632" i="11"/>
  <c r="L633" i="11"/>
  <c r="L634" i="11"/>
  <c r="L635" i="11"/>
  <c r="L636" i="11"/>
  <c r="L637" i="11"/>
  <c r="L638" i="11"/>
  <c r="L639" i="11"/>
  <c r="L640" i="11"/>
  <c r="L641" i="11"/>
  <c r="L642" i="11"/>
  <c r="L643" i="11"/>
  <c r="L644" i="11"/>
  <c r="L645" i="11"/>
  <c r="L646" i="11"/>
  <c r="L647" i="11"/>
  <c r="L648" i="11"/>
  <c r="L649" i="11"/>
  <c r="L650" i="11"/>
  <c r="L651" i="11"/>
  <c r="L652" i="11"/>
  <c r="L653" i="11"/>
  <c r="L654" i="11"/>
  <c r="L655" i="11"/>
  <c r="L656" i="11"/>
  <c r="L657" i="11"/>
  <c r="L658" i="11"/>
  <c r="L659" i="11"/>
  <c r="L660" i="11"/>
  <c r="L661" i="11"/>
  <c r="L662" i="11"/>
  <c r="L663" i="11"/>
  <c r="L664" i="11"/>
  <c r="L665" i="11"/>
  <c r="L666" i="11"/>
  <c r="L667" i="11"/>
  <c r="L668" i="11"/>
  <c r="L669" i="11"/>
  <c r="L670" i="11"/>
  <c r="L671" i="11"/>
  <c r="L672" i="11"/>
  <c r="L673" i="11"/>
  <c r="L674" i="11"/>
  <c r="L675" i="11"/>
  <c r="L676" i="11"/>
  <c r="L677" i="11"/>
  <c r="L678" i="11"/>
  <c r="L679" i="11"/>
  <c r="L680" i="11"/>
  <c r="L681" i="11"/>
  <c r="L682" i="11"/>
  <c r="L683" i="11"/>
  <c r="L684" i="11"/>
  <c r="L685" i="11"/>
  <c r="L686" i="11"/>
  <c r="L687" i="11"/>
  <c r="L688" i="11"/>
  <c r="L689" i="11"/>
  <c r="L690" i="11"/>
  <c r="L691" i="11"/>
  <c r="L692" i="11"/>
  <c r="L693" i="11"/>
  <c r="L694" i="11"/>
  <c r="L695" i="11"/>
  <c r="L696" i="11"/>
  <c r="L697" i="11"/>
  <c r="L698" i="11"/>
  <c r="L699" i="11"/>
  <c r="L700" i="11"/>
  <c r="L701" i="11"/>
  <c r="L702" i="11"/>
  <c r="L703" i="11"/>
  <c r="L704" i="11"/>
  <c r="L705" i="11"/>
  <c r="L706" i="11"/>
  <c r="L707" i="11"/>
  <c r="L708" i="11"/>
  <c r="L709" i="11"/>
  <c r="L710" i="11"/>
  <c r="L711" i="11"/>
  <c r="L712" i="11"/>
  <c r="L713" i="11"/>
  <c r="L714" i="11"/>
  <c r="L715" i="11"/>
  <c r="L716" i="11"/>
  <c r="L717" i="11"/>
  <c r="L718" i="11"/>
  <c r="L719" i="11"/>
  <c r="L720" i="11"/>
  <c r="L721" i="11"/>
  <c r="L722" i="11"/>
  <c r="L723" i="11"/>
  <c r="L724" i="11"/>
  <c r="L725" i="11"/>
  <c r="L726" i="11"/>
  <c r="L727" i="11"/>
  <c r="L728" i="11"/>
  <c r="L729" i="11"/>
  <c r="L730" i="11"/>
  <c r="L731" i="11"/>
  <c r="L732" i="11"/>
  <c r="L733" i="11"/>
  <c r="L734" i="11"/>
  <c r="L735" i="11"/>
  <c r="L736" i="11"/>
  <c r="L737" i="11"/>
  <c r="L738" i="11"/>
  <c r="L739" i="11"/>
  <c r="L740" i="11"/>
  <c r="L741" i="11"/>
  <c r="L742" i="11"/>
  <c r="L743" i="11"/>
  <c r="L744" i="11"/>
  <c r="L745" i="11"/>
  <c r="L746" i="11"/>
  <c r="L747" i="11"/>
  <c r="L748" i="11"/>
  <c r="L749" i="11"/>
  <c r="L750" i="11"/>
  <c r="L751" i="11"/>
  <c r="L752" i="11"/>
  <c r="L753" i="11"/>
  <c r="L754" i="11"/>
  <c r="L755" i="11"/>
  <c r="L756" i="11"/>
  <c r="L757" i="11"/>
  <c r="L758" i="11"/>
  <c r="L759" i="11"/>
  <c r="L760" i="11"/>
  <c r="L761" i="11"/>
  <c r="L762" i="11"/>
  <c r="L763" i="11"/>
  <c r="L764" i="11"/>
  <c r="L765" i="11"/>
  <c r="L766" i="11"/>
  <c r="L767" i="11"/>
  <c r="L768" i="11"/>
  <c r="L769" i="11"/>
  <c r="L770" i="11"/>
  <c r="L771" i="11"/>
  <c r="L772" i="11"/>
  <c r="L773" i="11"/>
  <c r="L774" i="11"/>
  <c r="L775" i="11"/>
  <c r="L776" i="11"/>
  <c r="L777" i="11"/>
  <c r="L778" i="11"/>
  <c r="L779" i="11"/>
  <c r="L780" i="11"/>
  <c r="L781" i="11"/>
  <c r="L782" i="11"/>
  <c r="L783" i="11"/>
  <c r="L784" i="11"/>
  <c r="L785" i="11"/>
  <c r="L786" i="11"/>
  <c r="L787" i="11"/>
  <c r="L788" i="11"/>
  <c r="L789" i="11"/>
  <c r="L790" i="11"/>
  <c r="L791" i="11"/>
  <c r="L792" i="11"/>
  <c r="L793" i="11"/>
  <c r="L794" i="11"/>
  <c r="L795" i="11"/>
  <c r="L796" i="11"/>
  <c r="L797" i="11"/>
  <c r="L798" i="11"/>
  <c r="L799" i="11"/>
  <c r="L800" i="11"/>
  <c r="L801" i="11"/>
  <c r="L802" i="11"/>
  <c r="L803" i="11"/>
  <c r="L804" i="11"/>
  <c r="L805" i="11"/>
  <c r="L806" i="11"/>
  <c r="L807" i="11"/>
  <c r="L808" i="11"/>
  <c r="L809" i="11"/>
  <c r="L810" i="11"/>
  <c r="L811" i="11"/>
  <c r="L812" i="11"/>
  <c r="L813" i="11"/>
  <c r="L814" i="11"/>
  <c r="L815" i="11"/>
  <c r="L816" i="11"/>
  <c r="L817" i="11"/>
  <c r="L818" i="11"/>
  <c r="L819" i="11"/>
  <c r="L820" i="11"/>
  <c r="L821" i="11"/>
  <c r="L822" i="11"/>
  <c r="L823" i="11"/>
  <c r="L824" i="11"/>
  <c r="L825" i="11"/>
  <c r="L826" i="11"/>
  <c r="L827" i="11"/>
  <c r="L828" i="11"/>
  <c r="L829" i="11"/>
  <c r="L830" i="11"/>
  <c r="L831" i="11"/>
  <c r="L832" i="11"/>
  <c r="L833" i="11"/>
  <c r="L834" i="11"/>
  <c r="L835" i="11"/>
  <c r="L836" i="11"/>
  <c r="L837" i="11"/>
  <c r="L838" i="11"/>
  <c r="L839" i="11"/>
  <c r="L840" i="11"/>
  <c r="L841" i="11"/>
  <c r="L842" i="11"/>
  <c r="L843" i="11"/>
  <c r="L844" i="11"/>
  <c r="L845" i="11"/>
  <c r="L846" i="11"/>
  <c r="L847" i="11"/>
  <c r="L848" i="11"/>
  <c r="L849" i="11"/>
  <c r="L850" i="11"/>
  <c r="L851" i="11"/>
  <c r="L852" i="11"/>
  <c r="L853" i="11"/>
  <c r="L854" i="11"/>
  <c r="L855" i="11"/>
  <c r="L856" i="11"/>
  <c r="L857" i="11"/>
  <c r="L858" i="11"/>
  <c r="L859" i="11"/>
  <c r="L860" i="11"/>
  <c r="L861" i="11"/>
  <c r="L862" i="11"/>
  <c r="L863" i="11"/>
  <c r="L864" i="11"/>
  <c r="L865" i="11"/>
  <c r="L866" i="11"/>
  <c r="L867" i="11"/>
  <c r="L868" i="11"/>
  <c r="L869" i="11"/>
  <c r="L870" i="11"/>
  <c r="L871" i="11"/>
  <c r="L872" i="11"/>
  <c r="L873" i="11"/>
  <c r="L874" i="11"/>
  <c r="L875" i="11"/>
  <c r="L876" i="11"/>
  <c r="L877" i="11"/>
  <c r="L878" i="11"/>
  <c r="L879" i="11"/>
  <c r="L880" i="11"/>
  <c r="L881" i="11"/>
  <c r="L882" i="11"/>
  <c r="L883" i="11"/>
  <c r="L884" i="11"/>
  <c r="L885" i="11"/>
  <c r="L886" i="11"/>
  <c r="L887" i="11"/>
  <c r="L888" i="11"/>
  <c r="L889" i="11"/>
  <c r="L890" i="11"/>
  <c r="L891" i="11"/>
  <c r="L892" i="11"/>
  <c r="L893" i="11"/>
  <c r="L894" i="11"/>
  <c r="L895" i="11"/>
  <c r="L896" i="11"/>
  <c r="L897" i="11"/>
  <c r="L898" i="11"/>
  <c r="L899" i="11"/>
  <c r="L900" i="11"/>
  <c r="L901" i="11"/>
  <c r="L902" i="11"/>
  <c r="L903" i="11"/>
  <c r="L904" i="11"/>
  <c r="L905" i="11"/>
  <c r="L906" i="11"/>
  <c r="L907" i="11"/>
  <c r="L908" i="11"/>
  <c r="L909" i="11"/>
  <c r="L910" i="11"/>
  <c r="L911" i="11"/>
  <c r="L912" i="11"/>
  <c r="L913" i="11"/>
  <c r="L914" i="11"/>
  <c r="L915" i="11"/>
  <c r="L916" i="11"/>
  <c r="L917" i="11"/>
  <c r="L918" i="11"/>
  <c r="L919" i="11"/>
  <c r="L920" i="11"/>
  <c r="L921" i="11"/>
  <c r="L922" i="11"/>
  <c r="L923" i="11"/>
  <c r="L924" i="11"/>
  <c r="L925" i="11"/>
  <c r="L926" i="11"/>
  <c r="L927" i="11"/>
  <c r="L928" i="11"/>
  <c r="L929" i="11"/>
  <c r="L930" i="11"/>
  <c r="L931" i="11"/>
  <c r="L932" i="11"/>
  <c r="L933" i="11"/>
  <c r="L934" i="11"/>
  <c r="L935" i="11"/>
  <c r="L936" i="11"/>
  <c r="L937" i="11"/>
  <c r="L938" i="11"/>
  <c r="L939" i="11"/>
  <c r="L940" i="11"/>
  <c r="L941" i="11"/>
  <c r="L942" i="11"/>
  <c r="L943" i="11"/>
  <c r="L944" i="11"/>
  <c r="L945" i="11"/>
  <c r="L946" i="11"/>
  <c r="L947" i="11"/>
  <c r="L948" i="11"/>
  <c r="L949" i="11"/>
  <c r="L950" i="11"/>
  <c r="L951" i="11"/>
  <c r="L952" i="11"/>
  <c r="L953" i="11"/>
  <c r="L954" i="11"/>
  <c r="L955" i="11"/>
  <c r="L956" i="11"/>
  <c r="L957" i="11"/>
  <c r="L958" i="11"/>
  <c r="L959" i="11"/>
  <c r="L960" i="11"/>
  <c r="L961" i="11"/>
  <c r="L962" i="11"/>
  <c r="L963" i="11"/>
  <c r="L964" i="11"/>
  <c r="L965" i="11"/>
  <c r="L966" i="11"/>
  <c r="L967" i="11"/>
  <c r="L968" i="11"/>
  <c r="L969" i="11"/>
  <c r="L970" i="11"/>
  <c r="L971" i="11"/>
  <c r="L972" i="11"/>
  <c r="L973" i="11"/>
  <c r="L974" i="11"/>
  <c r="L975" i="11"/>
  <c r="L976" i="11"/>
  <c r="L977" i="11"/>
  <c r="L978" i="11"/>
  <c r="L979" i="11"/>
  <c r="L980" i="11"/>
  <c r="L981" i="11"/>
  <c r="L982" i="11"/>
  <c r="L983" i="11"/>
  <c r="L984" i="11"/>
  <c r="L985" i="11"/>
  <c r="L986" i="11"/>
  <c r="L987" i="11"/>
  <c r="L988" i="11"/>
  <c r="L989" i="11"/>
  <c r="L990" i="11"/>
  <c r="L991" i="11"/>
  <c r="L992" i="11"/>
  <c r="L993" i="11"/>
  <c r="L994" i="11"/>
  <c r="L995" i="11"/>
  <c r="L996" i="11"/>
  <c r="L997" i="11"/>
  <c r="L998" i="11"/>
  <c r="L999" i="11"/>
  <c r="L1000" i="11"/>
  <c r="L1001" i="11"/>
  <c r="L1002" i="11"/>
  <c r="L1003" i="11"/>
  <c r="L1004" i="11"/>
  <c r="L1005" i="11"/>
  <c r="L1006" i="11"/>
  <c r="L9" i="11"/>
  <c r="M6" i="11"/>
  <c r="P6" i="11" s="1"/>
  <c r="M7" i="11"/>
  <c r="M5" i="11"/>
  <c r="P5" i="11" s="1"/>
  <c r="L6" i="11"/>
  <c r="L7" i="11"/>
  <c r="L5" i="11"/>
  <c r="B29" i="11"/>
  <c r="B30" i="11"/>
  <c r="B31" i="11"/>
  <c r="B32" i="11"/>
  <c r="B33" i="11"/>
  <c r="B28" i="11"/>
  <c r="C12" i="11"/>
  <c r="C13" i="11"/>
  <c r="C14" i="11"/>
  <c r="C15" i="11"/>
  <c r="C16" i="11"/>
  <c r="C17" i="11"/>
  <c r="C18" i="11"/>
  <c r="C19" i="11"/>
  <c r="C20" i="11"/>
  <c r="C21" i="11"/>
  <c r="C22" i="11"/>
  <c r="C11" i="11"/>
  <c r="B12" i="11"/>
  <c r="B13" i="11"/>
  <c r="B14" i="11"/>
  <c r="B15" i="11"/>
  <c r="B16" i="11"/>
  <c r="B17" i="11"/>
  <c r="B18" i="11"/>
  <c r="B19" i="11"/>
  <c r="B20" i="11"/>
  <c r="B21" i="11"/>
  <c r="B22" i="11"/>
  <c r="B11" i="11"/>
  <c r="P1006" i="11"/>
  <c r="P1003" i="11"/>
  <c r="P999" i="11"/>
  <c r="P998" i="11"/>
  <c r="P997" i="11"/>
  <c r="P996" i="11"/>
  <c r="P995" i="11"/>
  <c r="P994" i="11"/>
  <c r="P991" i="11"/>
  <c r="P987" i="11"/>
  <c r="P986" i="11"/>
  <c r="P985" i="11"/>
  <c r="P984" i="11"/>
  <c r="P983" i="11"/>
  <c r="P982" i="11"/>
  <c r="P979" i="11"/>
  <c r="P975" i="11"/>
  <c r="P974" i="11"/>
  <c r="P973" i="11"/>
  <c r="P972" i="11"/>
  <c r="P971" i="11"/>
  <c r="P970" i="11"/>
  <c r="P967" i="11"/>
  <c r="P963" i="11"/>
  <c r="P962" i="11"/>
  <c r="P961" i="11"/>
  <c r="P960" i="11"/>
  <c r="P959" i="11"/>
  <c r="P958" i="11"/>
  <c r="P955" i="11"/>
  <c r="P951" i="11"/>
  <c r="P950" i="11"/>
  <c r="P949" i="11"/>
  <c r="P948" i="11"/>
  <c r="P947" i="11"/>
  <c r="P946" i="11"/>
  <c r="P943" i="11"/>
  <c r="P939" i="11"/>
  <c r="P938" i="11"/>
  <c r="P937" i="11"/>
  <c r="P936" i="11"/>
  <c r="P935" i="11"/>
  <c r="P934" i="11"/>
  <c r="P931" i="11"/>
  <c r="P927" i="11"/>
  <c r="P926" i="11"/>
  <c r="P925" i="11"/>
  <c r="P924" i="11"/>
  <c r="P923" i="11"/>
  <c r="P922" i="11"/>
  <c r="P919" i="11"/>
  <c r="P915" i="11"/>
  <c r="P914" i="11"/>
  <c r="P913" i="11"/>
  <c r="P912" i="11"/>
  <c r="P911" i="11"/>
  <c r="P910" i="11"/>
  <c r="P907" i="11"/>
  <c r="P903" i="11"/>
  <c r="P902" i="11"/>
  <c r="P901" i="11"/>
  <c r="P900" i="11"/>
  <c r="P899" i="11"/>
  <c r="P898" i="11"/>
  <c r="P895" i="11"/>
  <c r="P891" i="11"/>
  <c r="P890" i="11"/>
  <c r="P889" i="11"/>
  <c r="P888" i="11"/>
  <c r="P887" i="11"/>
  <c r="P886" i="11"/>
  <c r="P883" i="11"/>
  <c r="P879" i="11"/>
  <c r="P878" i="11"/>
  <c r="P877" i="11"/>
  <c r="P876" i="11"/>
  <c r="P875" i="11"/>
  <c r="P874" i="11"/>
  <c r="P871" i="11"/>
  <c r="P867" i="11"/>
  <c r="P866" i="11"/>
  <c r="P865" i="11"/>
  <c r="P864" i="11"/>
  <c r="P863" i="11"/>
  <c r="P862" i="11"/>
  <c r="P859" i="11"/>
  <c r="P855" i="11"/>
  <c r="P854" i="11"/>
  <c r="P853" i="11"/>
  <c r="P852" i="11"/>
  <c r="P851" i="11"/>
  <c r="P850" i="11"/>
  <c r="P847" i="11"/>
  <c r="P843" i="11"/>
  <c r="P842" i="11"/>
  <c r="P841" i="11"/>
  <c r="P840" i="11"/>
  <c r="P839" i="11"/>
  <c r="P838" i="11"/>
  <c r="P835" i="11"/>
  <c r="P831" i="11"/>
  <c r="P830" i="11"/>
  <c r="P829" i="11"/>
  <c r="P828" i="11"/>
  <c r="P827" i="11"/>
  <c r="P826" i="11"/>
  <c r="P823" i="11"/>
  <c r="P819" i="11"/>
  <c r="P818" i="11"/>
  <c r="P817" i="11"/>
  <c r="P816" i="11"/>
  <c r="P815" i="11"/>
  <c r="P814" i="11"/>
  <c r="P811" i="11"/>
  <c r="P807" i="11"/>
  <c r="P806" i="11"/>
  <c r="P805" i="11"/>
  <c r="P804" i="11"/>
  <c r="P803" i="11"/>
  <c r="P802" i="11"/>
  <c r="P799" i="11"/>
  <c r="P795" i="11"/>
  <c r="P794" i="11"/>
  <c r="P793" i="11"/>
  <c r="P792" i="11"/>
  <c r="P791" i="11"/>
  <c r="P790" i="11"/>
  <c r="P788" i="11"/>
  <c r="P787" i="11"/>
  <c r="P783" i="11"/>
  <c r="P782" i="11"/>
  <c r="P781" i="11"/>
  <c r="P780" i="11"/>
  <c r="P779" i="11"/>
  <c r="P778" i="11"/>
  <c r="P775" i="11"/>
  <c r="P771" i="11"/>
  <c r="P770" i="11"/>
  <c r="P769" i="11"/>
  <c r="P768" i="11"/>
  <c r="P767" i="11"/>
  <c r="P766" i="11"/>
  <c r="P763" i="11"/>
  <c r="P759" i="11"/>
  <c r="P758" i="11"/>
  <c r="P757" i="11"/>
  <c r="P756" i="11"/>
  <c r="P755" i="11"/>
  <c r="P754" i="11"/>
  <c r="P753" i="11"/>
  <c r="P751" i="11"/>
  <c r="P747" i="11"/>
  <c r="P746" i="11"/>
  <c r="P745" i="11"/>
  <c r="P744" i="11"/>
  <c r="P743" i="11"/>
  <c r="P742" i="11"/>
  <c r="P739" i="11"/>
  <c r="P735" i="11"/>
  <c r="P734" i="11"/>
  <c r="P733" i="11"/>
  <c r="P732" i="11"/>
  <c r="P731" i="11"/>
  <c r="P730" i="11"/>
  <c r="P727" i="11"/>
  <c r="P723" i="11"/>
  <c r="P722" i="11"/>
  <c r="P721" i="11"/>
  <c r="P720" i="11"/>
  <c r="P719" i="11"/>
  <c r="P718" i="11"/>
  <c r="P715" i="11"/>
  <c r="P711" i="11"/>
  <c r="P710" i="11"/>
  <c r="P709" i="11"/>
  <c r="P708" i="11"/>
  <c r="P707" i="11"/>
  <c r="P706" i="11"/>
  <c r="P705" i="11"/>
  <c r="P703" i="11"/>
  <c r="P699" i="11"/>
  <c r="P698" i="11"/>
  <c r="P697" i="11"/>
  <c r="P696" i="11"/>
  <c r="P695" i="11"/>
  <c r="P694" i="11"/>
  <c r="P691" i="11"/>
  <c r="P687" i="11"/>
  <c r="P686" i="11"/>
  <c r="P685" i="11"/>
  <c r="P684" i="11"/>
  <c r="P683" i="11"/>
  <c r="P682" i="11"/>
  <c r="P679" i="11"/>
  <c r="P675" i="11"/>
  <c r="P674" i="11"/>
  <c r="P673" i="11"/>
  <c r="P672" i="11"/>
  <c r="P671" i="11"/>
  <c r="P670" i="11"/>
  <c r="P667" i="11"/>
  <c r="P663" i="11"/>
  <c r="P662" i="11"/>
  <c r="P661" i="11"/>
  <c r="P660" i="11"/>
  <c r="P659" i="11"/>
  <c r="P658" i="11"/>
  <c r="P657" i="11"/>
  <c r="P655" i="11"/>
  <c r="P651" i="11"/>
  <c r="P650" i="11"/>
  <c r="P649" i="11"/>
  <c r="P648" i="11"/>
  <c r="P647" i="11"/>
  <c r="P646" i="11"/>
  <c r="P643" i="11"/>
  <c r="P639" i="11"/>
  <c r="P638" i="11"/>
  <c r="P637" i="11"/>
  <c r="P636" i="11"/>
  <c r="P635" i="11"/>
  <c r="P634" i="11"/>
  <c r="P631" i="11"/>
  <c r="P627" i="11"/>
  <c r="P626" i="11"/>
  <c r="P625" i="11"/>
  <c r="P624" i="11"/>
  <c r="P623" i="11"/>
  <c r="P622" i="11"/>
  <c r="P619" i="11"/>
  <c r="P615" i="11"/>
  <c r="P614" i="11"/>
  <c r="P613" i="11"/>
  <c r="P612" i="11"/>
  <c r="P611" i="11"/>
  <c r="P610" i="11"/>
  <c r="P609" i="11"/>
  <c r="P607" i="11"/>
  <c r="P603" i="11"/>
  <c r="P602" i="11"/>
  <c r="P601" i="11"/>
  <c r="P600" i="11"/>
  <c r="P599" i="11"/>
  <c r="P598" i="11"/>
  <c r="P595" i="11"/>
  <c r="P591" i="11"/>
  <c r="P590" i="11"/>
  <c r="P589" i="11"/>
  <c r="P588" i="11"/>
  <c r="P587" i="11"/>
  <c r="P586" i="11"/>
  <c r="P583" i="11"/>
  <c r="P579" i="11"/>
  <c r="P578" i="11"/>
  <c r="P577" i="11"/>
  <c r="P576" i="11"/>
  <c r="P575" i="11"/>
  <c r="P574" i="11"/>
  <c r="P571" i="11"/>
  <c r="P567" i="11"/>
  <c r="P566" i="11"/>
  <c r="P565" i="11"/>
  <c r="P564" i="11"/>
  <c r="P563" i="11"/>
  <c r="P562" i="11"/>
  <c r="P561" i="11"/>
  <c r="P559" i="11"/>
  <c r="P555" i="11"/>
  <c r="P554" i="11"/>
  <c r="P553" i="11"/>
  <c r="P552" i="11"/>
  <c r="P551" i="11"/>
  <c r="P550" i="11"/>
  <c r="P547" i="11"/>
  <c r="P543" i="11"/>
  <c r="P542" i="11"/>
  <c r="P541" i="11"/>
  <c r="P540" i="11"/>
  <c r="P539" i="11"/>
  <c r="P538" i="11"/>
  <c r="P535" i="11"/>
  <c r="P531" i="11"/>
  <c r="P530" i="11"/>
  <c r="P529" i="11"/>
  <c r="P528" i="11"/>
  <c r="P527" i="11"/>
  <c r="P526" i="11"/>
  <c r="P523" i="11"/>
  <c r="P519" i="11"/>
  <c r="P518" i="11"/>
  <c r="P517" i="11"/>
  <c r="P516" i="11"/>
  <c r="P515" i="11"/>
  <c r="P514" i="11"/>
  <c r="P513" i="11"/>
  <c r="P511" i="11"/>
  <c r="P507" i="11"/>
  <c r="P506" i="11"/>
  <c r="P505" i="11"/>
  <c r="P504" i="11"/>
  <c r="P503" i="11"/>
  <c r="P502" i="11"/>
  <c r="P499" i="11"/>
  <c r="P495" i="11"/>
  <c r="P494" i="11"/>
  <c r="P493" i="11"/>
  <c r="P492" i="11"/>
  <c r="P491" i="11"/>
  <c r="P490" i="11"/>
  <c r="P487" i="11"/>
  <c r="P483" i="11"/>
  <c r="P482" i="11"/>
  <c r="P481" i="11"/>
  <c r="P480" i="11"/>
  <c r="P479" i="11"/>
  <c r="P478" i="11"/>
  <c r="P475" i="11"/>
  <c r="P471" i="11"/>
  <c r="P470" i="11"/>
  <c r="P469" i="11"/>
  <c r="P468" i="11"/>
  <c r="P467" i="11"/>
  <c r="P466" i="11"/>
  <c r="P465" i="11"/>
  <c r="P463" i="11"/>
  <c r="P459" i="11"/>
  <c r="P458" i="11"/>
  <c r="P457" i="11"/>
  <c r="P456" i="11"/>
  <c r="P455" i="11"/>
  <c r="P454" i="11"/>
  <c r="P451" i="11"/>
  <c r="P447" i="11"/>
  <c r="P446" i="11"/>
  <c r="P445" i="11"/>
  <c r="P444" i="11"/>
  <c r="P443" i="11"/>
  <c r="P442" i="11"/>
  <c r="P439" i="11"/>
  <c r="P435" i="11"/>
  <c r="P434" i="11"/>
  <c r="P433" i="11"/>
  <c r="P432" i="11"/>
  <c r="P431" i="11"/>
  <c r="P430" i="11"/>
  <c r="P427" i="11"/>
  <c r="P423" i="11"/>
  <c r="P422" i="11"/>
  <c r="P421" i="11"/>
  <c r="P420" i="11"/>
  <c r="P419" i="11"/>
  <c r="P418" i="11"/>
  <c r="P417" i="11"/>
  <c r="P415" i="11"/>
  <c r="P411" i="11"/>
  <c r="P410" i="11"/>
  <c r="P409" i="11"/>
  <c r="P408" i="11"/>
  <c r="P407" i="11"/>
  <c r="P406" i="11"/>
  <c r="P403" i="11"/>
  <c r="P399" i="11"/>
  <c r="P398" i="11"/>
  <c r="P397" i="11"/>
  <c r="P396" i="11"/>
  <c r="P395" i="11"/>
  <c r="P394" i="11"/>
  <c r="P391" i="11"/>
  <c r="P387" i="11"/>
  <c r="P386" i="11"/>
  <c r="P385" i="11"/>
  <c r="P384" i="11"/>
  <c r="P383" i="11"/>
  <c r="P382" i="11"/>
  <c r="P379" i="11"/>
  <c r="P375" i="11"/>
  <c r="P374" i="11"/>
  <c r="P373" i="11"/>
  <c r="P372" i="11"/>
  <c r="P371" i="11"/>
  <c r="P370" i="11"/>
  <c r="P369" i="11"/>
  <c r="P367" i="11"/>
  <c r="P363" i="11"/>
  <c r="P362" i="11"/>
  <c r="P361" i="11"/>
  <c r="P360" i="11"/>
  <c r="P359" i="11"/>
  <c r="P358" i="11"/>
  <c r="P355" i="11"/>
  <c r="P351" i="11"/>
  <c r="P350" i="11"/>
  <c r="P349" i="11"/>
  <c r="P348" i="11"/>
  <c r="P347" i="11"/>
  <c r="P346" i="11"/>
  <c r="P343" i="11"/>
  <c r="P339" i="11"/>
  <c r="P338" i="11"/>
  <c r="P337" i="11"/>
  <c r="P336" i="11"/>
  <c r="P335" i="11"/>
  <c r="P334" i="11"/>
  <c r="P331" i="11"/>
  <c r="P327" i="11"/>
  <c r="P326" i="11"/>
  <c r="P325" i="11"/>
  <c r="P324" i="11"/>
  <c r="P323" i="11"/>
  <c r="P322" i="11"/>
  <c r="P321" i="11"/>
  <c r="P319" i="11"/>
  <c r="P315" i="11"/>
  <c r="P314" i="11"/>
  <c r="P313" i="11"/>
  <c r="P312" i="11"/>
  <c r="P311" i="11"/>
  <c r="P310" i="11"/>
  <c r="P307" i="11"/>
  <c r="P303" i="11"/>
  <c r="P302" i="11"/>
  <c r="P301" i="11"/>
  <c r="P300" i="11"/>
  <c r="P299" i="11"/>
  <c r="P298" i="11"/>
  <c r="P295" i="11"/>
  <c r="P291" i="11"/>
  <c r="P290" i="11"/>
  <c r="P289" i="11"/>
  <c r="P288" i="11"/>
  <c r="P287" i="11"/>
  <c r="P286" i="11"/>
  <c r="P283" i="11"/>
  <c r="P279" i="11"/>
  <c r="P278" i="11"/>
  <c r="P277" i="11"/>
  <c r="P276" i="11"/>
  <c r="P275" i="11"/>
  <c r="P274" i="11"/>
  <c r="P273" i="11"/>
  <c r="P267" i="11"/>
  <c r="P266" i="11"/>
  <c r="P265" i="11"/>
  <c r="P264" i="11"/>
  <c r="P263" i="11"/>
  <c r="P262" i="11"/>
  <c r="P259" i="11"/>
  <c r="P255" i="11"/>
  <c r="P254" i="11"/>
  <c r="P253" i="11"/>
  <c r="P252" i="11"/>
  <c r="P251" i="11"/>
  <c r="P250" i="11"/>
  <c r="P247" i="11"/>
  <c r="P243" i="11"/>
  <c r="P242" i="11"/>
  <c r="P241" i="11"/>
  <c r="P240" i="11"/>
  <c r="P239" i="11"/>
  <c r="P238" i="11"/>
  <c r="P235" i="11"/>
  <c r="P231" i="11"/>
  <c r="P230" i="11"/>
  <c r="P229" i="11"/>
  <c r="P228" i="11"/>
  <c r="P227" i="11"/>
  <c r="P226" i="11"/>
  <c r="P225" i="11"/>
  <c r="P223" i="11"/>
  <c r="P219" i="11"/>
  <c r="P218" i="11"/>
  <c r="P217" i="11"/>
  <c r="P216" i="11"/>
  <c r="P215" i="11"/>
  <c r="P214" i="11"/>
  <c r="P211" i="11"/>
  <c r="P207" i="11"/>
  <c r="P206" i="11"/>
  <c r="P205" i="11"/>
  <c r="P204" i="11"/>
  <c r="P203" i="11"/>
  <c r="P202" i="11"/>
  <c r="P199" i="11"/>
  <c r="P195" i="11"/>
  <c r="P194" i="11"/>
  <c r="P193" i="11"/>
  <c r="P192" i="11"/>
  <c r="P191" i="11"/>
  <c r="P190" i="11"/>
  <c r="P187" i="11"/>
  <c r="P183" i="11"/>
  <c r="P182" i="11"/>
  <c r="P181" i="11"/>
  <c r="P180" i="11"/>
  <c r="P179" i="11"/>
  <c r="P178" i="11"/>
  <c r="P177" i="11"/>
  <c r="P175" i="11"/>
  <c r="P171" i="11"/>
  <c r="P170" i="11"/>
  <c r="P169" i="11"/>
  <c r="P168" i="11"/>
  <c r="P167" i="11"/>
  <c r="P166" i="11"/>
  <c r="P163" i="11"/>
  <c r="P159" i="11"/>
  <c r="P158" i="11"/>
  <c r="P157" i="11"/>
  <c r="P156" i="11"/>
  <c r="P155" i="11"/>
  <c r="P154" i="11"/>
  <c r="P151" i="11"/>
  <c r="P147" i="11"/>
  <c r="P146" i="11"/>
  <c r="P145" i="11"/>
  <c r="P144" i="11"/>
  <c r="P143" i="11"/>
  <c r="P142" i="11"/>
  <c r="P139" i="11"/>
  <c r="P135" i="11"/>
  <c r="P134" i="11"/>
  <c r="P133" i="11"/>
  <c r="P132" i="11"/>
  <c r="P131" i="11"/>
  <c r="P130" i="11"/>
  <c r="P129" i="11"/>
  <c r="P127" i="11"/>
  <c r="P123" i="11"/>
  <c r="P122" i="11"/>
  <c r="P121" i="11"/>
  <c r="P120" i="11"/>
  <c r="P119" i="11"/>
  <c r="P118" i="11"/>
  <c r="P115" i="11"/>
  <c r="P111" i="11"/>
  <c r="P110" i="11"/>
  <c r="P109" i="11"/>
  <c r="P108" i="11"/>
  <c r="P107" i="11"/>
  <c r="P106" i="11"/>
  <c r="P103" i="11"/>
  <c r="P99" i="11"/>
  <c r="P98" i="11"/>
  <c r="P97" i="11"/>
  <c r="P96" i="11"/>
  <c r="P95" i="11"/>
  <c r="P94" i="11"/>
  <c r="P91" i="11"/>
  <c r="P87" i="11"/>
  <c r="P86" i="11"/>
  <c r="P85" i="11"/>
  <c r="P84" i="11"/>
  <c r="P83" i="11"/>
  <c r="P82" i="11"/>
  <c r="P81" i="11"/>
  <c r="P79" i="11"/>
  <c r="P75" i="11"/>
  <c r="P74" i="11"/>
  <c r="P73" i="11"/>
  <c r="P72" i="11"/>
  <c r="P71" i="11"/>
  <c r="P70" i="11"/>
  <c r="P67" i="11"/>
  <c r="P63" i="11"/>
  <c r="P62" i="11"/>
  <c r="P61" i="11"/>
  <c r="P60" i="11"/>
  <c r="P59" i="11"/>
  <c r="P58" i="11"/>
  <c r="P55" i="11"/>
  <c r="P51" i="11"/>
  <c r="P50" i="11"/>
  <c r="P49" i="11"/>
  <c r="P48" i="11"/>
  <c r="P47" i="11"/>
  <c r="P46" i="11"/>
  <c r="P43" i="11"/>
  <c r="D42" i="11"/>
  <c r="P39" i="11"/>
  <c r="P38" i="11"/>
  <c r="P37" i="11"/>
  <c r="P36" i="11"/>
  <c r="P35" i="11"/>
  <c r="P34" i="11"/>
  <c r="P29" i="11"/>
  <c r="D28" i="11"/>
  <c r="P27" i="11"/>
  <c r="B27" i="11"/>
  <c r="A27" i="11"/>
  <c r="P26" i="11"/>
  <c r="P25" i="11"/>
  <c r="P24" i="11"/>
  <c r="P23" i="11"/>
  <c r="P22" i="11"/>
  <c r="P15" i="11"/>
  <c r="P14" i="11"/>
  <c r="P13" i="11"/>
  <c r="P12" i="11"/>
  <c r="P11" i="11"/>
  <c r="P10" i="11"/>
  <c r="C10" i="11"/>
  <c r="B10" i="11"/>
  <c r="P9" i="11"/>
  <c r="P7" i="11"/>
  <c r="M4" i="11"/>
  <c r="L4" i="11"/>
  <c r="D38" i="11"/>
  <c r="C33" i="24" l="1"/>
  <c r="D33" i="24" s="1"/>
  <c r="G20" i="24" a="1"/>
  <c r="G20" i="24" s="1"/>
  <c r="G21" i="24" s="1"/>
  <c r="D39" i="24" s="1"/>
  <c r="C31" i="24"/>
  <c r="D31" i="24" s="1"/>
  <c r="C32" i="24"/>
  <c r="D32" i="24" s="1"/>
  <c r="C29" i="24"/>
  <c r="D29" i="24" s="1"/>
  <c r="C30" i="24"/>
  <c r="D30" i="24" s="1"/>
  <c r="D35" i="21"/>
  <c r="G34" i="21" s="1"/>
  <c r="D40" i="21" s="1"/>
  <c r="D41" i="21" s="1"/>
  <c r="B8" i="19"/>
  <c r="C33" i="19" s="1"/>
  <c r="D33" i="19" s="1"/>
  <c r="D18" i="1"/>
  <c r="E17" i="1"/>
  <c r="E19" i="1"/>
  <c r="B8" i="15"/>
  <c r="G20" i="15" s="1" a="1"/>
  <c r="G20" i="15" s="1"/>
  <c r="G21" i="15" s="1"/>
  <c r="D39" i="15" s="1"/>
  <c r="D19" i="1"/>
  <c r="B8" i="17"/>
  <c r="B8" i="11"/>
  <c r="C33" i="11" s="1"/>
  <c r="D33" i="11" s="1"/>
  <c r="E16" i="1"/>
  <c r="G20" i="13" a="1"/>
  <c r="G20" i="13" s="1"/>
  <c r="G21" i="13" s="1"/>
  <c r="D39" i="13" s="1"/>
  <c r="P15" i="6"/>
  <c r="P16" i="6"/>
  <c r="P17" i="6"/>
  <c r="P18" i="6"/>
  <c r="P19" i="6"/>
  <c r="P29" i="6"/>
  <c r="P30" i="6"/>
  <c r="P31" i="6"/>
  <c r="P42" i="6"/>
  <c r="P43" i="6"/>
  <c r="P45" i="6"/>
  <c r="P52" i="6"/>
  <c r="P53" i="6"/>
  <c r="P54" i="6"/>
  <c r="P55" i="6"/>
  <c r="P57" i="6"/>
  <c r="P63" i="6"/>
  <c r="P64" i="6"/>
  <c r="P65" i="6"/>
  <c r="P66" i="6"/>
  <c r="P67" i="6"/>
  <c r="P75" i="6"/>
  <c r="P76" i="6"/>
  <c r="P77" i="6"/>
  <c r="P78" i="6"/>
  <c r="P87" i="6"/>
  <c r="P89" i="6"/>
  <c r="P91" i="6"/>
  <c r="P102" i="6"/>
  <c r="P103" i="6"/>
  <c r="P105" i="6"/>
  <c r="P113" i="6"/>
  <c r="P114" i="6"/>
  <c r="P115" i="6"/>
  <c r="P117" i="6"/>
  <c r="P124" i="6"/>
  <c r="P125" i="6"/>
  <c r="P126" i="6"/>
  <c r="P127" i="6"/>
  <c r="P129" i="6"/>
  <c r="P135" i="6"/>
  <c r="P136" i="6"/>
  <c r="P137" i="6"/>
  <c r="P138" i="6"/>
  <c r="P139" i="6"/>
  <c r="P147" i="6"/>
  <c r="P149" i="6"/>
  <c r="P151" i="6"/>
  <c r="P160" i="6"/>
  <c r="P163" i="6"/>
  <c r="P174" i="6"/>
  <c r="P175" i="6"/>
  <c r="P177" i="6"/>
  <c r="P185" i="6"/>
  <c r="P186" i="6"/>
  <c r="P187" i="6"/>
  <c r="P189" i="6"/>
  <c r="P197" i="6"/>
  <c r="P198" i="6"/>
  <c r="P199" i="6"/>
  <c r="P201" i="6"/>
  <c r="P208" i="6"/>
  <c r="P209" i="6"/>
  <c r="P210" i="6"/>
  <c r="P211" i="6"/>
  <c r="P219" i="6"/>
  <c r="P220" i="6"/>
  <c r="P221" i="6"/>
  <c r="P222" i="6"/>
  <c r="P223" i="6"/>
  <c r="P231" i="6"/>
  <c r="P232" i="6"/>
  <c r="P233" i="6"/>
  <c r="P234" i="6"/>
  <c r="P243" i="6"/>
  <c r="P244" i="6"/>
  <c r="P245" i="6"/>
  <c r="P247" i="6"/>
  <c r="P256" i="6"/>
  <c r="P259" i="6"/>
  <c r="P261" i="6"/>
  <c r="P267" i="6"/>
  <c r="P270" i="6"/>
  <c r="P271" i="6"/>
  <c r="P273" i="6"/>
  <c r="P279" i="6"/>
  <c r="P282" i="6"/>
  <c r="P283" i="6"/>
  <c r="P285" i="6"/>
  <c r="P291" i="6"/>
  <c r="P294" i="6"/>
  <c r="P295" i="6"/>
  <c r="P297" i="6"/>
  <c r="P306" i="6"/>
  <c r="P307" i="6"/>
  <c r="P309" i="6"/>
  <c r="P317" i="6"/>
  <c r="P318" i="6"/>
  <c r="P319" i="6"/>
  <c r="P321" i="6"/>
  <c r="P328" i="6"/>
  <c r="P329" i="6"/>
  <c r="P330" i="6"/>
  <c r="P331" i="6"/>
  <c r="P333" i="6"/>
  <c r="P339" i="6"/>
  <c r="P340" i="6"/>
  <c r="P341" i="6"/>
  <c r="P342" i="6"/>
  <c r="P343" i="6"/>
  <c r="P351" i="6"/>
  <c r="P352" i="6"/>
  <c r="P353" i="6"/>
  <c r="P354" i="6"/>
  <c r="P355" i="6"/>
  <c r="P363" i="6"/>
  <c r="P364" i="6"/>
  <c r="P365" i="6"/>
  <c r="P366" i="6"/>
  <c r="P367" i="6"/>
  <c r="P375" i="6"/>
  <c r="P376" i="6"/>
  <c r="P377" i="6"/>
  <c r="P379" i="6"/>
  <c r="P388" i="6"/>
  <c r="P391" i="6"/>
  <c r="P400" i="6"/>
  <c r="P403" i="6"/>
  <c r="P405" i="6"/>
  <c r="P414" i="6"/>
  <c r="P415" i="6"/>
  <c r="P417" i="6"/>
  <c r="P425" i="6"/>
  <c r="P426" i="6"/>
  <c r="P427" i="6"/>
  <c r="P429" i="6"/>
  <c r="P437" i="6"/>
  <c r="P438" i="6"/>
  <c r="P439" i="6"/>
  <c r="P441" i="6"/>
  <c r="P448" i="6"/>
  <c r="P449" i="6"/>
  <c r="P450" i="6"/>
  <c r="P451" i="6"/>
  <c r="P453" i="6"/>
  <c r="P460" i="6"/>
  <c r="P461" i="6"/>
  <c r="P462" i="6"/>
  <c r="P463" i="6"/>
  <c r="P472" i="6"/>
  <c r="P473" i="6"/>
  <c r="P474" i="6"/>
  <c r="P475" i="6"/>
  <c r="P483" i="6"/>
  <c r="P484" i="6"/>
  <c r="P485" i="6"/>
  <c r="P486" i="6"/>
  <c r="P487" i="6"/>
  <c r="P489" i="6"/>
  <c r="P495" i="6"/>
  <c r="P496" i="6"/>
  <c r="P497" i="6"/>
  <c r="P498" i="6"/>
  <c r="P499" i="6"/>
  <c r="P507" i="6"/>
  <c r="P508" i="6"/>
  <c r="P509" i="6"/>
  <c r="P511" i="6"/>
  <c r="P520" i="6"/>
  <c r="P523" i="6"/>
  <c r="P525" i="6"/>
  <c r="P531" i="6"/>
  <c r="P534" i="6"/>
  <c r="P535" i="6"/>
  <c r="P537" i="6"/>
  <c r="P545" i="6"/>
  <c r="P546" i="6"/>
  <c r="P547" i="6"/>
  <c r="P549" i="6"/>
  <c r="P556" i="6"/>
  <c r="P557" i="6"/>
  <c r="P558" i="6"/>
  <c r="P559" i="6"/>
  <c r="P561" i="6"/>
  <c r="P567" i="6"/>
  <c r="P568" i="6"/>
  <c r="P569" i="6"/>
  <c r="P570" i="6"/>
  <c r="P571" i="6"/>
  <c r="P573" i="6"/>
  <c r="P579" i="6"/>
  <c r="P580" i="6"/>
  <c r="P581" i="6"/>
  <c r="P582" i="6"/>
  <c r="P583" i="6"/>
  <c r="P591" i="6"/>
  <c r="P592" i="6"/>
  <c r="P593" i="6"/>
  <c r="P594" i="6"/>
  <c r="P603" i="6"/>
  <c r="P604" i="6"/>
  <c r="P605" i="6"/>
  <c r="P607" i="6"/>
  <c r="P616" i="6"/>
  <c r="P619" i="6"/>
  <c r="P627" i="6"/>
  <c r="P630" i="6"/>
  <c r="P631" i="6"/>
  <c r="P633" i="6"/>
  <c r="P642" i="6"/>
  <c r="P643" i="6"/>
  <c r="P645" i="6"/>
  <c r="P653" i="6"/>
  <c r="P654" i="6"/>
  <c r="P655" i="6"/>
  <c r="P657" i="6"/>
  <c r="P665" i="6"/>
  <c r="P666" i="6"/>
  <c r="P667" i="6"/>
  <c r="P669" i="6"/>
  <c r="P676" i="6"/>
  <c r="P677" i="6"/>
  <c r="P678" i="6"/>
  <c r="P679" i="6"/>
  <c r="P687" i="6"/>
  <c r="P688" i="6"/>
  <c r="P689" i="6"/>
  <c r="P690" i="6"/>
  <c r="P691" i="6"/>
  <c r="P699" i="6"/>
  <c r="P700" i="6"/>
  <c r="P701" i="6"/>
  <c r="P702" i="6"/>
  <c r="P703" i="6"/>
  <c r="P711" i="6"/>
  <c r="P712" i="6"/>
  <c r="P713" i="6"/>
  <c r="P714" i="6"/>
  <c r="P723" i="6"/>
  <c r="P724" i="6"/>
  <c r="P725" i="6"/>
  <c r="P726" i="6"/>
  <c r="P727" i="6"/>
  <c r="P736" i="6"/>
  <c r="P739" i="6"/>
  <c r="P747" i="6"/>
  <c r="P750" i="6"/>
  <c r="P751" i="6"/>
  <c r="P753" i="6"/>
  <c r="P759" i="6"/>
  <c r="P762" i="6"/>
  <c r="P763" i="6"/>
  <c r="P765" i="6"/>
  <c r="P771" i="6"/>
  <c r="P774" i="6"/>
  <c r="P775" i="6"/>
  <c r="P777" i="6"/>
  <c r="P785" i="6"/>
  <c r="P786" i="6"/>
  <c r="P787" i="6"/>
  <c r="P789" i="6"/>
  <c r="P797" i="6"/>
  <c r="P798" i="6"/>
  <c r="P799" i="6"/>
  <c r="P801" i="6"/>
  <c r="P807" i="6"/>
  <c r="P808" i="6"/>
  <c r="P809" i="6"/>
  <c r="P810" i="6"/>
  <c r="P811" i="6"/>
  <c r="P813" i="6"/>
  <c r="P819" i="6"/>
  <c r="P820" i="6"/>
  <c r="P821" i="6"/>
  <c r="P822" i="6"/>
  <c r="P823" i="6"/>
  <c r="P825" i="6"/>
  <c r="P831" i="6"/>
  <c r="P832" i="6"/>
  <c r="P833" i="6"/>
  <c r="P834" i="6"/>
  <c r="P835" i="6"/>
  <c r="P843" i="6"/>
  <c r="P844" i="6"/>
  <c r="P845" i="6"/>
  <c r="P846" i="6"/>
  <c r="P847" i="6"/>
  <c r="P855" i="6"/>
  <c r="P856" i="6"/>
  <c r="P857" i="6"/>
  <c r="P858" i="6"/>
  <c r="P859" i="6"/>
  <c r="P867" i="6"/>
  <c r="P868" i="6"/>
  <c r="P869" i="6"/>
  <c r="P870" i="6"/>
  <c r="P880" i="6"/>
  <c r="P883" i="6"/>
  <c r="P885" i="6"/>
  <c r="P891" i="6"/>
  <c r="P894" i="6"/>
  <c r="P895" i="6"/>
  <c r="P897" i="6"/>
  <c r="P906" i="6"/>
  <c r="P907" i="6"/>
  <c r="P909" i="6"/>
  <c r="P918" i="6"/>
  <c r="P919" i="6"/>
  <c r="P921" i="6"/>
  <c r="P930" i="6"/>
  <c r="P931" i="6"/>
  <c r="P933" i="6"/>
  <c r="P941" i="6"/>
  <c r="P942" i="6"/>
  <c r="P943" i="6"/>
  <c r="P945" i="6"/>
  <c r="P953" i="6"/>
  <c r="P954" i="6"/>
  <c r="P955" i="6"/>
  <c r="P957" i="6"/>
  <c r="P964" i="6"/>
  <c r="P965" i="6"/>
  <c r="P966" i="6"/>
  <c r="P967" i="6"/>
  <c r="P969" i="6"/>
  <c r="P975" i="6"/>
  <c r="P976" i="6"/>
  <c r="P977" i="6"/>
  <c r="P978" i="6"/>
  <c r="P979" i="6"/>
  <c r="P987" i="6"/>
  <c r="P988" i="6"/>
  <c r="P989" i="6"/>
  <c r="P990" i="6"/>
  <c r="P991" i="6"/>
  <c r="P999" i="6"/>
  <c r="P1000" i="6"/>
  <c r="P1001" i="6"/>
  <c r="P1002" i="6"/>
  <c r="G3" i="6"/>
  <c r="D38" i="6" s="1"/>
  <c r="C12" i="6"/>
  <c r="C13" i="6"/>
  <c r="C14" i="6"/>
  <c r="C15" i="6"/>
  <c r="C16" i="6"/>
  <c r="C17" i="6"/>
  <c r="C18" i="6"/>
  <c r="C19" i="6"/>
  <c r="C20" i="6"/>
  <c r="C21" i="6"/>
  <c r="C22" i="6"/>
  <c r="C11" i="6"/>
  <c r="B12" i="6"/>
  <c r="B13" i="6"/>
  <c r="B14" i="6"/>
  <c r="B15" i="6"/>
  <c r="B16" i="6"/>
  <c r="B17" i="6"/>
  <c r="B18" i="6"/>
  <c r="B19" i="6"/>
  <c r="B20" i="6"/>
  <c r="B21" i="6"/>
  <c r="B22" i="6"/>
  <c r="B11" i="6"/>
  <c r="B33" i="6"/>
  <c r="B32" i="6"/>
  <c r="B31" i="6"/>
  <c r="B30" i="6"/>
  <c r="B29" i="6"/>
  <c r="B28" i="6"/>
  <c r="P1006" i="6"/>
  <c r="P1005" i="6"/>
  <c r="P1004" i="6"/>
  <c r="P1003" i="6"/>
  <c r="P998" i="6"/>
  <c r="P997" i="6"/>
  <c r="P996" i="6"/>
  <c r="P995" i="6"/>
  <c r="P994" i="6"/>
  <c r="P993" i="6"/>
  <c r="P992" i="6"/>
  <c r="P986" i="6"/>
  <c r="P985" i="6"/>
  <c r="P984" i="6"/>
  <c r="P983" i="6"/>
  <c r="P982" i="6"/>
  <c r="P981" i="6"/>
  <c r="P980" i="6"/>
  <c r="P974" i="6"/>
  <c r="P973" i="6"/>
  <c r="P972" i="6"/>
  <c r="P971" i="6"/>
  <c r="P970" i="6"/>
  <c r="P968" i="6"/>
  <c r="P963" i="6"/>
  <c r="P962" i="6"/>
  <c r="P961" i="6"/>
  <c r="P960" i="6"/>
  <c r="P959" i="6"/>
  <c r="P958" i="6"/>
  <c r="P956" i="6"/>
  <c r="P952" i="6"/>
  <c r="P951" i="6"/>
  <c r="P950" i="6"/>
  <c r="P949" i="6"/>
  <c r="P948" i="6"/>
  <c r="P947" i="6"/>
  <c r="P946" i="6"/>
  <c r="P944" i="6"/>
  <c r="P940" i="6"/>
  <c r="P939" i="6"/>
  <c r="P938" i="6"/>
  <c r="P937" i="6"/>
  <c r="P936" i="6"/>
  <c r="P935" i="6"/>
  <c r="P934" i="6"/>
  <c r="P932" i="6"/>
  <c r="P929" i="6"/>
  <c r="P928" i="6"/>
  <c r="P927" i="6"/>
  <c r="P926" i="6"/>
  <c r="P925" i="6"/>
  <c r="P924" i="6"/>
  <c r="P923" i="6"/>
  <c r="P922" i="6"/>
  <c r="P920" i="6"/>
  <c r="P917" i="6"/>
  <c r="P916" i="6"/>
  <c r="P915" i="6"/>
  <c r="P914" i="6"/>
  <c r="P913" i="6"/>
  <c r="P912" i="6"/>
  <c r="P911" i="6"/>
  <c r="P910" i="6"/>
  <c r="P908" i="6"/>
  <c r="P905" i="6"/>
  <c r="P904" i="6"/>
  <c r="P903" i="6"/>
  <c r="P902" i="6"/>
  <c r="P901" i="6"/>
  <c r="P900" i="6"/>
  <c r="P899" i="6"/>
  <c r="P898" i="6"/>
  <c r="P896" i="6"/>
  <c r="P893" i="6"/>
  <c r="P892" i="6"/>
  <c r="P890" i="6"/>
  <c r="P889" i="6"/>
  <c r="P888" i="6"/>
  <c r="P887" i="6"/>
  <c r="P886" i="6"/>
  <c r="P884" i="6"/>
  <c r="P882" i="6"/>
  <c r="P881" i="6"/>
  <c r="P879" i="6"/>
  <c r="P878" i="6"/>
  <c r="P877" i="6"/>
  <c r="P876" i="6"/>
  <c r="P875" i="6"/>
  <c r="P874" i="6"/>
  <c r="P873" i="6"/>
  <c r="P872" i="6"/>
  <c r="P871" i="6"/>
  <c r="P866" i="6"/>
  <c r="P865" i="6"/>
  <c r="P864" i="6"/>
  <c r="P863" i="6"/>
  <c r="P862" i="6"/>
  <c r="P861" i="6"/>
  <c r="P860" i="6"/>
  <c r="P854" i="6"/>
  <c r="P853" i="6"/>
  <c r="P852" i="6"/>
  <c r="P851" i="6"/>
  <c r="P850" i="6"/>
  <c r="P849" i="6"/>
  <c r="P848" i="6"/>
  <c r="P842" i="6"/>
  <c r="P841" i="6"/>
  <c r="P840" i="6"/>
  <c r="P839" i="6"/>
  <c r="P838" i="6"/>
  <c r="P837" i="6"/>
  <c r="P836" i="6"/>
  <c r="P830" i="6"/>
  <c r="P829" i="6"/>
  <c r="P828" i="6"/>
  <c r="P827" i="6"/>
  <c r="P826" i="6"/>
  <c r="P824" i="6"/>
  <c r="P818" i="6"/>
  <c r="P817" i="6"/>
  <c r="P816" i="6"/>
  <c r="P815" i="6"/>
  <c r="P814" i="6"/>
  <c r="P812" i="6"/>
  <c r="P806" i="6"/>
  <c r="P805" i="6"/>
  <c r="P804" i="6"/>
  <c r="P803" i="6"/>
  <c r="P802" i="6"/>
  <c r="P800" i="6"/>
  <c r="P796" i="6"/>
  <c r="P795" i="6"/>
  <c r="P794" i="6"/>
  <c r="P793" i="6"/>
  <c r="P792" i="6"/>
  <c r="P791" i="6"/>
  <c r="P790" i="6"/>
  <c r="P788" i="6"/>
  <c r="P784" i="6"/>
  <c r="P783" i="6"/>
  <c r="P782" i="6"/>
  <c r="P781" i="6"/>
  <c r="P780" i="6"/>
  <c r="P779" i="6"/>
  <c r="P778" i="6"/>
  <c r="P776" i="6"/>
  <c r="P773" i="6"/>
  <c r="P772" i="6"/>
  <c r="P770" i="6"/>
  <c r="P769" i="6"/>
  <c r="P768" i="6"/>
  <c r="P767" i="6"/>
  <c r="P766" i="6"/>
  <c r="P764" i="6"/>
  <c r="P761" i="6"/>
  <c r="P760" i="6"/>
  <c r="P758" i="6"/>
  <c r="P757" i="6"/>
  <c r="P756" i="6"/>
  <c r="P755" i="6"/>
  <c r="P754" i="6"/>
  <c r="P752" i="6"/>
  <c r="P749" i="6"/>
  <c r="P748" i="6"/>
  <c r="P746" i="6"/>
  <c r="P745" i="6"/>
  <c r="P744" i="6"/>
  <c r="P743" i="6"/>
  <c r="P742" i="6"/>
  <c r="P741" i="6"/>
  <c r="P740" i="6"/>
  <c r="P738" i="6"/>
  <c r="P737" i="6"/>
  <c r="P735" i="6"/>
  <c r="P734" i="6"/>
  <c r="P733" i="6"/>
  <c r="P732" i="6"/>
  <c r="P731" i="6"/>
  <c r="P730" i="6"/>
  <c r="P729" i="6"/>
  <c r="P728" i="6"/>
  <c r="P722" i="6"/>
  <c r="P721" i="6"/>
  <c r="P720" i="6"/>
  <c r="P719" i="6"/>
  <c r="P718" i="6"/>
  <c r="P717" i="6"/>
  <c r="P716" i="6"/>
  <c r="P715" i="6"/>
  <c r="P710" i="6"/>
  <c r="P709" i="6"/>
  <c r="P708" i="6"/>
  <c r="P707" i="6"/>
  <c r="P706" i="6"/>
  <c r="P705" i="6"/>
  <c r="P704" i="6"/>
  <c r="P698" i="6"/>
  <c r="P697" i="6"/>
  <c r="P696" i="6"/>
  <c r="P695" i="6"/>
  <c r="P694" i="6"/>
  <c r="P693" i="6"/>
  <c r="P692" i="6"/>
  <c r="P686" i="6"/>
  <c r="P685" i="6"/>
  <c r="P684" i="6"/>
  <c r="P683" i="6"/>
  <c r="P682" i="6"/>
  <c r="P681" i="6"/>
  <c r="P680" i="6"/>
  <c r="P675" i="6"/>
  <c r="P674" i="6"/>
  <c r="P673" i="6"/>
  <c r="P672" i="6"/>
  <c r="P671" i="6"/>
  <c r="P670" i="6"/>
  <c r="P668" i="6"/>
  <c r="P664" i="6"/>
  <c r="P663" i="6"/>
  <c r="P662" i="6"/>
  <c r="P661" i="6"/>
  <c r="P660" i="6"/>
  <c r="P659" i="6"/>
  <c r="P658" i="6"/>
  <c r="P656" i="6"/>
  <c r="P652" i="6"/>
  <c r="P651" i="6"/>
  <c r="P650" i="6"/>
  <c r="P649" i="6"/>
  <c r="P648" i="6"/>
  <c r="P647" i="6"/>
  <c r="P646" i="6"/>
  <c r="P644" i="6"/>
  <c r="P641" i="6"/>
  <c r="P640" i="6"/>
  <c r="P639" i="6"/>
  <c r="P638" i="6"/>
  <c r="P637" i="6"/>
  <c r="P636" i="6"/>
  <c r="P635" i="6"/>
  <c r="P634" i="6"/>
  <c r="P632" i="6"/>
  <c r="P629" i="6"/>
  <c r="P628" i="6"/>
  <c r="P626" i="6"/>
  <c r="P625" i="6"/>
  <c r="P624" i="6"/>
  <c r="P623" i="6"/>
  <c r="P622" i="6"/>
  <c r="P621" i="6"/>
  <c r="P620" i="6"/>
  <c r="P618" i="6"/>
  <c r="P617" i="6"/>
  <c r="P615" i="6"/>
  <c r="P614" i="6"/>
  <c r="P613" i="6"/>
  <c r="P612" i="6"/>
  <c r="P611" i="6"/>
  <c r="P610" i="6"/>
  <c r="P609" i="6"/>
  <c r="P608" i="6"/>
  <c r="P606" i="6"/>
  <c r="P602" i="6"/>
  <c r="P601" i="6"/>
  <c r="P600" i="6"/>
  <c r="P599" i="6"/>
  <c r="P598" i="6"/>
  <c r="P597" i="6"/>
  <c r="P596" i="6"/>
  <c r="P595" i="6"/>
  <c r="P590" i="6"/>
  <c r="P589" i="6"/>
  <c r="P588" i="6"/>
  <c r="P587" i="6"/>
  <c r="P586" i="6"/>
  <c r="P585" i="6"/>
  <c r="P584" i="6"/>
  <c r="P578" i="6"/>
  <c r="P577" i="6"/>
  <c r="P576" i="6"/>
  <c r="P575" i="6"/>
  <c r="P574" i="6"/>
  <c r="P572" i="6"/>
  <c r="P566" i="6"/>
  <c r="P565" i="6"/>
  <c r="P564" i="6"/>
  <c r="P563" i="6"/>
  <c r="P562" i="6"/>
  <c r="P560" i="6"/>
  <c r="P555" i="6"/>
  <c r="P554" i="6"/>
  <c r="P553" i="6"/>
  <c r="P552" i="6"/>
  <c r="P551" i="6"/>
  <c r="P550" i="6"/>
  <c r="P548" i="6"/>
  <c r="P544" i="6"/>
  <c r="P543" i="6"/>
  <c r="P542" i="6"/>
  <c r="P541" i="6"/>
  <c r="P540" i="6"/>
  <c r="P539" i="6"/>
  <c r="P538" i="6"/>
  <c r="P536" i="6"/>
  <c r="P533" i="6"/>
  <c r="P532" i="6"/>
  <c r="P530" i="6"/>
  <c r="P529" i="6"/>
  <c r="P528" i="6"/>
  <c r="P527" i="6"/>
  <c r="P526" i="6"/>
  <c r="P524" i="6"/>
  <c r="P522" i="6"/>
  <c r="P521" i="6"/>
  <c r="P519" i="6"/>
  <c r="P518" i="6"/>
  <c r="P517" i="6"/>
  <c r="P516" i="6"/>
  <c r="P515" i="6"/>
  <c r="P514" i="6"/>
  <c r="P513" i="6"/>
  <c r="P512" i="6"/>
  <c r="P510" i="6"/>
  <c r="P506" i="6"/>
  <c r="P505" i="6"/>
  <c r="P504" i="6"/>
  <c r="P503" i="6"/>
  <c r="P502" i="6"/>
  <c r="P501" i="6"/>
  <c r="P500" i="6"/>
  <c r="P494" i="6"/>
  <c r="P493" i="6"/>
  <c r="P492" i="6"/>
  <c r="P491" i="6"/>
  <c r="P490" i="6"/>
  <c r="P488" i="6"/>
  <c r="P482" i="6"/>
  <c r="P481" i="6"/>
  <c r="P480" i="6"/>
  <c r="P479" i="6"/>
  <c r="P478" i="6"/>
  <c r="P477" i="6"/>
  <c r="P476" i="6"/>
  <c r="P471" i="6"/>
  <c r="P470" i="6"/>
  <c r="P469" i="6"/>
  <c r="P468" i="6"/>
  <c r="P467" i="6"/>
  <c r="P466" i="6"/>
  <c r="P465" i="6"/>
  <c r="P464" i="6"/>
  <c r="P459" i="6"/>
  <c r="P458" i="6"/>
  <c r="P457" i="6"/>
  <c r="P456" i="6"/>
  <c r="P455" i="6"/>
  <c r="P454" i="6"/>
  <c r="P452" i="6"/>
  <c r="P447" i="6"/>
  <c r="P446" i="6"/>
  <c r="P445" i="6"/>
  <c r="P444" i="6"/>
  <c r="P443" i="6"/>
  <c r="P442" i="6"/>
  <c r="P440" i="6"/>
  <c r="P436" i="6"/>
  <c r="P435" i="6"/>
  <c r="P434" i="6"/>
  <c r="P433" i="6"/>
  <c r="P432" i="6"/>
  <c r="P431" i="6"/>
  <c r="P430" i="6"/>
  <c r="P428" i="6"/>
  <c r="P424" i="6"/>
  <c r="P423" i="6"/>
  <c r="P422" i="6"/>
  <c r="P421" i="6"/>
  <c r="P420" i="6"/>
  <c r="P419" i="6"/>
  <c r="P418" i="6"/>
  <c r="P416" i="6"/>
  <c r="P413" i="6"/>
  <c r="P412" i="6"/>
  <c r="P411" i="6"/>
  <c r="P410" i="6"/>
  <c r="P409" i="6"/>
  <c r="P408" i="6"/>
  <c r="P407" i="6"/>
  <c r="P406" i="6"/>
  <c r="P404" i="6"/>
  <c r="P402" i="6"/>
  <c r="P401" i="6"/>
  <c r="P399" i="6"/>
  <c r="P398" i="6"/>
  <c r="P397" i="6"/>
  <c r="P396" i="6"/>
  <c r="P395" i="6"/>
  <c r="P394" i="6"/>
  <c r="P393" i="6"/>
  <c r="P392" i="6"/>
  <c r="P390" i="6"/>
  <c r="P389" i="6"/>
  <c r="P387" i="6"/>
  <c r="P386" i="6"/>
  <c r="P385" i="6"/>
  <c r="P384" i="6"/>
  <c r="P383" i="6"/>
  <c r="P382" i="6"/>
  <c r="P381" i="6"/>
  <c r="P380" i="6"/>
  <c r="P378" i="6"/>
  <c r="P374" i="6"/>
  <c r="P373" i="6"/>
  <c r="P372" i="6"/>
  <c r="P371" i="6"/>
  <c r="P370" i="6"/>
  <c r="P369" i="6"/>
  <c r="P368" i="6"/>
  <c r="P362" i="6"/>
  <c r="P361" i="6"/>
  <c r="P360" i="6"/>
  <c r="P359" i="6"/>
  <c r="P358" i="6"/>
  <c r="P357" i="6"/>
  <c r="P356" i="6"/>
  <c r="P350" i="6"/>
  <c r="P349" i="6"/>
  <c r="P348" i="6"/>
  <c r="P347" i="6"/>
  <c r="P346" i="6"/>
  <c r="P345" i="6"/>
  <c r="P344" i="6"/>
  <c r="P338" i="6"/>
  <c r="P337" i="6"/>
  <c r="P336" i="6"/>
  <c r="P335" i="6"/>
  <c r="P334" i="6"/>
  <c r="P332" i="6"/>
  <c r="P327" i="6"/>
  <c r="P326" i="6"/>
  <c r="P325" i="6"/>
  <c r="P324" i="6"/>
  <c r="P323" i="6"/>
  <c r="P322" i="6"/>
  <c r="P320" i="6"/>
  <c r="P316" i="6"/>
  <c r="P315" i="6"/>
  <c r="P314" i="6"/>
  <c r="P313" i="6"/>
  <c r="P312" i="6"/>
  <c r="P311" i="6"/>
  <c r="P310" i="6"/>
  <c r="P308" i="6"/>
  <c r="P305" i="6"/>
  <c r="P304" i="6"/>
  <c r="P303" i="6"/>
  <c r="P302" i="6"/>
  <c r="P301" i="6"/>
  <c r="P300" i="6"/>
  <c r="P299" i="6"/>
  <c r="P298" i="6"/>
  <c r="P296" i="6"/>
  <c r="P293" i="6"/>
  <c r="P292" i="6"/>
  <c r="P290" i="6"/>
  <c r="P289" i="6"/>
  <c r="P288" i="6"/>
  <c r="P287" i="6"/>
  <c r="P286" i="6"/>
  <c r="P284" i="6"/>
  <c r="P281" i="6"/>
  <c r="P280" i="6"/>
  <c r="P278" i="6"/>
  <c r="P277" i="6"/>
  <c r="P276" i="6"/>
  <c r="P275" i="6"/>
  <c r="P274" i="6"/>
  <c r="P272" i="6"/>
  <c r="P269" i="6"/>
  <c r="P268" i="6"/>
  <c r="P266" i="6"/>
  <c r="P265" i="6"/>
  <c r="P264" i="6"/>
  <c r="P263" i="6"/>
  <c r="P262" i="6"/>
  <c r="P260" i="6"/>
  <c r="P258" i="6"/>
  <c r="P257" i="6"/>
  <c r="P255" i="6"/>
  <c r="P254" i="6"/>
  <c r="P253" i="6"/>
  <c r="P252" i="6"/>
  <c r="P251" i="6"/>
  <c r="P250" i="6"/>
  <c r="P249" i="6"/>
  <c r="P248" i="6"/>
  <c r="P246" i="6"/>
  <c r="P242" i="6"/>
  <c r="P241" i="6"/>
  <c r="P240" i="6"/>
  <c r="P239" i="6"/>
  <c r="P238" i="6"/>
  <c r="P237" i="6"/>
  <c r="P236" i="6"/>
  <c r="P235" i="6"/>
  <c r="P230" i="6"/>
  <c r="P229" i="6"/>
  <c r="P228" i="6"/>
  <c r="P227" i="6"/>
  <c r="P226" i="6"/>
  <c r="P225" i="6"/>
  <c r="P224" i="6"/>
  <c r="P218" i="6"/>
  <c r="P217" i="6"/>
  <c r="P216" i="6"/>
  <c r="P215" i="6"/>
  <c r="P214" i="6"/>
  <c r="P213" i="6"/>
  <c r="P212" i="6"/>
  <c r="P207" i="6"/>
  <c r="P206" i="6"/>
  <c r="P205" i="6"/>
  <c r="P204" i="6"/>
  <c r="P203" i="6"/>
  <c r="P202" i="6"/>
  <c r="P200" i="6"/>
  <c r="P196" i="6"/>
  <c r="P195" i="6"/>
  <c r="P194" i="6"/>
  <c r="P193" i="6"/>
  <c r="P192" i="6"/>
  <c r="P191" i="6"/>
  <c r="P190" i="6"/>
  <c r="P188" i="6"/>
  <c r="P184" i="6"/>
  <c r="P183" i="6"/>
  <c r="P182" i="6"/>
  <c r="P181" i="6"/>
  <c r="P180" i="6"/>
  <c r="P179" i="6"/>
  <c r="P178" i="6"/>
  <c r="P176" i="6"/>
  <c r="P173" i="6"/>
  <c r="P172" i="6"/>
  <c r="P171" i="6"/>
  <c r="P170" i="6"/>
  <c r="P169" i="6"/>
  <c r="P168" i="6"/>
  <c r="P167" i="6"/>
  <c r="P166" i="6"/>
  <c r="P165" i="6"/>
  <c r="P164" i="6"/>
  <c r="P162" i="6"/>
  <c r="P161" i="6"/>
  <c r="P159" i="6"/>
  <c r="P158" i="6"/>
  <c r="P157" i="6"/>
  <c r="P156" i="6"/>
  <c r="P155" i="6"/>
  <c r="P154" i="6"/>
  <c r="P153" i="6"/>
  <c r="P152" i="6"/>
  <c r="P150" i="6"/>
  <c r="P148" i="6"/>
  <c r="P146" i="6"/>
  <c r="P145" i="6"/>
  <c r="P144" i="6"/>
  <c r="P143" i="6"/>
  <c r="P142" i="6"/>
  <c r="P141" i="6"/>
  <c r="P140" i="6"/>
  <c r="P134" i="6"/>
  <c r="P133" i="6"/>
  <c r="P132" i="6"/>
  <c r="P131" i="6"/>
  <c r="P130" i="6"/>
  <c r="P128" i="6"/>
  <c r="P123" i="6"/>
  <c r="P122" i="6"/>
  <c r="P121" i="6"/>
  <c r="P120" i="6"/>
  <c r="P119" i="6"/>
  <c r="P118" i="6"/>
  <c r="P116" i="6"/>
  <c r="P112" i="6"/>
  <c r="P111" i="6"/>
  <c r="P110" i="6"/>
  <c r="P109" i="6"/>
  <c r="P108" i="6"/>
  <c r="P107" i="6"/>
  <c r="P106" i="6"/>
  <c r="P104" i="6"/>
  <c r="P101" i="6"/>
  <c r="P100" i="6"/>
  <c r="P99" i="6"/>
  <c r="P98" i="6"/>
  <c r="P97" i="6"/>
  <c r="P96" i="6"/>
  <c r="P95" i="6"/>
  <c r="P94" i="6"/>
  <c r="P93" i="6"/>
  <c r="P92" i="6"/>
  <c r="P90" i="6"/>
  <c r="P88" i="6"/>
  <c r="P86" i="6"/>
  <c r="P85" i="6"/>
  <c r="P84" i="6"/>
  <c r="P83" i="6"/>
  <c r="P82" i="6"/>
  <c r="P81" i="6"/>
  <c r="P80" i="6"/>
  <c r="P79" i="6"/>
  <c r="P74" i="6"/>
  <c r="P73" i="6"/>
  <c r="P72" i="6"/>
  <c r="P71" i="6"/>
  <c r="P70" i="6"/>
  <c r="P69" i="6"/>
  <c r="P68" i="6"/>
  <c r="P62" i="6"/>
  <c r="P61" i="6"/>
  <c r="P60" i="6"/>
  <c r="P59" i="6"/>
  <c r="P58" i="6"/>
  <c r="P56" i="6"/>
  <c r="P51" i="6"/>
  <c r="P50" i="6"/>
  <c r="P49" i="6"/>
  <c r="P48" i="6"/>
  <c r="P47" i="6"/>
  <c r="P46" i="6"/>
  <c r="P44" i="6"/>
  <c r="D42" i="6"/>
  <c r="P41" i="6"/>
  <c r="P40" i="6"/>
  <c r="P39" i="6"/>
  <c r="P38" i="6"/>
  <c r="P37" i="6"/>
  <c r="P36" i="6"/>
  <c r="P35" i="6"/>
  <c r="P34" i="6"/>
  <c r="P33" i="6"/>
  <c r="P32" i="6"/>
  <c r="P28" i="6"/>
  <c r="D28" i="6"/>
  <c r="P27" i="6"/>
  <c r="B27" i="6"/>
  <c r="A27" i="6"/>
  <c r="P26" i="6"/>
  <c r="P25" i="6"/>
  <c r="P24" i="6"/>
  <c r="P23" i="6"/>
  <c r="P22" i="6"/>
  <c r="P21" i="6"/>
  <c r="P20" i="6"/>
  <c r="P14" i="6"/>
  <c r="P13" i="6"/>
  <c r="P12" i="6"/>
  <c r="P11" i="6"/>
  <c r="P10" i="6"/>
  <c r="C10" i="6"/>
  <c r="B10" i="6"/>
  <c r="P9" i="6"/>
  <c r="P7" i="6"/>
  <c r="P6" i="6"/>
  <c r="P5" i="6"/>
  <c r="M4" i="6"/>
  <c r="L4" i="6"/>
  <c r="I1" i="4"/>
  <c r="D35" i="24" l="1"/>
  <c r="G20" i="19" a="1"/>
  <c r="G20" i="19" s="1"/>
  <c r="G21" i="19" s="1"/>
  <c r="D39" i="19" s="1"/>
  <c r="I38" i="21"/>
  <c r="A42" i="21"/>
  <c r="I39" i="21"/>
  <c r="C32" i="19"/>
  <c r="D32" i="19" s="1"/>
  <c r="C30" i="19"/>
  <c r="D30" i="19" s="1"/>
  <c r="C31" i="19"/>
  <c r="D31" i="19" s="1"/>
  <c r="C29" i="19"/>
  <c r="D29" i="19" s="1"/>
  <c r="C30" i="11"/>
  <c r="D30" i="11" s="1"/>
  <c r="C32" i="11"/>
  <c r="D32" i="11" s="1"/>
  <c r="G20" i="11" a="1"/>
  <c r="G20" i="11" s="1"/>
  <c r="G21" i="11" s="1"/>
  <c r="D39" i="11" s="1"/>
  <c r="C31" i="17"/>
  <c r="D31" i="17" s="1"/>
  <c r="C30" i="17"/>
  <c r="D30" i="17" s="1"/>
  <c r="C29" i="17"/>
  <c r="D29" i="17" s="1"/>
  <c r="C32" i="17"/>
  <c r="D32" i="17" s="1"/>
  <c r="C33" i="17"/>
  <c r="D33" i="17" s="1"/>
  <c r="C33" i="15"/>
  <c r="D33" i="15" s="1"/>
  <c r="C32" i="15"/>
  <c r="D32" i="15" s="1"/>
  <c r="C31" i="15"/>
  <c r="D31" i="15" s="1"/>
  <c r="C29" i="15"/>
  <c r="D29" i="15" s="1"/>
  <c r="C30" i="15"/>
  <c r="D30" i="15" s="1"/>
  <c r="G20" i="17" a="1"/>
  <c r="G20" i="17" s="1"/>
  <c r="G21" i="17" s="1"/>
  <c r="D39" i="17" s="1"/>
  <c r="C29" i="11"/>
  <c r="D29" i="11" s="1"/>
  <c r="C31" i="11"/>
  <c r="D31" i="11" s="1"/>
  <c r="C33" i="13"/>
  <c r="D33" i="13" s="1"/>
  <c r="C29" i="13"/>
  <c r="D29" i="13" s="1"/>
  <c r="C32" i="13"/>
  <c r="D32" i="13" s="1"/>
  <c r="C31" i="13"/>
  <c r="D31" i="13" s="1"/>
  <c r="C30" i="13"/>
  <c r="D30" i="13" s="1"/>
  <c r="B8" i="6"/>
  <c r="C31" i="6" s="1"/>
  <c r="D31" i="6" s="1"/>
  <c r="D13" i="1"/>
  <c r="G34" i="24" l="1"/>
  <c r="D40" i="24" s="1"/>
  <c r="D41" i="24" s="1"/>
  <c r="C34" i="20"/>
  <c r="O41" i="21" s="1"/>
  <c r="J34" i="20"/>
  <c r="D35" i="19"/>
  <c r="G34" i="19" s="1"/>
  <c r="D40" i="19" s="1"/>
  <c r="D41" i="19" s="1"/>
  <c r="A42" i="19" s="1"/>
  <c r="I1" i="18" s="1"/>
  <c r="O28" i="21"/>
  <c r="O124" i="21"/>
  <c r="O160" i="21"/>
  <c r="O232" i="21"/>
  <c r="O304" i="21"/>
  <c r="O412" i="21"/>
  <c r="O424" i="21"/>
  <c r="O436" i="21"/>
  <c r="O448" i="21"/>
  <c r="O532" i="21"/>
  <c r="O556" i="21"/>
  <c r="O604" i="21"/>
  <c r="O640" i="21"/>
  <c r="O664" i="21"/>
  <c r="O712" i="21"/>
  <c r="O724" i="21"/>
  <c r="O736" i="21"/>
  <c r="O784" i="21"/>
  <c r="O796" i="21"/>
  <c r="O820" i="21"/>
  <c r="O832" i="21"/>
  <c r="O868" i="21"/>
  <c r="O880" i="21"/>
  <c r="O892" i="21"/>
  <c r="O928" i="21"/>
  <c r="O940" i="21"/>
  <c r="O952" i="21"/>
  <c r="O964" i="21"/>
  <c r="O976" i="21"/>
  <c r="O988" i="21"/>
  <c r="D35" i="15"/>
  <c r="G34" i="15" s="1"/>
  <c r="D40" i="15" s="1"/>
  <c r="D41" i="15" s="1"/>
  <c r="I39" i="15" s="1"/>
  <c r="D35" i="11"/>
  <c r="G34" i="11" s="1"/>
  <c r="D40" i="11" s="1"/>
  <c r="D41" i="11" s="1"/>
  <c r="I39" i="11" s="1"/>
  <c r="D35" i="17"/>
  <c r="G34" i="17" s="1"/>
  <c r="D40" i="17" s="1"/>
  <c r="D41" i="17" s="1"/>
  <c r="D35" i="13"/>
  <c r="G34" i="13" s="1"/>
  <c r="D40" i="13" s="1"/>
  <c r="D41" i="13" s="1"/>
  <c r="A42" i="13" s="1"/>
  <c r="I1" i="12" s="1"/>
  <c r="G20" i="6" a="1"/>
  <c r="G20" i="6" s="1"/>
  <c r="G21" i="6" s="1"/>
  <c r="D39" i="6" s="1"/>
  <c r="C33" i="6"/>
  <c r="D33" i="6" s="1"/>
  <c r="C32" i="6"/>
  <c r="D32" i="6" s="1"/>
  <c r="C29" i="6"/>
  <c r="D29" i="6" s="1"/>
  <c r="C30" i="6"/>
  <c r="D30" i="6" s="1"/>
  <c r="O328" i="21" l="1"/>
  <c r="O316" i="21"/>
  <c r="O628" i="21"/>
  <c r="O184" i="21"/>
  <c r="O1000" i="21"/>
  <c r="O808" i="21"/>
  <c r="O520" i="21"/>
  <c r="O76" i="21"/>
  <c r="O592" i="21"/>
  <c r="O352" i="21"/>
  <c r="O112" i="21"/>
  <c r="O760" i="21"/>
  <c r="O568" i="21"/>
  <c r="O340" i="21"/>
  <c r="O88" i="21"/>
  <c r="O987" i="21"/>
  <c r="O700" i="21"/>
  <c r="O496" i="21"/>
  <c r="O268" i="21"/>
  <c r="O951" i="21"/>
  <c r="O856" i="21"/>
  <c r="O688" i="21"/>
  <c r="O484" i="21"/>
  <c r="O256" i="21"/>
  <c r="O807" i="21"/>
  <c r="O844" i="21"/>
  <c r="O676" i="21"/>
  <c r="O472" i="21"/>
  <c r="O244" i="21"/>
  <c r="O901" i="21"/>
  <c r="O280" i="21"/>
  <c r="O52" i="21"/>
  <c r="O843" i="21"/>
  <c r="O904" i="21"/>
  <c r="O748" i="21"/>
  <c r="O580" i="21"/>
  <c r="O400" i="21"/>
  <c r="O172" i="21"/>
  <c r="O723" i="21"/>
  <c r="O544" i="21"/>
  <c r="O388" i="21"/>
  <c r="O196" i="21"/>
  <c r="O963" i="21"/>
  <c r="O771" i="21"/>
  <c r="O916" i="21"/>
  <c r="O772" i="21"/>
  <c r="O616" i="21"/>
  <c r="O460" i="21"/>
  <c r="O292" i="21"/>
  <c r="O100" i="21"/>
  <c r="O255" i="21"/>
  <c r="O591" i="21"/>
  <c r="O579" i="21"/>
  <c r="O16" i="21"/>
  <c r="O483" i="21"/>
  <c r="O195" i="21"/>
  <c r="O938" i="21"/>
  <c r="O136" i="21"/>
  <c r="O903" i="21"/>
  <c r="O830" i="21"/>
  <c r="O663" i="21"/>
  <c r="O376" i="21"/>
  <c r="O208" i="21"/>
  <c r="O40" i="21"/>
  <c r="O627" i="21"/>
  <c r="O879" i="21"/>
  <c r="O363" i="21"/>
  <c r="O867" i="21"/>
  <c r="O279" i="21"/>
  <c r="O783" i="21"/>
  <c r="O950" i="21"/>
  <c r="O998" i="21"/>
  <c r="O710" i="21"/>
  <c r="O447" i="21"/>
  <c r="O398" i="21"/>
  <c r="O652" i="21"/>
  <c r="O508" i="21"/>
  <c r="O364" i="21"/>
  <c r="O220" i="21"/>
  <c r="O64" i="21"/>
  <c r="O831" i="21"/>
  <c r="O423" i="21"/>
  <c r="O134" i="21"/>
  <c r="O687" i="21"/>
  <c r="O147" i="21"/>
  <c r="O939" i="21"/>
  <c r="O759" i="21"/>
  <c r="O555" i="21"/>
  <c r="O219" i="21"/>
  <c r="O926" i="21"/>
  <c r="O985" i="21"/>
  <c r="O927" i="21"/>
  <c r="O735" i="21"/>
  <c r="O495" i="21"/>
  <c r="O207" i="21"/>
  <c r="O842" i="21"/>
  <c r="O913" i="21"/>
  <c r="O891" i="21"/>
  <c r="O711" i="21"/>
  <c r="O471" i="21"/>
  <c r="O183" i="21"/>
  <c r="O758" i="21"/>
  <c r="O565" i="21"/>
  <c r="O289" i="21"/>
  <c r="O135" i="21"/>
  <c r="O698" i="21"/>
  <c r="O852" i="21"/>
  <c r="O651" i="21"/>
  <c r="O411" i="21"/>
  <c r="O39" i="21"/>
  <c r="O506" i="21"/>
  <c r="O732" i="21"/>
  <c r="O639" i="21"/>
  <c r="O399" i="21"/>
  <c r="O15" i="21"/>
  <c r="O494" i="21"/>
  <c r="O396" i="21"/>
  <c r="O975" i="21"/>
  <c r="O795" i="21"/>
  <c r="O615" i="21"/>
  <c r="O339" i="21"/>
  <c r="O974" i="21"/>
  <c r="O182" i="21"/>
  <c r="O7" i="21"/>
  <c r="O590" i="21"/>
  <c r="O769" i="21"/>
  <c r="O518" i="21"/>
  <c r="O721" i="21"/>
  <c r="O410" i="21"/>
  <c r="O277" i="21"/>
  <c r="O338" i="21"/>
  <c r="O505" i="21"/>
  <c r="O326" i="21"/>
  <c r="O481" i="21"/>
  <c r="O86" i="21"/>
  <c r="O229" i="21"/>
  <c r="O49" i="21"/>
  <c r="O793" i="21"/>
  <c r="O984" i="21"/>
  <c r="O375" i="21"/>
  <c r="O111" i="21"/>
  <c r="O734" i="21"/>
  <c r="O230" i="21"/>
  <c r="O709" i="21"/>
  <c r="O660" i="21"/>
  <c r="O96" i="21"/>
  <c r="O915" i="21"/>
  <c r="O747" i="21"/>
  <c r="O567" i="21"/>
  <c r="O291" i="21"/>
  <c r="O5" i="21"/>
  <c r="O662" i="21"/>
  <c r="O110" i="21"/>
  <c r="O493" i="21"/>
  <c r="O887" i="21"/>
  <c r="O877" i="21"/>
  <c r="O373" i="21"/>
  <c r="O552" i="21"/>
  <c r="O650" i="21"/>
  <c r="O218" i="21"/>
  <c r="O805" i="21"/>
  <c r="O361" i="21"/>
  <c r="O408" i="21"/>
  <c r="O132" i="21"/>
  <c r="O543" i="21"/>
  <c r="O327" i="21"/>
  <c r="O87" i="21"/>
  <c r="O794" i="21"/>
  <c r="O434" i="21"/>
  <c r="O74" i="21"/>
  <c r="O661" i="21"/>
  <c r="O37" i="21"/>
  <c r="O623" i="21"/>
  <c r="O507" i="21"/>
  <c r="O303" i="21"/>
  <c r="O51" i="21"/>
  <c r="O770" i="21"/>
  <c r="O422" i="21"/>
  <c r="O14" i="21"/>
  <c r="O589" i="21"/>
  <c r="O13" i="21"/>
  <c r="O730" i="21"/>
  <c r="A42" i="24"/>
  <c r="I38" i="24"/>
  <c r="C34" i="23" s="1"/>
  <c r="I39" i="24"/>
  <c r="O133" i="21"/>
  <c r="O276" i="21"/>
  <c r="O815" i="21"/>
  <c r="O866" i="21"/>
  <c r="O542" i="21"/>
  <c r="O194" i="21"/>
  <c r="O829" i="21"/>
  <c r="O469" i="21"/>
  <c r="O768" i="21"/>
  <c r="O359" i="21"/>
  <c r="O397" i="21"/>
  <c r="O876" i="21"/>
  <c r="O935" i="21"/>
  <c r="O443" i="21"/>
  <c r="O123" i="21"/>
  <c r="O914" i="21"/>
  <c r="O626" i="21"/>
  <c r="O278" i="21"/>
  <c r="O925" i="21"/>
  <c r="O577" i="21"/>
  <c r="O145" i="21"/>
  <c r="O492" i="21"/>
  <c r="O107" i="21"/>
  <c r="O121" i="21"/>
  <c r="O516" i="21"/>
  <c r="O635" i="21"/>
  <c r="O348" i="21"/>
  <c r="O311" i="21"/>
  <c r="O854" i="21"/>
  <c r="O614" i="21"/>
  <c r="O302" i="21"/>
  <c r="O997" i="21"/>
  <c r="O685" i="21"/>
  <c r="O301" i="21"/>
  <c r="O864" i="21"/>
  <c r="O144" i="21"/>
  <c r="O862" i="21"/>
  <c r="O71" i="21"/>
  <c r="O708" i="21"/>
  <c r="O947" i="21"/>
  <c r="O814" i="21"/>
  <c r="O435" i="21"/>
  <c r="O267" i="21"/>
  <c r="O75" i="21"/>
  <c r="O878" i="21"/>
  <c r="O686" i="21"/>
  <c r="O482" i="21"/>
  <c r="O266" i="21"/>
  <c r="O62" i="21"/>
  <c r="O853" i="21"/>
  <c r="O649" i="21"/>
  <c r="O445" i="21"/>
  <c r="O217" i="21"/>
  <c r="O972" i="21"/>
  <c r="O636" i="21"/>
  <c r="O252" i="21"/>
  <c r="O791" i="21"/>
  <c r="O287" i="21"/>
  <c r="O718" i="21"/>
  <c r="O446" i="21"/>
  <c r="O254" i="21"/>
  <c r="O50" i="21"/>
  <c r="O841" i="21"/>
  <c r="O637" i="21"/>
  <c r="O421" i="21"/>
  <c r="O205" i="21"/>
  <c r="O948" i="21"/>
  <c r="O624" i="21"/>
  <c r="O240" i="21"/>
  <c r="O767" i="21"/>
  <c r="O227" i="21"/>
  <c r="O598" i="21"/>
  <c r="O625" i="21"/>
  <c r="O409" i="21"/>
  <c r="O193" i="21"/>
  <c r="O924" i="21"/>
  <c r="O612" i="21"/>
  <c r="O204" i="21"/>
  <c r="O755" i="21"/>
  <c r="O191" i="21"/>
  <c r="O574" i="21"/>
  <c r="O454" i="21"/>
  <c r="O310" i="21"/>
  <c r="O599" i="21"/>
  <c r="O23" i="21"/>
  <c r="O274" i="21"/>
  <c r="O148" i="21"/>
  <c r="O999" i="21"/>
  <c r="O855" i="21"/>
  <c r="O699" i="21"/>
  <c r="O519" i="21"/>
  <c r="O351" i="21"/>
  <c r="O159" i="21"/>
  <c r="O986" i="21"/>
  <c r="O782" i="21"/>
  <c r="O578" i="21"/>
  <c r="O362" i="21"/>
  <c r="O158" i="21"/>
  <c r="O973" i="21"/>
  <c r="O757" i="21"/>
  <c r="O553" i="21"/>
  <c r="O337" i="21"/>
  <c r="O109" i="21"/>
  <c r="O840" i="21"/>
  <c r="O480" i="21"/>
  <c r="O48" i="21"/>
  <c r="O527" i="21"/>
  <c r="O11" i="21"/>
  <c r="O226" i="21"/>
  <c r="O566" i="21"/>
  <c r="O350" i="21"/>
  <c r="O146" i="21"/>
  <c r="O937" i="21"/>
  <c r="O733" i="21"/>
  <c r="O541" i="21"/>
  <c r="O325" i="21"/>
  <c r="O61" i="21"/>
  <c r="O780" i="21"/>
  <c r="O420" i="21"/>
  <c r="O959" i="21"/>
  <c r="O479" i="21"/>
  <c r="O922" i="21"/>
  <c r="O897" i="21"/>
  <c r="O455" i="21"/>
  <c r="O910" i="21"/>
  <c r="O806" i="21"/>
  <c r="O638" i="21"/>
  <c r="O470" i="21"/>
  <c r="O290" i="21"/>
  <c r="O122" i="21"/>
  <c r="O949" i="21"/>
  <c r="O781" i="21"/>
  <c r="O613" i="21"/>
  <c r="O433" i="21"/>
  <c r="O265" i="21"/>
  <c r="O85" i="21"/>
  <c r="O912" i="21"/>
  <c r="O696" i="21"/>
  <c r="O468" i="21"/>
  <c r="O180" i="21"/>
  <c r="O863" i="21"/>
  <c r="O515" i="21"/>
  <c r="O167" i="21"/>
  <c r="O802" i="21"/>
  <c r="O154" i="21"/>
  <c r="O253" i="21"/>
  <c r="O73" i="21"/>
  <c r="O900" i="21"/>
  <c r="O684" i="21"/>
  <c r="O444" i="21"/>
  <c r="O156" i="21"/>
  <c r="O827" i="21"/>
  <c r="O503" i="21"/>
  <c r="O143" i="21"/>
  <c r="O754" i="21"/>
  <c r="O58" i="21"/>
  <c r="O22" i="21"/>
  <c r="O873" i="21"/>
  <c r="O741" i="21"/>
  <c r="O231" i="21"/>
  <c r="O63" i="21"/>
  <c r="O902" i="21"/>
  <c r="O722" i="21"/>
  <c r="O554" i="21"/>
  <c r="O374" i="21"/>
  <c r="O206" i="21"/>
  <c r="O38" i="21"/>
  <c r="O865" i="21"/>
  <c r="O697" i="21"/>
  <c r="O517" i="21"/>
  <c r="O349" i="21"/>
  <c r="O181" i="21"/>
  <c r="O6" i="21"/>
  <c r="O828" i="21"/>
  <c r="O588" i="21"/>
  <c r="O324" i="21"/>
  <c r="O36" i="21"/>
  <c r="O671" i="21"/>
  <c r="O335" i="21"/>
  <c r="O1006" i="21"/>
  <c r="O514" i="21"/>
  <c r="O609" i="21"/>
  <c r="O157" i="21"/>
  <c r="O996" i="21"/>
  <c r="O804" i="21"/>
  <c r="O564" i="21"/>
  <c r="O312" i="21"/>
  <c r="O9" i="21"/>
  <c r="O647" i="21"/>
  <c r="O323" i="21"/>
  <c r="O958" i="21"/>
  <c r="O490" i="21"/>
  <c r="O78" i="21"/>
  <c r="O239" i="21"/>
  <c r="O934" i="21"/>
  <c r="O538" i="21"/>
  <c r="O10" i="21"/>
  <c r="O322" i="21"/>
  <c r="O633" i="21"/>
  <c r="O936" i="21"/>
  <c r="O756" i="21"/>
  <c r="O540" i="21"/>
  <c r="O300" i="21"/>
  <c r="O24" i="21"/>
  <c r="O719" i="21"/>
  <c r="O431" i="21"/>
  <c r="O95" i="21"/>
  <c r="O778" i="21"/>
  <c r="O298" i="21"/>
  <c r="O561" i="21"/>
  <c r="O603" i="21"/>
  <c r="O459" i="21"/>
  <c r="O315" i="21"/>
  <c r="O171" i="21"/>
  <c r="O27" i="21"/>
  <c r="O890" i="21"/>
  <c r="O746" i="21"/>
  <c r="O602" i="21"/>
  <c r="O458" i="21"/>
  <c r="O314" i="21"/>
  <c r="O170" i="21"/>
  <c r="O26" i="21"/>
  <c r="O889" i="21"/>
  <c r="O745" i="21"/>
  <c r="O601" i="21"/>
  <c r="O457" i="21"/>
  <c r="O313" i="21"/>
  <c r="O169" i="21"/>
  <c r="O25" i="21"/>
  <c r="O888" i="21"/>
  <c r="O744" i="21"/>
  <c r="O600" i="21"/>
  <c r="O456" i="21"/>
  <c r="O288" i="21"/>
  <c r="O108" i="21"/>
  <c r="O923" i="21"/>
  <c r="O683" i="21"/>
  <c r="O491" i="21"/>
  <c r="O299" i="21"/>
  <c r="O83" i="21"/>
  <c r="O898" i="21"/>
  <c r="O586" i="21"/>
  <c r="O286" i="21"/>
  <c r="O921" i="21"/>
  <c r="O585" i="21"/>
  <c r="O720" i="21"/>
  <c r="O576" i="21"/>
  <c r="O432" i="21"/>
  <c r="O264" i="21"/>
  <c r="O84" i="21"/>
  <c r="O875" i="21"/>
  <c r="O659" i="21"/>
  <c r="O467" i="21"/>
  <c r="O251" i="21"/>
  <c r="O59" i="21"/>
  <c r="O826" i="21"/>
  <c r="O562" i="21"/>
  <c r="O250" i="21"/>
  <c r="O885" i="21"/>
  <c r="O465" i="21"/>
  <c r="O393" i="21"/>
  <c r="O861" i="21"/>
  <c r="O273" i="21"/>
  <c r="O142" i="21"/>
  <c r="O801" i="21"/>
  <c r="O117" i="21"/>
  <c r="O819" i="21"/>
  <c r="O675" i="21"/>
  <c r="O531" i="21"/>
  <c r="O387" i="21"/>
  <c r="O243" i="21"/>
  <c r="O99" i="21"/>
  <c r="O962" i="21"/>
  <c r="O818" i="21"/>
  <c r="O674" i="21"/>
  <c r="O530" i="21"/>
  <c r="O386" i="21"/>
  <c r="O242" i="21"/>
  <c r="O98" i="21"/>
  <c r="O961" i="21"/>
  <c r="O817" i="21"/>
  <c r="O673" i="21"/>
  <c r="O529" i="21"/>
  <c r="O385" i="21"/>
  <c r="O241" i="21"/>
  <c r="O97" i="21"/>
  <c r="O960" i="21"/>
  <c r="O816" i="21"/>
  <c r="O672" i="21"/>
  <c r="O528" i="21"/>
  <c r="O384" i="21"/>
  <c r="O192" i="21"/>
  <c r="O12" i="21"/>
  <c r="O803" i="21"/>
  <c r="O611" i="21"/>
  <c r="O395" i="21"/>
  <c r="O179" i="21"/>
  <c r="O970" i="21"/>
  <c r="O766" i="21"/>
  <c r="O466" i="21"/>
  <c r="O130" i="21"/>
  <c r="O753" i="21"/>
  <c r="O836" i="21"/>
  <c r="O792" i="21"/>
  <c r="O648" i="21"/>
  <c r="O504" i="21"/>
  <c r="O336" i="21"/>
  <c r="O168" i="21"/>
  <c r="O971" i="21"/>
  <c r="O779" i="21"/>
  <c r="O587" i="21"/>
  <c r="O347" i="21"/>
  <c r="O155" i="21"/>
  <c r="O946" i="21"/>
  <c r="O742" i="21"/>
  <c r="O394" i="21"/>
  <c r="O34" i="21"/>
  <c r="O681" i="21"/>
  <c r="O993" i="21"/>
  <c r="O597" i="21"/>
  <c r="O372" i="21"/>
  <c r="O228" i="21"/>
  <c r="O72" i="21"/>
  <c r="O911" i="21"/>
  <c r="O743" i="21"/>
  <c r="O575" i="21"/>
  <c r="O383" i="21"/>
  <c r="O215" i="21"/>
  <c r="O47" i="21"/>
  <c r="O886" i="21"/>
  <c r="O706" i="21"/>
  <c r="O370" i="21"/>
  <c r="O106" i="21"/>
  <c r="O849" i="21"/>
  <c r="O513" i="21"/>
  <c r="O360" i="21"/>
  <c r="O216" i="21"/>
  <c r="O60" i="21"/>
  <c r="O899" i="21"/>
  <c r="O731" i="21"/>
  <c r="O539" i="21"/>
  <c r="O371" i="21"/>
  <c r="O203" i="21"/>
  <c r="O35" i="21"/>
  <c r="O874" i="21"/>
  <c r="O610" i="21"/>
  <c r="O346" i="21"/>
  <c r="O82" i="21"/>
  <c r="O825" i="21"/>
  <c r="O489" i="21"/>
  <c r="O705" i="21"/>
  <c r="O189" i="21"/>
  <c r="O995" i="21"/>
  <c r="O851" i="21"/>
  <c r="O707" i="21"/>
  <c r="O563" i="21"/>
  <c r="O419" i="21"/>
  <c r="O275" i="21"/>
  <c r="O131" i="21"/>
  <c r="O994" i="21"/>
  <c r="O850" i="21"/>
  <c r="O682" i="21"/>
  <c r="O442" i="21"/>
  <c r="O178" i="21"/>
  <c r="O969" i="21"/>
  <c r="O729" i="21"/>
  <c r="O429" i="21"/>
  <c r="O120" i="21"/>
  <c r="O983" i="21"/>
  <c r="O839" i="21"/>
  <c r="O695" i="21"/>
  <c r="O551" i="21"/>
  <c r="O407" i="21"/>
  <c r="O263" i="21"/>
  <c r="O119" i="21"/>
  <c r="O982" i="21"/>
  <c r="O838" i="21"/>
  <c r="O658" i="21"/>
  <c r="O418" i="21"/>
  <c r="O166" i="21"/>
  <c r="O945" i="21"/>
  <c r="O717" i="21"/>
  <c r="O417" i="21"/>
  <c r="O141" i="21"/>
  <c r="O369" i="21"/>
  <c r="O321" i="21"/>
  <c r="O129" i="21"/>
  <c r="O33" i="21"/>
  <c r="O668" i="21"/>
  <c r="I38" i="19"/>
  <c r="J34" i="18" s="1"/>
  <c r="O728" i="21"/>
  <c r="O345" i="21"/>
  <c r="O200" i="21"/>
  <c r="O1003" i="21"/>
  <c r="O634" i="21"/>
  <c r="O430" i="21"/>
  <c r="O202" i="21"/>
  <c r="O1005" i="21"/>
  <c r="O777" i="21"/>
  <c r="O537" i="21"/>
  <c r="O153" i="21"/>
  <c r="I39" i="19"/>
  <c r="O573" i="21"/>
  <c r="O297" i="21"/>
  <c r="O20" i="21"/>
  <c r="O105" i="21"/>
  <c r="O943" i="21"/>
  <c r="O883" i="21"/>
  <c r="O285" i="21"/>
  <c r="O956" i="21"/>
  <c r="O378" i="21"/>
  <c r="O261" i="21"/>
  <c r="O812" i="21"/>
  <c r="O509" i="21"/>
  <c r="O453" i="21"/>
  <c r="O237" i="21"/>
  <c r="O800" i="21"/>
  <c r="O657" i="21"/>
  <c r="O441" i="21"/>
  <c r="O213" i="21"/>
  <c r="O752" i="21"/>
  <c r="O463" i="21"/>
  <c r="O670" i="21"/>
  <c r="O526" i="21"/>
  <c r="O382" i="21"/>
  <c r="O238" i="21"/>
  <c r="O94" i="21"/>
  <c r="O957" i="21"/>
  <c r="O813" i="21"/>
  <c r="O669" i="21"/>
  <c r="O525" i="21"/>
  <c r="O381" i="21"/>
  <c r="O225" i="21"/>
  <c r="O21" i="21"/>
  <c r="O584" i="21"/>
  <c r="O163" i="21"/>
  <c r="O536" i="21"/>
  <c r="O91" i="21"/>
  <c r="O790" i="21"/>
  <c r="O646" i="21"/>
  <c r="O502" i="21"/>
  <c r="O358" i="21"/>
  <c r="O214" i="21"/>
  <c r="O70" i="21"/>
  <c r="O933" i="21"/>
  <c r="O789" i="21"/>
  <c r="O645" i="21"/>
  <c r="O501" i="21"/>
  <c r="O357" i="21"/>
  <c r="O201" i="21"/>
  <c r="O944" i="21"/>
  <c r="O464" i="21"/>
  <c r="O870" i="21"/>
  <c r="O920" i="21"/>
  <c r="O368" i="21"/>
  <c r="O822" i="21"/>
  <c r="O622" i="21"/>
  <c r="O478" i="21"/>
  <c r="O334" i="21"/>
  <c r="O190" i="21"/>
  <c r="O46" i="21"/>
  <c r="O909" i="21"/>
  <c r="O765" i="21"/>
  <c r="O621" i="21"/>
  <c r="O477" i="21"/>
  <c r="O333" i="21"/>
  <c r="O177" i="21"/>
  <c r="O884" i="21"/>
  <c r="O260" i="21"/>
  <c r="O666" i="21"/>
  <c r="O450" i="21"/>
  <c r="O694" i="21"/>
  <c r="O550" i="21"/>
  <c r="O406" i="21"/>
  <c r="O262" i="21"/>
  <c r="O118" i="21"/>
  <c r="O981" i="21"/>
  <c r="O837" i="21"/>
  <c r="O693" i="21"/>
  <c r="O549" i="21"/>
  <c r="O405" i="21"/>
  <c r="O249" i="21"/>
  <c r="O45" i="21"/>
  <c r="O692" i="21"/>
  <c r="O739" i="21"/>
  <c r="O667" i="21"/>
  <c r="O869" i="21"/>
  <c r="O309" i="21"/>
  <c r="O165" i="21"/>
  <c r="O896" i="21"/>
  <c r="O452" i="21"/>
  <c r="O451" i="21"/>
  <c r="O404" i="21"/>
  <c r="O319" i="21"/>
  <c r="O54" i="21"/>
  <c r="O704" i="21"/>
  <c r="O440" i="21"/>
  <c r="O967" i="21"/>
  <c r="O403" i="21"/>
  <c r="O786" i="21"/>
  <c r="O1001" i="21"/>
  <c r="O379" i="21"/>
  <c r="O774" i="21"/>
  <c r="O965" i="21"/>
  <c r="O69" i="21"/>
  <c r="O872" i="21"/>
  <c r="O632" i="21"/>
  <c r="O320" i="21"/>
  <c r="O799" i="21"/>
  <c r="O223" i="21"/>
  <c r="O534" i="21"/>
  <c r="O725" i="21"/>
  <c r="O57" i="21"/>
  <c r="O848" i="21"/>
  <c r="O620" i="21"/>
  <c r="O272" i="21"/>
  <c r="O751" i="21"/>
  <c r="O175" i="21"/>
  <c r="O486" i="21"/>
  <c r="O653" i="21"/>
  <c r="O605" i="21"/>
  <c r="O548" i="21"/>
  <c r="O236" i="21"/>
  <c r="O691" i="21"/>
  <c r="O115" i="21"/>
  <c r="O390" i="21"/>
  <c r="O521" i="21"/>
  <c r="O980" i="21"/>
  <c r="O776" i="21"/>
  <c r="O524" i="21"/>
  <c r="O152" i="21"/>
  <c r="O607" i="21"/>
  <c r="O31" i="21"/>
  <c r="O294" i="21"/>
  <c r="O968" i="21"/>
  <c r="O764" i="21"/>
  <c r="O488" i="21"/>
  <c r="O56" i="21"/>
  <c r="O511" i="21"/>
  <c r="O930" i="21"/>
  <c r="O150" i="21"/>
  <c r="O188" i="21"/>
  <c r="O931" i="21"/>
  <c r="O655" i="21"/>
  <c r="O367" i="21"/>
  <c r="O79" i="21"/>
  <c r="O738" i="21"/>
  <c r="O354" i="21"/>
  <c r="O941" i="21"/>
  <c r="O377" i="21"/>
  <c r="O176" i="21"/>
  <c r="O907" i="21"/>
  <c r="O643" i="21"/>
  <c r="O355" i="21"/>
  <c r="O67" i="21"/>
  <c r="O678" i="21"/>
  <c r="O306" i="21"/>
  <c r="O893" i="21"/>
  <c r="O365" i="21"/>
  <c r="O317" i="21"/>
  <c r="O380" i="21"/>
  <c r="O116" i="21"/>
  <c r="O859" i="21"/>
  <c r="O583" i="21"/>
  <c r="O295" i="21"/>
  <c r="O1002" i="21"/>
  <c r="O642" i="21"/>
  <c r="O246" i="21"/>
  <c r="O821" i="21"/>
  <c r="O233" i="21"/>
  <c r="O104" i="21"/>
  <c r="O835" i="21"/>
  <c r="O547" i="21"/>
  <c r="O259" i="21"/>
  <c r="O966" i="21"/>
  <c r="O594" i="21"/>
  <c r="O210" i="21"/>
  <c r="O785" i="21"/>
  <c r="O221" i="21"/>
  <c r="O608" i="21"/>
  <c r="O344" i="21"/>
  <c r="O92" i="21"/>
  <c r="O823" i="21"/>
  <c r="O535" i="21"/>
  <c r="O247" i="21"/>
  <c r="O954" i="21"/>
  <c r="O582" i="21"/>
  <c r="O198" i="21"/>
  <c r="O773" i="21"/>
  <c r="O29" i="21"/>
  <c r="O296" i="21"/>
  <c r="O32" i="21"/>
  <c r="O763" i="21"/>
  <c r="O475" i="21"/>
  <c r="O187" i="21"/>
  <c r="O882" i="21"/>
  <c r="O498" i="21"/>
  <c r="O90" i="21"/>
  <c r="O665" i="21"/>
  <c r="O992" i="21"/>
  <c r="O824" i="21"/>
  <c r="O656" i="21"/>
  <c r="O476" i="21"/>
  <c r="O308" i="21"/>
  <c r="O128" i="21"/>
  <c r="O955" i="21"/>
  <c r="O787" i="21"/>
  <c r="O595" i="21"/>
  <c r="O391" i="21"/>
  <c r="O211" i="21"/>
  <c r="O19" i="21"/>
  <c r="O810" i="21"/>
  <c r="O630" i="21"/>
  <c r="O438" i="21"/>
  <c r="O234" i="21"/>
  <c r="O30" i="21"/>
  <c r="O809" i="21"/>
  <c r="O581" i="21"/>
  <c r="O293" i="21"/>
  <c r="O798" i="21"/>
  <c r="O606" i="21"/>
  <c r="O426" i="21"/>
  <c r="O222" i="21"/>
  <c r="O797" i="21"/>
  <c r="O533" i="21"/>
  <c r="O245" i="21"/>
  <c r="O596" i="21"/>
  <c r="O416" i="21"/>
  <c r="O248" i="21"/>
  <c r="O80" i="21"/>
  <c r="O895" i="21"/>
  <c r="O727" i="21"/>
  <c r="O523" i="21"/>
  <c r="O331" i="21"/>
  <c r="O151" i="21"/>
  <c r="O942" i="21"/>
  <c r="O750" i="21"/>
  <c r="O570" i="21"/>
  <c r="O366" i="21"/>
  <c r="O174" i="21"/>
  <c r="O953" i="21"/>
  <c r="O749" i="21"/>
  <c r="O485" i="21"/>
  <c r="O197" i="21"/>
  <c r="O461" i="21"/>
  <c r="O161" i="21"/>
  <c r="O93" i="21"/>
  <c r="O908" i="21"/>
  <c r="O740" i="21"/>
  <c r="O560" i="21"/>
  <c r="O392" i="21"/>
  <c r="O224" i="21"/>
  <c r="O44" i="21"/>
  <c r="O871" i="21"/>
  <c r="O679" i="21"/>
  <c r="O499" i="21"/>
  <c r="O307" i="21"/>
  <c r="O103" i="21"/>
  <c r="O918" i="21"/>
  <c r="O726" i="21"/>
  <c r="O522" i="21"/>
  <c r="O342" i="21"/>
  <c r="O138" i="21"/>
  <c r="O929" i="21"/>
  <c r="O713" i="21"/>
  <c r="O437" i="21"/>
  <c r="O137" i="21"/>
  <c r="O894" i="21"/>
  <c r="O714" i="21"/>
  <c r="O510" i="21"/>
  <c r="O318" i="21"/>
  <c r="O102" i="21"/>
  <c r="O917" i="21"/>
  <c r="O677" i="21"/>
  <c r="O389" i="21"/>
  <c r="O65" i="21"/>
  <c r="O680" i="21"/>
  <c r="O512" i="21"/>
  <c r="O332" i="21"/>
  <c r="O164" i="21"/>
  <c r="O979" i="21"/>
  <c r="O811" i="21"/>
  <c r="O619" i="21"/>
  <c r="O439" i="21"/>
  <c r="O235" i="21"/>
  <c r="O43" i="21"/>
  <c r="O858" i="21"/>
  <c r="O654" i="21"/>
  <c r="O462" i="21"/>
  <c r="O282" i="21"/>
  <c r="O66" i="21"/>
  <c r="O857" i="21"/>
  <c r="O629" i="21"/>
  <c r="O341" i="21"/>
  <c r="O162" i="21"/>
  <c r="O18" i="21"/>
  <c r="O881" i="21"/>
  <c r="O737" i="21"/>
  <c r="O593" i="21"/>
  <c r="O449" i="21"/>
  <c r="O305" i="21"/>
  <c r="O149" i="21"/>
  <c r="O569" i="21"/>
  <c r="O425" i="21"/>
  <c r="O281" i="21"/>
  <c r="O125" i="21"/>
  <c r="O715" i="21"/>
  <c r="O571" i="21"/>
  <c r="O427" i="21"/>
  <c r="O283" i="21"/>
  <c r="O139" i="21"/>
  <c r="O990" i="21"/>
  <c r="O846" i="21"/>
  <c r="O702" i="21"/>
  <c r="O558" i="21"/>
  <c r="O414" i="21"/>
  <c r="O270" i="21"/>
  <c r="O126" i="21"/>
  <c r="O989" i="21"/>
  <c r="O845" i="21"/>
  <c r="O701" i="21"/>
  <c r="O557" i="21"/>
  <c r="O413" i="21"/>
  <c r="O269" i="21"/>
  <c r="O113" i="21"/>
  <c r="O1004" i="21"/>
  <c r="O860" i="21"/>
  <c r="O716" i="21"/>
  <c r="O572" i="21"/>
  <c r="O428" i="21"/>
  <c r="O284" i="21"/>
  <c r="O140" i="21"/>
  <c r="O991" i="21"/>
  <c r="O847" i="21"/>
  <c r="O703" i="21"/>
  <c r="O559" i="21"/>
  <c r="O415" i="21"/>
  <c r="O271" i="21"/>
  <c r="O127" i="21"/>
  <c r="O978" i="21"/>
  <c r="O834" i="21"/>
  <c r="O690" i="21"/>
  <c r="O546" i="21"/>
  <c r="O402" i="21"/>
  <c r="O258" i="21"/>
  <c r="O114" i="21"/>
  <c r="O977" i="21"/>
  <c r="O833" i="21"/>
  <c r="O689" i="21"/>
  <c r="O545" i="21"/>
  <c r="O401" i="21"/>
  <c r="O257" i="21"/>
  <c r="O101" i="21"/>
  <c r="O89" i="21"/>
  <c r="O641" i="21"/>
  <c r="O497" i="21"/>
  <c r="O353" i="21"/>
  <c r="O209" i="21"/>
  <c r="O17" i="21"/>
  <c r="O81" i="21"/>
  <c r="O932" i="21"/>
  <c r="O788" i="21"/>
  <c r="O644" i="21"/>
  <c r="O500" i="21"/>
  <c r="O356" i="21"/>
  <c r="O212" i="21"/>
  <c r="O68" i="21"/>
  <c r="O919" i="21"/>
  <c r="O775" i="21"/>
  <c r="O631" i="21"/>
  <c r="O487" i="21"/>
  <c r="O343" i="21"/>
  <c r="O199" i="21"/>
  <c r="O55" i="21"/>
  <c r="O906" i="21"/>
  <c r="O762" i="21"/>
  <c r="O618" i="21"/>
  <c r="O474" i="21"/>
  <c r="O330" i="21"/>
  <c r="O186" i="21"/>
  <c r="O42" i="21"/>
  <c r="O905" i="21"/>
  <c r="O761" i="21"/>
  <c r="O617" i="21"/>
  <c r="O473" i="21"/>
  <c r="O329" i="21"/>
  <c r="O173" i="21"/>
  <c r="O77" i="21"/>
  <c r="O53" i="21"/>
  <c r="O185" i="21"/>
  <c r="I38" i="15"/>
  <c r="J34" i="14" s="1"/>
  <c r="F17" i="1" s="1"/>
  <c r="A42" i="15"/>
  <c r="I1" i="14" s="1"/>
  <c r="I38" i="11"/>
  <c r="A42" i="11"/>
  <c r="I39" i="13"/>
  <c r="I38" i="17"/>
  <c r="A42" i="17"/>
  <c r="I1" i="16" s="1"/>
  <c r="I39" i="17"/>
  <c r="I38" i="13"/>
  <c r="C34" i="12" s="1"/>
  <c r="D35" i="6"/>
  <c r="G34" i="6" s="1"/>
  <c r="D40" i="6" s="1"/>
  <c r="D41" i="6" s="1"/>
  <c r="I39" i="6" s="1"/>
  <c r="J34" i="23" l="1"/>
  <c r="F15" i="1" s="1"/>
  <c r="I1" i="10"/>
  <c r="I1" i="23"/>
  <c r="O151" i="24"/>
  <c r="O295" i="24"/>
  <c r="O439" i="24"/>
  <c r="O583" i="24"/>
  <c r="O727" i="24"/>
  <c r="O871" i="24"/>
  <c r="G15" i="1"/>
  <c r="O152" i="24"/>
  <c r="O296" i="24"/>
  <c r="O440" i="24"/>
  <c r="O584" i="24"/>
  <c r="O728" i="24"/>
  <c r="O872" i="24"/>
  <c r="O21" i="24"/>
  <c r="O165" i="24"/>
  <c r="O309" i="24"/>
  <c r="O453" i="24"/>
  <c r="O597" i="24"/>
  <c r="O741" i="24"/>
  <c r="O885" i="24"/>
  <c r="O22" i="24"/>
  <c r="O166" i="24"/>
  <c r="O310" i="24"/>
  <c r="O454" i="24"/>
  <c r="O598" i="24"/>
  <c r="O742" i="24"/>
  <c r="O886" i="24"/>
  <c r="O23" i="24"/>
  <c r="O167" i="24"/>
  <c r="O311" i="24"/>
  <c r="O455" i="24"/>
  <c r="O599" i="24"/>
  <c r="O743" i="24"/>
  <c r="O887" i="24"/>
  <c r="O24" i="24"/>
  <c r="O168" i="24"/>
  <c r="O312" i="24"/>
  <c r="O456" i="24"/>
  <c r="O600" i="24"/>
  <c r="O744" i="24"/>
  <c r="O888" i="24"/>
  <c r="O25" i="24"/>
  <c r="O169" i="24"/>
  <c r="O313" i="24"/>
  <c r="O457" i="24"/>
  <c r="O601" i="24"/>
  <c r="O745" i="24"/>
  <c r="O889" i="24"/>
  <c r="O26" i="24"/>
  <c r="O170" i="24"/>
  <c r="O314" i="24"/>
  <c r="O458" i="24"/>
  <c r="O602" i="24"/>
  <c r="O746" i="24"/>
  <c r="O890" i="24"/>
  <c r="O27" i="24"/>
  <c r="O171" i="24"/>
  <c r="O315" i="24"/>
  <c r="O459" i="24"/>
  <c r="O603" i="24"/>
  <c r="O747" i="24"/>
  <c r="O891" i="24"/>
  <c r="O40" i="24"/>
  <c r="O184" i="24"/>
  <c r="O328" i="24"/>
  <c r="O616" i="24"/>
  <c r="O760" i="24"/>
  <c r="O53" i="24"/>
  <c r="O19" i="24"/>
  <c r="O163" i="24"/>
  <c r="O307" i="24"/>
  <c r="O451" i="24"/>
  <c r="O595" i="24"/>
  <c r="O739" i="24"/>
  <c r="O883" i="24"/>
  <c r="O20" i="24"/>
  <c r="O164" i="24"/>
  <c r="O308" i="24"/>
  <c r="O452" i="24"/>
  <c r="O596" i="24"/>
  <c r="O740" i="24"/>
  <c r="O884" i="24"/>
  <c r="O33" i="24"/>
  <c r="O177" i="24"/>
  <c r="O321" i="24"/>
  <c r="O465" i="24"/>
  <c r="O609" i="24"/>
  <c r="O753" i="24"/>
  <c r="O897" i="24"/>
  <c r="O34" i="24"/>
  <c r="O178" i="24"/>
  <c r="O322" i="24"/>
  <c r="O466" i="24"/>
  <c r="O610" i="24"/>
  <c r="O754" i="24"/>
  <c r="O898" i="24"/>
  <c r="O35" i="24"/>
  <c r="O179" i="24"/>
  <c r="O323" i="24"/>
  <c r="O467" i="24"/>
  <c r="O611" i="24"/>
  <c r="O755" i="24"/>
  <c r="O899" i="24"/>
  <c r="O36" i="24"/>
  <c r="O180" i="24"/>
  <c r="O324" i="24"/>
  <c r="O468" i="24"/>
  <c r="O612" i="24"/>
  <c r="O756" i="24"/>
  <c r="O900" i="24"/>
  <c r="O37" i="24"/>
  <c r="O181" i="24"/>
  <c r="O325" i="24"/>
  <c r="O469" i="24"/>
  <c r="O613" i="24"/>
  <c r="O757" i="24"/>
  <c r="O901" i="24"/>
  <c r="O38" i="24"/>
  <c r="O182" i="24"/>
  <c r="O326" i="24"/>
  <c r="O470" i="24"/>
  <c r="O614" i="24"/>
  <c r="O758" i="24"/>
  <c r="O902" i="24"/>
  <c r="O39" i="24"/>
  <c r="O31" i="24"/>
  <c r="O175" i="24"/>
  <c r="O319" i="24"/>
  <c r="O463" i="24"/>
  <c r="O607" i="24"/>
  <c r="O751" i="24"/>
  <c r="O895" i="24"/>
  <c r="O32" i="24"/>
  <c r="O176" i="24"/>
  <c r="O320" i="24"/>
  <c r="O464" i="24"/>
  <c r="O608" i="24"/>
  <c r="O752" i="24"/>
  <c r="O896" i="24"/>
  <c r="O45" i="24"/>
  <c r="O189" i="24"/>
  <c r="O333" i="24"/>
  <c r="O477" i="24"/>
  <c r="O621" i="24"/>
  <c r="O765" i="24"/>
  <c r="O909" i="24"/>
  <c r="O46" i="24"/>
  <c r="O190" i="24"/>
  <c r="O334" i="24"/>
  <c r="O478" i="24"/>
  <c r="O622" i="24"/>
  <c r="O766" i="24"/>
  <c r="O910" i="24"/>
  <c r="O47" i="24"/>
  <c r="O191" i="24"/>
  <c r="O335" i="24"/>
  <c r="O479" i="24"/>
  <c r="O623" i="24"/>
  <c r="O767" i="24"/>
  <c r="O911" i="24"/>
  <c r="O48" i="24"/>
  <c r="O192" i="24"/>
  <c r="O336" i="24"/>
  <c r="O480" i="24"/>
  <c r="O624" i="24"/>
  <c r="O43" i="24"/>
  <c r="O187" i="24"/>
  <c r="O331" i="24"/>
  <c r="O475" i="24"/>
  <c r="O619" i="24"/>
  <c r="O763" i="24"/>
  <c r="O907" i="24"/>
  <c r="O44" i="24"/>
  <c r="O188" i="24"/>
  <c r="O332" i="24"/>
  <c r="O476" i="24"/>
  <c r="O620" i="24"/>
  <c r="O764" i="24"/>
  <c r="O908" i="24"/>
  <c r="O57" i="24"/>
  <c r="O201" i="24"/>
  <c r="O345" i="24"/>
  <c r="O489" i="24"/>
  <c r="O633" i="24"/>
  <c r="O777" i="24"/>
  <c r="O921" i="24"/>
  <c r="O58" i="24"/>
  <c r="O202" i="24"/>
  <c r="O346" i="24"/>
  <c r="O490" i="24"/>
  <c r="O634" i="24"/>
  <c r="O778" i="24"/>
  <c r="O922" i="24"/>
  <c r="O59" i="24"/>
  <c r="O203" i="24"/>
  <c r="O347" i="24"/>
  <c r="O491" i="24"/>
  <c r="O635" i="24"/>
  <c r="O779" i="24"/>
  <c r="O55" i="24"/>
  <c r="O199" i="24"/>
  <c r="O343" i="24"/>
  <c r="O487" i="24"/>
  <c r="O631" i="24"/>
  <c r="O775" i="24"/>
  <c r="O919" i="24"/>
  <c r="O56" i="24"/>
  <c r="O200" i="24"/>
  <c r="O344" i="24"/>
  <c r="O488" i="24"/>
  <c r="O632" i="24"/>
  <c r="O776" i="24"/>
  <c r="O920" i="24"/>
  <c r="O69" i="24"/>
  <c r="O213" i="24"/>
  <c r="O357" i="24"/>
  <c r="O501" i="24"/>
  <c r="O645" i="24"/>
  <c r="O789" i="24"/>
  <c r="O933" i="24"/>
  <c r="O70" i="24"/>
  <c r="O214" i="24"/>
  <c r="O358" i="24"/>
  <c r="O502" i="24"/>
  <c r="O646" i="24"/>
  <c r="O790" i="24"/>
  <c r="O934" i="24"/>
  <c r="O71" i="24"/>
  <c r="O215" i="24"/>
  <c r="O67" i="24"/>
  <c r="O211" i="24"/>
  <c r="O355" i="24"/>
  <c r="O499" i="24"/>
  <c r="O643" i="24"/>
  <c r="O787" i="24"/>
  <c r="O931" i="24"/>
  <c r="O68" i="24"/>
  <c r="O212" i="24"/>
  <c r="O356" i="24"/>
  <c r="O500" i="24"/>
  <c r="O644" i="24"/>
  <c r="O788" i="24"/>
  <c r="O932" i="24"/>
  <c r="O81" i="24"/>
  <c r="O225" i="24"/>
  <c r="O369" i="24"/>
  <c r="O513" i="24"/>
  <c r="O657" i="24"/>
  <c r="O801" i="24"/>
  <c r="O945" i="24"/>
  <c r="O82" i="24"/>
  <c r="O226" i="24"/>
  <c r="O370" i="24"/>
  <c r="O514" i="24"/>
  <c r="O658" i="24"/>
  <c r="O802" i="24"/>
  <c r="O946" i="24"/>
  <c r="O83" i="24"/>
  <c r="O227" i="24"/>
  <c r="O371" i="24"/>
  <c r="O515" i="24"/>
  <c r="O659" i="24"/>
  <c r="O803" i="24"/>
  <c r="O947" i="24"/>
  <c r="O84" i="24"/>
  <c r="O228" i="24"/>
  <c r="O372" i="24"/>
  <c r="O516" i="24"/>
  <c r="O660" i="24"/>
  <c r="O804" i="24"/>
  <c r="O948" i="24"/>
  <c r="O85" i="24"/>
  <c r="O229" i="24"/>
  <c r="O373" i="24"/>
  <c r="O517" i="24"/>
  <c r="O661" i="24"/>
  <c r="O805" i="24"/>
  <c r="O949" i="24"/>
  <c r="O86" i="24"/>
  <c r="O230" i="24"/>
  <c r="O374" i="24"/>
  <c r="O518" i="24"/>
  <c r="O662" i="24"/>
  <c r="O806" i="24"/>
  <c r="O950" i="24"/>
  <c r="O87" i="24"/>
  <c r="O231" i="24"/>
  <c r="O375" i="24"/>
  <c r="O519" i="24"/>
  <c r="O663" i="24"/>
  <c r="O807" i="24"/>
  <c r="O951" i="24"/>
  <c r="O100" i="24"/>
  <c r="O244" i="24"/>
  <c r="O388" i="24"/>
  <c r="O532" i="24"/>
  <c r="O676" i="24"/>
  <c r="O820" i="24"/>
  <c r="O964" i="24"/>
  <c r="O113" i="24"/>
  <c r="O257" i="24"/>
  <c r="O401" i="24"/>
  <c r="O545" i="24"/>
  <c r="O689" i="24"/>
  <c r="O833" i="24"/>
  <c r="O977" i="24"/>
  <c r="O126" i="24"/>
  <c r="O270" i="24"/>
  <c r="O414" i="24"/>
  <c r="O558" i="24"/>
  <c r="O702" i="24"/>
  <c r="O846" i="24"/>
  <c r="O990" i="24"/>
  <c r="O79" i="24"/>
  <c r="O223" i="24"/>
  <c r="O367" i="24"/>
  <c r="O511" i="24"/>
  <c r="O655" i="24"/>
  <c r="O799" i="24"/>
  <c r="O943" i="24"/>
  <c r="O80" i="24"/>
  <c r="O224" i="24"/>
  <c r="O368" i="24"/>
  <c r="O512" i="24"/>
  <c r="O656" i="24"/>
  <c r="O800" i="24"/>
  <c r="O944" i="24"/>
  <c r="O93" i="24"/>
  <c r="O237" i="24"/>
  <c r="O381" i="24"/>
  <c r="O525" i="24"/>
  <c r="O669" i="24"/>
  <c r="O813" i="24"/>
  <c r="O957" i="24"/>
  <c r="O94" i="24"/>
  <c r="O238" i="24"/>
  <c r="O382" i="24"/>
  <c r="O526" i="24"/>
  <c r="O670" i="24"/>
  <c r="O814" i="24"/>
  <c r="O958" i="24"/>
  <c r="O95" i="24"/>
  <c r="O239" i="24"/>
  <c r="O383" i="24"/>
  <c r="O527" i="24"/>
  <c r="O671" i="24"/>
  <c r="O815" i="24"/>
  <c r="O959" i="24"/>
  <c r="O96" i="24"/>
  <c r="O240" i="24"/>
  <c r="O384" i="24"/>
  <c r="O528" i="24"/>
  <c r="O672" i="24"/>
  <c r="O816" i="24"/>
  <c r="O960" i="24"/>
  <c r="O97" i="24"/>
  <c r="O241" i="24"/>
  <c r="O385" i="24"/>
  <c r="O529" i="24"/>
  <c r="O673" i="24"/>
  <c r="O817" i="24"/>
  <c r="O961" i="24"/>
  <c r="O98" i="24"/>
  <c r="O242" i="24"/>
  <c r="O386" i="24"/>
  <c r="O530" i="24"/>
  <c r="O674" i="24"/>
  <c r="O818" i="24"/>
  <c r="O962" i="24"/>
  <c r="O99" i="24"/>
  <c r="O243" i="24"/>
  <c r="O387" i="24"/>
  <c r="O531" i="24"/>
  <c r="O675" i="24"/>
  <c r="O819" i="24"/>
  <c r="O963" i="24"/>
  <c r="O112" i="24"/>
  <c r="O256" i="24"/>
  <c r="O400" i="24"/>
  <c r="O544" i="24"/>
  <c r="O688" i="24"/>
  <c r="O832" i="24"/>
  <c r="O91" i="24"/>
  <c r="O235" i="24"/>
  <c r="O379" i="24"/>
  <c r="O523" i="24"/>
  <c r="O667" i="24"/>
  <c r="O811" i="24"/>
  <c r="O955" i="24"/>
  <c r="O92" i="24"/>
  <c r="O236" i="24"/>
  <c r="O380" i="24"/>
  <c r="O524" i="24"/>
  <c r="O668" i="24"/>
  <c r="O812" i="24"/>
  <c r="O956" i="24"/>
  <c r="O105" i="24"/>
  <c r="O249" i="24"/>
  <c r="O393" i="24"/>
  <c r="O537" i="24"/>
  <c r="O681" i="24"/>
  <c r="O825" i="24"/>
  <c r="O969" i="24"/>
  <c r="O106" i="24"/>
  <c r="O250" i="24"/>
  <c r="O394" i="24"/>
  <c r="O538" i="24"/>
  <c r="O682" i="24"/>
  <c r="O826" i="24"/>
  <c r="O970" i="24"/>
  <c r="O107" i="24"/>
  <c r="O251" i="24"/>
  <c r="O395" i="24"/>
  <c r="O539" i="24"/>
  <c r="O683" i="24"/>
  <c r="O827" i="24"/>
  <c r="O971" i="24"/>
  <c r="O108" i="24"/>
  <c r="O252" i="24"/>
  <c r="O396" i="24"/>
  <c r="O540" i="24"/>
  <c r="O684" i="24"/>
  <c r="O828" i="24"/>
  <c r="O972" i="24"/>
  <c r="O109" i="24"/>
  <c r="O253" i="24"/>
  <c r="O397" i="24"/>
  <c r="O541" i="24"/>
  <c r="O685" i="24"/>
  <c r="O829" i="24"/>
  <c r="O973" i="24"/>
  <c r="O110" i="24"/>
  <c r="O254" i="24"/>
  <c r="O398" i="24"/>
  <c r="O103" i="24"/>
  <c r="O247" i="24"/>
  <c r="O391" i="24"/>
  <c r="O535" i="24"/>
  <c r="O679" i="24"/>
  <c r="O823" i="24"/>
  <c r="O967" i="24"/>
  <c r="O104" i="24"/>
  <c r="O248" i="24"/>
  <c r="O392" i="24"/>
  <c r="O536" i="24"/>
  <c r="O680" i="24"/>
  <c r="O824" i="24"/>
  <c r="O968" i="24"/>
  <c r="O117" i="24"/>
  <c r="O261" i="24"/>
  <c r="O405" i="24"/>
  <c r="O549" i="24"/>
  <c r="O693" i="24"/>
  <c r="O837" i="24"/>
  <c r="O981" i="24"/>
  <c r="O118" i="24"/>
  <c r="O262" i="24"/>
  <c r="O406" i="24"/>
  <c r="O550" i="24"/>
  <c r="O694" i="24"/>
  <c r="O838" i="24"/>
  <c r="O982" i="24"/>
  <c r="O119" i="24"/>
  <c r="O263" i="24"/>
  <c r="O407" i="24"/>
  <c r="O551" i="24"/>
  <c r="O695" i="24"/>
  <c r="O839" i="24"/>
  <c r="O983" i="24"/>
  <c r="O120" i="24"/>
  <c r="O264" i="24"/>
  <c r="O115" i="24"/>
  <c r="O259" i="24"/>
  <c r="O403" i="24"/>
  <c r="O547" i="24"/>
  <c r="O691" i="24"/>
  <c r="O835" i="24"/>
  <c r="O979" i="24"/>
  <c r="O116" i="24"/>
  <c r="O260" i="24"/>
  <c r="O404" i="24"/>
  <c r="O548" i="24"/>
  <c r="O692" i="24"/>
  <c r="O836" i="24"/>
  <c r="O980" i="24"/>
  <c r="O129" i="24"/>
  <c r="O273" i="24"/>
  <c r="O417" i="24"/>
  <c r="O561" i="24"/>
  <c r="O705" i="24"/>
  <c r="O849" i="24"/>
  <c r="O993" i="24"/>
  <c r="O130" i="24"/>
  <c r="O274" i="24"/>
  <c r="O418" i="24"/>
  <c r="O562" i="24"/>
  <c r="O706" i="24"/>
  <c r="O850" i="24"/>
  <c r="O994" i="24"/>
  <c r="O131" i="24"/>
  <c r="O275" i="24"/>
  <c r="O419" i="24"/>
  <c r="O563" i="24"/>
  <c r="O707" i="24"/>
  <c r="O851" i="24"/>
  <c r="O127" i="24"/>
  <c r="O271" i="24"/>
  <c r="O415" i="24"/>
  <c r="O559" i="24"/>
  <c r="O703" i="24"/>
  <c r="O847" i="24"/>
  <c r="O991" i="24"/>
  <c r="O128" i="24"/>
  <c r="O272" i="24"/>
  <c r="O416" i="24"/>
  <c r="O560" i="24"/>
  <c r="O704" i="24"/>
  <c r="O848" i="24"/>
  <c r="O992" i="24"/>
  <c r="O141" i="24"/>
  <c r="O285" i="24"/>
  <c r="O429" i="24"/>
  <c r="O573" i="24"/>
  <c r="O717" i="24"/>
  <c r="O861" i="24"/>
  <c r="O1005" i="24"/>
  <c r="O142" i="24"/>
  <c r="O286" i="24"/>
  <c r="O430" i="24"/>
  <c r="O574" i="24"/>
  <c r="O718" i="24"/>
  <c r="O862" i="24"/>
  <c r="O1006" i="24"/>
  <c r="O143" i="24"/>
  <c r="O139" i="24"/>
  <c r="O283" i="24"/>
  <c r="O427" i="24"/>
  <c r="O571" i="24"/>
  <c r="O715" i="24"/>
  <c r="O859" i="24"/>
  <c r="O1003" i="24"/>
  <c r="O140" i="24"/>
  <c r="O284" i="24"/>
  <c r="O428" i="24"/>
  <c r="O572" i="24"/>
  <c r="O716" i="24"/>
  <c r="O860" i="24"/>
  <c r="O1004" i="24"/>
  <c r="O153" i="24"/>
  <c r="O297" i="24"/>
  <c r="O441" i="24"/>
  <c r="O585" i="24"/>
  <c r="O729" i="24"/>
  <c r="O873" i="24"/>
  <c r="O10" i="24"/>
  <c r="O154" i="24"/>
  <c r="O298" i="24"/>
  <c r="O442" i="24"/>
  <c r="O586" i="24"/>
  <c r="O730" i="24"/>
  <c r="O874" i="24"/>
  <c r="O11" i="24"/>
  <c r="O155" i="24"/>
  <c r="O299" i="24"/>
  <c r="O443" i="24"/>
  <c r="O587" i="24"/>
  <c r="O731" i="24"/>
  <c r="O875" i="24"/>
  <c r="O12" i="24"/>
  <c r="O156" i="24"/>
  <c r="O300" i="24"/>
  <c r="O444" i="24"/>
  <c r="O588" i="24"/>
  <c r="O732" i="24"/>
  <c r="O876" i="24"/>
  <c r="O13" i="24"/>
  <c r="O157" i="24"/>
  <c r="O301" i="24"/>
  <c r="O445" i="24"/>
  <c r="O589" i="24"/>
  <c r="O733" i="24"/>
  <c r="O877" i="24"/>
  <c r="O14" i="24"/>
  <c r="O158" i="24"/>
  <c r="O302" i="24"/>
  <c r="O446" i="24"/>
  <c r="O590" i="24"/>
  <c r="O734" i="24"/>
  <c r="O878" i="24"/>
  <c r="O15" i="24"/>
  <c r="O159" i="24"/>
  <c r="O303" i="24"/>
  <c r="O447" i="24"/>
  <c r="O591" i="24"/>
  <c r="O735" i="24"/>
  <c r="O879" i="24"/>
  <c r="O28" i="24"/>
  <c r="O172" i="24"/>
  <c r="O316" i="24"/>
  <c r="O460" i="24"/>
  <c r="O604" i="24"/>
  <c r="O748" i="24"/>
  <c r="O892" i="24"/>
  <c r="O41" i="24"/>
  <c r="O185" i="24"/>
  <c r="O329" i="24"/>
  <c r="O473" i="24"/>
  <c r="O617" i="24"/>
  <c r="O761" i="24"/>
  <c r="O905" i="24"/>
  <c r="O54" i="24"/>
  <c r="O198" i="24"/>
  <c r="O342" i="24"/>
  <c r="O486" i="24"/>
  <c r="O630" i="24"/>
  <c r="O774" i="24"/>
  <c r="O918" i="24"/>
  <c r="O472" i="24"/>
  <c r="O904" i="24"/>
  <c r="O995" i="24"/>
  <c r="O408" i="24"/>
  <c r="O720" i="24"/>
  <c r="O6" i="24"/>
  <c r="O289" i="24"/>
  <c r="O577" i="24"/>
  <c r="O865" i="24"/>
  <c r="O146" i="24"/>
  <c r="O434" i="24"/>
  <c r="O698" i="24"/>
  <c r="O938" i="24"/>
  <c r="O183" i="24"/>
  <c r="O399" i="24"/>
  <c r="O615" i="24"/>
  <c r="O831" i="24"/>
  <c r="O52" i="24"/>
  <c r="O268" i="24"/>
  <c r="O484" i="24"/>
  <c r="O700" i="24"/>
  <c r="O916" i="24"/>
  <c r="O101" i="24"/>
  <c r="O281" i="24"/>
  <c r="O449" i="24"/>
  <c r="O629" i="24"/>
  <c r="O797" i="24"/>
  <c r="O965" i="24"/>
  <c r="O150" i="24"/>
  <c r="O318" i="24"/>
  <c r="O498" i="24"/>
  <c r="O666" i="24"/>
  <c r="O834" i="24"/>
  <c r="O665" i="24"/>
  <c r="O287" i="24"/>
  <c r="O9" i="24"/>
  <c r="O420" i="24"/>
  <c r="O768" i="24"/>
  <c r="O49" i="24"/>
  <c r="O337" i="24"/>
  <c r="O625" i="24"/>
  <c r="O913" i="24"/>
  <c r="O194" i="24"/>
  <c r="O482" i="24"/>
  <c r="O710" i="24"/>
  <c r="O974" i="24"/>
  <c r="O195" i="24"/>
  <c r="O411" i="24"/>
  <c r="O627" i="24"/>
  <c r="O843" i="24"/>
  <c r="O64" i="24"/>
  <c r="O280" i="24"/>
  <c r="O496" i="24"/>
  <c r="O712" i="24"/>
  <c r="O928" i="24"/>
  <c r="O125" i="24"/>
  <c r="O293" i="24"/>
  <c r="O461" i="24"/>
  <c r="O641" i="24"/>
  <c r="O809" i="24"/>
  <c r="O989" i="24"/>
  <c r="O162" i="24"/>
  <c r="O330" i="24"/>
  <c r="O510" i="24"/>
  <c r="O678" i="24"/>
  <c r="O858" i="24"/>
  <c r="O359" i="24"/>
  <c r="O60" i="24"/>
  <c r="O432" i="24"/>
  <c r="O780" i="24"/>
  <c r="O349" i="24"/>
  <c r="O637" i="24"/>
  <c r="O925" i="24"/>
  <c r="O206" i="24"/>
  <c r="O494" i="24"/>
  <c r="O722" i="24"/>
  <c r="O986" i="24"/>
  <c r="O207" i="24"/>
  <c r="O423" i="24"/>
  <c r="O639" i="24"/>
  <c r="O855" i="24"/>
  <c r="O76" i="24"/>
  <c r="O292" i="24"/>
  <c r="O508" i="24"/>
  <c r="O724" i="24"/>
  <c r="O940" i="24"/>
  <c r="O137" i="24"/>
  <c r="O305" i="24"/>
  <c r="O485" i="24"/>
  <c r="O653" i="24"/>
  <c r="O821" i="24"/>
  <c r="O1001" i="24"/>
  <c r="O174" i="24"/>
  <c r="O354" i="24"/>
  <c r="O690" i="24"/>
  <c r="O870" i="24"/>
  <c r="O792" i="24"/>
  <c r="O361" i="24"/>
  <c r="O649" i="24"/>
  <c r="O937" i="24"/>
  <c r="O506" i="24"/>
  <c r="O770" i="24"/>
  <c r="O998" i="24"/>
  <c r="O219" i="24"/>
  <c r="O435" i="24"/>
  <c r="O651" i="24"/>
  <c r="O867" i="24"/>
  <c r="O88" i="24"/>
  <c r="O304" i="24"/>
  <c r="O520" i="24"/>
  <c r="O736" i="24"/>
  <c r="O149" i="24"/>
  <c r="O317" i="24"/>
  <c r="O497" i="24"/>
  <c r="O845" i="24"/>
  <c r="O18" i="24"/>
  <c r="O186" i="24"/>
  <c r="O366" i="24"/>
  <c r="O534" i="24"/>
  <c r="O61" i="24"/>
  <c r="O431" i="24"/>
  <c r="O72" i="24"/>
  <c r="O492" i="24"/>
  <c r="O73" i="24"/>
  <c r="O218" i="24"/>
  <c r="O503" i="24"/>
  <c r="O132" i="24"/>
  <c r="O504" i="24"/>
  <c r="O840" i="24"/>
  <c r="O121" i="24"/>
  <c r="O409" i="24"/>
  <c r="O697" i="24"/>
  <c r="O985" i="24"/>
  <c r="O266" i="24"/>
  <c r="O542" i="24"/>
  <c r="O782" i="24"/>
  <c r="O5" i="24"/>
  <c r="O255" i="24"/>
  <c r="O471" i="24"/>
  <c r="O687" i="24"/>
  <c r="O903" i="24"/>
  <c r="O124" i="24"/>
  <c r="O340" i="24"/>
  <c r="O575" i="24"/>
  <c r="O144" i="24"/>
  <c r="O552" i="24"/>
  <c r="O852" i="24"/>
  <c r="O133" i="24"/>
  <c r="O421" i="24"/>
  <c r="O709" i="24"/>
  <c r="O997" i="24"/>
  <c r="O278" i="24"/>
  <c r="O554" i="24"/>
  <c r="O794" i="24"/>
  <c r="O51" i="24"/>
  <c r="O267" i="24"/>
  <c r="O483" i="24"/>
  <c r="O699" i="24"/>
  <c r="O915" i="24"/>
  <c r="O136" i="24"/>
  <c r="O352" i="24"/>
  <c r="O568" i="24"/>
  <c r="O784" i="24"/>
  <c r="O988" i="24"/>
  <c r="O173" i="24"/>
  <c r="O353" i="24"/>
  <c r="O521" i="24"/>
  <c r="O701" i="24"/>
  <c r="O869" i="24"/>
  <c r="O42" i="24"/>
  <c r="O222" i="24"/>
  <c r="O390" i="24"/>
  <c r="O570" i="24"/>
  <c r="O738" i="24"/>
  <c r="O906" i="24"/>
  <c r="O750" i="24"/>
  <c r="O208" i="24"/>
  <c r="O647" i="24"/>
  <c r="O204" i="24"/>
  <c r="O564" i="24"/>
  <c r="O864" i="24"/>
  <c r="O145" i="24"/>
  <c r="O433" i="24"/>
  <c r="O721" i="24"/>
  <c r="O7" i="24"/>
  <c r="O290" i="24"/>
  <c r="O566" i="24"/>
  <c r="O830" i="24"/>
  <c r="O63" i="24"/>
  <c r="O279" i="24"/>
  <c r="O495" i="24"/>
  <c r="O711" i="24"/>
  <c r="O927" i="24"/>
  <c r="O148" i="24"/>
  <c r="O364" i="24"/>
  <c r="O580" i="24"/>
  <c r="O796" i="24"/>
  <c r="O1000" i="24"/>
  <c r="O197" i="24"/>
  <c r="O365" i="24"/>
  <c r="O533" i="24"/>
  <c r="O713" i="24"/>
  <c r="O881" i="24"/>
  <c r="O66" i="24"/>
  <c r="O234" i="24"/>
  <c r="O402" i="24"/>
  <c r="O582" i="24"/>
  <c r="O930" i="24"/>
  <c r="O856" i="24"/>
  <c r="O719" i="24"/>
  <c r="O216" i="24"/>
  <c r="O576" i="24"/>
  <c r="O912" i="24"/>
  <c r="O193" i="24"/>
  <c r="O481" i="24"/>
  <c r="O769" i="24"/>
  <c r="O50" i="24"/>
  <c r="O338" i="24"/>
  <c r="O578" i="24"/>
  <c r="O842" i="24"/>
  <c r="O75" i="24"/>
  <c r="O291" i="24"/>
  <c r="O507" i="24"/>
  <c r="O723" i="24"/>
  <c r="O939" i="24"/>
  <c r="O160" i="24"/>
  <c r="O376" i="24"/>
  <c r="O592" i="24"/>
  <c r="O808" i="24"/>
  <c r="O17" i="24"/>
  <c r="O209" i="24"/>
  <c r="O377" i="24"/>
  <c r="O557" i="24"/>
  <c r="O725" i="24"/>
  <c r="O893" i="24"/>
  <c r="O78" i="24"/>
  <c r="O246" i="24"/>
  <c r="O426" i="24"/>
  <c r="O594" i="24"/>
  <c r="O762" i="24"/>
  <c r="O942" i="24"/>
  <c r="O791" i="24"/>
  <c r="O276" i="24"/>
  <c r="O636" i="24"/>
  <c r="O924" i="24"/>
  <c r="O493" i="24"/>
  <c r="O781" i="24"/>
  <c r="O62" i="24"/>
  <c r="O350" i="24"/>
  <c r="O626" i="24"/>
  <c r="O854" i="24"/>
  <c r="O111" i="24"/>
  <c r="O327" i="24"/>
  <c r="O543" i="24"/>
  <c r="O759" i="24"/>
  <c r="O975" i="24"/>
  <c r="O196" i="24"/>
  <c r="O412" i="24"/>
  <c r="O628" i="24"/>
  <c r="O844" i="24"/>
  <c r="O29" i="24"/>
  <c r="O221" i="24"/>
  <c r="O389" i="24"/>
  <c r="O569" i="24"/>
  <c r="O737" i="24"/>
  <c r="O917" i="24"/>
  <c r="O258" i="24"/>
  <c r="O438" i="24"/>
  <c r="O606" i="24"/>
  <c r="O786" i="24"/>
  <c r="O954" i="24"/>
  <c r="O217" i="24"/>
  <c r="O793" i="24"/>
  <c r="O362" i="24"/>
  <c r="O638" i="24"/>
  <c r="O866" i="24"/>
  <c r="O123" i="24"/>
  <c r="O555" i="24"/>
  <c r="O771" i="24"/>
  <c r="O987" i="24"/>
  <c r="O424" i="24"/>
  <c r="O640" i="24"/>
  <c r="O65" i="24"/>
  <c r="O233" i="24"/>
  <c r="O413" i="24"/>
  <c r="O581" i="24"/>
  <c r="O749" i="24"/>
  <c r="O929" i="24"/>
  <c r="O205" i="24"/>
  <c r="O863" i="24"/>
  <c r="O288" i="24"/>
  <c r="O648" i="24"/>
  <c r="O936" i="24"/>
  <c r="O505" i="24"/>
  <c r="O74" i="24"/>
  <c r="O339" i="24"/>
  <c r="O923" i="24"/>
  <c r="O348" i="24"/>
  <c r="O696" i="24"/>
  <c r="O984" i="24"/>
  <c r="O265" i="24"/>
  <c r="O553" i="24"/>
  <c r="O841" i="24"/>
  <c r="O122" i="24"/>
  <c r="O410" i="24"/>
  <c r="O650" i="24"/>
  <c r="O914" i="24"/>
  <c r="O135" i="24"/>
  <c r="O351" i="24"/>
  <c r="O567" i="24"/>
  <c r="O783" i="24"/>
  <c r="O999" i="24"/>
  <c r="O220" i="24"/>
  <c r="O935" i="24"/>
  <c r="O360" i="24"/>
  <c r="O708" i="24"/>
  <c r="O996" i="24"/>
  <c r="O277" i="24"/>
  <c r="O565" i="24"/>
  <c r="O853" i="24"/>
  <c r="O134" i="24"/>
  <c r="O422" i="24"/>
  <c r="O686" i="24"/>
  <c r="O926" i="24"/>
  <c r="O147" i="24"/>
  <c r="O363" i="24"/>
  <c r="O579" i="24"/>
  <c r="O795" i="24"/>
  <c r="O16" i="24"/>
  <c r="O232" i="24"/>
  <c r="O448" i="24"/>
  <c r="O664" i="24"/>
  <c r="O880" i="24"/>
  <c r="O89" i="24"/>
  <c r="O269" i="24"/>
  <c r="O437" i="24"/>
  <c r="O605" i="24"/>
  <c r="O785" i="24"/>
  <c r="O953" i="24"/>
  <c r="O138" i="24"/>
  <c r="O306" i="24"/>
  <c r="O474" i="24"/>
  <c r="O654" i="24"/>
  <c r="O822" i="24"/>
  <c r="O1002" i="24"/>
  <c r="O436" i="24"/>
  <c r="O509" i="24"/>
  <c r="O294" i="24"/>
  <c r="O882" i="24"/>
  <c r="O593" i="24"/>
  <c r="O378" i="24"/>
  <c r="O894" i="24"/>
  <c r="O652" i="24"/>
  <c r="O677" i="24"/>
  <c r="O450" i="24"/>
  <c r="O966" i="24"/>
  <c r="O556" i="24"/>
  <c r="O868" i="24"/>
  <c r="O857" i="24"/>
  <c r="O522" i="24"/>
  <c r="O952" i="24"/>
  <c r="O941" i="24"/>
  <c r="O546" i="24"/>
  <c r="O976" i="24"/>
  <c r="O30" i="24"/>
  <c r="O618" i="24"/>
  <c r="O77" i="24"/>
  <c r="O90" i="24"/>
  <c r="O642" i="24"/>
  <c r="O161" i="24"/>
  <c r="O102" i="24"/>
  <c r="O714" i="24"/>
  <c r="O245" i="24"/>
  <c r="O114" i="24"/>
  <c r="O210" i="24"/>
  <c r="O798" i="24"/>
  <c r="O425" i="24"/>
  <c r="O282" i="24"/>
  <c r="O772" i="24"/>
  <c r="O773" i="24"/>
  <c r="O462" i="24"/>
  <c r="O726" i="24"/>
  <c r="O978" i="24"/>
  <c r="O341" i="24"/>
  <c r="O810" i="24"/>
  <c r="C34" i="18"/>
  <c r="O442" i="19" s="1"/>
  <c r="C34" i="14"/>
  <c r="G17" i="1" s="1"/>
  <c r="F18" i="1"/>
  <c r="O499" i="13"/>
  <c r="G16" i="1"/>
  <c r="O338" i="13"/>
  <c r="J34" i="12"/>
  <c r="F16" i="1" s="1"/>
  <c r="O104" i="13"/>
  <c r="O795" i="13"/>
  <c r="O872" i="13"/>
  <c r="O293" i="13"/>
  <c r="O669" i="13"/>
  <c r="O462" i="13"/>
  <c r="O526" i="13"/>
  <c r="O903" i="13"/>
  <c r="O12" i="13"/>
  <c r="O756" i="13"/>
  <c r="O493" i="13"/>
  <c r="O448" i="13"/>
  <c r="O281" i="13"/>
  <c r="O762" i="13"/>
  <c r="J34" i="16"/>
  <c r="F19" i="1" s="1"/>
  <c r="C34" i="16"/>
  <c r="G19" i="1" s="1"/>
  <c r="J34" i="10"/>
  <c r="F14" i="1" s="1"/>
  <c r="C34" i="10"/>
  <c r="O615" i="13"/>
  <c r="O475" i="13"/>
  <c r="O481" i="13"/>
  <c r="O275" i="13"/>
  <c r="O342" i="13"/>
  <c r="O522" i="13"/>
  <c r="O660" i="13"/>
  <c r="O941" i="13"/>
  <c r="O603" i="13"/>
  <c r="O498" i="13"/>
  <c r="O65" i="13"/>
  <c r="O280" i="13"/>
  <c r="O433" i="13"/>
  <c r="O648" i="13"/>
  <c r="O591" i="13"/>
  <c r="O917" i="13"/>
  <c r="O652" i="13"/>
  <c r="O243" i="13"/>
  <c r="O374" i="13"/>
  <c r="O282" i="13"/>
  <c r="O350" i="13"/>
  <c r="O791" i="13"/>
  <c r="O214" i="13"/>
  <c r="O441" i="13"/>
  <c r="O596" i="13"/>
  <c r="O230" i="13"/>
  <c r="O845" i="13"/>
  <c r="O628" i="13"/>
  <c r="O219" i="13"/>
  <c r="O278" i="13"/>
  <c r="O351" i="13"/>
  <c r="O258" i="13"/>
  <c r="O254" i="13"/>
  <c r="O985" i="13"/>
  <c r="O265" i="13"/>
  <c r="O480" i="13"/>
  <c r="O779" i="13"/>
  <c r="O23" i="13"/>
  <c r="O202" i="13"/>
  <c r="O417" i="13"/>
  <c r="O548" i="13"/>
  <c r="O86" i="13"/>
  <c r="O797" i="13"/>
  <c r="O316" i="13"/>
  <c r="O147" i="13"/>
  <c r="O775" i="13"/>
  <c r="O830" i="13"/>
  <c r="O41" i="13"/>
  <c r="O799" i="13"/>
  <c r="O901" i="13"/>
  <c r="O157" i="13"/>
  <c r="O444" i="13"/>
  <c r="O671" i="13"/>
  <c r="O946" i="13"/>
  <c r="O130" i="13"/>
  <c r="O309" i="13"/>
  <c r="O512" i="13"/>
  <c r="O287" i="13"/>
  <c r="O844" i="13"/>
  <c r="O424" i="13"/>
  <c r="O514" i="13"/>
  <c r="O820" i="13"/>
  <c r="O304" i="13"/>
  <c r="O621" i="13"/>
  <c r="O170" i="13"/>
  <c r="O609" i="13"/>
  <c r="O997" i="13"/>
  <c r="O519" i="13"/>
  <c r="O655" i="13"/>
  <c r="O773" i="13"/>
  <c r="O292" i="13"/>
  <c r="O123" i="13"/>
  <c r="O703" i="13"/>
  <c r="O734" i="13"/>
  <c r="O15" i="13"/>
  <c r="O679" i="13"/>
  <c r="O889" i="13"/>
  <c r="O145" i="13"/>
  <c r="O432" i="13"/>
  <c r="O659" i="13"/>
  <c r="O934" i="13"/>
  <c r="O118" i="13"/>
  <c r="O297" i="13"/>
  <c r="O500" i="13"/>
  <c r="O723" i="13"/>
  <c r="O89" i="13"/>
  <c r="O394" i="13"/>
  <c r="O796" i="13"/>
  <c r="O382" i="13"/>
  <c r="O35" i="13"/>
  <c r="O759" i="13"/>
  <c r="O295" i="13"/>
  <c r="O413" i="13"/>
  <c r="O268" i="13"/>
  <c r="O818" i="13"/>
  <c r="O78" i="13"/>
  <c r="O175" i="13"/>
  <c r="O713" i="13"/>
  <c r="O976" i="13"/>
  <c r="O733" i="13"/>
  <c r="O13" i="13"/>
  <c r="O276" i="13"/>
  <c r="O503" i="13"/>
  <c r="O766" i="13"/>
  <c r="O957" i="13"/>
  <c r="O177" i="13"/>
  <c r="O272" i="13"/>
  <c r="O314" i="13"/>
  <c r="O744" i="13"/>
  <c r="O657" i="13"/>
  <c r="O627" i="13"/>
  <c r="O445" i="13"/>
  <c r="O935" i="13"/>
  <c r="O203" i="13"/>
  <c r="O492" i="13"/>
  <c r="O735" i="13"/>
  <c r="O199" i="13"/>
  <c r="O389" i="13"/>
  <c r="O124" i="13"/>
  <c r="O794" i="13"/>
  <c r="O53" i="13"/>
  <c r="O79" i="13"/>
  <c r="O689" i="13"/>
  <c r="O952" i="13"/>
  <c r="O721" i="13"/>
  <c r="O6" i="13"/>
  <c r="O264" i="13"/>
  <c r="O491" i="13"/>
  <c r="O754" i="13"/>
  <c r="O945" i="13"/>
  <c r="O165" i="13"/>
  <c r="O260" i="13"/>
  <c r="O366" i="13"/>
  <c r="O257" i="13"/>
  <c r="O26" i="13"/>
  <c r="O194" i="13"/>
  <c r="O215" i="13"/>
  <c r="O879" i="13"/>
  <c r="O331" i="13"/>
  <c r="O800" i="13"/>
  <c r="O277" i="13"/>
  <c r="O975" i="13"/>
  <c r="O558" i="13"/>
  <c r="O365" i="13"/>
  <c r="O100" i="13"/>
  <c r="O674" i="13"/>
  <c r="O835" i="13"/>
  <c r="O606" i="13"/>
  <c r="O617" i="13"/>
  <c r="O736" i="13"/>
  <c r="O661" i="13"/>
  <c r="O924" i="13"/>
  <c r="O180" i="13"/>
  <c r="O455" i="13"/>
  <c r="O682" i="13"/>
  <c r="O849" i="13"/>
  <c r="O45" i="13"/>
  <c r="O20" i="13"/>
  <c r="O296" i="13"/>
  <c r="O608" i="13"/>
  <c r="O908" i="13"/>
  <c r="O189" i="13"/>
  <c r="O453" i="13"/>
  <c r="O741" i="13"/>
  <c r="O969" i="13"/>
  <c r="O274" i="13"/>
  <c r="O538" i="13"/>
  <c r="O778" i="13"/>
  <c r="O47" i="13"/>
  <c r="O299" i="13"/>
  <c r="O587" i="13"/>
  <c r="O803" i="13"/>
  <c r="O48" i="13"/>
  <c r="O288" i="13"/>
  <c r="O504" i="13"/>
  <c r="O792" i="13"/>
  <c r="O25" i="13"/>
  <c r="O289" i="13"/>
  <c r="O505" i="13"/>
  <c r="O769" i="13"/>
  <c r="O39" i="13"/>
  <c r="O568" i="13"/>
  <c r="O1000" i="13"/>
  <c r="O422" i="13"/>
  <c r="O305" i="13"/>
  <c r="O833" i="13"/>
  <c r="O306" i="13"/>
  <c r="O786" i="13"/>
  <c r="O631" i="13"/>
  <c r="O42" i="13"/>
  <c r="O619" i="13"/>
  <c r="O678" i="13"/>
  <c r="O662" i="13"/>
  <c r="O362" i="13"/>
  <c r="O842" i="13"/>
  <c r="O411" i="13"/>
  <c r="O891" i="13"/>
  <c r="O388" i="13"/>
  <c r="O868" i="13"/>
  <c r="O485" i="13"/>
  <c r="O150" i="13"/>
  <c r="O582" i="13"/>
  <c r="O326" i="13"/>
  <c r="O159" i="13"/>
  <c r="O876" i="13"/>
  <c r="O473" i="13"/>
  <c r="O223" i="13"/>
  <c r="O76" i="13"/>
  <c r="O103" i="13"/>
  <c r="O32" i="13"/>
  <c r="O344" i="13"/>
  <c r="O644" i="13"/>
  <c r="O920" i="13"/>
  <c r="O201" i="13"/>
  <c r="O465" i="13"/>
  <c r="O753" i="13"/>
  <c r="O981" i="13"/>
  <c r="O298" i="13"/>
  <c r="O550" i="13"/>
  <c r="O790" i="13"/>
  <c r="O59" i="13"/>
  <c r="O311" i="13"/>
  <c r="O599" i="13"/>
  <c r="O815" i="13"/>
  <c r="O60" i="13"/>
  <c r="O300" i="13"/>
  <c r="O516" i="13"/>
  <c r="O804" i="13"/>
  <c r="O37" i="13"/>
  <c r="O301" i="13"/>
  <c r="O517" i="13"/>
  <c r="O781" i="13"/>
  <c r="O64" i="13"/>
  <c r="O592" i="13"/>
  <c r="O77" i="13"/>
  <c r="O518" i="13"/>
  <c r="O329" i="13"/>
  <c r="O857" i="13"/>
  <c r="O330" i="13"/>
  <c r="O810" i="13"/>
  <c r="O751" i="13"/>
  <c r="O67" i="13"/>
  <c r="O643" i="13"/>
  <c r="O870" i="13"/>
  <c r="O806" i="13"/>
  <c r="O386" i="13"/>
  <c r="O866" i="13"/>
  <c r="O435" i="13"/>
  <c r="O915" i="13"/>
  <c r="O412" i="13"/>
  <c r="O916" i="13"/>
  <c r="O509" i="13"/>
  <c r="O174" i="13"/>
  <c r="O630" i="13"/>
  <c r="O446" i="13"/>
  <c r="O639" i="13"/>
  <c r="O21" i="13"/>
  <c r="O636" i="13"/>
  <c r="O877" i="13"/>
  <c r="O40" i="13"/>
  <c r="O1002" i="13"/>
  <c r="O43" i="13"/>
  <c r="O556" i="13"/>
  <c r="O782" i="13"/>
  <c r="O44" i="13"/>
  <c r="O356" i="13"/>
  <c r="O656" i="13"/>
  <c r="O980" i="13"/>
  <c r="O213" i="13"/>
  <c r="O477" i="13"/>
  <c r="O765" i="13"/>
  <c r="O46" i="13"/>
  <c r="O310" i="13"/>
  <c r="O562" i="13"/>
  <c r="O850" i="13"/>
  <c r="O71" i="13"/>
  <c r="O371" i="13"/>
  <c r="O611" i="13"/>
  <c r="O851" i="13"/>
  <c r="O72" i="13"/>
  <c r="O312" i="13"/>
  <c r="O600" i="13"/>
  <c r="O840" i="13"/>
  <c r="O73" i="13"/>
  <c r="O313" i="13"/>
  <c r="O553" i="13"/>
  <c r="O841" i="13"/>
  <c r="O88" i="13"/>
  <c r="O616" i="13"/>
  <c r="O822" i="13"/>
  <c r="O758" i="13"/>
  <c r="O401" i="13"/>
  <c r="O929" i="13"/>
  <c r="O402" i="13"/>
  <c r="O834" i="13"/>
  <c r="O871" i="13"/>
  <c r="O187" i="13"/>
  <c r="O715" i="13"/>
  <c r="O990" i="13"/>
  <c r="O183" i="13"/>
  <c r="O458" i="13"/>
  <c r="O18" i="13"/>
  <c r="O459" i="13"/>
  <c r="O939" i="13"/>
  <c r="O484" i="13"/>
  <c r="O964" i="13"/>
  <c r="O629" i="13"/>
  <c r="O198" i="13"/>
  <c r="O846" i="13"/>
  <c r="O542" i="13"/>
  <c r="O927" i="13"/>
  <c r="O416" i="13"/>
  <c r="O273" i="13"/>
  <c r="O825" i="13"/>
  <c r="O610" i="13"/>
  <c r="O167" i="13"/>
  <c r="O911" i="13"/>
  <c r="O133" i="13"/>
  <c r="O256" i="13"/>
  <c r="O1001" i="13"/>
  <c r="O307" i="13"/>
  <c r="O531" i="13"/>
  <c r="O270" i="13"/>
  <c r="O56" i="13"/>
  <c r="O368" i="13"/>
  <c r="O704" i="13"/>
  <c r="O992" i="13"/>
  <c r="O225" i="13"/>
  <c r="O489" i="13"/>
  <c r="O777" i="13"/>
  <c r="O58" i="13"/>
  <c r="O322" i="13"/>
  <c r="O586" i="13"/>
  <c r="O874" i="13"/>
  <c r="O83" i="13"/>
  <c r="O383" i="13"/>
  <c r="O623" i="13"/>
  <c r="O863" i="13"/>
  <c r="O84" i="13"/>
  <c r="O324" i="13"/>
  <c r="O612" i="13"/>
  <c r="O852" i="13"/>
  <c r="O85" i="13"/>
  <c r="O325" i="13"/>
  <c r="O565" i="13"/>
  <c r="O853" i="13"/>
  <c r="O112" i="13"/>
  <c r="O640" i="13"/>
  <c r="O942" i="13"/>
  <c r="O854" i="13"/>
  <c r="O425" i="13"/>
  <c r="O953" i="13"/>
  <c r="O426" i="13"/>
  <c r="O858" i="13"/>
  <c r="O991" i="13"/>
  <c r="O211" i="13"/>
  <c r="O739" i="13"/>
  <c r="O55" i="13"/>
  <c r="O303" i="13"/>
  <c r="O482" i="13"/>
  <c r="O51" i="13"/>
  <c r="O483" i="13"/>
  <c r="O963" i="13"/>
  <c r="O508" i="13"/>
  <c r="O988" i="13"/>
  <c r="O653" i="13"/>
  <c r="O222" i="13"/>
  <c r="O894" i="13"/>
  <c r="O638" i="13"/>
  <c r="O327" i="13"/>
  <c r="O740" i="13"/>
  <c r="O537" i="13"/>
  <c r="O106" i="13"/>
  <c r="O898" i="13"/>
  <c r="O647" i="13"/>
  <c r="O132" i="13"/>
  <c r="O349" i="13"/>
  <c r="O127" i="13"/>
  <c r="O398" i="13"/>
  <c r="O99" i="13"/>
  <c r="O701" i="13"/>
  <c r="O68" i="13"/>
  <c r="O404" i="13"/>
  <c r="O728" i="13"/>
  <c r="O38" i="13"/>
  <c r="O261" i="13"/>
  <c r="O525" i="13"/>
  <c r="O813" i="13"/>
  <c r="O94" i="13"/>
  <c r="O358" i="13"/>
  <c r="O598" i="13"/>
  <c r="O886" i="13"/>
  <c r="O155" i="13"/>
  <c r="O419" i="13"/>
  <c r="O635" i="13"/>
  <c r="O899" i="13"/>
  <c r="O120" i="13"/>
  <c r="O408" i="13"/>
  <c r="O624" i="13"/>
  <c r="O864" i="13"/>
  <c r="O121" i="13"/>
  <c r="O337" i="13"/>
  <c r="O625" i="13"/>
  <c r="O865" i="13"/>
  <c r="O232" i="13"/>
  <c r="O664" i="13"/>
  <c r="O29" i="13"/>
  <c r="O375" i="13"/>
  <c r="O449" i="13"/>
  <c r="O977" i="13"/>
  <c r="O450" i="13"/>
  <c r="O978" i="13"/>
  <c r="O302" i="13"/>
  <c r="O283" i="13"/>
  <c r="O763" i="13"/>
  <c r="O151" i="13"/>
  <c r="O17" i="13"/>
  <c r="O554" i="13"/>
  <c r="O75" i="13"/>
  <c r="O507" i="13"/>
  <c r="O52" i="13"/>
  <c r="O532" i="13"/>
  <c r="O245" i="13"/>
  <c r="O677" i="13"/>
  <c r="O246" i="13"/>
  <c r="O966" i="13"/>
  <c r="O710" i="13"/>
  <c r="O447" i="13"/>
  <c r="O80" i="13"/>
  <c r="O370" i="13"/>
  <c r="O431" i="13"/>
  <c r="O420" i="13"/>
  <c r="O637" i="13"/>
  <c r="O688" i="13"/>
  <c r="O474" i="13"/>
  <c r="O787" i="13"/>
  <c r="O578" i="13"/>
  <c r="O269" i="13"/>
  <c r="O471" i="13"/>
  <c r="O116" i="13"/>
  <c r="O524" i="13"/>
  <c r="O824" i="13"/>
  <c r="O57" i="13"/>
  <c r="O369" i="13"/>
  <c r="O633" i="13"/>
  <c r="O921" i="13"/>
  <c r="O154" i="13"/>
  <c r="O406" i="13"/>
  <c r="O730" i="13"/>
  <c r="O982" i="13"/>
  <c r="O227" i="13"/>
  <c r="O467" i="13"/>
  <c r="O731" i="13"/>
  <c r="O995" i="13"/>
  <c r="O216" i="13"/>
  <c r="O456" i="13"/>
  <c r="O696" i="13"/>
  <c r="O936" i="13"/>
  <c r="O193" i="13"/>
  <c r="O457" i="13"/>
  <c r="O697" i="13"/>
  <c r="O937" i="13"/>
  <c r="O328" i="13"/>
  <c r="O904" i="13"/>
  <c r="O134" i="13"/>
  <c r="O113" i="13"/>
  <c r="O641" i="13"/>
  <c r="O114" i="13"/>
  <c r="O690" i="13"/>
  <c r="O774" i="13"/>
  <c r="O63" i="13"/>
  <c r="O427" i="13"/>
  <c r="O859" i="13"/>
  <c r="O30" i="13"/>
  <c r="O218" i="13"/>
  <c r="O746" i="13"/>
  <c r="O171" i="13"/>
  <c r="O699" i="13"/>
  <c r="O244" i="13"/>
  <c r="O772" i="13"/>
  <c r="O341" i="13"/>
  <c r="O821" i="13"/>
  <c r="O438" i="13"/>
  <c r="O583" i="13"/>
  <c r="O495" i="13"/>
  <c r="O711" i="13"/>
  <c r="O248" i="13"/>
  <c r="O536" i="13"/>
  <c r="O836" i="13"/>
  <c r="O69" i="13"/>
  <c r="O381" i="13"/>
  <c r="O645" i="13"/>
  <c r="O933" i="13"/>
  <c r="O166" i="13"/>
  <c r="O418" i="13"/>
  <c r="O742" i="13"/>
  <c r="O994" i="13"/>
  <c r="O239" i="13"/>
  <c r="O479" i="13"/>
  <c r="O743" i="13"/>
  <c r="O9" i="13"/>
  <c r="O228" i="13"/>
  <c r="O468" i="13"/>
  <c r="O708" i="13"/>
  <c r="O948" i="13"/>
  <c r="O205" i="13"/>
  <c r="O469" i="13"/>
  <c r="O709" i="13"/>
  <c r="O949" i="13"/>
  <c r="O352" i="13"/>
  <c r="O928" i="13"/>
  <c r="O158" i="13"/>
  <c r="O137" i="13"/>
  <c r="O665" i="13"/>
  <c r="O138" i="13"/>
  <c r="O714" i="13"/>
  <c r="O918" i="13"/>
  <c r="O255" i="13"/>
  <c r="O451" i="13"/>
  <c r="O883" i="13"/>
  <c r="O182" i="13"/>
  <c r="O242" i="13"/>
  <c r="O770" i="13"/>
  <c r="O195" i="13"/>
  <c r="O738" i="13"/>
  <c r="O848" i="13"/>
  <c r="O135" i="13"/>
  <c r="O355" i="13"/>
  <c r="O812" i="13"/>
  <c r="O923" i="13"/>
  <c r="O16" i="13"/>
  <c r="O687" i="13"/>
  <c r="O534" i="13"/>
  <c r="O317" i="13"/>
  <c r="O819" i="13"/>
  <c r="O650" i="13"/>
  <c r="O811" i="13"/>
  <c r="O102" i="13"/>
  <c r="O593" i="13"/>
  <c r="O712" i="13"/>
  <c r="O649" i="13"/>
  <c r="O912" i="13"/>
  <c r="O168" i="13"/>
  <c r="O443" i="13"/>
  <c r="O670" i="13"/>
  <c r="O837" i="13"/>
  <c r="O33" i="13"/>
  <c r="O92" i="13"/>
  <c r="O351" i="15"/>
  <c r="O477" i="15"/>
  <c r="O604" i="15"/>
  <c r="O165" i="15"/>
  <c r="O297" i="15"/>
  <c r="O428" i="15"/>
  <c r="O773" i="15"/>
  <c r="O869" i="15"/>
  <c r="O36" i="15"/>
  <c r="O404" i="15"/>
  <c r="O535" i="15"/>
  <c r="O559" i="15"/>
  <c r="O799" i="15"/>
  <c r="O823" i="15"/>
  <c r="O871" i="15"/>
  <c r="O172" i="15"/>
  <c r="O224" i="15"/>
  <c r="O304" i="15"/>
  <c r="O512" i="15"/>
  <c r="O536" i="15"/>
  <c r="O608" i="15"/>
  <c r="O752" i="15"/>
  <c r="O776" i="15"/>
  <c r="O800" i="15"/>
  <c r="O920" i="15"/>
  <c r="O944" i="15"/>
  <c r="O968" i="15"/>
  <c r="O148" i="15"/>
  <c r="O175" i="15"/>
  <c r="O225" i="15"/>
  <c r="O331" i="15"/>
  <c r="O381" i="15"/>
  <c r="O411" i="15"/>
  <c r="O513" i="15"/>
  <c r="O537" i="15"/>
  <c r="O561" i="15"/>
  <c r="O657" i="15"/>
  <c r="O681" i="15"/>
  <c r="O705" i="15"/>
  <c r="O801" i="15"/>
  <c r="O825" i="15"/>
  <c r="O849" i="15"/>
  <c r="O945" i="15"/>
  <c r="O969" i="15"/>
  <c r="O993" i="15"/>
  <c r="O151" i="15"/>
  <c r="O176" i="15"/>
  <c r="O201" i="15"/>
  <c r="O307" i="15"/>
  <c r="O332" i="15"/>
  <c r="O357" i="15"/>
  <c r="O464" i="15"/>
  <c r="O489" i="15"/>
  <c r="O519" i="15"/>
  <c r="O615" i="15"/>
  <c r="O639" i="15"/>
  <c r="O663" i="15"/>
  <c r="O759" i="15"/>
  <c r="O783" i="15"/>
  <c r="O807" i="15"/>
  <c r="O903" i="15"/>
  <c r="O927" i="15"/>
  <c r="O951" i="15"/>
  <c r="O160" i="15"/>
  <c r="O211" i="15"/>
  <c r="O261" i="15"/>
  <c r="O473" i="15"/>
  <c r="O524" i="15"/>
  <c r="O572" i="15"/>
  <c r="O764" i="15"/>
  <c r="O812" i="15"/>
  <c r="O860" i="15"/>
  <c r="O692" i="15"/>
  <c r="O187" i="15"/>
  <c r="O152" i="15"/>
  <c r="O103" i="15"/>
  <c r="O161" i="15"/>
  <c r="O212" i="15"/>
  <c r="O424" i="15"/>
  <c r="O475" i="15"/>
  <c r="O525" i="15"/>
  <c r="O717" i="15"/>
  <c r="O765" i="15"/>
  <c r="O813" i="15"/>
  <c r="O1005" i="15"/>
  <c r="O884" i="15"/>
  <c r="O597" i="15"/>
  <c r="O27" i="15"/>
  <c r="O104" i="15"/>
  <c r="O163" i="15"/>
  <c r="O375" i="15"/>
  <c r="O425" i="15"/>
  <c r="O476" i="15"/>
  <c r="O675" i="15"/>
  <c r="O723" i="15"/>
  <c r="O771" i="15"/>
  <c r="O963" i="15"/>
  <c r="O836" i="15"/>
  <c r="O645" i="15"/>
  <c r="O51" i="15"/>
  <c r="O125" i="15"/>
  <c r="O177" i="15"/>
  <c r="O388" i="15"/>
  <c r="O440" i="15"/>
  <c r="O495" i="15"/>
  <c r="O688" i="15"/>
  <c r="O736" i="15"/>
  <c r="O784" i="15"/>
  <c r="O976" i="15"/>
  <c r="O129" i="15"/>
  <c r="O237" i="15"/>
  <c r="O60" i="15"/>
  <c r="O127" i="15"/>
  <c r="O183" i="15"/>
  <c r="O391" i="15"/>
  <c r="O441" i="15"/>
  <c r="O496" i="15"/>
  <c r="O689" i="15"/>
  <c r="O737" i="15"/>
  <c r="O785" i="15"/>
  <c r="O977" i="15"/>
  <c r="O185" i="15"/>
  <c r="O291" i="15"/>
  <c r="O644" i="15"/>
  <c r="O788" i="15"/>
  <c r="O980" i="15"/>
  <c r="O500" i="15"/>
  <c r="O693" i="15"/>
  <c r="O789" i="15"/>
  <c r="O243" i="15"/>
  <c r="O295" i="15"/>
  <c r="O400" i="15"/>
  <c r="O843" i="15"/>
  <c r="O939" i="15"/>
  <c r="O987" i="15"/>
  <c r="O568" i="15"/>
  <c r="O664" i="15"/>
  <c r="O760" i="15"/>
  <c r="O208" i="15"/>
  <c r="O259" i="15"/>
  <c r="O364" i="15"/>
  <c r="O905" i="15"/>
  <c r="O1001" i="15"/>
  <c r="O159" i="15"/>
  <c r="O811" i="15"/>
  <c r="O907" i="15"/>
  <c r="O955" i="15"/>
  <c r="O235" i="15"/>
  <c r="O285" i="15"/>
  <c r="O340" i="15"/>
  <c r="O547" i="15"/>
  <c r="O595" i="15"/>
  <c r="O643" i="15"/>
  <c r="O835" i="15"/>
  <c r="O883" i="15"/>
  <c r="O931" i="15"/>
  <c r="O343" i="15"/>
  <c r="O499" i="15"/>
  <c r="O596" i="15"/>
  <c r="O344" i="15"/>
  <c r="O449" i="15"/>
  <c r="O549" i="15"/>
  <c r="O74" i="15"/>
  <c r="O188" i="15"/>
  <c r="O345" i="15"/>
  <c r="O891" i="15"/>
  <c r="O415" i="15"/>
  <c r="O520" i="15"/>
  <c r="O904" i="15"/>
  <c r="O952" i="15"/>
  <c r="O153" i="15"/>
  <c r="O713" i="15"/>
  <c r="O809" i="15"/>
  <c r="O857" i="15"/>
  <c r="O417" i="15"/>
  <c r="O472" i="15"/>
  <c r="O571" i="15"/>
  <c r="O485" i="15"/>
  <c r="O197" i="15"/>
  <c r="O82" i="15"/>
  <c r="O658" i="15"/>
  <c r="O802" i="15"/>
  <c r="O946" i="15"/>
  <c r="O503" i="15"/>
  <c r="O647" i="15"/>
  <c r="O791" i="15"/>
  <c r="O360" i="15"/>
  <c r="O504" i="15"/>
  <c r="O648" i="15"/>
  <c r="O205" i="15"/>
  <c r="O349" i="15"/>
  <c r="O493" i="15"/>
  <c r="O72" i="15"/>
  <c r="O218" i="15"/>
  <c r="O362" i="15"/>
  <c r="O938" i="15"/>
  <c r="O76" i="15"/>
  <c r="O222" i="15"/>
  <c r="O798" i="15"/>
  <c r="O942" i="15"/>
  <c r="O21" i="15"/>
  <c r="O9" i="15"/>
  <c r="O720" i="15"/>
  <c r="O421" i="15"/>
  <c r="O310" i="15"/>
  <c r="O87" i="15"/>
  <c r="O731" i="15"/>
  <c r="O734" i="15"/>
  <c r="O450" i="15"/>
  <c r="O466" i="15"/>
  <c r="O26" i="15"/>
  <c r="O13" i="15"/>
  <c r="O49" i="15"/>
  <c r="O758" i="15"/>
  <c r="O618" i="15"/>
  <c r="O52" i="15"/>
  <c r="O94" i="15"/>
  <c r="O238" i="15"/>
  <c r="O382" i="15"/>
  <c r="O958" i="15"/>
  <c r="O83" i="15"/>
  <c r="O227" i="15"/>
  <c r="O803" i="15"/>
  <c r="O947" i="15"/>
  <c r="O84" i="15"/>
  <c r="O660" i="15"/>
  <c r="O804" i="15"/>
  <c r="O948" i="15"/>
  <c r="O505" i="15"/>
  <c r="O649" i="15"/>
  <c r="O793" i="15"/>
  <c r="O374" i="15"/>
  <c r="O518" i="15"/>
  <c r="O662" i="15"/>
  <c r="O234" i="15"/>
  <c r="O378" i="15"/>
  <c r="O522" i="15"/>
  <c r="O80" i="15"/>
  <c r="O30" i="15"/>
  <c r="O442" i="15"/>
  <c r="O853" i="15"/>
  <c r="O722" i="15"/>
  <c r="O726" i="15"/>
  <c r="O59" i="15"/>
  <c r="O865" i="15"/>
  <c r="O878" i="15"/>
  <c r="O111" i="15"/>
  <c r="O157" i="15"/>
  <c r="O314" i="15"/>
  <c r="O318" i="15"/>
  <c r="O67" i="15"/>
  <c r="O23" i="15"/>
  <c r="O135" i="15"/>
  <c r="O25" i="15"/>
  <c r="O902" i="15"/>
  <c r="O762" i="15"/>
  <c r="O490" i="15"/>
  <c r="O437" i="15"/>
  <c r="O149" i="15"/>
  <c r="O106" i="15"/>
  <c r="O250" i="15"/>
  <c r="O394" i="15"/>
  <c r="O538" i="15"/>
  <c r="O682" i="15"/>
  <c r="O826" i="15"/>
  <c r="O970" i="15"/>
  <c r="O95" i="15"/>
  <c r="O239" i="15"/>
  <c r="O383" i="15"/>
  <c r="O527" i="15"/>
  <c r="O671" i="15"/>
  <c r="O815" i="15"/>
  <c r="O959" i="15"/>
  <c r="O96" i="15"/>
  <c r="O240" i="15"/>
  <c r="O384" i="15"/>
  <c r="O528" i="15"/>
  <c r="O672" i="15"/>
  <c r="O816" i="15"/>
  <c r="O960" i="15"/>
  <c r="O85" i="15"/>
  <c r="O229" i="15"/>
  <c r="O373" i="15"/>
  <c r="O517" i="15"/>
  <c r="O661" i="15"/>
  <c r="O805" i="15"/>
  <c r="O949" i="15"/>
  <c r="O98" i="15"/>
  <c r="O242" i="15"/>
  <c r="O386" i="15"/>
  <c r="O530" i="15"/>
  <c r="O674" i="15"/>
  <c r="O818" i="15"/>
  <c r="O962" i="15"/>
  <c r="O102" i="15"/>
  <c r="O246" i="15"/>
  <c r="O390" i="15"/>
  <c r="O534" i="15"/>
  <c r="O678" i="15"/>
  <c r="O822" i="15"/>
  <c r="O966" i="15"/>
  <c r="O68" i="15"/>
  <c r="O18" i="15"/>
  <c r="O298" i="15"/>
  <c r="O874" i="15"/>
  <c r="O863" i="15"/>
  <c r="O864" i="15"/>
  <c r="O709" i="15"/>
  <c r="O578" i="15"/>
  <c r="O294" i="15"/>
  <c r="O14" i="15"/>
  <c r="O454" i="15"/>
  <c r="O299" i="15"/>
  <c r="O42" i="15"/>
  <c r="O876" i="15"/>
  <c r="O577" i="15"/>
  <c r="O302" i="15"/>
  <c r="O10" i="15"/>
  <c r="O594" i="15"/>
  <c r="O79" i="15"/>
  <c r="O17" i="15"/>
  <c r="O754" i="15"/>
  <c r="O123" i="15"/>
  <c r="O311" i="15"/>
  <c r="O168" i="15"/>
  <c r="O744" i="15"/>
  <c r="O589" i="15"/>
  <c r="O458" i="15"/>
  <c r="O174" i="15"/>
  <c r="O894" i="15"/>
  <c r="O269" i="15"/>
  <c r="O910" i="15"/>
  <c r="O323" i="15"/>
  <c r="O899" i="15"/>
  <c r="O756" i="15"/>
  <c r="O313" i="15"/>
  <c r="O182" i="15"/>
  <c r="O29" i="15"/>
  <c r="O906" i="15"/>
  <c r="O245" i="15"/>
  <c r="O634" i="15"/>
  <c r="O413" i="15"/>
  <c r="O124" i="15"/>
  <c r="O118" i="15"/>
  <c r="O262" i="15"/>
  <c r="O406" i="15"/>
  <c r="O550" i="15"/>
  <c r="O694" i="15"/>
  <c r="O838" i="15"/>
  <c r="O982" i="15"/>
  <c r="O107" i="15"/>
  <c r="O251" i="15"/>
  <c r="O395" i="15"/>
  <c r="O539" i="15"/>
  <c r="O683" i="15"/>
  <c r="O827" i="15"/>
  <c r="O971" i="15"/>
  <c r="O108" i="15"/>
  <c r="O252" i="15"/>
  <c r="O396" i="15"/>
  <c r="O540" i="15"/>
  <c r="O684" i="15"/>
  <c r="O828" i="15"/>
  <c r="O972" i="15"/>
  <c r="O97" i="15"/>
  <c r="O241" i="15"/>
  <c r="O385" i="15"/>
  <c r="O529" i="15"/>
  <c r="O673" i="15"/>
  <c r="O817" i="15"/>
  <c r="O961" i="15"/>
  <c r="O110" i="15"/>
  <c r="O254" i="15"/>
  <c r="O398" i="15"/>
  <c r="O542" i="15"/>
  <c r="O686" i="15"/>
  <c r="O830" i="15"/>
  <c r="O974" i="15"/>
  <c r="O114" i="15"/>
  <c r="O258" i="15"/>
  <c r="O402" i="15"/>
  <c r="O546" i="15"/>
  <c r="O690" i="15"/>
  <c r="O834" i="15"/>
  <c r="O978" i="15"/>
  <c r="O56" i="15"/>
  <c r="O12" i="15"/>
  <c r="O586" i="15"/>
  <c r="O73" i="15"/>
  <c r="O719" i="15"/>
  <c r="O576" i="15"/>
  <c r="O565" i="15"/>
  <c r="O434" i="15"/>
  <c r="O438" i="15"/>
  <c r="O20" i="15"/>
  <c r="O317" i="15"/>
  <c r="O598" i="15"/>
  <c r="O886" i="15"/>
  <c r="O443" i="15"/>
  <c r="O156" i="15"/>
  <c r="O732" i="15"/>
  <c r="O433" i="15"/>
  <c r="O158" i="15"/>
  <c r="O162" i="15"/>
  <c r="O882" i="15"/>
  <c r="O610" i="15"/>
  <c r="O167" i="15"/>
  <c r="O743" i="15"/>
  <c r="O600" i="15"/>
  <c r="O445" i="15"/>
  <c r="O170" i="15"/>
  <c r="O890" i="15"/>
  <c r="O606" i="15"/>
  <c r="O37" i="15"/>
  <c r="O622" i="15"/>
  <c r="O22" i="15"/>
  <c r="O467" i="15"/>
  <c r="O180" i="15"/>
  <c r="O900" i="15"/>
  <c r="O745" i="15"/>
  <c r="O614" i="15"/>
  <c r="O474" i="15"/>
  <c r="O389" i="15"/>
  <c r="O92" i="15"/>
  <c r="O130" i="15"/>
  <c r="O274" i="15"/>
  <c r="O418" i="15"/>
  <c r="O562" i="15"/>
  <c r="O706" i="15"/>
  <c r="O850" i="15"/>
  <c r="O994" i="15"/>
  <c r="O119" i="15"/>
  <c r="O263" i="15"/>
  <c r="O407" i="15"/>
  <c r="O551" i="15"/>
  <c r="O695" i="15"/>
  <c r="O839" i="15"/>
  <c r="O983" i="15"/>
  <c r="O120" i="15"/>
  <c r="O264" i="15"/>
  <c r="O408" i="15"/>
  <c r="O552" i="15"/>
  <c r="O696" i="15"/>
  <c r="O840" i="15"/>
  <c r="O984" i="15"/>
  <c r="O109" i="15"/>
  <c r="O253" i="15"/>
  <c r="O397" i="15"/>
  <c r="O541" i="15"/>
  <c r="O685" i="15"/>
  <c r="O829" i="15"/>
  <c r="O973" i="15"/>
  <c r="O122" i="15"/>
  <c r="O266" i="15"/>
  <c r="O410" i="15"/>
  <c r="O554" i="15"/>
  <c r="O698" i="15"/>
  <c r="O842" i="15"/>
  <c r="O986" i="15"/>
  <c r="O126" i="15"/>
  <c r="O270" i="15"/>
  <c r="O414" i="15"/>
  <c r="O558" i="15"/>
  <c r="O702" i="15"/>
  <c r="O846" i="15"/>
  <c r="O990" i="15"/>
  <c r="O44" i="15"/>
  <c r="O341" i="15"/>
  <c r="O287" i="15"/>
  <c r="O288" i="15"/>
  <c r="O133" i="15"/>
  <c r="O146" i="15"/>
  <c r="O150" i="15"/>
  <c r="O166" i="15"/>
  <c r="O155" i="15"/>
  <c r="O875" i="15"/>
  <c r="O588" i="15"/>
  <c r="O145" i="15"/>
  <c r="O721" i="15"/>
  <c r="O446" i="15"/>
  <c r="O306" i="15"/>
  <c r="O34" i="15"/>
  <c r="O293" i="15"/>
  <c r="O898" i="15"/>
  <c r="O599" i="15"/>
  <c r="O456" i="15"/>
  <c r="O301" i="15"/>
  <c r="O877" i="15"/>
  <c r="O602" i="15"/>
  <c r="O462" i="15"/>
  <c r="O478" i="15"/>
  <c r="O179" i="15"/>
  <c r="O755" i="15"/>
  <c r="O612" i="15"/>
  <c r="O169" i="15"/>
  <c r="O889" i="15"/>
  <c r="O470" i="15"/>
  <c r="O330" i="15"/>
  <c r="O202" i="15"/>
  <c r="O365" i="15"/>
  <c r="O61" i="15"/>
  <c r="O142" i="15"/>
  <c r="O286" i="15"/>
  <c r="O430" i="15"/>
  <c r="O574" i="15"/>
  <c r="O718" i="15"/>
  <c r="O862" i="15"/>
  <c r="O1006" i="15"/>
  <c r="O131" i="15"/>
  <c r="O275" i="15"/>
  <c r="O419" i="15"/>
  <c r="O563" i="15"/>
  <c r="O707" i="15"/>
  <c r="O851" i="15"/>
  <c r="O995" i="15"/>
  <c r="O132" i="15"/>
  <c r="O276" i="15"/>
  <c r="O420" i="15"/>
  <c r="O564" i="15"/>
  <c r="O708" i="15"/>
  <c r="O852" i="15"/>
  <c r="O996" i="15"/>
  <c r="O121" i="15"/>
  <c r="O265" i="15"/>
  <c r="O409" i="15"/>
  <c r="O553" i="15"/>
  <c r="O697" i="15"/>
  <c r="O841" i="15"/>
  <c r="O985" i="15"/>
  <c r="O134" i="15"/>
  <c r="O278" i="15"/>
  <c r="O422" i="15"/>
  <c r="O566" i="15"/>
  <c r="O710" i="15"/>
  <c r="O854" i="15"/>
  <c r="O998" i="15"/>
  <c r="O138" i="15"/>
  <c r="O282" i="15"/>
  <c r="O426" i="15"/>
  <c r="O570" i="15"/>
  <c r="O714" i="15"/>
  <c r="O858" i="15"/>
  <c r="O1002" i="15"/>
  <c r="O32" i="15"/>
  <c r="O730" i="15"/>
  <c r="O575" i="15"/>
  <c r="O432" i="15"/>
  <c r="O277" i="15"/>
  <c r="O997" i="15"/>
  <c r="O866" i="15"/>
  <c r="O582" i="15"/>
  <c r="O590" i="15"/>
  <c r="O322" i="15"/>
  <c r="O887" i="15"/>
  <c r="O888" i="15"/>
  <c r="O733" i="15"/>
  <c r="O746" i="15"/>
  <c r="O750" i="15"/>
  <c r="O766" i="15"/>
  <c r="O611" i="15"/>
  <c r="O468" i="15"/>
  <c r="O457" i="15"/>
  <c r="O326" i="15"/>
  <c r="O186" i="15"/>
  <c r="O55" i="15"/>
  <c r="O15" i="15"/>
  <c r="O778" i="15"/>
  <c r="O646" i="15"/>
  <c r="O635" i="15"/>
  <c r="O492" i="15"/>
  <c r="O337" i="15"/>
  <c r="O206" i="15"/>
  <c r="O62" i="15"/>
  <c r="O930" i="15"/>
  <c r="O924" i="15"/>
  <c r="O24" i="15"/>
  <c r="O913" i="15"/>
  <c r="O41" i="15"/>
  <c r="O926" i="15"/>
  <c r="O325" i="15"/>
  <c r="O790" i="15"/>
  <c r="O767" i="15"/>
  <c r="O624" i="15"/>
  <c r="O469" i="15"/>
  <c r="O338" i="15"/>
  <c r="O198" i="15"/>
  <c r="O769" i="15"/>
  <c r="O901" i="15"/>
  <c r="O40" i="15"/>
  <c r="O181" i="15"/>
  <c r="O193" i="15"/>
  <c r="O194" i="15"/>
  <c r="O934" i="15"/>
  <c r="O779" i="15"/>
  <c r="O636" i="15"/>
  <c r="O481" i="15"/>
  <c r="O350" i="15"/>
  <c r="O210" i="15"/>
  <c r="O45" i="15"/>
  <c r="O638" i="15"/>
  <c r="O770" i="15"/>
  <c r="O782" i="15"/>
  <c r="O914" i="15"/>
  <c r="O58" i="15"/>
  <c r="O480" i="15"/>
  <c r="O918" i="15"/>
  <c r="O38" i="15"/>
  <c r="O911" i="15"/>
  <c r="O768" i="15"/>
  <c r="O613" i="15"/>
  <c r="O482" i="15"/>
  <c r="O342" i="15"/>
  <c r="O33" i="15"/>
  <c r="O54" i="15"/>
  <c r="O335" i="15"/>
  <c r="O214" i="15"/>
  <c r="O346" i="15"/>
  <c r="O348" i="15"/>
  <c r="O786" i="15"/>
  <c r="O623" i="15"/>
  <c r="O53" i="15"/>
  <c r="O923" i="15"/>
  <c r="O780" i="15"/>
  <c r="O625" i="15"/>
  <c r="O494" i="15"/>
  <c r="O354" i="15"/>
  <c r="O43" i="15"/>
  <c r="O203" i="15"/>
  <c r="O66" i="15"/>
  <c r="O204" i="15"/>
  <c r="O642" i="15"/>
  <c r="O336" i="15"/>
  <c r="O358" i="15"/>
  <c r="O502" i="15"/>
  <c r="O509" i="15"/>
  <c r="O191" i="15"/>
  <c r="O39" i="15"/>
  <c r="O912" i="15"/>
  <c r="O757" i="15"/>
  <c r="O626" i="15"/>
  <c r="O486" i="15"/>
  <c r="O31" i="15"/>
  <c r="O221" i="15"/>
  <c r="O498" i="15"/>
  <c r="O192" i="15"/>
  <c r="O630" i="15"/>
  <c r="O347" i="15"/>
  <c r="O479" i="15"/>
  <c r="O774" i="15"/>
  <c r="O491" i="15"/>
  <c r="O48" i="15"/>
  <c r="O999" i="13"/>
  <c r="O231" i="13"/>
  <c r="O487" i="13"/>
  <c r="O510" i="13"/>
  <c r="O989" i="13"/>
  <c r="O605" i="13"/>
  <c r="O125" i="13"/>
  <c r="O604" i="13"/>
  <c r="O220" i="13"/>
  <c r="O771" i="13"/>
  <c r="O387" i="13"/>
  <c r="O914" i="13"/>
  <c r="O530" i="13"/>
  <c r="O98" i="13"/>
  <c r="O919" i="13"/>
  <c r="O940" i="13"/>
  <c r="O547" i="13"/>
  <c r="O163" i="13"/>
  <c r="O206" i="13"/>
  <c r="O101" i="13"/>
  <c r="O618" i="13"/>
  <c r="O186" i="13"/>
  <c r="O761" i="13"/>
  <c r="O377" i="13"/>
  <c r="O279" i="13"/>
  <c r="O535" i="13"/>
  <c r="O832" i="13"/>
  <c r="O400" i="13"/>
  <c r="O14" i="13"/>
  <c r="O805" i="13"/>
  <c r="O613" i="13"/>
  <c r="O373" i="13"/>
  <c r="O181" i="13"/>
  <c r="O996" i="13"/>
  <c r="O780" i="13"/>
  <c r="O588" i="13"/>
  <c r="O348" i="13"/>
  <c r="O156" i="13"/>
  <c r="O959" i="13"/>
  <c r="O767" i="13"/>
  <c r="O575" i="13"/>
  <c r="O335" i="13"/>
  <c r="O143" i="13"/>
  <c r="O922" i="13"/>
  <c r="O706" i="13"/>
  <c r="O478" i="13"/>
  <c r="O238" i="13"/>
  <c r="O10" i="13"/>
  <c r="O801" i="13"/>
  <c r="O597" i="13"/>
  <c r="O357" i="13"/>
  <c r="O117" i="13"/>
  <c r="O896" i="13"/>
  <c r="O680" i="13"/>
  <c r="O452" i="13"/>
  <c r="O224" i="13"/>
  <c r="O692" i="13"/>
  <c r="O488" i="13"/>
  <c r="O236" i="13"/>
  <c r="O423" i="13"/>
  <c r="O31" i="13"/>
  <c r="O391" i="13"/>
  <c r="O486" i="13"/>
  <c r="O965" i="13"/>
  <c r="O581" i="13"/>
  <c r="O27" i="13"/>
  <c r="O580" i="13"/>
  <c r="O196" i="13"/>
  <c r="O747" i="13"/>
  <c r="O363" i="13"/>
  <c r="O890" i="13"/>
  <c r="O506" i="13"/>
  <c r="O74" i="13"/>
  <c r="O847" i="13"/>
  <c r="O1003" i="13"/>
  <c r="O523" i="13"/>
  <c r="O139" i="13"/>
  <c r="O110" i="13"/>
  <c r="O892" i="13"/>
  <c r="O594" i="13"/>
  <c r="O162" i="13"/>
  <c r="O737" i="13"/>
  <c r="O353" i="13"/>
  <c r="O207" i="13"/>
  <c r="O439" i="13"/>
  <c r="O808" i="13"/>
  <c r="O376" i="13"/>
  <c r="O7" i="13"/>
  <c r="O793" i="13"/>
  <c r="O601" i="13"/>
  <c r="O361" i="13"/>
  <c r="O169" i="13"/>
  <c r="O984" i="13"/>
  <c r="O768" i="13"/>
  <c r="O576" i="13"/>
  <c r="O336" i="13"/>
  <c r="O144" i="13"/>
  <c r="O947" i="13"/>
  <c r="O755" i="13"/>
  <c r="O563" i="13"/>
  <c r="O323" i="13"/>
  <c r="O119" i="13"/>
  <c r="O910" i="13"/>
  <c r="O694" i="13"/>
  <c r="O466" i="13"/>
  <c r="O226" i="13"/>
  <c r="O993" i="13"/>
  <c r="O789" i="13"/>
  <c r="O585" i="13"/>
  <c r="O345" i="13"/>
  <c r="O105" i="13"/>
  <c r="O884" i="13"/>
  <c r="O668" i="13"/>
  <c r="O440" i="13"/>
  <c r="O212" i="13"/>
  <c r="O951" i="13"/>
  <c r="O855" i="13"/>
  <c r="O967" i="13"/>
  <c r="O726" i="13"/>
  <c r="O318" i="13"/>
  <c r="O893" i="13"/>
  <c r="O557" i="13"/>
  <c r="O221" i="13"/>
  <c r="O700" i="13"/>
  <c r="O364" i="13"/>
  <c r="O19" i="13"/>
  <c r="O675" i="13"/>
  <c r="O339" i="13"/>
  <c r="O962" i="13"/>
  <c r="O626" i="13"/>
  <c r="O290" i="13"/>
  <c r="O87" i="13"/>
  <c r="O607" i="13"/>
  <c r="O931" i="13"/>
  <c r="O595" i="13"/>
  <c r="O259" i="13"/>
  <c r="O998" i="13"/>
  <c r="O559" i="13"/>
  <c r="O906" i="13"/>
  <c r="O570" i="13"/>
  <c r="O234" i="13"/>
  <c r="O905" i="13"/>
  <c r="O569" i="13"/>
  <c r="O185" i="13"/>
  <c r="O686" i="13"/>
  <c r="O343" i="13"/>
  <c r="O880" i="13"/>
  <c r="O544" i="13"/>
  <c r="O160" i="13"/>
  <c r="O925" i="13"/>
  <c r="O757" i="13"/>
  <c r="O589" i="13"/>
  <c r="O421" i="13"/>
  <c r="O229" i="13"/>
  <c r="O61" i="13"/>
  <c r="O900" i="13"/>
  <c r="O732" i="13"/>
  <c r="O564" i="13"/>
  <c r="O372" i="13"/>
  <c r="O204" i="13"/>
  <c r="O36" i="13"/>
  <c r="O887" i="13"/>
  <c r="O719" i="13"/>
  <c r="O527" i="13"/>
  <c r="O359" i="13"/>
  <c r="O191" i="13"/>
  <c r="O11" i="13"/>
  <c r="O838" i="13"/>
  <c r="O634" i="13"/>
  <c r="O454" i="13"/>
  <c r="O262" i="13"/>
  <c r="O82" i="13"/>
  <c r="O909" i="13"/>
  <c r="O693" i="13"/>
  <c r="O513" i="13"/>
  <c r="O333" i="13"/>
  <c r="O153" i="13"/>
  <c r="O968" i="13"/>
  <c r="O764" i="13"/>
  <c r="O584" i="13"/>
  <c r="O392" i="13"/>
  <c r="O200" i="13"/>
  <c r="O543" i="13"/>
  <c r="O663" i="13"/>
  <c r="O567" i="13"/>
  <c r="O895" i="13"/>
  <c r="O702" i="13"/>
  <c r="O294" i="13"/>
  <c r="O869" i="13"/>
  <c r="O533" i="13"/>
  <c r="O197" i="13"/>
  <c r="O676" i="13"/>
  <c r="O340" i="13"/>
  <c r="O987" i="13"/>
  <c r="O651" i="13"/>
  <c r="O315" i="13"/>
  <c r="O938" i="13"/>
  <c r="O602" i="13"/>
  <c r="O266" i="13"/>
  <c r="O950" i="13"/>
  <c r="O511" i="13"/>
  <c r="O907" i="13"/>
  <c r="O571" i="13"/>
  <c r="O235" i="13"/>
  <c r="O902" i="13"/>
  <c r="O463" i="13"/>
  <c r="O882" i="13"/>
  <c r="O546" i="13"/>
  <c r="O210" i="13"/>
  <c r="O881" i="13"/>
  <c r="O545" i="13"/>
  <c r="O161" i="13"/>
  <c r="O590" i="13"/>
  <c r="O247" i="13"/>
  <c r="O856" i="13"/>
  <c r="O520" i="13"/>
  <c r="O136" i="13"/>
  <c r="O913" i="13"/>
  <c r="O745" i="13"/>
  <c r="O577" i="13"/>
  <c r="O409" i="13"/>
  <c r="O217" i="13"/>
  <c r="O49" i="13"/>
  <c r="O888" i="13"/>
  <c r="O720" i="13"/>
  <c r="O552" i="13"/>
  <c r="O360" i="13"/>
  <c r="O192" i="13"/>
  <c r="O24" i="13"/>
  <c r="O875" i="13"/>
  <c r="O707" i="13"/>
  <c r="O515" i="13"/>
  <c r="O347" i="13"/>
  <c r="O179" i="13"/>
  <c r="O50" i="13"/>
  <c r="O826" i="13"/>
  <c r="O622" i="13"/>
  <c r="O442" i="13"/>
  <c r="O250" i="13"/>
  <c r="O70" i="13"/>
  <c r="O897" i="13"/>
  <c r="O681" i="13"/>
  <c r="O501" i="13"/>
  <c r="O321" i="13"/>
  <c r="O129" i="13"/>
  <c r="O956" i="13"/>
  <c r="O752" i="13"/>
  <c r="O560" i="13"/>
  <c r="O380" i="13"/>
  <c r="O188" i="13"/>
  <c r="O399" i="13"/>
  <c r="O831" i="13"/>
  <c r="O974" i="13"/>
  <c r="O823" i="13"/>
  <c r="O798" i="13"/>
  <c r="O414" i="13"/>
  <c r="O126" i="13"/>
  <c r="O749" i="13"/>
  <c r="O461" i="13"/>
  <c r="O173" i="13"/>
  <c r="O748" i="13"/>
  <c r="O460" i="13"/>
  <c r="O172" i="13"/>
  <c r="O867" i="13"/>
  <c r="O579" i="13"/>
  <c r="O291" i="13"/>
  <c r="O5" i="13"/>
  <c r="O722" i="13"/>
  <c r="O434" i="13"/>
  <c r="O146" i="13"/>
  <c r="O566" i="13"/>
  <c r="O415" i="13"/>
  <c r="O979" i="13"/>
  <c r="O691" i="13"/>
  <c r="O403" i="13"/>
  <c r="O115" i="13"/>
  <c r="O614" i="13"/>
  <c r="O367" i="13"/>
  <c r="O954" i="13"/>
  <c r="O666" i="13"/>
  <c r="O378" i="13"/>
  <c r="O90" i="13"/>
  <c r="O809" i="13"/>
  <c r="O521" i="13"/>
  <c r="O233" i="13"/>
  <c r="O111" i="13"/>
  <c r="O62" i="13"/>
  <c r="O654" i="13"/>
  <c r="O784" i="13"/>
  <c r="O496" i="13"/>
  <c r="O208" i="13"/>
  <c r="O973" i="13"/>
  <c r="O829" i="13"/>
  <c r="O685" i="13"/>
  <c r="O541" i="13"/>
  <c r="O397" i="13"/>
  <c r="O253" i="13"/>
  <c r="O109" i="13"/>
  <c r="O972" i="13"/>
  <c r="O828" i="13"/>
  <c r="O684" i="13"/>
  <c r="O540" i="13"/>
  <c r="O396" i="13"/>
  <c r="O252" i="13"/>
  <c r="O108" i="13"/>
  <c r="O983" i="13"/>
  <c r="O839" i="13"/>
  <c r="O695" i="13"/>
  <c r="O551" i="13"/>
  <c r="O407" i="13"/>
  <c r="O263" i="13"/>
  <c r="O107" i="13"/>
  <c r="O970" i="13"/>
  <c r="O814" i="13"/>
  <c r="O658" i="13"/>
  <c r="O502" i="13"/>
  <c r="O346" i="13"/>
  <c r="O190" i="13"/>
  <c r="O34" i="13"/>
  <c r="O885" i="13"/>
  <c r="O729" i="13"/>
  <c r="O561" i="13"/>
  <c r="O405" i="13"/>
  <c r="O249" i="13"/>
  <c r="O93" i="13"/>
  <c r="O944" i="13"/>
  <c r="O788" i="13"/>
  <c r="O632" i="13"/>
  <c r="O476" i="13"/>
  <c r="O320" i="13"/>
  <c r="O164" i="13"/>
  <c r="O332" i="13"/>
  <c r="O176" i="13"/>
  <c r="O783" i="13"/>
  <c r="O807" i="13"/>
  <c r="O878" i="13"/>
  <c r="O727" i="13"/>
  <c r="O750" i="13"/>
  <c r="O390" i="13"/>
  <c r="O28" i="13"/>
  <c r="O725" i="13"/>
  <c r="O437" i="13"/>
  <c r="O149" i="13"/>
  <c r="O724" i="13"/>
  <c r="O436" i="13"/>
  <c r="O148" i="13"/>
  <c r="O843" i="13"/>
  <c r="O555" i="13"/>
  <c r="O267" i="13"/>
  <c r="O986" i="13"/>
  <c r="O698" i="13"/>
  <c r="O410" i="13"/>
  <c r="O122" i="13"/>
  <c r="O470" i="13"/>
  <c r="O319" i="13"/>
  <c r="O955" i="13"/>
  <c r="O667" i="13"/>
  <c r="O379" i="13"/>
  <c r="O91" i="13"/>
  <c r="O494" i="13"/>
  <c r="O271" i="13"/>
  <c r="O930" i="13"/>
  <c r="O642" i="13"/>
  <c r="O354" i="13"/>
  <c r="O66" i="13"/>
  <c r="O785" i="13"/>
  <c r="O497" i="13"/>
  <c r="O209" i="13"/>
  <c r="O926" i="13"/>
  <c r="O943" i="13"/>
  <c r="O54" i="13"/>
  <c r="O760" i="13"/>
  <c r="O472" i="13"/>
  <c r="O184" i="13"/>
  <c r="O961" i="13"/>
  <c r="O817" i="13"/>
  <c r="O673" i="13"/>
  <c r="O529" i="13"/>
  <c r="O385" i="13"/>
  <c r="O241" i="13"/>
  <c r="O97" i="13"/>
  <c r="O960" i="13"/>
  <c r="O816" i="13"/>
  <c r="O672" i="13"/>
  <c r="O528" i="13"/>
  <c r="O384" i="13"/>
  <c r="O240" i="13"/>
  <c r="O96" i="13"/>
  <c r="O971" i="13"/>
  <c r="O827" i="13"/>
  <c r="O683" i="13"/>
  <c r="O539" i="13"/>
  <c r="O395" i="13"/>
  <c r="O251" i="13"/>
  <c r="O95" i="13"/>
  <c r="O958" i="13"/>
  <c r="O802" i="13"/>
  <c r="O646" i="13"/>
  <c r="O490" i="13"/>
  <c r="O334" i="13"/>
  <c r="O178" i="13"/>
  <c r="O22" i="13"/>
  <c r="O873" i="13"/>
  <c r="O705" i="13"/>
  <c r="O549" i="13"/>
  <c r="O393" i="13"/>
  <c r="O237" i="13"/>
  <c r="O81" i="13"/>
  <c r="O932" i="13"/>
  <c r="O776" i="13"/>
  <c r="O620" i="13"/>
  <c r="O464" i="13"/>
  <c r="O308" i="13"/>
  <c r="O152" i="13"/>
  <c r="O128" i="13"/>
  <c r="O131" i="13"/>
  <c r="O1006" i="13"/>
  <c r="O862" i="13"/>
  <c r="O718" i="13"/>
  <c r="O574" i="13"/>
  <c r="O430" i="13"/>
  <c r="O286" i="13"/>
  <c r="O142" i="13"/>
  <c r="O1005" i="13"/>
  <c r="O861" i="13"/>
  <c r="O717" i="13"/>
  <c r="O573" i="13"/>
  <c r="O429" i="13"/>
  <c r="O285" i="13"/>
  <c r="O141" i="13"/>
  <c r="O1004" i="13"/>
  <c r="O860" i="13"/>
  <c r="O716" i="13"/>
  <c r="O572" i="13"/>
  <c r="O428" i="13"/>
  <c r="O284" i="13"/>
  <c r="O140" i="13"/>
  <c r="A42" i="6"/>
  <c r="I38" i="6"/>
  <c r="J34" i="4" s="1"/>
  <c r="F13" i="1" s="1"/>
  <c r="C33" i="4"/>
  <c r="C33" i="2"/>
  <c r="O742" i="15" l="1"/>
  <c r="O666" i="15"/>
  <c r="O937" i="15"/>
  <c r="O228" i="15"/>
  <c r="O526" i="15"/>
  <c r="O190" i="15"/>
  <c r="O444" i="15"/>
  <c r="O19" i="15"/>
  <c r="O506" i="15"/>
  <c r="O792" i="15"/>
  <c r="O69" i="15"/>
  <c r="O763" i="15"/>
  <c r="O309" i="15"/>
  <c r="O501" i="15"/>
  <c r="O740" i="15"/>
  <c r="O691" i="15"/>
  <c r="O63" i="15"/>
  <c r="O569" i="15"/>
  <c r="O207" i="15"/>
  <c r="O837" i="15"/>
  <c r="O393" i="15"/>
  <c r="O545" i="15"/>
  <c r="O91" i="15"/>
  <c r="O544" i="15"/>
  <c r="O651" i="15"/>
  <c r="O531" i="15"/>
  <c r="O699" i="15"/>
  <c r="O573" i="15"/>
  <c r="O471" i="15"/>
  <c r="O620" i="15"/>
  <c r="O975" i="15"/>
  <c r="O687" i="15"/>
  <c r="O387" i="15"/>
  <c r="O50" i="15"/>
  <c r="O729" i="15"/>
  <c r="O436" i="15"/>
  <c r="O47" i="15"/>
  <c r="O656" i="15"/>
  <c r="O967" i="15"/>
  <c r="O196" i="15"/>
  <c r="O796" i="15"/>
  <c r="O6" i="15"/>
  <c r="O90" i="15"/>
  <c r="O361" i="15"/>
  <c r="O659" i="15"/>
  <c r="O173" i="15"/>
  <c r="O99" i="15"/>
  <c r="O870" i="15"/>
  <c r="O654" i="15"/>
  <c r="O925" i="15"/>
  <c r="O216" i="15"/>
  <c r="O514" i="15"/>
  <c r="O260" i="15"/>
  <c r="O808" i="15"/>
  <c r="O981" i="15"/>
  <c r="O236" i="15"/>
  <c r="O497" i="15"/>
  <c r="O715" i="15"/>
  <c r="O93" i="15"/>
  <c r="O747" i="15"/>
  <c r="O399" i="15"/>
  <c r="O929" i="15"/>
  <c r="O339" i="15"/>
  <c r="O928" i="15"/>
  <c r="O333" i="15"/>
  <c r="O915" i="15"/>
  <c r="O320" i="15"/>
  <c r="O957" i="15"/>
  <c r="O369" i="15"/>
  <c r="O1004" i="15"/>
  <c r="O423" i="15"/>
  <c r="O879" i="15"/>
  <c r="O591" i="15"/>
  <c r="O281" i="15"/>
  <c r="O921" i="15"/>
  <c r="O633" i="15"/>
  <c r="O305" i="15"/>
  <c r="O896" i="15"/>
  <c r="O487" i="15"/>
  <c r="O727" i="15"/>
  <c r="O749" i="15"/>
  <c r="O219" i="15"/>
  <c r="O178" i="15"/>
  <c r="O144" i="15"/>
  <c r="O950" i="15"/>
  <c r="O217" i="15"/>
  <c r="O515" i="15"/>
  <c r="O461" i="15"/>
  <c r="O312" i="15"/>
  <c r="O5" i="15"/>
  <c r="O510" i="15"/>
  <c r="O781" i="15"/>
  <c r="O70" i="15"/>
  <c r="O370" i="15"/>
  <c r="O100" i="15"/>
  <c r="O712" i="15"/>
  <c r="O885" i="15"/>
  <c r="O64" i="15"/>
  <c r="O447" i="15"/>
  <c r="O523" i="15"/>
  <c r="O1000" i="15"/>
  <c r="O555" i="15"/>
  <c r="O292" i="15"/>
  <c r="O881" i="15"/>
  <c r="O284" i="15"/>
  <c r="O880" i="15"/>
  <c r="O283" i="15"/>
  <c r="O867" i="15"/>
  <c r="O268" i="15"/>
  <c r="O909" i="15"/>
  <c r="O319" i="15"/>
  <c r="O956" i="15"/>
  <c r="O368" i="15"/>
  <c r="O855" i="15"/>
  <c r="O567" i="15"/>
  <c r="O256" i="15"/>
  <c r="O897" i="15"/>
  <c r="O609" i="15"/>
  <c r="O280" i="15"/>
  <c r="O872" i="15"/>
  <c r="O380" i="15"/>
  <c r="O679" i="15"/>
  <c r="O581" i="15"/>
  <c r="O139" i="15"/>
  <c r="O738" i="15"/>
  <c r="O431" i="15"/>
  <c r="O806" i="15"/>
  <c r="O71" i="15"/>
  <c r="O371" i="15"/>
  <c r="O922" i="15"/>
  <c r="O455" i="15"/>
  <c r="O290" i="15"/>
  <c r="O366" i="15"/>
  <c r="O637" i="15"/>
  <c r="O935" i="15"/>
  <c r="O226" i="15"/>
  <c r="O953" i="15"/>
  <c r="O616" i="15"/>
  <c r="O741" i="15"/>
  <c r="O979" i="15"/>
  <c r="O392" i="15"/>
  <c r="O367" i="15"/>
  <c r="O856" i="15"/>
  <c r="O451" i="15"/>
  <c r="O65" i="15"/>
  <c r="O833" i="15"/>
  <c r="O233" i="15"/>
  <c r="O832" i="15"/>
  <c r="O232" i="15"/>
  <c r="O819" i="15"/>
  <c r="O213" i="15"/>
  <c r="O861" i="15"/>
  <c r="O267" i="15"/>
  <c r="O908" i="15"/>
  <c r="O316" i="15"/>
  <c r="O831" i="15"/>
  <c r="O543" i="15"/>
  <c r="O231" i="15"/>
  <c r="O873" i="15"/>
  <c r="O585" i="15"/>
  <c r="O255" i="15"/>
  <c r="O824" i="15"/>
  <c r="O329" i="15"/>
  <c r="O583" i="15"/>
  <c r="O483" i="15"/>
  <c r="O300" i="15"/>
  <c r="O954" i="15"/>
  <c r="O230" i="15"/>
  <c r="O516" i="15"/>
  <c r="O814" i="15"/>
  <c r="O601" i="15"/>
  <c r="O7" i="15"/>
  <c r="O143" i="15"/>
  <c r="O794" i="15"/>
  <c r="O57" i="15"/>
  <c r="O359" i="15"/>
  <c r="O1003" i="15"/>
  <c r="O617" i="15"/>
  <c r="O795" i="15"/>
  <c r="O136" i="15"/>
  <c r="O787" i="15"/>
  <c r="O184" i="15"/>
  <c r="O761" i="15"/>
  <c r="O465" i="15"/>
  <c r="O137" i="15"/>
  <c r="O548" i="15"/>
  <c r="O641" i="15"/>
  <c r="O619" i="15"/>
  <c r="O640" i="15"/>
  <c r="O315" i="15"/>
  <c r="O627" i="15"/>
  <c r="O209" i="15"/>
  <c r="O669" i="15"/>
  <c r="O16" i="15"/>
  <c r="O716" i="15"/>
  <c r="O101" i="15"/>
  <c r="O735" i="15"/>
  <c r="O439" i="15"/>
  <c r="O117" i="15"/>
  <c r="O777" i="15"/>
  <c r="O488" i="15"/>
  <c r="O116" i="15"/>
  <c r="O728" i="15"/>
  <c r="O46" i="15"/>
  <c r="O273" i="15"/>
  <c r="O916" i="15"/>
  <c r="O334" i="15"/>
  <c r="O587" i="15"/>
  <c r="O810" i="15"/>
  <c r="O86" i="15"/>
  <c r="O372" i="15"/>
  <c r="O670" i="15"/>
  <c r="O324" i="15"/>
  <c r="O289" i="15"/>
  <c r="O154" i="15"/>
  <c r="O650" i="15"/>
  <c r="O936" i="15"/>
  <c r="O215" i="15"/>
  <c r="O859" i="15"/>
  <c r="O521" i="15"/>
  <c r="O603" i="15"/>
  <c r="O932" i="15"/>
  <c r="O739" i="15"/>
  <c r="O128" i="15"/>
  <c r="O665" i="15"/>
  <c r="O363" i="15"/>
  <c r="O933" i="15"/>
  <c r="O448" i="15"/>
  <c r="O593" i="15"/>
  <c r="O416" i="15"/>
  <c r="O592" i="15"/>
  <c r="O257" i="15"/>
  <c r="O579" i="15"/>
  <c r="O308" i="15"/>
  <c r="O621" i="15"/>
  <c r="O667" i="15"/>
  <c r="O668" i="15"/>
  <c r="O999" i="15"/>
  <c r="O711" i="15"/>
  <c r="O412" i="15"/>
  <c r="O89" i="15"/>
  <c r="O753" i="15"/>
  <c r="O463" i="15"/>
  <c r="O88" i="15"/>
  <c r="O680" i="15"/>
  <c r="O991" i="15"/>
  <c r="O248" i="15"/>
  <c r="O820" i="15"/>
  <c r="O355" i="15"/>
  <c r="O847" i="15"/>
  <c r="O379" i="15"/>
  <c r="O557" i="15"/>
  <c r="O507" i="15"/>
  <c r="O632" i="15"/>
  <c r="O199" i="15"/>
  <c r="O703" i="15"/>
  <c r="O113" i="15"/>
  <c r="O247" i="15"/>
  <c r="O164" i="15"/>
  <c r="O584" i="15"/>
  <c r="O147" i="15"/>
  <c r="O655" i="15"/>
  <c r="O917" i="15"/>
  <c r="O77" i="15"/>
  <c r="O460" i="15"/>
  <c r="O943" i="15"/>
  <c r="O429" i="15"/>
  <c r="O701" i="15"/>
  <c r="O676" i="15"/>
  <c r="O139" i="19"/>
  <c r="O152" i="19"/>
  <c r="O511" i="15"/>
  <c r="O893" i="15"/>
  <c r="O327" i="15"/>
  <c r="O628" i="15"/>
  <c r="O725" i="15"/>
  <c r="O112" i="15"/>
  <c r="O376" i="15"/>
  <c r="O124" i="19"/>
  <c r="O53" i="19"/>
  <c r="O223" i="15"/>
  <c r="O629" i="15"/>
  <c r="O940" i="15"/>
  <c r="O296" i="15"/>
  <c r="O642" i="19"/>
  <c r="O342" i="19"/>
  <c r="O343" i="19"/>
  <c r="O989" i="15"/>
  <c r="O453" i="15"/>
  <c r="O748" i="15"/>
  <c r="O11" i="15"/>
  <c r="O353" i="15"/>
  <c r="O845" i="15"/>
  <c r="O403" i="15"/>
  <c r="O892" i="15"/>
  <c r="O452" i="15"/>
  <c r="O89" i="19"/>
  <c r="O521" i="19"/>
  <c r="O272" i="15"/>
  <c r="O772" i="15"/>
  <c r="O321" i="15"/>
  <c r="O244" i="19"/>
  <c r="O751" i="19"/>
  <c r="O716" i="19"/>
  <c r="O78" i="15"/>
  <c r="O605" i="15"/>
  <c r="O140" i="15"/>
  <c r="O652" i="15"/>
  <c r="O189" i="15"/>
  <c r="O136" i="19"/>
  <c r="O919" i="19"/>
  <c r="O760" i="19"/>
  <c r="O708" i="19"/>
  <c r="O964" i="15"/>
  <c r="O532" i="15"/>
  <c r="O28" i="15"/>
  <c r="O485" i="19"/>
  <c r="O731" i="19"/>
  <c r="O28" i="19"/>
  <c r="O294" i="19"/>
  <c r="O497" i="19"/>
  <c r="O666" i="19"/>
  <c r="O504" i="19"/>
  <c r="O726" i="19"/>
  <c r="O929" i="19"/>
  <c r="O559" i="19"/>
  <c r="O523" i="19"/>
  <c r="O592" i="19"/>
  <c r="O148" i="19"/>
  <c r="O964" i="19"/>
  <c r="O953" i="19"/>
  <c r="O552" i="19"/>
  <c r="O69" i="19"/>
  <c r="O628" i="19"/>
  <c r="O365" i="19"/>
  <c r="O775" i="19"/>
  <c r="O548" i="19"/>
  <c r="O713" i="19"/>
  <c r="O317" i="19"/>
  <c r="O78" i="19"/>
  <c r="O462" i="19"/>
  <c r="O179" i="19"/>
  <c r="O282" i="19"/>
  <c r="O172" i="19"/>
  <c r="O220" i="19"/>
  <c r="O499" i="19"/>
  <c r="O612" i="19"/>
  <c r="O892" i="19"/>
  <c r="O16" i="19"/>
  <c r="O424" i="19"/>
  <c r="O595" i="19"/>
  <c r="O437" i="19"/>
  <c r="O664" i="19"/>
  <c r="O712" i="19"/>
  <c r="O835" i="19"/>
  <c r="O532" i="19"/>
  <c r="O570" i="19"/>
  <c r="O725" i="19"/>
  <c r="O17" i="19"/>
  <c r="O496" i="19"/>
  <c r="O952" i="19"/>
  <c r="O364" i="19"/>
  <c r="O544" i="19"/>
  <c r="O580" i="19"/>
  <c r="O847" i="19"/>
  <c r="O390" i="19"/>
  <c r="O907" i="19"/>
  <c r="O979" i="19"/>
  <c r="O510" i="19"/>
  <c r="O83" i="19"/>
  <c r="O203" i="19"/>
  <c r="O71" i="19"/>
  <c r="O112" i="19"/>
  <c r="O714" i="19"/>
  <c r="O869" i="19"/>
  <c r="O161" i="19"/>
  <c r="O652" i="19"/>
  <c r="O65" i="19"/>
  <c r="O520" i="19"/>
  <c r="O688" i="19"/>
  <c r="O57" i="19"/>
  <c r="O928" i="19"/>
  <c r="O774" i="19"/>
  <c r="O833" i="19"/>
  <c r="O102" i="19"/>
  <c r="O931" i="19"/>
  <c r="O947" i="19"/>
  <c r="O22" i="19"/>
  <c r="O782" i="19"/>
  <c r="O280" i="19"/>
  <c r="O858" i="19"/>
  <c r="O45" i="19"/>
  <c r="O305" i="19"/>
  <c r="O796" i="19"/>
  <c r="O209" i="19"/>
  <c r="O676" i="19"/>
  <c r="O832" i="19"/>
  <c r="O413" i="19"/>
  <c r="O126" i="19"/>
  <c r="O631" i="19"/>
  <c r="O79" i="19"/>
  <c r="O451" i="19"/>
  <c r="O164" i="19"/>
  <c r="O535" i="19"/>
  <c r="O249" i="19"/>
  <c r="O450" i="19"/>
  <c r="O880" i="19"/>
  <c r="O427" i="19"/>
  <c r="O582" i="19"/>
  <c r="O472" i="19"/>
  <c r="O341" i="19"/>
  <c r="O785" i="19"/>
  <c r="O221" i="19"/>
  <c r="O377" i="19"/>
  <c r="O809" i="19"/>
  <c r="O115" i="19"/>
  <c r="O473" i="19"/>
  <c r="O104" i="19"/>
  <c r="O788" i="19"/>
  <c r="O668" i="19"/>
  <c r="O96" i="19"/>
  <c r="O132" i="19"/>
  <c r="O950" i="19"/>
  <c r="O385" i="19"/>
  <c r="O380" i="19"/>
  <c r="O137" i="19"/>
  <c r="O292" i="19"/>
  <c r="O870" i="19"/>
  <c r="O772" i="19"/>
  <c r="O629" i="19"/>
  <c r="O66" i="19"/>
  <c r="O509" i="19"/>
  <c r="O64" i="19"/>
  <c r="O43" i="19"/>
  <c r="O32" i="19"/>
  <c r="O834" i="19"/>
  <c r="O881" i="19"/>
  <c r="O648" i="19"/>
  <c r="O347" i="19"/>
  <c r="O9" i="19"/>
  <c r="O737" i="19"/>
  <c r="O816" i="19"/>
  <c r="O425" i="19"/>
  <c r="O604" i="19"/>
  <c r="O151" i="19"/>
  <c r="O29" i="19"/>
  <c r="O917" i="19"/>
  <c r="O354" i="19"/>
  <c r="O797" i="19"/>
  <c r="O400" i="19"/>
  <c r="O391" i="19"/>
  <c r="O320" i="19"/>
  <c r="O114" i="19"/>
  <c r="O738" i="19"/>
  <c r="O234" i="19"/>
  <c r="O937" i="19"/>
  <c r="O229" i="19"/>
  <c r="O836" i="19"/>
  <c r="O503" i="19"/>
  <c r="O844" i="19"/>
  <c r="O821" i="19"/>
  <c r="O905" i="19"/>
  <c r="O679" i="19"/>
  <c r="O967" i="19"/>
  <c r="O488" i="19"/>
  <c r="O74" i="19"/>
  <c r="O182" i="19"/>
  <c r="O899" i="19"/>
  <c r="O563" i="19"/>
  <c r="O857" i="19"/>
  <c r="G18" i="1"/>
  <c r="O304" i="19"/>
  <c r="O461" i="19"/>
  <c r="O196" i="19"/>
  <c r="O786" i="19"/>
  <c r="O222" i="19"/>
  <c r="O988" i="19"/>
  <c r="O42" i="19"/>
  <c r="O162" i="19"/>
  <c r="O883" i="19"/>
  <c r="O116" i="19"/>
  <c r="O944" i="19"/>
  <c r="O319" i="19"/>
  <c r="O695" i="19"/>
  <c r="O949" i="19"/>
  <c r="O707" i="19"/>
  <c r="O184" i="19"/>
  <c r="O1001" i="19"/>
  <c r="O149" i="19"/>
  <c r="O460" i="19"/>
  <c r="O160" i="19"/>
  <c r="O352" i="19"/>
  <c r="O930" i="19"/>
  <c r="O366" i="19"/>
  <c r="O389" i="19"/>
  <c r="O882" i="19"/>
  <c r="O954" i="19"/>
  <c r="O186" i="19"/>
  <c r="O402" i="19"/>
  <c r="O372" i="19"/>
  <c r="O500" i="19"/>
  <c r="O368" i="19"/>
  <c r="O902" i="19"/>
  <c r="O672" i="19"/>
  <c r="O1003" i="19"/>
  <c r="O736" i="19"/>
  <c r="O426" i="19"/>
  <c r="O748" i="19"/>
  <c r="O438" i="19"/>
  <c r="O904" i="19"/>
  <c r="O173" i="19"/>
  <c r="O197" i="19"/>
  <c r="O808" i="19"/>
  <c r="O498" i="19"/>
  <c r="O77" i="19"/>
  <c r="O376" i="19"/>
  <c r="O556" i="19"/>
  <c r="O125" i="19"/>
  <c r="O691" i="19"/>
  <c r="O41" i="19"/>
  <c r="O76" i="19"/>
  <c r="O163" i="19"/>
  <c r="O918" i="19"/>
  <c r="O845" i="19"/>
  <c r="O355" i="19"/>
  <c r="O906" i="19"/>
  <c r="O859" i="19"/>
  <c r="O199" i="19"/>
  <c r="O397" i="19"/>
  <c r="O133" i="19"/>
  <c r="O193" i="19"/>
  <c r="O829" i="19"/>
  <c r="O696" i="19"/>
  <c r="O567" i="19"/>
  <c r="O494" i="19"/>
  <c r="O969" i="19"/>
  <c r="O700" i="19"/>
  <c r="O269" i="19"/>
  <c r="O545" i="19"/>
  <c r="O893" i="19"/>
  <c r="O677" i="19"/>
  <c r="O487" i="19"/>
  <c r="O475" i="19"/>
  <c r="O702" i="19"/>
  <c r="O799" i="19"/>
  <c r="O19" i="19"/>
  <c r="O92" i="19"/>
  <c r="O643" i="19"/>
  <c r="O685" i="19"/>
  <c r="O421" i="19"/>
  <c r="O506" i="19"/>
  <c r="O241" i="19"/>
  <c r="O26" i="19"/>
  <c r="O651" i="19"/>
  <c r="O647" i="19"/>
  <c r="O100" i="19"/>
  <c r="O281" i="19"/>
  <c r="O1002" i="19"/>
  <c r="O293" i="19"/>
  <c r="O21" i="19"/>
  <c r="O449" i="19"/>
  <c r="O328" i="19"/>
  <c r="O773" i="19"/>
  <c r="O353" i="19"/>
  <c r="O67" i="19"/>
  <c r="O653" i="19"/>
  <c r="O976" i="19"/>
  <c r="O101" i="19"/>
  <c r="O533" i="19"/>
  <c r="O486" i="19"/>
  <c r="O750" i="19"/>
  <c r="O558" i="19"/>
  <c r="O484" i="19"/>
  <c r="O200" i="19"/>
  <c r="O787" i="19"/>
  <c r="O257" i="19"/>
  <c r="O296" i="19"/>
  <c r="O84" i="19"/>
  <c r="O236" i="19"/>
  <c r="O991" i="19"/>
  <c r="O740" i="19"/>
  <c r="O810" i="19"/>
  <c r="O392" i="19"/>
  <c r="O961" i="19"/>
  <c r="O205" i="19"/>
  <c r="O363" i="19"/>
  <c r="O252" i="19"/>
  <c r="O388" i="19"/>
  <c r="O569" i="19"/>
  <c r="O283" i="19"/>
  <c r="O581" i="19"/>
  <c r="O295" i="19"/>
  <c r="O316" i="19"/>
  <c r="O340" i="19"/>
  <c r="O54" i="19"/>
  <c r="O641" i="19"/>
  <c r="O208" i="19"/>
  <c r="O941" i="19"/>
  <c r="O233" i="19"/>
  <c r="O88" i="19"/>
  <c r="O30" i="19"/>
  <c r="O55" i="19"/>
  <c r="O307" i="19"/>
  <c r="O256" i="19"/>
  <c r="O761" i="19"/>
  <c r="O606" i="19"/>
  <c r="O260" i="19"/>
  <c r="O798" i="19"/>
  <c r="O932" i="19"/>
  <c r="O804" i="19"/>
  <c r="O180" i="19"/>
  <c r="O24" i="19"/>
  <c r="O600" i="19"/>
  <c r="O920" i="19"/>
  <c r="O984" i="19"/>
  <c r="O692" i="19"/>
  <c r="O711" i="19"/>
  <c r="O345" i="19"/>
  <c r="O268" i="19"/>
  <c r="O258" i="19"/>
  <c r="O235" i="19"/>
  <c r="O463" i="19"/>
  <c r="O185" i="19"/>
  <c r="O18" i="19"/>
  <c r="O978" i="19"/>
  <c r="O416" i="19"/>
  <c r="O103" i="19"/>
  <c r="O216" i="19"/>
  <c r="O414" i="19"/>
  <c r="O348" i="19"/>
  <c r="O192" i="19"/>
  <c r="O768" i="19"/>
  <c r="O108" i="19"/>
  <c r="O539" i="19"/>
  <c r="O396" i="19"/>
  <c r="O609" i="19"/>
  <c r="O144" i="19"/>
  <c r="O587" i="19"/>
  <c r="O436" i="19"/>
  <c r="O138" i="19"/>
  <c r="O448" i="19"/>
  <c r="O150" i="19"/>
  <c r="O616" i="19"/>
  <c r="O916" i="19"/>
  <c r="O940" i="19"/>
  <c r="O508" i="19"/>
  <c r="O210" i="19"/>
  <c r="O820" i="19"/>
  <c r="O52" i="19"/>
  <c r="O232" i="19"/>
  <c r="O868" i="19"/>
  <c r="O223" i="19"/>
  <c r="O856" i="19"/>
  <c r="O176" i="19"/>
  <c r="O594" i="19"/>
  <c r="O617" i="19"/>
  <c r="O749" i="19"/>
  <c r="O330" i="19"/>
  <c r="O605" i="19"/>
  <c r="O792" i="19"/>
  <c r="O187" i="19"/>
  <c r="O635" i="19"/>
  <c r="O371" i="19"/>
  <c r="O890" i="19"/>
  <c r="O779" i="19"/>
  <c r="O259" i="19"/>
  <c r="O441" i="19"/>
  <c r="O299" i="19"/>
  <c r="O846" i="19"/>
  <c r="O678" i="19"/>
  <c r="O665" i="19"/>
  <c r="O895" i="19"/>
  <c r="O762" i="19"/>
  <c r="O331" i="19"/>
  <c r="O654" i="19"/>
  <c r="O701" i="19"/>
  <c r="O318" i="19"/>
  <c r="O568" i="19"/>
  <c r="O965" i="19"/>
  <c r="O198" i="19"/>
  <c r="O360" i="19"/>
  <c r="O644" i="19"/>
  <c r="O871" i="19"/>
  <c r="O977" i="19"/>
  <c r="O876" i="19"/>
  <c r="O627" i="19"/>
  <c r="O720" i="19"/>
  <c r="O56" i="19"/>
  <c r="O467" i="19"/>
  <c r="O758" i="19"/>
  <c r="O780" i="19"/>
  <c r="O206" i="19"/>
  <c r="O921" i="19"/>
  <c r="O675" i="19"/>
  <c r="O872" i="19"/>
  <c r="O48" i="19"/>
  <c r="O744" i="19"/>
  <c r="O277" i="19"/>
  <c r="O971" i="19"/>
  <c r="O791" i="19"/>
  <c r="O800" i="19"/>
  <c r="O128" i="19"/>
  <c r="O271" i="19"/>
  <c r="O58" i="19"/>
  <c r="O989" i="19"/>
  <c r="O888" i="19"/>
  <c r="O356" i="19"/>
  <c r="O755" i="19"/>
  <c r="O167" i="19"/>
  <c r="O960" i="19"/>
  <c r="O727" i="19"/>
  <c r="O589" i="19"/>
  <c r="O661" i="19"/>
  <c r="O924" i="19"/>
  <c r="O155" i="19"/>
  <c r="O896" i="19"/>
  <c r="O6" i="19"/>
  <c r="O121" i="19"/>
  <c r="O718" i="19"/>
  <c r="O245" i="19"/>
  <c r="O557" i="19"/>
  <c r="O547" i="19"/>
  <c r="O403" i="19"/>
  <c r="O546" i="19"/>
  <c r="O464" i="19"/>
  <c r="O689" i="19"/>
  <c r="O412" i="19"/>
  <c r="O534" i="19"/>
  <c r="O247" i="19"/>
  <c r="O571" i="19"/>
  <c r="O91" i="19"/>
  <c r="O367" i="19"/>
  <c r="O80" i="19"/>
  <c r="O936" i="19"/>
  <c r="O228" i="19"/>
  <c r="O619" i="19"/>
  <c r="O452" i="19"/>
  <c r="O923" i="19"/>
  <c r="O248" i="19"/>
  <c r="O659" i="19"/>
  <c r="O908" i="19"/>
  <c r="O561" i="19"/>
  <c r="O655" i="19"/>
  <c r="O73" i="19"/>
  <c r="O776" i="19"/>
  <c r="O440" i="19"/>
  <c r="O34" i="19"/>
  <c r="O794" i="19"/>
  <c r="O105" i="19"/>
  <c r="O793" i="19"/>
  <c r="O332" i="19"/>
  <c r="O784" i="19"/>
  <c r="O703" i="19"/>
  <c r="O942" i="19"/>
  <c r="O113" i="19"/>
  <c r="O174" i="19"/>
  <c r="O640" i="19"/>
  <c r="O211" i="19"/>
  <c r="O715" i="19"/>
  <c r="O955" i="19"/>
  <c r="O583" i="19"/>
  <c r="O811" i="19"/>
  <c r="O476" i="19"/>
  <c r="O31" i="19"/>
  <c r="O516" i="19"/>
  <c r="O329" i="19"/>
  <c r="O848" i="19"/>
  <c r="O819" i="19"/>
  <c r="O680" i="19"/>
  <c r="O146" i="19"/>
  <c r="O264" i="19"/>
  <c r="O517" i="19"/>
  <c r="O560" i="19"/>
  <c r="O681" i="19"/>
  <c r="O300" i="19"/>
  <c r="O1004" i="19"/>
  <c r="O383" i="19"/>
  <c r="O263" i="19"/>
  <c r="O865" i="19"/>
  <c r="O980" i="19"/>
  <c r="O822" i="19"/>
  <c r="O745" i="19"/>
  <c r="O632" i="19"/>
  <c r="O511" i="19"/>
  <c r="O660" i="19"/>
  <c r="O618" i="19"/>
  <c r="O12" i="19"/>
  <c r="O109" i="19"/>
  <c r="O860" i="19"/>
  <c r="O939" i="19"/>
  <c r="O432" i="19"/>
  <c r="O805" i="19"/>
  <c r="O752" i="19"/>
  <c r="O253" i="19"/>
  <c r="O468" i="19"/>
  <c r="O336" i="19"/>
  <c r="O630" i="19"/>
  <c r="O866" i="19"/>
  <c r="O555" i="19"/>
  <c r="O419" i="19"/>
  <c r="O875" i="19"/>
  <c r="O99" i="19"/>
  <c r="O218" i="19"/>
  <c r="O724" i="19"/>
  <c r="O474" i="19"/>
  <c r="O270" i="19"/>
  <c r="O1000" i="19"/>
  <c r="O607" i="19"/>
  <c r="O378" i="19"/>
  <c r="O966" i="19"/>
  <c r="O246" i="19"/>
  <c r="O44" i="19"/>
  <c r="O306" i="19"/>
  <c r="O572" i="19"/>
  <c r="O272" i="19"/>
  <c r="O522" i="19"/>
  <c r="O72" i="19"/>
  <c r="O308" i="19"/>
  <c r="O127" i="19"/>
  <c r="O943" i="19"/>
  <c r="O540" i="19"/>
  <c r="O973" i="19"/>
  <c r="O384" i="19"/>
  <c r="O690" i="19"/>
  <c r="O948" i="19"/>
  <c r="O201" i="19"/>
  <c r="O444" i="19"/>
  <c r="O650" i="19"/>
  <c r="O827" i="19"/>
  <c r="O611" i="19"/>
  <c r="O90" i="19"/>
  <c r="O381" i="19"/>
  <c r="O237" i="19"/>
  <c r="O763" i="19"/>
  <c r="O956" i="19"/>
  <c r="O913" i="19"/>
  <c r="O853" i="19"/>
  <c r="T5" i="24"/>
  <c r="T6" i="24" s="1"/>
  <c r="H15" i="1" s="1"/>
  <c r="O608" i="19"/>
  <c r="O480" i="19"/>
  <c r="O213" i="19"/>
  <c r="O200" i="15"/>
  <c r="O848" i="15"/>
  <c r="O560" i="15"/>
  <c r="O249" i="15"/>
  <c r="O895" i="15"/>
  <c r="O607" i="15"/>
  <c r="O303" i="15"/>
  <c r="O941" i="15"/>
  <c r="O653" i="15"/>
  <c r="O352" i="15"/>
  <c r="O988" i="15"/>
  <c r="O700" i="15"/>
  <c r="O401" i="15"/>
  <c r="O75" i="15"/>
  <c r="O435" i="15"/>
  <c r="O115" i="15"/>
  <c r="O775" i="15"/>
  <c r="O484" i="15"/>
  <c r="O171" i="15"/>
  <c r="O821" i="15"/>
  <c r="O533" i="15"/>
  <c r="O220" i="15"/>
  <c r="O868" i="15"/>
  <c r="O580" i="15"/>
  <c r="O271" i="15"/>
  <c r="O356" i="15"/>
  <c r="O992" i="15"/>
  <c r="O704" i="15"/>
  <c r="O405" i="15"/>
  <c r="O81" i="15"/>
  <c r="O751" i="15"/>
  <c r="O459" i="15"/>
  <c r="O141" i="15"/>
  <c r="O797" i="15"/>
  <c r="O508" i="15"/>
  <c r="O195" i="15"/>
  <c r="O844" i="15"/>
  <c r="O556" i="15"/>
  <c r="O244" i="15"/>
  <c r="O279" i="15"/>
  <c r="O919" i="15"/>
  <c r="O631" i="15"/>
  <c r="O328" i="15"/>
  <c r="O965" i="15"/>
  <c r="O677" i="15"/>
  <c r="O377" i="15"/>
  <c r="O35" i="15"/>
  <c r="O724" i="15"/>
  <c r="O427" i="15"/>
  <c r="O105" i="15"/>
  <c r="O68" i="19"/>
  <c r="O491" i="19"/>
  <c r="O894" i="19"/>
  <c r="O251" i="19"/>
  <c r="O656" i="19"/>
  <c r="O85" i="19"/>
  <c r="O36" i="19"/>
  <c r="O422" i="19"/>
  <c r="O756" i="19"/>
  <c r="O698" i="19"/>
  <c r="O398" i="19"/>
  <c r="O492" i="19"/>
  <c r="O662" i="19"/>
  <c r="O733" i="19"/>
  <c r="O395" i="19"/>
  <c r="O795" i="19"/>
  <c r="O830" i="19"/>
  <c r="O912" i="19"/>
  <c r="O401" i="19"/>
  <c r="O771" i="19"/>
  <c r="O110" i="19"/>
  <c r="O454" i="19"/>
  <c r="O596" i="19"/>
  <c r="O243" i="19"/>
  <c r="O528" i="19"/>
  <c r="O507" i="19"/>
  <c r="O428" i="19"/>
  <c r="O279" i="19"/>
  <c r="O649" i="19"/>
  <c r="O312" i="19"/>
  <c r="O852" i="19"/>
  <c r="O33" i="19"/>
  <c r="O131" i="19"/>
  <c r="O891" i="19"/>
  <c r="O747" i="19"/>
  <c r="O843" i="19"/>
  <c r="O470" i="19"/>
  <c r="O276" i="19"/>
  <c r="O541" i="19"/>
  <c r="O968" i="19"/>
  <c r="O301" i="19"/>
  <c r="O864" i="19"/>
  <c r="O614" i="19"/>
  <c r="O240" i="19"/>
  <c r="O855" i="19"/>
  <c r="O254" i="19"/>
  <c r="O175" i="19"/>
  <c r="O157" i="19"/>
  <c r="O120" i="19"/>
  <c r="O344" i="19"/>
  <c r="O20" i="19"/>
  <c r="O915" i="19"/>
  <c r="O578" i="19"/>
  <c r="O194" i="19"/>
  <c r="O156" i="19"/>
  <c r="O288" i="19"/>
  <c r="O123" i="19"/>
  <c r="O645" i="19"/>
  <c r="O636" i="19"/>
  <c r="O224" i="19"/>
  <c r="O817" i="19"/>
  <c r="O379" i="19"/>
  <c r="O493" i="19"/>
  <c r="O188" i="19"/>
  <c r="O135" i="19"/>
  <c r="O995" i="19"/>
  <c r="O739" i="19"/>
  <c r="O387" i="19"/>
  <c r="O512" i="19"/>
  <c r="O992" i="19"/>
  <c r="O303" i="19"/>
  <c r="O168" i="19"/>
  <c r="O373" i="19"/>
  <c r="O284" i="19"/>
  <c r="O443" i="19"/>
  <c r="O729" i="19"/>
  <c r="O420" i="19"/>
  <c r="O599" i="19"/>
  <c r="O884" i="19"/>
  <c r="O489" i="19"/>
  <c r="O801" i="19"/>
  <c r="O362" i="19"/>
  <c r="O230" i="19"/>
  <c r="O732" i="19"/>
  <c r="O107" i="19"/>
  <c r="O613" i="19"/>
  <c r="O639" i="19"/>
  <c r="O673" i="19"/>
  <c r="O531" i="19"/>
  <c r="O825" i="19"/>
  <c r="O962" i="19"/>
  <c r="O315" i="19"/>
  <c r="O997" i="19"/>
  <c r="O769" i="19"/>
  <c r="O746" i="19"/>
  <c r="O423" i="19"/>
  <c r="O404" i="19"/>
  <c r="O524" i="19"/>
  <c r="O536" i="19"/>
  <c r="O140" i="19"/>
  <c r="O812" i="19"/>
  <c r="O704" i="19"/>
  <c r="O408" i="19"/>
  <c r="O576" i="19"/>
  <c r="O231" i="19"/>
  <c r="O165" i="19"/>
  <c r="O129" i="19"/>
  <c r="O885" i="19"/>
  <c r="O828" i="19"/>
  <c r="O823" i="19"/>
  <c r="O323" i="19"/>
  <c r="O326" i="19"/>
  <c r="O667" i="19"/>
  <c r="O61" i="19"/>
  <c r="O93" i="19"/>
  <c r="O757" i="19"/>
  <c r="O999" i="19"/>
  <c r="O324" i="19"/>
  <c r="O456" i="19"/>
  <c r="O584" i="19"/>
  <c r="O624" i="19"/>
  <c r="O684" i="19"/>
  <c r="O996" i="19"/>
  <c r="O564" i="19"/>
  <c r="O181" i="19"/>
  <c r="O310" i="19"/>
  <c r="O742" i="19"/>
  <c r="O719" i="19"/>
  <c r="O171" i="19"/>
  <c r="O683" i="19"/>
  <c r="O938" i="19"/>
  <c r="O598" i="19"/>
  <c r="O302" i="19"/>
  <c r="O588" i="19"/>
  <c r="O983" i="19"/>
  <c r="O620" i="19"/>
  <c r="O590" i="19"/>
  <c r="O990" i="19"/>
  <c r="O27" i="19"/>
  <c r="O781" i="19"/>
  <c r="O410" i="19"/>
  <c r="O119" i="19"/>
  <c r="O824" i="19"/>
  <c r="O374" i="19"/>
  <c r="O212" i="19"/>
  <c r="O134" i="19"/>
  <c r="O415" i="19"/>
  <c r="O191" i="19"/>
  <c r="O447" i="19"/>
  <c r="O945" i="19"/>
  <c r="O699" i="19"/>
  <c r="O375" i="19"/>
  <c r="O333" i="19"/>
  <c r="O602" i="19"/>
  <c r="O903" i="19"/>
  <c r="O549" i="19"/>
  <c r="O530" i="19"/>
  <c r="O265" i="19"/>
  <c r="O637" i="19"/>
  <c r="O11" i="19"/>
  <c r="O505" i="19"/>
  <c r="O710" i="19"/>
  <c r="O783" i="19"/>
  <c r="O439" i="19"/>
  <c r="O878" i="19"/>
  <c r="O877" i="19"/>
  <c r="O445" i="19"/>
  <c r="O851" i="19"/>
  <c r="O764" i="19"/>
  <c r="O204" i="19"/>
  <c r="O177" i="19"/>
  <c r="O840" i="19"/>
  <c r="O337" i="19"/>
  <c r="O933" i="19"/>
  <c r="O266" i="19"/>
  <c r="O863" i="19"/>
  <c r="O14" i="19"/>
  <c r="O926" i="19"/>
  <c r="O118" i="19"/>
  <c r="O349" i="19"/>
  <c r="O542" i="19"/>
  <c r="O275" i="19"/>
  <c r="O566" i="19"/>
  <c r="O985" i="19"/>
  <c r="O686" i="19"/>
  <c r="O5" i="19"/>
  <c r="O111" i="19"/>
  <c r="O434" i="19"/>
  <c r="O514" i="19"/>
  <c r="O286" i="19"/>
  <c r="O900" i="19"/>
  <c r="O469" i="19"/>
  <c r="O287" i="19"/>
  <c r="O435" i="19"/>
  <c r="O47" i="19"/>
  <c r="O62" i="19"/>
  <c r="O807" i="19"/>
  <c r="O597" i="19"/>
  <c r="O159" i="19"/>
  <c r="O322" i="19"/>
  <c r="O369" i="19"/>
  <c r="O709" i="19"/>
  <c r="O529" i="19"/>
  <c r="O60" i="19"/>
  <c r="O728" i="19"/>
  <c r="O593" i="19"/>
  <c r="O227" i="19"/>
  <c r="O974" i="19"/>
  <c r="O803" i="19"/>
  <c r="O153" i="19"/>
  <c r="O515" i="19"/>
  <c r="O591" i="19"/>
  <c r="O886" i="19"/>
  <c r="O37" i="19"/>
  <c r="O501" i="19"/>
  <c r="O433" i="19"/>
  <c r="O430" i="19"/>
  <c r="O255" i="19"/>
  <c r="O889" i="19"/>
  <c r="O565" i="19"/>
  <c r="O170" i="19"/>
  <c r="O901" i="19"/>
  <c r="O927" i="19"/>
  <c r="O479" i="19"/>
  <c r="O693" i="19"/>
  <c r="O789" i="19"/>
  <c r="O519" i="19"/>
  <c r="O914" i="19"/>
  <c r="O285" i="19"/>
  <c r="O50" i="19"/>
  <c r="O554" i="19"/>
  <c r="O289" i="19"/>
  <c r="O981" i="19"/>
  <c r="O273" i="19"/>
  <c r="O215" i="19"/>
  <c r="O466" i="19"/>
  <c r="O958" i="19"/>
  <c r="O431" i="19"/>
  <c r="O854" i="19"/>
  <c r="O166" i="19"/>
  <c r="O925" i="19"/>
  <c r="O806" i="19"/>
  <c r="O278" i="19"/>
  <c r="O359" i="19"/>
  <c r="O351" i="19"/>
  <c r="O625" i="19"/>
  <c r="O142" i="19"/>
  <c r="O525" i="19"/>
  <c r="O537" i="19"/>
  <c r="O722" i="19"/>
  <c r="O911" i="19"/>
  <c r="O46" i="19"/>
  <c r="O951" i="19"/>
  <c r="O261" i="19"/>
  <c r="O550" i="19"/>
  <c r="O95" i="19"/>
  <c r="O334" i="19"/>
  <c r="O87" i="19"/>
  <c r="O411" i="19"/>
  <c r="O297" i="19"/>
  <c r="O386" i="19"/>
  <c r="O226" i="19"/>
  <c r="O577" i="19"/>
  <c r="O526" i="19"/>
  <c r="O802" i="19"/>
  <c r="O75" i="19"/>
  <c r="O455" i="19"/>
  <c r="O409" i="19"/>
  <c r="O975" i="19"/>
  <c r="O399" i="19"/>
  <c r="O998" i="19"/>
  <c r="O183" i="19"/>
  <c r="O59" i="19"/>
  <c r="O327" i="19"/>
  <c r="O634" i="19"/>
  <c r="O579" i="19"/>
  <c r="O934" i="19"/>
  <c r="O551" i="19"/>
  <c r="O313" i="19"/>
  <c r="O922" i="19"/>
  <c r="O538" i="19"/>
  <c r="O242" i="19"/>
  <c r="O195" i="19"/>
  <c r="O518" i="19"/>
  <c r="O86" i="19"/>
  <c r="O483" i="19"/>
  <c r="O39" i="19"/>
  <c r="O478" i="19"/>
  <c r="O482" i="19"/>
  <c r="O290" i="19"/>
  <c r="O694" i="19"/>
  <c r="O831" i="19"/>
  <c r="O850" i="19"/>
  <c r="O815" i="19"/>
  <c r="O741" i="19"/>
  <c r="O429" i="19"/>
  <c r="O169" i="19"/>
  <c r="O453" i="19"/>
  <c r="O311" i="19"/>
  <c r="O10" i="19"/>
  <c r="O879" i="19"/>
  <c r="O601" i="19"/>
  <c r="O35" i="19"/>
  <c r="O457" i="19"/>
  <c r="O721" i="19"/>
  <c r="O339" i="19"/>
  <c r="O335" i="19"/>
  <c r="O190" i="19"/>
  <c r="O826" i="19"/>
  <c r="O527" i="19"/>
  <c r="O638" i="19"/>
  <c r="O674" i="19"/>
  <c r="O225" i="19"/>
  <c r="O207" i="19"/>
  <c r="O141" i="19"/>
  <c r="O94" i="19"/>
  <c r="O734" i="19"/>
  <c r="O658" i="19"/>
  <c r="O122" i="19"/>
  <c r="O82" i="19"/>
  <c r="O178" i="19"/>
  <c r="O23" i="19"/>
  <c r="O154" i="19"/>
  <c r="O57" i="17"/>
  <c r="O393" i="19"/>
  <c r="O158" i="19"/>
  <c r="O145" i="19"/>
  <c r="O471" i="19"/>
  <c r="O959" i="19"/>
  <c r="O813" i="19"/>
  <c r="O972" i="19"/>
  <c r="O790" i="19"/>
  <c r="O217" i="19"/>
  <c r="O814" i="19"/>
  <c r="O818" i="19"/>
  <c r="O909" i="19"/>
  <c r="O957" i="19"/>
  <c r="O687" i="19"/>
  <c r="O777" i="19"/>
  <c r="O669" i="19"/>
  <c r="O717" i="19"/>
  <c r="O407" i="19"/>
  <c r="O70" i="19"/>
  <c r="O986" i="19"/>
  <c r="O147" i="19"/>
  <c r="O573" i="19"/>
  <c r="O621" i="19"/>
  <c r="O657" i="19"/>
  <c r="O38" i="19"/>
  <c r="O633" i="19"/>
  <c r="O562" i="19"/>
  <c r="O405" i="19"/>
  <c r="O759" i="19"/>
  <c r="O325" i="19"/>
  <c r="O446" i="19"/>
  <c r="O543" i="19"/>
  <c r="O735" i="19"/>
  <c r="O309" i="19"/>
  <c r="O51" i="19"/>
  <c r="O357" i="19"/>
  <c r="O946" i="19"/>
  <c r="O706" i="19"/>
  <c r="O874" i="19"/>
  <c r="O615" i="19"/>
  <c r="O553" i="19"/>
  <c r="O697" i="19"/>
  <c r="O766" i="19"/>
  <c r="O262" i="19"/>
  <c r="O765" i="19"/>
  <c r="O143" i="19"/>
  <c r="O993" i="19"/>
  <c r="O49" i="19"/>
  <c r="O867" i="19"/>
  <c r="O963" i="19"/>
  <c r="O350" i="19"/>
  <c r="O842" i="19"/>
  <c r="O358" i="19"/>
  <c r="O15" i="19"/>
  <c r="O239" i="19"/>
  <c r="O897" i="19"/>
  <c r="O477" i="19"/>
  <c r="O1005" i="19"/>
  <c r="O723" i="19"/>
  <c r="O623" i="19"/>
  <c r="O898" i="19"/>
  <c r="O837" i="19"/>
  <c r="O502" i="19"/>
  <c r="O754" i="19"/>
  <c r="O849" i="19"/>
  <c r="O626" i="19"/>
  <c r="O770" i="19"/>
  <c r="O417" i="19"/>
  <c r="O841" i="19"/>
  <c r="O98" i="19"/>
  <c r="O838" i="19"/>
  <c r="O361" i="19"/>
  <c r="O7" i="19"/>
  <c r="O671" i="19"/>
  <c r="O382" i="19"/>
  <c r="O753" i="19"/>
  <c r="O910" i="19"/>
  <c r="O314" i="19"/>
  <c r="O861" i="19"/>
  <c r="O298" i="19"/>
  <c r="O63" i="19"/>
  <c r="O982" i="19"/>
  <c r="O346" i="19"/>
  <c r="O513" i="19"/>
  <c r="O370" i="19"/>
  <c r="O219" i="19"/>
  <c r="O97" i="19"/>
  <c r="O459" i="19"/>
  <c r="O586" i="19"/>
  <c r="O743" i="19"/>
  <c r="O574" i="19"/>
  <c r="O465" i="19"/>
  <c r="O481" i="19"/>
  <c r="O202" i="19"/>
  <c r="O490" i="19"/>
  <c r="O862" i="19"/>
  <c r="O887" i="19"/>
  <c r="O646" i="19"/>
  <c r="O394" i="19"/>
  <c r="O25" i="19"/>
  <c r="O274" i="19"/>
  <c r="O13" i="19"/>
  <c r="O130" i="19"/>
  <c r="O987" i="19"/>
  <c r="O730" i="19"/>
  <c r="O663" i="19"/>
  <c r="O603" i="19"/>
  <c r="O670" i="19"/>
  <c r="O575" i="19"/>
  <c r="O682" i="19"/>
  <c r="O418" i="19"/>
  <c r="O585" i="19"/>
  <c r="O935" i="19"/>
  <c r="O214" i="19"/>
  <c r="O189" i="19"/>
  <c r="O458" i="19"/>
  <c r="O250" i="19"/>
  <c r="O238" i="19"/>
  <c r="O406" i="19"/>
  <c r="O778" i="19"/>
  <c r="O839" i="19"/>
  <c r="O622" i="19"/>
  <c r="O291" i="19"/>
  <c r="O610" i="19"/>
  <c r="O106" i="19"/>
  <c r="O495" i="19"/>
  <c r="O994" i="19"/>
  <c r="O767" i="19"/>
  <c r="O321" i="19"/>
  <c r="O873" i="19"/>
  <c r="O117" i="19"/>
  <c r="O1006" i="19"/>
  <c r="O81" i="19"/>
  <c r="O705" i="19"/>
  <c r="O970" i="19"/>
  <c r="O267" i="19"/>
  <c r="O40" i="19"/>
  <c r="O338" i="19"/>
  <c r="G14" i="1"/>
  <c r="E14" i="1"/>
  <c r="O21" i="17"/>
  <c r="T5" i="13"/>
  <c r="T6" i="13" s="1"/>
  <c r="H16" i="1" s="1"/>
  <c r="O93" i="17"/>
  <c r="O81" i="17"/>
  <c r="O45" i="17"/>
  <c r="O33" i="17"/>
  <c r="O69" i="17"/>
  <c r="O675" i="17"/>
  <c r="O740" i="17"/>
  <c r="O115" i="17"/>
  <c r="O674" i="17"/>
  <c r="O331" i="17"/>
  <c r="O139" i="17"/>
  <c r="O242" i="17"/>
  <c r="O652" i="17"/>
  <c r="O492" i="17"/>
  <c r="O745" i="17"/>
  <c r="O649" i="17"/>
  <c r="O637" i="17"/>
  <c r="O508" i="17"/>
  <c r="O24" i="17"/>
  <c r="O989" i="17"/>
  <c r="O66" i="17"/>
  <c r="O683" i="17"/>
  <c r="O743" i="17"/>
  <c r="O413" i="17"/>
  <c r="O665" i="17"/>
  <c r="O671" i="17"/>
  <c r="O91" i="17"/>
  <c r="O317" i="17"/>
  <c r="O207" i="17"/>
  <c r="O23" i="17"/>
  <c r="O748" i="17"/>
  <c r="O183" i="17"/>
  <c r="O970" i="17"/>
  <c r="O435" i="17"/>
  <c r="O625" i="17"/>
  <c r="O610" i="17"/>
  <c r="O639" i="17"/>
  <c r="O337" i="17"/>
  <c r="O598" i="17"/>
  <c r="O325" i="17"/>
  <c r="O845" i="17"/>
  <c r="O223" i="17"/>
  <c r="O495" i="17"/>
  <c r="O516" i="17"/>
  <c r="O190" i="17"/>
  <c r="O641" i="17"/>
  <c r="O799" i="17"/>
  <c r="O463" i="17"/>
  <c r="O615" i="17"/>
  <c r="O538" i="17"/>
  <c r="O726" i="17"/>
  <c r="O174" i="17"/>
  <c r="O327" i="17"/>
  <c r="O504" i="17"/>
  <c r="O945" i="17"/>
  <c r="O797" i="17"/>
  <c r="O716" i="17"/>
  <c r="O506" i="17"/>
  <c r="O659" i="17"/>
  <c r="O99" i="17"/>
  <c r="O41" i="17"/>
  <c r="O960" i="17"/>
  <c r="O921" i="17"/>
  <c r="O364" i="17"/>
  <c r="O715" i="17"/>
  <c r="O482" i="17"/>
  <c r="O635" i="17"/>
  <c r="O268" i="17"/>
  <c r="O964" i="17"/>
  <c r="O379" i="17"/>
  <c r="O904" i="17"/>
  <c r="O314" i="17"/>
  <c r="O540" i="17"/>
  <c r="O47" i="17"/>
  <c r="O741" i="17"/>
  <c r="O965" i="17"/>
  <c r="O617" i="17"/>
  <c r="O313" i="17"/>
  <c r="O933" i="17"/>
  <c r="O701" i="17"/>
  <c r="O596" i="17"/>
  <c r="O494" i="17"/>
  <c r="O647" i="17"/>
  <c r="O32" i="17"/>
  <c r="O928" i="17"/>
  <c r="O600" i="17"/>
  <c r="O753" i="17"/>
  <c r="O152" i="17"/>
  <c r="O723" i="17"/>
  <c r="O355" i="17"/>
  <c r="O280" i="17"/>
  <c r="O254" i="17"/>
  <c r="O528" i="17"/>
  <c r="O35" i="17"/>
  <c r="O681" i="17"/>
  <c r="O968" i="17"/>
  <c r="O439" i="17"/>
  <c r="O79" i="17"/>
  <c r="O428" i="17"/>
  <c r="O522" i="17"/>
  <c r="O808" i="17"/>
  <c r="O159" i="17"/>
  <c r="O38" i="17"/>
  <c r="O181" i="17"/>
  <c r="O240" i="17"/>
  <c r="O311" i="17"/>
  <c r="O526" i="17"/>
  <c r="O597" i="17"/>
  <c r="O920" i="17"/>
  <c r="O343" i="17"/>
  <c r="O944" i="17"/>
  <c r="O308" i="17"/>
  <c r="O498" i="17"/>
  <c r="O784" i="17"/>
  <c r="O135" i="17"/>
  <c r="O26" i="17"/>
  <c r="O169" i="17"/>
  <c r="O228" i="17"/>
  <c r="O251" i="17"/>
  <c r="O514" i="17"/>
  <c r="O537" i="17"/>
  <c r="O440" i="17"/>
  <c r="O247" i="17"/>
  <c r="O896" i="17"/>
  <c r="O284" i="17"/>
  <c r="O474" i="17"/>
  <c r="O760" i="17"/>
  <c r="O111" i="17"/>
  <c r="O973" i="17"/>
  <c r="O109" i="17"/>
  <c r="O216" i="17"/>
  <c r="O239" i="17"/>
  <c r="O502" i="17"/>
  <c r="O525" i="17"/>
  <c r="O822" i="17"/>
  <c r="O149" i="17"/>
  <c r="O78" i="17"/>
  <c r="O763" i="17"/>
  <c r="O210" i="17"/>
  <c r="O328" i="17"/>
  <c r="O746" i="17"/>
  <c r="O769" i="17"/>
  <c r="O25" i="17"/>
  <c r="O48" i="17"/>
  <c r="O71" i="17"/>
  <c r="O214" i="17"/>
  <c r="O165" i="17"/>
  <c r="O774" i="17"/>
  <c r="O101" i="17"/>
  <c r="O29" i="17"/>
  <c r="O739" i="17"/>
  <c r="O186" i="17"/>
  <c r="O304" i="17"/>
  <c r="O686" i="17"/>
  <c r="O757" i="17"/>
  <c r="O972" i="17"/>
  <c r="O36" i="17"/>
  <c r="O59" i="17"/>
  <c r="O202" i="17"/>
  <c r="O105" i="17"/>
  <c r="O966" i="17"/>
  <c r="O651" i="17"/>
  <c r="O751" i="17"/>
  <c r="O594" i="17"/>
  <c r="O818" i="17"/>
  <c r="O613" i="17"/>
  <c r="O766" i="17"/>
  <c r="O477" i="17"/>
  <c r="O558" i="17"/>
  <c r="O918" i="17"/>
  <c r="O555" i="17"/>
  <c r="O244" i="17"/>
  <c r="O703" i="17"/>
  <c r="O164" i="17"/>
  <c r="O570" i="17"/>
  <c r="O401" i="17"/>
  <c r="O64" i="17"/>
  <c r="O806" i="17"/>
  <c r="O182" i="17"/>
  <c r="O601" i="17"/>
  <c r="O780" i="17"/>
  <c r="O108" i="17"/>
  <c r="O455" i="17"/>
  <c r="O754" i="17"/>
  <c r="O166" i="17"/>
  <c r="O465" i="17"/>
  <c r="O654" i="17"/>
  <c r="O292" i="17"/>
  <c r="O188" i="17"/>
  <c r="O425" i="17"/>
  <c r="O184" i="17"/>
  <c r="O194" i="17"/>
  <c r="O792" i="17"/>
  <c r="O168" i="17"/>
  <c r="O467" i="17"/>
  <c r="O178" i="17"/>
  <c r="O941" i="17"/>
  <c r="O870" i="17"/>
  <c r="O459" i="17"/>
  <c r="O196" i="17"/>
  <c r="O655" i="17"/>
  <c r="O140" i="17"/>
  <c r="O546" i="17"/>
  <c r="O377" i="17"/>
  <c r="O40" i="17"/>
  <c r="O794" i="17"/>
  <c r="O170" i="17"/>
  <c r="O541" i="17"/>
  <c r="O768" i="17"/>
  <c r="O96" i="17"/>
  <c r="O395" i="17"/>
  <c r="O742" i="17"/>
  <c r="O106" i="17"/>
  <c r="O453" i="17"/>
  <c r="O198" i="17"/>
  <c r="O102" i="17"/>
  <c r="O848" i="17"/>
  <c r="O67" i="17"/>
  <c r="O905" i="17"/>
  <c r="O951" i="17"/>
  <c r="O961" i="17"/>
  <c r="O480" i="17"/>
  <c r="O899" i="17"/>
  <c r="O334" i="17"/>
  <c r="O357" i="17"/>
  <c r="O267" i="17"/>
  <c r="O148" i="17"/>
  <c r="O631" i="17"/>
  <c r="O532" i="17"/>
  <c r="O800" i="17"/>
  <c r="O788" i="17"/>
  <c r="O907" i="17"/>
  <c r="O43" i="17"/>
  <c r="O785" i="17"/>
  <c r="O856" i="17"/>
  <c r="O927" i="17"/>
  <c r="O890" i="17"/>
  <c r="O458" i="17"/>
  <c r="O949" i="17"/>
  <c r="O361" i="17"/>
  <c r="O900" i="17"/>
  <c r="O468" i="17"/>
  <c r="O887" i="17"/>
  <c r="O371" i="17"/>
  <c r="O826" i="17"/>
  <c r="O322" i="17"/>
  <c r="O897" i="17"/>
  <c r="O345" i="17"/>
  <c r="O363" i="17"/>
  <c r="O772" i="17"/>
  <c r="O812" i="17"/>
  <c r="O931" i="17"/>
  <c r="O880" i="17"/>
  <c r="O902" i="17"/>
  <c r="O470" i="17"/>
  <c r="O373" i="17"/>
  <c r="O912" i="17"/>
  <c r="O383" i="17"/>
  <c r="O886" i="17"/>
  <c r="O909" i="17"/>
  <c r="O103" i="17"/>
  <c r="O798" i="17"/>
  <c r="O535" i="17"/>
  <c r="O484" i="17"/>
  <c r="O752" i="17"/>
  <c r="O764" i="17"/>
  <c r="O787" i="17"/>
  <c r="O930" i="17"/>
  <c r="O761" i="17"/>
  <c r="O832" i="17"/>
  <c r="O903" i="17"/>
  <c r="O830" i="17"/>
  <c r="O398" i="17"/>
  <c r="O937" i="17"/>
  <c r="O349" i="17"/>
  <c r="O888" i="17"/>
  <c r="O456" i="17"/>
  <c r="O827" i="17"/>
  <c r="O359" i="17"/>
  <c r="O814" i="17"/>
  <c r="O310" i="17"/>
  <c r="O885" i="17"/>
  <c r="O333" i="17"/>
  <c r="O365" i="17"/>
  <c r="O702" i="17"/>
  <c r="O437" i="17"/>
  <c r="O704" i="17"/>
  <c r="O260" i="17"/>
  <c r="O619" i="17"/>
  <c r="O42" i="17"/>
  <c r="O496" i="17"/>
  <c r="O626" i="17"/>
  <c r="O889" i="17"/>
  <c r="O97" i="17"/>
  <c r="O935" i="17"/>
  <c r="O623" i="17"/>
  <c r="O454" i="17"/>
  <c r="O669" i="17"/>
  <c r="O796" i="17"/>
  <c r="O199" i="17"/>
  <c r="O606" i="17"/>
  <c r="O315" i="17"/>
  <c r="O389" i="17"/>
  <c r="O819" i="17"/>
  <c r="O656" i="17"/>
  <c r="O27" i="17"/>
  <c r="O236" i="17"/>
  <c r="O499" i="17"/>
  <c r="O642" i="17"/>
  <c r="O18" i="17"/>
  <c r="O329" i="17"/>
  <c r="O472" i="17"/>
  <c r="O687" i="17"/>
  <c r="O63" i="17"/>
  <c r="O614" i="17"/>
  <c r="O218" i="17"/>
  <c r="O829" i="17"/>
  <c r="O397" i="17"/>
  <c r="O85" i="17"/>
  <c r="O744" i="17"/>
  <c r="O312" i="17"/>
  <c r="O923" i="17"/>
  <c r="O611" i="17"/>
  <c r="O179" i="17"/>
  <c r="O790" i="17"/>
  <c r="O394" i="17"/>
  <c r="O969" i="17"/>
  <c r="O657" i="17"/>
  <c r="O309" i="17"/>
  <c r="O679" i="17"/>
  <c r="O411" i="17"/>
  <c r="O867" i="17"/>
  <c r="O171" i="17"/>
  <c r="O762" i="17"/>
  <c r="O353" i="17"/>
  <c r="O711" i="17"/>
  <c r="O87" i="17"/>
  <c r="O230" i="17"/>
  <c r="O457" i="17"/>
  <c r="O756" i="17"/>
  <c r="O324" i="17"/>
  <c r="O191" i="17"/>
  <c r="O802" i="17"/>
  <c r="O22" i="17"/>
  <c r="O321" i="17"/>
  <c r="O700" i="17"/>
  <c r="O53" i="17"/>
  <c r="O510" i="17"/>
  <c r="O776" i="17"/>
  <c r="O147" i="17"/>
  <c r="O771" i="17"/>
  <c r="O608" i="17"/>
  <c r="O1004" i="17"/>
  <c r="O212" i="17"/>
  <c r="O475" i="17"/>
  <c r="O618" i="17"/>
  <c r="O1001" i="17"/>
  <c r="O209" i="17"/>
  <c r="O352" i="17"/>
  <c r="O663" i="17"/>
  <c r="O39" i="17"/>
  <c r="O602" i="17"/>
  <c r="O206" i="17"/>
  <c r="O817" i="17"/>
  <c r="O385" i="17"/>
  <c r="O73" i="17"/>
  <c r="O684" i="17"/>
  <c r="O252" i="17"/>
  <c r="O911" i="17"/>
  <c r="O599" i="17"/>
  <c r="O167" i="17"/>
  <c r="O778" i="17"/>
  <c r="O382" i="17"/>
  <c r="O957" i="17"/>
  <c r="O645" i="17"/>
  <c r="O249" i="17"/>
  <c r="O990" i="17"/>
  <c r="O344" i="17"/>
  <c r="O680" i="17"/>
  <c r="O436" i="17"/>
  <c r="O387" i="17"/>
  <c r="O125" i="17"/>
  <c r="O1003" i="17"/>
  <c r="O906" i="17"/>
  <c r="O737" i="17"/>
  <c r="O568" i="17"/>
  <c r="O471" i="17"/>
  <c r="O938" i="17"/>
  <c r="O386" i="17"/>
  <c r="O805" i="17"/>
  <c r="O217" i="17"/>
  <c r="O672" i="17"/>
  <c r="O84" i="17"/>
  <c r="O227" i="17"/>
  <c r="O646" i="17"/>
  <c r="O789" i="17"/>
  <c r="O237" i="17"/>
  <c r="O894" i="17"/>
  <c r="O556" i="17"/>
  <c r="O248" i="17"/>
  <c r="O294" i="17"/>
  <c r="O988" i="17"/>
  <c r="O584" i="17"/>
  <c r="O533" i="17"/>
  <c r="O388" i="17"/>
  <c r="O339" i="17"/>
  <c r="O175" i="17"/>
  <c r="O77" i="17"/>
  <c r="O548" i="17"/>
  <c r="O979" i="17"/>
  <c r="O427" i="17"/>
  <c r="O882" i="17"/>
  <c r="O258" i="17"/>
  <c r="O713" i="17"/>
  <c r="O161" i="17"/>
  <c r="O544" i="17"/>
  <c r="O999" i="17"/>
  <c r="O447" i="17"/>
  <c r="O926" i="17"/>
  <c r="O650" i="17"/>
  <c r="O374" i="17"/>
  <c r="O62" i="17"/>
  <c r="O793" i="17"/>
  <c r="O517" i="17"/>
  <c r="O205" i="17"/>
  <c r="O936" i="17"/>
  <c r="O660" i="17"/>
  <c r="O348" i="17"/>
  <c r="O72" i="17"/>
  <c r="O803" i="17"/>
  <c r="O491" i="17"/>
  <c r="O215" i="17"/>
  <c r="O946" i="17"/>
  <c r="O634" i="17"/>
  <c r="O358" i="17"/>
  <c r="O82" i="17"/>
  <c r="O777" i="17"/>
  <c r="O501" i="17"/>
  <c r="O225" i="17"/>
  <c r="O604" i="17"/>
  <c r="O342" i="17"/>
  <c r="O75" i="17"/>
  <c r="O581" i="17"/>
  <c r="O224" i="17"/>
  <c r="O572" i="17"/>
  <c r="O451" i="17"/>
  <c r="O282" i="17"/>
  <c r="O185" i="17"/>
  <c r="O16" i="17"/>
  <c r="O662" i="17"/>
  <c r="O74" i="17"/>
  <c r="O529" i="17"/>
  <c r="O948" i="17"/>
  <c r="O360" i="17"/>
  <c r="O815" i="17"/>
  <c r="O503" i="17"/>
  <c r="O958" i="17"/>
  <c r="O370" i="17"/>
  <c r="O94" i="17"/>
  <c r="O513" i="17"/>
  <c r="O750" i="17"/>
  <c r="O460" i="17"/>
  <c r="O150" i="17"/>
  <c r="O246" i="17"/>
  <c r="O892" i="17"/>
  <c r="O488" i="17"/>
  <c r="O485" i="17"/>
  <c r="O340" i="17"/>
  <c r="O291" i="17"/>
  <c r="O126" i="17"/>
  <c r="O28" i="17"/>
  <c r="O524" i="17"/>
  <c r="O955" i="17"/>
  <c r="O403" i="17"/>
  <c r="O858" i="17"/>
  <c r="O234" i="17"/>
  <c r="O689" i="17"/>
  <c r="O137" i="17"/>
  <c r="O520" i="17"/>
  <c r="O975" i="17"/>
  <c r="O423" i="17"/>
  <c r="O914" i="17"/>
  <c r="O638" i="17"/>
  <c r="O362" i="17"/>
  <c r="O50" i="17"/>
  <c r="O781" i="17"/>
  <c r="O505" i="17"/>
  <c r="O193" i="17"/>
  <c r="O924" i="17"/>
  <c r="O648" i="17"/>
  <c r="O336" i="17"/>
  <c r="O60" i="17"/>
  <c r="O791" i="17"/>
  <c r="O479" i="17"/>
  <c r="O203" i="17"/>
  <c r="O934" i="17"/>
  <c r="O622" i="17"/>
  <c r="O346" i="17"/>
  <c r="O70" i="17"/>
  <c r="O765" i="17"/>
  <c r="O489" i="17"/>
  <c r="O213" i="17"/>
  <c r="O653" i="17"/>
  <c r="O699" i="17"/>
  <c r="O486" i="17"/>
  <c r="O987" i="17"/>
  <c r="O725" i="17"/>
  <c r="O916" i="17"/>
  <c r="O243" i="17"/>
  <c r="O884" i="17"/>
  <c r="O20" i="17"/>
  <c r="O211" i="17"/>
  <c r="O977" i="17"/>
  <c r="O113" i="17"/>
  <c r="O256" i="17"/>
  <c r="O399" i="17"/>
  <c r="O782" i="17"/>
  <c r="O110" i="17"/>
  <c r="O685" i="17"/>
  <c r="O253" i="17"/>
  <c r="O828" i="17"/>
  <c r="O396" i="17"/>
  <c r="O204" i="17"/>
  <c r="O779" i="17"/>
  <c r="O347" i="17"/>
  <c r="O922" i="17"/>
  <c r="O490" i="17"/>
  <c r="O250" i="17"/>
  <c r="O825" i="17"/>
  <c r="O393" i="17"/>
  <c r="O557" i="17"/>
  <c r="O603" i="17"/>
  <c r="O919" i="17"/>
  <c r="O438" i="17"/>
  <c r="O318" i="17"/>
  <c r="O891" i="17"/>
  <c r="O296" i="17"/>
  <c r="O677" i="17"/>
  <c r="O868" i="17"/>
  <c r="O963" i="17"/>
  <c r="O176" i="17"/>
  <c r="O320" i="17"/>
  <c r="O559" i="17"/>
  <c r="O860" i="17"/>
  <c r="O476" i="17"/>
  <c r="O195" i="17"/>
  <c r="O667" i="17"/>
  <c r="O187" i="17"/>
  <c r="O810" i="17"/>
  <c r="O330" i="17"/>
  <c r="O953" i="17"/>
  <c r="O473" i="17"/>
  <c r="O89" i="17"/>
  <c r="O616" i="17"/>
  <c r="O232" i="17"/>
  <c r="O759" i="17"/>
  <c r="O375" i="17"/>
  <c r="O962" i="17"/>
  <c r="O770" i="17"/>
  <c r="O530" i="17"/>
  <c r="O338" i="17"/>
  <c r="O98" i="17"/>
  <c r="O913" i="17"/>
  <c r="O673" i="17"/>
  <c r="O481" i="17"/>
  <c r="O241" i="17"/>
  <c r="O49" i="17"/>
  <c r="O816" i="17"/>
  <c r="O624" i="17"/>
  <c r="O384" i="17"/>
  <c r="O192" i="17"/>
  <c r="O959" i="17"/>
  <c r="O767" i="17"/>
  <c r="O527" i="17"/>
  <c r="O335" i="17"/>
  <c r="O95" i="17"/>
  <c r="O910" i="17"/>
  <c r="O670" i="17"/>
  <c r="O478" i="17"/>
  <c r="O238" i="17"/>
  <c r="O46" i="17"/>
  <c r="O813" i="17"/>
  <c r="O621" i="17"/>
  <c r="O381" i="17"/>
  <c r="O189" i="17"/>
  <c r="O54" i="17"/>
  <c r="O414" i="17"/>
  <c r="O392" i="17"/>
  <c r="O172" i="17"/>
  <c r="O368" i="17"/>
  <c r="O607" i="17"/>
  <c r="O500" i="17"/>
  <c r="O691" i="17"/>
  <c r="O834" i="17"/>
  <c r="O354" i="17"/>
  <c r="O497" i="17"/>
  <c r="O640" i="17"/>
  <c r="O783" i="17"/>
  <c r="O974" i="17"/>
  <c r="O542" i="17"/>
  <c r="O350" i="17"/>
  <c r="O925" i="17"/>
  <c r="O493" i="17"/>
  <c r="O61" i="17"/>
  <c r="O636" i="17"/>
  <c r="O971" i="17"/>
  <c r="O539" i="17"/>
  <c r="O107" i="17"/>
  <c r="O682" i="17"/>
  <c r="O58" i="17"/>
  <c r="O633" i="17"/>
  <c r="O201" i="17"/>
  <c r="O461" i="17"/>
  <c r="O507" i="17"/>
  <c r="O823" i="17"/>
  <c r="O390" i="17"/>
  <c r="O124" i="17"/>
  <c r="O747" i="17"/>
  <c r="O200" i="17"/>
  <c r="O629" i="17"/>
  <c r="O820" i="17"/>
  <c r="O915" i="17"/>
  <c r="O127" i="17"/>
  <c r="O272" i="17"/>
  <c r="O511" i="17"/>
  <c r="O836" i="17"/>
  <c r="O452" i="17"/>
  <c r="O51" i="17"/>
  <c r="O643" i="17"/>
  <c r="O163" i="17"/>
  <c r="O786" i="17"/>
  <c r="O306" i="17"/>
  <c r="O929" i="17"/>
  <c r="O449" i="17"/>
  <c r="O65" i="17"/>
  <c r="O592" i="17"/>
  <c r="O208" i="17"/>
  <c r="O735" i="17"/>
  <c r="O351" i="17"/>
  <c r="O950" i="17"/>
  <c r="O758" i="17"/>
  <c r="O518" i="17"/>
  <c r="O326" i="17"/>
  <c r="O86" i="17"/>
  <c r="O901" i="17"/>
  <c r="O661" i="17"/>
  <c r="O469" i="17"/>
  <c r="O229" i="17"/>
  <c r="O37" i="17"/>
  <c r="O804" i="17"/>
  <c r="O612" i="17"/>
  <c r="O372" i="17"/>
  <c r="O180" i="17"/>
  <c r="O947" i="17"/>
  <c r="O755" i="17"/>
  <c r="O515" i="17"/>
  <c r="O323" i="17"/>
  <c r="O83" i="17"/>
  <c r="O898" i="17"/>
  <c r="O658" i="17"/>
  <c r="O466" i="17"/>
  <c r="O226" i="17"/>
  <c r="O34" i="17"/>
  <c r="O801" i="17"/>
  <c r="O609" i="17"/>
  <c r="O369" i="17"/>
  <c r="O177" i="17"/>
  <c r="O462" i="17"/>
  <c r="O269" i="17"/>
  <c r="O56" i="17"/>
  <c r="O824" i="17"/>
  <c r="O583" i="17"/>
  <c r="O678" i="17"/>
  <c r="O100" i="17"/>
  <c r="O893" i="17"/>
  <c r="O412" i="17"/>
  <c r="O219" i="17"/>
  <c r="O967" i="17"/>
  <c r="O917" i="17"/>
  <c r="O341" i="17"/>
  <c r="O724" i="17"/>
  <c r="O128" i="17"/>
  <c r="O627" i="17"/>
  <c r="O30" i="17"/>
  <c r="O560" i="17"/>
  <c r="O991" i="17"/>
  <c r="O415" i="17"/>
  <c r="O980" i="17"/>
  <c r="O692" i="17"/>
  <c r="O404" i="17"/>
  <c r="O116" i="17"/>
  <c r="O883" i="17"/>
  <c r="O595" i="17"/>
  <c r="O307" i="17"/>
  <c r="O19" i="17"/>
  <c r="O738" i="17"/>
  <c r="O450" i="17"/>
  <c r="O162" i="17"/>
  <c r="O881" i="17"/>
  <c r="O593" i="17"/>
  <c r="O305" i="17"/>
  <c r="O17" i="17"/>
  <c r="O736" i="17"/>
  <c r="O448" i="17"/>
  <c r="O160" i="17"/>
  <c r="O879" i="17"/>
  <c r="O591" i="17"/>
  <c r="O303" i="17"/>
  <c r="O15" i="17"/>
  <c r="O878" i="17"/>
  <c r="O734" i="17"/>
  <c r="O590" i="17"/>
  <c r="O446" i="17"/>
  <c r="O302" i="17"/>
  <c r="O158" i="17"/>
  <c r="O14" i="17"/>
  <c r="O877" i="17"/>
  <c r="O733" i="17"/>
  <c r="O589" i="17"/>
  <c r="O445" i="17"/>
  <c r="O301" i="17"/>
  <c r="O157" i="17"/>
  <c r="O13" i="17"/>
  <c r="O876" i="17"/>
  <c r="O732" i="17"/>
  <c r="O588" i="17"/>
  <c r="O444" i="17"/>
  <c r="O300" i="17"/>
  <c r="O156" i="17"/>
  <c r="O12" i="17"/>
  <c r="O875" i="17"/>
  <c r="O731" i="17"/>
  <c r="O587" i="17"/>
  <c r="O443" i="17"/>
  <c r="O299" i="17"/>
  <c r="O155" i="17"/>
  <c r="O11" i="17"/>
  <c r="O874" i="17"/>
  <c r="O730" i="17"/>
  <c r="O586" i="17"/>
  <c r="O442" i="17"/>
  <c r="O298" i="17"/>
  <c r="O154" i="17"/>
  <c r="O10" i="17"/>
  <c r="O873" i="17"/>
  <c r="O729" i="17"/>
  <c r="O585" i="17"/>
  <c r="O441" i="17"/>
  <c r="O297" i="17"/>
  <c r="O153" i="17"/>
  <c r="O412" i="11"/>
  <c r="O25" i="11"/>
  <c r="O655" i="11"/>
  <c r="O380" i="11"/>
  <c r="O634" i="11"/>
  <c r="O142" i="11"/>
  <c r="O235" i="11"/>
  <c r="O50" i="11"/>
  <c r="O107" i="11"/>
  <c r="O597" i="11"/>
  <c r="O679" i="11"/>
  <c r="O688" i="11"/>
  <c r="O998" i="11"/>
  <c r="O280" i="11"/>
  <c r="O247" i="11"/>
  <c r="O339" i="11"/>
  <c r="O997" i="11"/>
  <c r="O100" i="11"/>
  <c r="O525" i="11"/>
  <c r="O842" i="11"/>
  <c r="O88" i="11"/>
  <c r="O1002" i="11"/>
  <c r="O981" i="11"/>
  <c r="O493" i="11"/>
  <c r="O457" i="11"/>
  <c r="O915" i="11"/>
  <c r="O557" i="11"/>
  <c r="O941" i="11"/>
  <c r="O243" i="11"/>
  <c r="O471" i="11"/>
  <c r="O702" i="11"/>
  <c r="O336" i="11"/>
  <c r="O373" i="11"/>
  <c r="O690" i="11"/>
  <c r="O274" i="11"/>
  <c r="O520" i="11"/>
  <c r="O371" i="11"/>
  <c r="O127" i="11"/>
  <c r="O746" i="11"/>
  <c r="O559" i="11"/>
  <c r="O603" i="11"/>
  <c r="O571" i="11"/>
  <c r="O976" i="11"/>
  <c r="O846" i="11"/>
  <c r="O116" i="11"/>
  <c r="O104" i="11"/>
  <c r="O858" i="11"/>
  <c r="O96" i="11"/>
  <c r="O584" i="11"/>
  <c r="O913" i="11"/>
  <c r="O643" i="11"/>
  <c r="O506" i="11"/>
  <c r="O502" i="11"/>
  <c r="O323" i="11"/>
  <c r="O789" i="11"/>
  <c r="O56" i="11"/>
  <c r="O342" i="11"/>
  <c r="O628" i="11"/>
  <c r="O171" i="11"/>
  <c r="O983" i="11"/>
  <c r="O118" i="11"/>
  <c r="O855" i="11"/>
  <c r="O178" i="11"/>
  <c r="O57" i="11"/>
  <c r="O331" i="11"/>
  <c r="O605" i="11"/>
  <c r="O935" i="11"/>
  <c r="O931" i="11"/>
  <c r="O216" i="11"/>
  <c r="O278" i="11"/>
  <c r="O851" i="11"/>
  <c r="O99" i="11"/>
  <c r="O320" i="11"/>
  <c r="O606" i="11"/>
  <c r="O892" i="11"/>
  <c r="O646" i="11"/>
  <c r="O787" i="11"/>
  <c r="O601" i="11"/>
  <c r="O542" i="11"/>
  <c r="O766" i="11"/>
  <c r="O363" i="11"/>
  <c r="O452" i="11"/>
  <c r="O738" i="11"/>
  <c r="O1005" i="11"/>
  <c r="O936" i="11"/>
  <c r="O857" i="11"/>
  <c r="O368" i="11"/>
  <c r="O1004" i="11"/>
  <c r="O240" i="11"/>
  <c r="O392" i="11"/>
  <c r="O214" i="11"/>
  <c r="O691" i="11"/>
  <c r="O570" i="11"/>
  <c r="O648" i="11"/>
  <c r="O661" i="11"/>
  <c r="O544" i="11"/>
  <c r="O511" i="11"/>
  <c r="O867" i="11"/>
  <c r="O110" i="11"/>
  <c r="O568" i="11"/>
  <c r="O993" i="11"/>
  <c r="O432" i="11"/>
  <c r="O292" i="11"/>
  <c r="O259" i="11"/>
  <c r="O483" i="11"/>
  <c r="O37" i="11"/>
  <c r="O364" i="11"/>
  <c r="O382" i="11"/>
  <c r="O90" i="11"/>
  <c r="O366" i="11"/>
  <c r="O843" i="11"/>
  <c r="O239" i="11"/>
  <c r="O427" i="11"/>
  <c r="O145" i="11"/>
  <c r="O230" i="11"/>
  <c r="O103" i="11"/>
  <c r="O874" i="11"/>
  <c r="O940" i="11"/>
  <c r="O300" i="11"/>
  <c r="O859" i="11"/>
  <c r="O241" i="11"/>
  <c r="O871" i="11"/>
  <c r="O813" i="11"/>
  <c r="O509" i="11"/>
  <c r="O146" i="11"/>
  <c r="O138" i="11"/>
  <c r="O942" i="11"/>
  <c r="O870" i="11"/>
  <c r="O150" i="11"/>
  <c r="O447" i="11"/>
  <c r="O967" i="11"/>
  <c r="O615" i="11"/>
  <c r="O67" i="11"/>
  <c r="O193" i="11"/>
  <c r="O877" i="11"/>
  <c r="O27" i="11"/>
  <c r="O645" i="11"/>
  <c r="O919" i="11"/>
  <c r="O198" i="11"/>
  <c r="O484" i="11"/>
  <c r="O513" i="11"/>
  <c r="O890" i="11"/>
  <c r="O567" i="11"/>
  <c r="O756" i="11"/>
  <c r="O742" i="11"/>
  <c r="O908" i="11"/>
  <c r="O187" i="11"/>
  <c r="O461" i="11"/>
  <c r="O698" i="11"/>
  <c r="O211" i="11"/>
  <c r="O674" i="11"/>
  <c r="O719" i="11"/>
  <c r="O563" i="11"/>
  <c r="O909" i="11"/>
  <c r="O176" i="11"/>
  <c r="O462" i="11"/>
  <c r="O748" i="11"/>
  <c r="O325" i="11"/>
  <c r="O355" i="11"/>
  <c r="O120" i="11"/>
  <c r="O254" i="11"/>
  <c r="O827" i="11"/>
  <c r="O75" i="11"/>
  <c r="O791" i="11"/>
  <c r="O828" i="11"/>
  <c r="O417" i="11"/>
  <c r="O377" i="11"/>
  <c r="O5" i="11"/>
  <c r="O430" i="11"/>
  <c r="O966" i="11"/>
  <c r="O873" i="11"/>
  <c r="O582" i="11"/>
  <c r="O401" i="11"/>
  <c r="O375" i="11"/>
  <c r="O60" i="11"/>
  <c r="O808" i="11"/>
  <c r="O715" i="11"/>
  <c r="O671" i="11"/>
  <c r="O518" i="11"/>
  <c r="O77" i="11"/>
  <c r="O507" i="11"/>
  <c r="O553" i="11"/>
  <c r="O556" i="11"/>
  <c r="O523" i="11"/>
  <c r="O891" i="11"/>
  <c r="O134" i="11"/>
  <c r="O832" i="11"/>
  <c r="O203" i="11"/>
  <c r="O558" i="11"/>
  <c r="O678" i="11"/>
  <c r="O250" i="11"/>
  <c r="O602" i="11"/>
  <c r="O548" i="11"/>
  <c r="O220" i="11"/>
  <c r="O663" i="11"/>
  <c r="O415" i="11"/>
  <c r="O947" i="11"/>
  <c r="O233" i="11"/>
  <c r="O949" i="11"/>
  <c r="O560" i="11"/>
  <c r="O552" i="11"/>
  <c r="O272" i="11"/>
  <c r="O583" i="11"/>
  <c r="O388" i="11"/>
  <c r="O624" i="11"/>
  <c r="O425" i="11"/>
  <c r="O234" i="11"/>
  <c r="O222" i="11"/>
  <c r="O497" i="11"/>
  <c r="O446" i="11"/>
  <c r="O367" i="11"/>
  <c r="O350" i="11"/>
  <c r="O210" i="11"/>
  <c r="O841" i="11"/>
  <c r="O589" i="11"/>
  <c r="O975" i="11"/>
  <c r="O501" i="11"/>
  <c r="O775" i="11"/>
  <c r="O54" i="11"/>
  <c r="O340" i="11"/>
  <c r="O788" i="11"/>
  <c r="O817" i="11"/>
  <c r="O279" i="11"/>
  <c r="O468" i="11"/>
  <c r="O987" i="11"/>
  <c r="O764" i="11"/>
  <c r="O43" i="11"/>
  <c r="O317" i="11"/>
  <c r="O327" i="11"/>
  <c r="O642" i="11"/>
  <c r="O409" i="11"/>
  <c r="O238" i="11"/>
  <c r="O275" i="11"/>
  <c r="O765" i="11"/>
  <c r="O32" i="11"/>
  <c r="O318" i="11"/>
  <c r="O604" i="11"/>
  <c r="O516" i="11"/>
  <c r="O930" i="11"/>
  <c r="O578" i="11"/>
  <c r="O551" i="11"/>
  <c r="O539" i="11"/>
  <c r="O897" i="11"/>
  <c r="O164" i="11"/>
  <c r="O450" i="11"/>
  <c r="O736" i="11"/>
  <c r="O296" i="11"/>
  <c r="O438" i="11"/>
  <c r="O426" i="11"/>
  <c r="O374" i="11"/>
  <c r="O840" i="11"/>
  <c r="O223" i="11"/>
  <c r="O712" i="11"/>
  <c r="O944" i="11"/>
  <c r="O433" i="11"/>
  <c r="O424" i="11"/>
  <c r="O660" i="11"/>
  <c r="O287" i="11"/>
  <c r="O58" i="11"/>
  <c r="O979" i="11"/>
  <c r="O538" i="11"/>
  <c r="O159" i="11"/>
  <c r="O545" i="11"/>
  <c r="O51" i="11"/>
  <c r="O112" i="11"/>
  <c r="O820" i="11"/>
  <c r="O727" i="11"/>
  <c r="O26" i="11"/>
  <c r="O662" i="11"/>
  <c r="O281" i="11"/>
  <c r="O396" i="11"/>
  <c r="O822" i="11"/>
  <c r="O91" i="11"/>
  <c r="O850" i="11"/>
  <c r="O290" i="11"/>
  <c r="O153" i="11"/>
  <c r="O665" i="11"/>
  <c r="O528" i="11"/>
  <c r="O835" i="11"/>
  <c r="O276" i="11"/>
  <c r="O653" i="11"/>
  <c r="O806" i="11"/>
  <c r="O860" i="11"/>
  <c r="O232" i="11"/>
  <c r="O572" i="11"/>
  <c r="O400" i="11"/>
  <c r="O887" i="11"/>
  <c r="O831" i="11"/>
  <c r="O796" i="11"/>
  <c r="O689" i="11"/>
  <c r="O988" i="11"/>
  <c r="O268" i="11"/>
  <c r="O757" i="11"/>
  <c r="O666" i="11"/>
  <c r="O901" i="11"/>
  <c r="O629" i="11"/>
  <c r="O410" i="11"/>
  <c r="O301" i="11"/>
  <c r="O778" i="11"/>
  <c r="O357" i="11"/>
  <c r="O631" i="11"/>
  <c r="O905" i="11"/>
  <c r="O196" i="11"/>
  <c r="O68" i="11"/>
  <c r="O721" i="11"/>
  <c r="O878" i="11"/>
  <c r="O180" i="11"/>
  <c r="O699" i="11"/>
  <c r="O620" i="11"/>
  <c r="O906" i="11"/>
  <c r="O173" i="11"/>
  <c r="O62" i="11"/>
  <c r="O917" i="11"/>
  <c r="O959" i="11"/>
  <c r="O829" i="11"/>
  <c r="O695" i="11"/>
  <c r="O621" i="11"/>
  <c r="O895" i="11"/>
  <c r="O174" i="11"/>
  <c r="O460" i="11"/>
  <c r="O923" i="11"/>
  <c r="O498" i="11"/>
  <c r="O986" i="11"/>
  <c r="O70" i="11"/>
  <c r="O251" i="11"/>
  <c r="O753" i="11"/>
  <c r="O20" i="11"/>
  <c r="O306" i="11"/>
  <c r="O592" i="11"/>
  <c r="O394" i="11"/>
  <c r="O982" i="11"/>
  <c r="O423" i="11"/>
  <c r="O215" i="11"/>
  <c r="O745" i="11"/>
  <c r="O703" i="11"/>
  <c r="O455" i="11"/>
  <c r="O481" i="11"/>
  <c r="O510" i="11"/>
  <c r="O236" i="11"/>
  <c r="O348" i="11"/>
  <c r="O809" i="11"/>
  <c r="O109" i="11"/>
  <c r="O65" i="11"/>
  <c r="O980" i="11"/>
  <c r="O183" i="11"/>
  <c r="O1003" i="11"/>
  <c r="O283" i="11"/>
  <c r="O824" i="11"/>
  <c r="O23" i="11"/>
  <c r="O972" i="11"/>
  <c r="O9" i="11"/>
  <c r="O537" i="11"/>
  <c r="O390" i="11"/>
  <c r="O952" i="11"/>
  <c r="O652" i="11"/>
  <c r="O718" i="11"/>
  <c r="O879" i="11"/>
  <c r="O681" i="11"/>
  <c r="O1000" i="11"/>
  <c r="O479" i="11"/>
  <c r="O958" i="11"/>
  <c r="O640" i="11"/>
  <c r="O902" i="11"/>
  <c r="O490" i="11"/>
  <c r="O632" i="11"/>
  <c r="O761" i="11"/>
  <c r="O613" i="11"/>
  <c r="O792" i="11"/>
  <c r="O853" i="11"/>
  <c r="O411" i="11"/>
  <c r="O907" i="11"/>
  <c r="O29" i="11"/>
  <c r="O747" i="11"/>
  <c r="O672" i="11"/>
  <c r="O732" i="11"/>
  <c r="O477" i="11"/>
  <c r="O175" i="11"/>
  <c r="O316" i="11"/>
  <c r="O657" i="11"/>
  <c r="O794" i="11"/>
  <c r="O996" i="11"/>
  <c r="O609" i="11"/>
  <c r="O451" i="11"/>
  <c r="O293" i="11"/>
  <c r="O682" i="11"/>
  <c r="O799" i="11"/>
  <c r="O436" i="11"/>
  <c r="O221" i="11"/>
  <c r="O102" i="11"/>
  <c r="O588" i="11"/>
  <c r="O10" i="11"/>
  <c r="O97" i="11"/>
  <c r="O472" i="11"/>
  <c r="O896" i="11"/>
  <c r="O903" i="11"/>
  <c r="O696" i="11"/>
  <c r="O93" i="11"/>
  <c r="O700" i="11"/>
  <c r="O441" i="11"/>
  <c r="O270" i="11"/>
  <c r="O856" i="11"/>
  <c r="O641" i="11"/>
  <c r="O315" i="11"/>
  <c r="O864" i="11"/>
  <c r="O405" i="11"/>
  <c r="O929" i="11"/>
  <c r="O135" i="11"/>
  <c r="O191" i="11"/>
  <c r="O654" i="11"/>
  <c r="O819" i="11"/>
  <c r="O709" i="11"/>
  <c r="O389" i="11"/>
  <c r="O440" i="11"/>
  <c r="O876" i="11"/>
  <c r="O282" i="11"/>
  <c r="O687" i="11"/>
  <c r="O269" i="11"/>
  <c r="O249" i="11"/>
  <c r="O759" i="11"/>
  <c r="O524" i="11"/>
  <c r="O547" i="11"/>
  <c r="O129" i="11"/>
  <c r="O264" i="11"/>
  <c r="O349" i="11"/>
  <c r="O136" i="11"/>
  <c r="O837" i="11"/>
  <c r="O115" i="11"/>
  <c r="O245" i="11"/>
  <c r="O964" i="11"/>
  <c r="O71" i="11"/>
  <c r="O494" i="11"/>
  <c r="O117" i="11"/>
  <c r="O15" i="11"/>
  <c r="O555" i="11"/>
  <c r="O108" i="11"/>
  <c r="O7" i="11"/>
  <c r="O6" i="11"/>
  <c r="O614" i="11"/>
  <c r="O202" i="11"/>
  <c r="O488" i="11"/>
  <c r="O617" i="11"/>
  <c r="O804" i="11"/>
  <c r="O312" i="11"/>
  <c r="O565" i="11"/>
  <c r="O123" i="11"/>
  <c r="O763" i="11"/>
  <c r="O904" i="11"/>
  <c r="O801" i="11"/>
  <c r="O984" i="11"/>
  <c r="O444" i="11"/>
  <c r="O333" i="11"/>
  <c r="O31" i="11"/>
  <c r="O172" i="11"/>
  <c r="O81" i="11"/>
  <c r="O576" i="11"/>
  <c r="O708" i="11"/>
  <c r="O465" i="11"/>
  <c r="O307" i="11"/>
  <c r="O149" i="11"/>
  <c r="O644" i="11"/>
  <c r="O420" i="11"/>
  <c r="O163" i="11"/>
  <c r="O750" i="11"/>
  <c r="O356" i="11"/>
  <c r="O177" i="11"/>
  <c r="O397" i="11"/>
  <c r="O978" i="11"/>
  <c r="O960" i="11"/>
  <c r="O237" i="11"/>
  <c r="O376" i="11"/>
  <c r="O637" i="11"/>
  <c r="O402" i="11"/>
  <c r="O165" i="11"/>
  <c r="O256" i="11"/>
  <c r="O262" i="11"/>
  <c r="O487" i="11"/>
  <c r="O143" i="11"/>
  <c r="O928" i="11"/>
  <c r="O66" i="11"/>
  <c r="O882" i="11"/>
  <c r="O381" i="11"/>
  <c r="O101" i="11"/>
  <c r="O664" i="11"/>
  <c r="O521" i="11"/>
  <c r="O580" i="11"/>
  <c r="O158" i="11"/>
  <c r="O439" i="11"/>
  <c r="O957" i="11"/>
  <c r="O862" i="11"/>
  <c r="O649" i="11"/>
  <c r="O195" i="11"/>
  <c r="O445" i="11"/>
  <c r="O713" i="11"/>
  <c r="O585" i="11"/>
  <c r="O190" i="11"/>
  <c r="O40" i="11"/>
  <c r="O704" i="11"/>
  <c r="O61" i="11"/>
  <c r="O546" i="11"/>
  <c r="O686" i="11"/>
  <c r="O533" i="11"/>
  <c r="O453" i="11"/>
  <c r="O362" i="11"/>
  <c r="O261" i="11"/>
  <c r="O46" i="11"/>
  <c r="O429" i="11"/>
  <c r="O227" i="11"/>
  <c r="O206" i="11"/>
  <c r="O508" i="11"/>
  <c r="O267" i="11"/>
  <c r="O847" i="11"/>
  <c r="O977" i="11"/>
  <c r="O365" i="11"/>
  <c r="O612" i="11"/>
  <c r="O263" i="11"/>
  <c r="O656" i="11"/>
  <c r="O574" i="11"/>
  <c r="O285" i="11"/>
  <c r="O491" i="11"/>
  <c r="O504" i="11"/>
  <c r="O962" i="11"/>
  <c r="O326" i="11"/>
  <c r="O886" i="11"/>
  <c r="O344" i="11"/>
  <c r="O473" i="11"/>
  <c r="O635" i="11"/>
  <c r="O770" i="11"/>
  <c r="O277" i="11"/>
  <c r="O921" i="11"/>
  <c r="O619" i="11"/>
  <c r="O760" i="11"/>
  <c r="O225" i="11"/>
  <c r="O503" i="11"/>
  <c r="O156" i="11"/>
  <c r="O189" i="11"/>
  <c r="O894" i="11"/>
  <c r="O28" i="11"/>
  <c r="O912" i="11"/>
  <c r="O321" i="11"/>
  <c r="O880" i="11"/>
  <c r="O910" i="11"/>
  <c r="O359" i="11"/>
  <c r="O448" i="11"/>
  <c r="O98" i="11"/>
  <c r="O743" i="11"/>
  <c r="O845" i="11"/>
  <c r="O701" i="11"/>
  <c r="O711" i="11"/>
  <c r="O562" i="11"/>
  <c r="O131" i="11"/>
  <c r="O948" i="11"/>
  <c r="O72" i="11"/>
  <c r="O358" i="11"/>
  <c r="O723" i="11"/>
  <c r="O499" i="11"/>
  <c r="O762" i="11"/>
  <c r="O63" i="11"/>
  <c r="O30" i="11"/>
  <c r="O33" i="11"/>
  <c r="O955" i="11"/>
  <c r="O399" i="11"/>
  <c r="O266" i="11"/>
  <c r="O970" i="11"/>
  <c r="O803" i="11"/>
  <c r="O205" i="11"/>
  <c r="O370" i="11"/>
  <c r="O114" i="11"/>
  <c r="O422" i="11"/>
  <c r="O404" i="11"/>
  <c r="O467" i="11"/>
  <c r="O676" i="11"/>
  <c r="O800" i="11"/>
  <c r="O812" i="11"/>
  <c r="O76" i="11"/>
  <c r="O968" i="11"/>
  <c r="O469" i="11"/>
  <c r="O22" i="11"/>
  <c r="O807" i="11"/>
  <c r="O797" i="11"/>
  <c r="O717" i="11"/>
  <c r="O480" i="11"/>
  <c r="O729" i="11"/>
  <c r="O124" i="11"/>
  <c r="O825" i="11"/>
  <c r="O925" i="11"/>
  <c r="O639" i="11"/>
  <c r="O868" i="11"/>
  <c r="O999" i="11"/>
  <c r="O152" i="11"/>
  <c r="O714" i="11"/>
  <c r="O677" i="11"/>
  <c r="O95" i="11"/>
  <c r="O564" i="11"/>
  <c r="O379" i="11"/>
  <c r="O710" i="11"/>
  <c r="O92" i="11"/>
  <c r="O826" i="11"/>
  <c r="O793" i="11"/>
  <c r="O889" i="11"/>
  <c r="O36" i="11"/>
  <c r="O87" i="11"/>
  <c r="O200" i="11"/>
  <c r="O329" i="11"/>
  <c r="O1006" i="11"/>
  <c r="O24" i="11"/>
  <c r="O767" i="11"/>
  <c r="O777" i="11"/>
  <c r="O475" i="11"/>
  <c r="O616" i="11"/>
  <c r="O500" i="11"/>
  <c r="O951" i="11"/>
  <c r="O45" i="11"/>
  <c r="O73" i="11"/>
  <c r="O132" i="11"/>
  <c r="O19" i="11"/>
  <c r="O914" i="11"/>
  <c r="O257" i="11"/>
  <c r="O1001" i="11"/>
  <c r="O769" i="11"/>
  <c r="O495" i="11"/>
  <c r="O848" i="11"/>
  <c r="O694" i="11"/>
  <c r="O192" i="11"/>
  <c r="O816" i="11"/>
  <c r="O185" i="11"/>
  <c r="O633" i="11"/>
  <c r="O543" i="11"/>
  <c r="O937" i="11"/>
  <c r="O575" i="11"/>
  <c r="O304" i="11"/>
  <c r="O351" i="11"/>
  <c r="O260" i="11"/>
  <c r="O314" i="11"/>
  <c r="O386" i="11"/>
  <c r="O849" i="11"/>
  <c r="O119" i="11"/>
  <c r="O34" i="11"/>
  <c r="O335" i="11"/>
  <c r="O385" i="11"/>
  <c r="O795" i="11"/>
  <c r="O946" i="11"/>
  <c r="O586" i="11"/>
  <c r="O991" i="11"/>
  <c r="O78" i="11"/>
  <c r="O403" i="11"/>
  <c r="O549" i="11"/>
  <c r="O140" i="11"/>
  <c r="O650" i="11"/>
  <c r="O139" i="11"/>
  <c r="O693" i="11"/>
  <c r="O309" i="11"/>
  <c r="O39" i="11"/>
  <c r="O228" i="11"/>
  <c r="O591" i="11"/>
  <c r="O213" i="11"/>
  <c r="O916" i="11"/>
  <c r="O64" i="11"/>
  <c r="O783" i="11"/>
  <c r="O330" i="11"/>
  <c r="O496" i="11"/>
  <c r="O599" i="11"/>
  <c r="O751" i="11"/>
  <c r="O454" i="11"/>
  <c r="O529" i="11"/>
  <c r="O478" i="11"/>
  <c r="O18" i="11"/>
  <c r="O926" i="11"/>
  <c r="O939" i="11"/>
  <c r="O869" i="11"/>
  <c r="O647" i="11"/>
  <c r="O802" i="11"/>
  <c r="O581" i="11"/>
  <c r="O137" i="11"/>
  <c r="O169" i="11"/>
  <c r="O89" i="11"/>
  <c r="O252" i="11"/>
  <c r="O224" i="11"/>
  <c r="O182" i="11"/>
  <c r="O540" i="11"/>
  <c r="O369" i="11"/>
  <c r="O590" i="11"/>
  <c r="O722" i="11"/>
  <c r="O881" i="11"/>
  <c r="O805" i="11"/>
  <c r="O437" i="11"/>
  <c r="O431" i="11"/>
  <c r="O989" i="11"/>
  <c r="O673" i="11"/>
  <c r="O458" i="11"/>
  <c r="O782" i="11"/>
  <c r="O204" i="11"/>
  <c r="O302" i="11"/>
  <c r="O598" i="11"/>
  <c r="O596" i="11"/>
  <c r="O286" i="11"/>
  <c r="O217" i="11"/>
  <c r="O985" i="11"/>
  <c r="O861" i="11"/>
  <c r="O531" i="11"/>
  <c r="O311" i="11"/>
  <c r="O476" i="11"/>
  <c r="O697" i="11"/>
  <c r="O229" i="11"/>
  <c r="O21" i="11"/>
  <c r="O956" i="11"/>
  <c r="O505" i="11"/>
  <c r="O144" i="11"/>
  <c r="O866" i="11"/>
  <c r="O600" i="11"/>
  <c r="O865" i="11"/>
  <c r="O354" i="11"/>
  <c r="O255" i="11"/>
  <c r="O449" i="11"/>
  <c r="O883" i="11"/>
  <c r="O284" i="11"/>
  <c r="O577" i="11"/>
  <c r="O726" i="11"/>
  <c r="O79" i="11"/>
  <c r="O322" i="11"/>
  <c r="O973" i="11"/>
  <c r="O734" i="11"/>
  <c r="O611" i="11"/>
  <c r="O875" i="11"/>
  <c r="O854" i="11"/>
  <c r="O994" i="11"/>
  <c r="O82" i="11"/>
  <c r="O587" i="11"/>
  <c r="O706" i="11"/>
  <c r="O636" i="11"/>
  <c r="O122" i="11"/>
  <c r="O953" i="11"/>
  <c r="O14" i="11"/>
  <c r="O486" i="11"/>
  <c r="O94" i="11"/>
  <c r="O418" i="11"/>
  <c r="O658" i="11"/>
  <c r="O398" i="11"/>
  <c r="O246" i="11"/>
  <c r="O627" i="11"/>
  <c r="O12" i="11"/>
  <c r="O573" i="11"/>
  <c r="O155" i="11"/>
  <c r="O731" i="11"/>
  <c r="O248" i="11"/>
  <c r="O810" i="11"/>
  <c r="O823" i="11"/>
  <c r="O291" i="11"/>
  <c r="O536" i="11"/>
  <c r="O482" i="11"/>
  <c r="O872" i="11"/>
  <c r="O668" i="11"/>
  <c r="O692" i="11"/>
  <c r="O80" i="11"/>
  <c r="O59" i="11"/>
  <c r="O303" i="11"/>
  <c r="O69" i="11"/>
  <c r="O772" i="11"/>
  <c r="O768" i="11"/>
  <c r="O754" i="11"/>
  <c r="O186" i="11"/>
  <c r="O208" i="11"/>
  <c r="O111" i="11"/>
  <c r="O607" i="11"/>
  <c r="O519" i="11"/>
  <c r="O818" i="11"/>
  <c r="O830" i="11"/>
  <c r="O670" i="11"/>
  <c r="O384" i="11"/>
  <c r="O207" i="11"/>
  <c r="O922" i="11"/>
  <c r="O297" i="11"/>
  <c r="O343" i="11"/>
  <c r="O345" i="11"/>
  <c r="O154" i="11"/>
  <c r="O740" i="11"/>
  <c r="O265" i="11"/>
  <c r="O167" i="11"/>
  <c r="O707" i="11"/>
  <c r="O561" i="11"/>
  <c r="O121" i="11"/>
  <c r="O669" i="11"/>
  <c r="O199" i="11"/>
  <c r="O328" i="11"/>
  <c r="O737" i="11"/>
  <c r="O160" i="11"/>
  <c r="O771" i="11"/>
  <c r="O258" i="11"/>
  <c r="O821" i="11"/>
  <c r="O181" i="11"/>
  <c r="O324" i="11"/>
  <c r="O288" i="11"/>
  <c r="O212" i="11"/>
  <c r="O786" i="11"/>
  <c r="O184" i="11"/>
  <c r="O963" i="11"/>
  <c r="O485" i="11"/>
  <c r="O334" i="11"/>
  <c r="O125" i="11"/>
  <c r="O943" i="11"/>
  <c r="O900" i="11"/>
  <c r="O86" i="11"/>
  <c r="O48" i="11"/>
  <c r="O659" i="11"/>
  <c r="O774" i="11"/>
  <c r="O188" i="11"/>
  <c r="O305" i="11"/>
  <c r="O739" i="11"/>
  <c r="O733" i="11"/>
  <c r="O361" i="11"/>
  <c r="O395" i="11"/>
  <c r="O157" i="11"/>
  <c r="O863" i="11"/>
  <c r="O44" i="11"/>
  <c r="O752" i="11"/>
  <c r="O595" i="11"/>
  <c r="O720" i="11"/>
  <c r="O705" i="11"/>
  <c r="O534" i="11"/>
  <c r="O13" i="11"/>
  <c r="O741" i="11"/>
  <c r="O74" i="11"/>
  <c r="O299" i="11"/>
  <c r="O608" i="11"/>
  <c r="O594" i="11"/>
  <c r="O421" i="11"/>
  <c r="O443" i="11"/>
  <c r="O151" i="11"/>
  <c r="O685" i="11"/>
  <c r="O416" i="11"/>
  <c r="O683" i="11"/>
  <c r="O623" i="11"/>
  <c r="O512" i="11"/>
  <c r="O271" i="11"/>
  <c r="O128" i="11"/>
  <c r="O298" i="11"/>
  <c r="O836" i="11"/>
  <c r="O456" i="11"/>
  <c r="O273" i="11"/>
  <c r="O391" i="11"/>
  <c r="O838" i="11"/>
  <c r="O49" i="11"/>
  <c r="O226" i="11"/>
  <c r="O38" i="11"/>
  <c r="O920" i="11"/>
  <c r="O52" i="11"/>
  <c r="O313" i="11"/>
  <c r="O466" i="11"/>
  <c r="O42" i="11"/>
  <c r="O911" i="11"/>
  <c r="O730" i="11"/>
  <c r="O463" i="11"/>
  <c r="O347" i="11"/>
  <c r="O231" i="11"/>
  <c r="O651" i="11"/>
  <c r="O725" i="11"/>
  <c r="O579" i="11"/>
  <c r="O776" i="11"/>
  <c r="O893" i="11"/>
  <c r="O319" i="11"/>
  <c r="O492" i="11"/>
  <c r="O419" i="11"/>
  <c r="O353" i="11"/>
  <c r="O852" i="11"/>
  <c r="O995" i="11"/>
  <c r="O242" i="11"/>
  <c r="O932" i="11"/>
  <c r="O638" i="11"/>
  <c r="O625" i="11"/>
  <c r="O459" i="11"/>
  <c r="O526" i="11"/>
  <c r="O885" i="11"/>
  <c r="O527" i="11"/>
  <c r="O554" i="11"/>
  <c r="O934" i="11"/>
  <c r="O105" i="11"/>
  <c r="O11" i="11"/>
  <c r="O593" i="11"/>
  <c r="O308" i="11"/>
  <c r="O295" i="11"/>
  <c r="O522" i="11"/>
  <c r="O372" i="11"/>
  <c r="O781" i="11"/>
  <c r="O406" i="11"/>
  <c r="O126" i="11"/>
  <c r="O918" i="11"/>
  <c r="O961" i="11"/>
  <c r="O53" i="11"/>
  <c r="O338" i="11"/>
  <c r="O408" i="11"/>
  <c r="O387" i="11"/>
  <c r="O938" i="11"/>
  <c r="O990" i="11"/>
  <c r="O85" i="11"/>
  <c r="O758" i="11"/>
  <c r="O950" i="11"/>
  <c r="O724" i="11"/>
  <c r="O435" i="11"/>
  <c r="O341" i="11"/>
  <c r="O566" i="11"/>
  <c r="O839" i="11"/>
  <c r="O974" i="11"/>
  <c r="O337" i="11"/>
  <c r="O728" i="11"/>
  <c r="O209" i="11"/>
  <c r="O414" i="11"/>
  <c r="O244" i="11"/>
  <c r="O197" i="11"/>
  <c r="O541" i="11"/>
  <c r="O744" i="11"/>
  <c r="O610" i="11"/>
  <c r="O393" i="11"/>
  <c r="O113" i="11"/>
  <c r="O84" i="11"/>
  <c r="O667" i="11"/>
  <c r="O622" i="11"/>
  <c r="O924" i="11"/>
  <c r="O716" i="11"/>
  <c r="O535" i="11"/>
  <c r="O428" i="11"/>
  <c r="O971" i="11"/>
  <c r="O141" i="11"/>
  <c r="O532" i="11"/>
  <c r="O168" i="11"/>
  <c r="O927" i="11"/>
  <c r="O194" i="11"/>
  <c r="O945" i="11"/>
  <c r="O780" i="11"/>
  <c r="O888" i="11"/>
  <c r="O489" i="11"/>
  <c r="O442" i="11"/>
  <c r="O884" i="11"/>
  <c r="O684" i="11"/>
  <c r="O785" i="11"/>
  <c r="O179" i="11"/>
  <c r="O218" i="11"/>
  <c r="O219" i="11"/>
  <c r="O170" i="11"/>
  <c r="O749" i="11"/>
  <c r="O735" i="11"/>
  <c r="O550" i="11"/>
  <c r="O201" i="11"/>
  <c r="O517" i="11"/>
  <c r="O55" i="11"/>
  <c r="O16" i="11"/>
  <c r="O954" i="11"/>
  <c r="O294" i="11"/>
  <c r="O166" i="11"/>
  <c r="O133" i="11"/>
  <c r="O790" i="11"/>
  <c r="O899" i="11"/>
  <c r="O332" i="11"/>
  <c r="O675" i="11"/>
  <c r="O383" i="11"/>
  <c r="O530" i="11"/>
  <c r="O755" i="11"/>
  <c r="O413" i="11"/>
  <c r="O773" i="11"/>
  <c r="O35" i="11"/>
  <c r="O352" i="11"/>
  <c r="O814" i="11"/>
  <c r="O833" i="11"/>
  <c r="O811" i="11"/>
  <c r="O844" i="11"/>
  <c r="O360" i="11"/>
  <c r="O470" i="11"/>
  <c r="O630" i="11"/>
  <c r="O407" i="11"/>
  <c r="O161" i="11"/>
  <c r="O148" i="11"/>
  <c r="O779" i="11"/>
  <c r="O147" i="11"/>
  <c r="O618" i="11"/>
  <c r="O17" i="11"/>
  <c r="O346" i="11"/>
  <c r="O83" i="11"/>
  <c r="O106" i="11"/>
  <c r="O289" i="11"/>
  <c r="O47" i="11"/>
  <c r="O515" i="11"/>
  <c r="O626" i="11"/>
  <c r="O969" i="11"/>
  <c r="O130" i="11"/>
  <c r="O992" i="11"/>
  <c r="O310" i="11"/>
  <c r="O162" i="11"/>
  <c r="O798" i="11"/>
  <c r="O933" i="11"/>
  <c r="O434" i="11"/>
  <c r="O41" i="11"/>
  <c r="O569" i="11"/>
  <c r="O784" i="11"/>
  <c r="O965" i="11"/>
  <c r="O815" i="11"/>
  <c r="O378" i="11"/>
  <c r="O474" i="11"/>
  <c r="O898" i="11"/>
  <c r="O514" i="11"/>
  <c r="O834" i="11"/>
  <c r="O253" i="11"/>
  <c r="O680" i="11"/>
  <c r="O464" i="11"/>
  <c r="O366" i="17"/>
  <c r="O123" i="17"/>
  <c r="O939" i="17"/>
  <c r="O728" i="17"/>
  <c r="O487" i="17"/>
  <c r="O630" i="17"/>
  <c r="O52" i="17"/>
  <c r="O749" i="17"/>
  <c r="O316" i="17"/>
  <c r="O151" i="17"/>
  <c r="O871" i="17"/>
  <c r="O869" i="17"/>
  <c r="O293" i="17"/>
  <c r="O676" i="17"/>
  <c r="O80" i="17"/>
  <c r="O579" i="17"/>
  <c r="O222" i="17"/>
  <c r="O512" i="17"/>
  <c r="O943" i="17"/>
  <c r="O367" i="17"/>
  <c r="O956" i="17"/>
  <c r="O668" i="17"/>
  <c r="O380" i="17"/>
  <c r="O92" i="17"/>
  <c r="O859" i="17"/>
  <c r="O571" i="17"/>
  <c r="O283" i="17"/>
  <c r="O1002" i="17"/>
  <c r="O714" i="17"/>
  <c r="O426" i="17"/>
  <c r="O138" i="17"/>
  <c r="O857" i="17"/>
  <c r="O569" i="17"/>
  <c r="O281" i="17"/>
  <c r="O1000" i="17"/>
  <c r="O712" i="17"/>
  <c r="O424" i="17"/>
  <c r="O136" i="17"/>
  <c r="O855" i="17"/>
  <c r="O567" i="17"/>
  <c r="O279" i="17"/>
  <c r="O5" i="17"/>
  <c r="O866" i="17"/>
  <c r="O722" i="17"/>
  <c r="O578" i="17"/>
  <c r="O434" i="17"/>
  <c r="O290" i="17"/>
  <c r="O146" i="17"/>
  <c r="O7" i="17"/>
  <c r="O865" i="17"/>
  <c r="O721" i="17"/>
  <c r="O577" i="17"/>
  <c r="O433" i="17"/>
  <c r="O289" i="17"/>
  <c r="O145" i="17"/>
  <c r="O6" i="17"/>
  <c r="O864" i="17"/>
  <c r="O720" i="17"/>
  <c r="O576" i="17"/>
  <c r="O432" i="17"/>
  <c r="O288" i="17"/>
  <c r="O144" i="17"/>
  <c r="O9" i="17"/>
  <c r="O863" i="17"/>
  <c r="O719" i="17"/>
  <c r="O575" i="17"/>
  <c r="O431" i="17"/>
  <c r="O287" i="17"/>
  <c r="O143" i="17"/>
  <c r="O1006" i="17"/>
  <c r="O862" i="17"/>
  <c r="O718" i="17"/>
  <c r="O574" i="17"/>
  <c r="O430" i="17"/>
  <c r="O286" i="17"/>
  <c r="O142" i="17"/>
  <c r="O1005" i="17"/>
  <c r="O861" i="17"/>
  <c r="O717" i="17"/>
  <c r="O573" i="17"/>
  <c r="O429" i="17"/>
  <c r="O285" i="17"/>
  <c r="O141" i="17"/>
  <c r="O270" i="17"/>
  <c r="O940" i="17"/>
  <c r="O843" i="17"/>
  <c r="O632" i="17"/>
  <c r="O391" i="17"/>
  <c r="O582" i="17"/>
  <c r="O942" i="17"/>
  <c r="O605" i="17"/>
  <c r="O220" i="17"/>
  <c r="O55" i="17"/>
  <c r="O775" i="17"/>
  <c r="O821" i="17"/>
  <c r="O245" i="17"/>
  <c r="O628" i="17"/>
  <c r="O31" i="17"/>
  <c r="O531" i="17"/>
  <c r="O221" i="17"/>
  <c r="O464" i="17"/>
  <c r="O895" i="17"/>
  <c r="O319" i="17"/>
  <c r="O932" i="17"/>
  <c r="O644" i="17"/>
  <c r="O356" i="17"/>
  <c r="O68" i="17"/>
  <c r="O835" i="17"/>
  <c r="O547" i="17"/>
  <c r="O259" i="17"/>
  <c r="O978" i="17"/>
  <c r="O690" i="17"/>
  <c r="O402" i="17"/>
  <c r="O114" i="17"/>
  <c r="O833" i="17"/>
  <c r="O545" i="17"/>
  <c r="O257" i="17"/>
  <c r="O976" i="17"/>
  <c r="O688" i="17"/>
  <c r="O400" i="17"/>
  <c r="O112" i="17"/>
  <c r="O831" i="17"/>
  <c r="O543" i="17"/>
  <c r="O255" i="17"/>
  <c r="O998" i="17"/>
  <c r="O854" i="17"/>
  <c r="O710" i="17"/>
  <c r="O566" i="17"/>
  <c r="O422" i="17"/>
  <c r="O278" i="17"/>
  <c r="O134" i="17"/>
  <c r="O997" i="17"/>
  <c r="O853" i="17"/>
  <c r="O709" i="17"/>
  <c r="O565" i="17"/>
  <c r="O421" i="17"/>
  <c r="O277" i="17"/>
  <c r="O133" i="17"/>
  <c r="O996" i="17"/>
  <c r="O852" i="17"/>
  <c r="O708" i="17"/>
  <c r="O564" i="17"/>
  <c r="O420" i="17"/>
  <c r="O276" i="17"/>
  <c r="O132" i="17"/>
  <c r="O995" i="17"/>
  <c r="O851" i="17"/>
  <c r="O707" i="17"/>
  <c r="O563" i="17"/>
  <c r="O419" i="17"/>
  <c r="O275" i="17"/>
  <c r="O131" i="17"/>
  <c r="O994" i="17"/>
  <c r="O850" i="17"/>
  <c r="O706" i="17"/>
  <c r="O562" i="17"/>
  <c r="O418" i="17"/>
  <c r="O274" i="17"/>
  <c r="O130" i="17"/>
  <c r="O993" i="17"/>
  <c r="O849" i="17"/>
  <c r="O705" i="17"/>
  <c r="O561" i="17"/>
  <c r="O417" i="17"/>
  <c r="O273" i="17"/>
  <c r="O129" i="17"/>
  <c r="O76" i="17"/>
  <c r="O844" i="17"/>
  <c r="O795" i="17"/>
  <c r="O536" i="17"/>
  <c r="O295" i="17"/>
  <c r="O534" i="17"/>
  <c r="O846" i="17"/>
  <c r="O509" i="17"/>
  <c r="O104" i="17"/>
  <c r="O872" i="17"/>
  <c r="O727" i="17"/>
  <c r="O773" i="17"/>
  <c r="O197" i="17"/>
  <c r="O580" i="17"/>
  <c r="O173" i="17"/>
  <c r="O483" i="17"/>
  <c r="O992" i="17"/>
  <c r="O416" i="17"/>
  <c r="O847" i="17"/>
  <c r="O271" i="17"/>
  <c r="O908" i="17"/>
  <c r="O620" i="17"/>
  <c r="O332" i="17"/>
  <c r="O44" i="17"/>
  <c r="O811" i="17"/>
  <c r="O523" i="17"/>
  <c r="O235" i="17"/>
  <c r="O954" i="17"/>
  <c r="O666" i="17"/>
  <c r="O378" i="17"/>
  <c r="O90" i="17"/>
  <c r="O809" i="17"/>
  <c r="O521" i="17"/>
  <c r="O233" i="17"/>
  <c r="O952" i="17"/>
  <c r="O664" i="17"/>
  <c r="O376" i="17"/>
  <c r="O88" i="17"/>
  <c r="O807" i="17"/>
  <c r="O519" i="17"/>
  <c r="O231" i="17"/>
  <c r="O986" i="17"/>
  <c r="O842" i="17"/>
  <c r="O698" i="17"/>
  <c r="O554" i="17"/>
  <c r="O410" i="17"/>
  <c r="O266" i="17"/>
  <c r="O122" i="17"/>
  <c r="O985" i="17"/>
  <c r="O841" i="17"/>
  <c r="O697" i="17"/>
  <c r="O553" i="17"/>
  <c r="O409" i="17"/>
  <c r="O265" i="17"/>
  <c r="O121" i="17"/>
  <c r="O984" i="17"/>
  <c r="O840" i="17"/>
  <c r="O696" i="17"/>
  <c r="O552" i="17"/>
  <c r="O408" i="17"/>
  <c r="O264" i="17"/>
  <c r="O120" i="17"/>
  <c r="O983" i="17"/>
  <c r="O839" i="17"/>
  <c r="O695" i="17"/>
  <c r="O551" i="17"/>
  <c r="O407" i="17"/>
  <c r="O263" i="17"/>
  <c r="O119" i="17"/>
  <c r="O982" i="17"/>
  <c r="O838" i="17"/>
  <c r="O694" i="17"/>
  <c r="O550" i="17"/>
  <c r="O406" i="17"/>
  <c r="O262" i="17"/>
  <c r="O118" i="17"/>
  <c r="O981" i="17"/>
  <c r="O837" i="17"/>
  <c r="O693" i="17"/>
  <c r="O549" i="17"/>
  <c r="O405" i="17"/>
  <c r="O261" i="17"/>
  <c r="O117" i="17"/>
  <c r="E13" i="1"/>
  <c r="C34" i="4"/>
  <c r="D12" i="1"/>
  <c r="T5" i="15" l="1"/>
  <c r="T6" i="15" s="1"/>
  <c r="H17" i="1" s="1"/>
  <c r="T5" i="19"/>
  <c r="T6" i="19" s="1"/>
  <c r="H18" i="1" s="1"/>
  <c r="T5" i="11"/>
  <c r="T6" i="11" s="1"/>
  <c r="H14" i="1" s="1"/>
  <c r="T5" i="17"/>
  <c r="T6" i="17" s="1"/>
  <c r="H19" i="1" s="1"/>
  <c r="L1005" i="3"/>
  <c r="M1005" i="3"/>
  <c r="P1005" i="3" s="1"/>
  <c r="L1006" i="3"/>
  <c r="M1006" i="3"/>
  <c r="P1006" i="3" s="1"/>
  <c r="B8" i="3"/>
  <c r="C31" i="3" s="1"/>
  <c r="L105" i="3"/>
  <c r="M105" i="3"/>
  <c r="P105" i="3" s="1"/>
  <c r="L106" i="3"/>
  <c r="M106" i="3"/>
  <c r="P106" i="3" s="1"/>
  <c r="L107" i="3"/>
  <c r="M107" i="3"/>
  <c r="P107" i="3" s="1"/>
  <c r="L108" i="3"/>
  <c r="M108" i="3"/>
  <c r="P108" i="3" s="1"/>
  <c r="L109" i="3"/>
  <c r="M109" i="3"/>
  <c r="P109" i="3" s="1"/>
  <c r="L110" i="3"/>
  <c r="M110" i="3"/>
  <c r="P110" i="3" s="1"/>
  <c r="L111" i="3"/>
  <c r="M111" i="3"/>
  <c r="P111" i="3" s="1"/>
  <c r="L112" i="3"/>
  <c r="M112" i="3"/>
  <c r="P112" i="3" s="1"/>
  <c r="L113" i="3"/>
  <c r="M113" i="3"/>
  <c r="P113" i="3" s="1"/>
  <c r="L114" i="3"/>
  <c r="M114" i="3"/>
  <c r="P114" i="3" s="1"/>
  <c r="L115" i="3"/>
  <c r="M115" i="3"/>
  <c r="P115" i="3" s="1"/>
  <c r="L116" i="3"/>
  <c r="M116" i="3"/>
  <c r="P116" i="3" s="1"/>
  <c r="L117" i="3"/>
  <c r="M117" i="3"/>
  <c r="P117" i="3" s="1"/>
  <c r="L118" i="3"/>
  <c r="M118" i="3"/>
  <c r="P118" i="3" s="1"/>
  <c r="L119" i="3"/>
  <c r="M119" i="3"/>
  <c r="P119" i="3" s="1"/>
  <c r="L120" i="3"/>
  <c r="M120" i="3"/>
  <c r="P120" i="3" s="1"/>
  <c r="L121" i="3"/>
  <c r="M121" i="3"/>
  <c r="P121" i="3" s="1"/>
  <c r="L122" i="3"/>
  <c r="M122" i="3"/>
  <c r="P122" i="3" s="1"/>
  <c r="L123" i="3"/>
  <c r="M123" i="3"/>
  <c r="P123" i="3" s="1"/>
  <c r="L124" i="3"/>
  <c r="M124" i="3"/>
  <c r="P124" i="3" s="1"/>
  <c r="L125" i="3"/>
  <c r="M125" i="3"/>
  <c r="P125" i="3" s="1"/>
  <c r="L126" i="3"/>
  <c r="M126" i="3"/>
  <c r="P126" i="3" s="1"/>
  <c r="L127" i="3"/>
  <c r="M127" i="3"/>
  <c r="P127" i="3" s="1"/>
  <c r="L128" i="3"/>
  <c r="M128" i="3"/>
  <c r="P128" i="3" s="1"/>
  <c r="L129" i="3"/>
  <c r="M129" i="3"/>
  <c r="P129" i="3" s="1"/>
  <c r="L130" i="3"/>
  <c r="M130" i="3"/>
  <c r="P130" i="3" s="1"/>
  <c r="L131" i="3"/>
  <c r="M131" i="3"/>
  <c r="P131" i="3" s="1"/>
  <c r="L132" i="3"/>
  <c r="M132" i="3"/>
  <c r="P132" i="3" s="1"/>
  <c r="L133" i="3"/>
  <c r="M133" i="3"/>
  <c r="P133" i="3" s="1"/>
  <c r="L134" i="3"/>
  <c r="M134" i="3"/>
  <c r="P134" i="3" s="1"/>
  <c r="L135" i="3"/>
  <c r="M135" i="3"/>
  <c r="P135" i="3" s="1"/>
  <c r="L136" i="3"/>
  <c r="M136" i="3"/>
  <c r="P136" i="3" s="1"/>
  <c r="L137" i="3"/>
  <c r="M137" i="3"/>
  <c r="P137" i="3" s="1"/>
  <c r="L138" i="3"/>
  <c r="M138" i="3"/>
  <c r="P138" i="3" s="1"/>
  <c r="L139" i="3"/>
  <c r="M139" i="3"/>
  <c r="P139" i="3" s="1"/>
  <c r="L140" i="3"/>
  <c r="M140" i="3"/>
  <c r="P140" i="3" s="1"/>
  <c r="L141" i="3"/>
  <c r="M141" i="3"/>
  <c r="P141" i="3" s="1"/>
  <c r="L142" i="3"/>
  <c r="M142" i="3"/>
  <c r="P142" i="3" s="1"/>
  <c r="L143" i="3"/>
  <c r="M143" i="3"/>
  <c r="P143" i="3" s="1"/>
  <c r="L144" i="3"/>
  <c r="M144" i="3"/>
  <c r="P144" i="3" s="1"/>
  <c r="L145" i="3"/>
  <c r="M145" i="3"/>
  <c r="P145" i="3" s="1"/>
  <c r="L146" i="3"/>
  <c r="M146" i="3"/>
  <c r="P146" i="3" s="1"/>
  <c r="L147" i="3"/>
  <c r="M147" i="3"/>
  <c r="P147" i="3" s="1"/>
  <c r="L148" i="3"/>
  <c r="M148" i="3"/>
  <c r="P148" i="3" s="1"/>
  <c r="L149" i="3"/>
  <c r="M149" i="3"/>
  <c r="P149" i="3" s="1"/>
  <c r="L150" i="3"/>
  <c r="M150" i="3"/>
  <c r="P150" i="3" s="1"/>
  <c r="L151" i="3"/>
  <c r="M151" i="3"/>
  <c r="P151" i="3" s="1"/>
  <c r="L152" i="3"/>
  <c r="M152" i="3"/>
  <c r="P152" i="3" s="1"/>
  <c r="L153" i="3"/>
  <c r="M153" i="3"/>
  <c r="P153" i="3" s="1"/>
  <c r="L154" i="3"/>
  <c r="M154" i="3"/>
  <c r="P154" i="3" s="1"/>
  <c r="L155" i="3"/>
  <c r="M155" i="3"/>
  <c r="P155" i="3" s="1"/>
  <c r="L156" i="3"/>
  <c r="M156" i="3"/>
  <c r="P156" i="3" s="1"/>
  <c r="L157" i="3"/>
  <c r="M157" i="3"/>
  <c r="P157" i="3" s="1"/>
  <c r="L158" i="3"/>
  <c r="M158" i="3"/>
  <c r="P158" i="3" s="1"/>
  <c r="L159" i="3"/>
  <c r="M159" i="3"/>
  <c r="P159" i="3" s="1"/>
  <c r="L160" i="3"/>
  <c r="M160" i="3"/>
  <c r="P160" i="3" s="1"/>
  <c r="L161" i="3"/>
  <c r="M161" i="3"/>
  <c r="P161" i="3" s="1"/>
  <c r="L162" i="3"/>
  <c r="M162" i="3"/>
  <c r="P162" i="3" s="1"/>
  <c r="L163" i="3"/>
  <c r="M163" i="3"/>
  <c r="P163" i="3" s="1"/>
  <c r="L164" i="3"/>
  <c r="M164" i="3"/>
  <c r="P164" i="3" s="1"/>
  <c r="L165" i="3"/>
  <c r="M165" i="3"/>
  <c r="P165" i="3" s="1"/>
  <c r="L166" i="3"/>
  <c r="M166" i="3"/>
  <c r="P166" i="3" s="1"/>
  <c r="L167" i="3"/>
  <c r="M167" i="3"/>
  <c r="P167" i="3" s="1"/>
  <c r="L168" i="3"/>
  <c r="M168" i="3"/>
  <c r="P168" i="3" s="1"/>
  <c r="L169" i="3"/>
  <c r="M169" i="3"/>
  <c r="P169" i="3"/>
  <c r="L170" i="3"/>
  <c r="M170" i="3"/>
  <c r="P170" i="3" s="1"/>
  <c r="L171" i="3"/>
  <c r="M171" i="3"/>
  <c r="P171" i="3" s="1"/>
  <c r="L172" i="3"/>
  <c r="M172" i="3"/>
  <c r="P172" i="3" s="1"/>
  <c r="L173" i="3"/>
  <c r="M173" i="3"/>
  <c r="P173" i="3" s="1"/>
  <c r="L174" i="3"/>
  <c r="M174" i="3"/>
  <c r="P174" i="3" s="1"/>
  <c r="L175" i="3"/>
  <c r="M175" i="3"/>
  <c r="P175" i="3" s="1"/>
  <c r="L176" i="3"/>
  <c r="M176" i="3"/>
  <c r="P176" i="3" s="1"/>
  <c r="L177" i="3"/>
  <c r="M177" i="3"/>
  <c r="P177" i="3" s="1"/>
  <c r="L178" i="3"/>
  <c r="M178" i="3"/>
  <c r="P178" i="3" s="1"/>
  <c r="L179" i="3"/>
  <c r="M179" i="3"/>
  <c r="P179" i="3" s="1"/>
  <c r="L180" i="3"/>
  <c r="M180" i="3"/>
  <c r="P180" i="3" s="1"/>
  <c r="L181" i="3"/>
  <c r="M181" i="3"/>
  <c r="P181" i="3" s="1"/>
  <c r="L182" i="3"/>
  <c r="M182" i="3"/>
  <c r="P182" i="3" s="1"/>
  <c r="L183" i="3"/>
  <c r="M183" i="3"/>
  <c r="P183" i="3" s="1"/>
  <c r="L184" i="3"/>
  <c r="M184" i="3"/>
  <c r="P184" i="3" s="1"/>
  <c r="L185" i="3"/>
  <c r="M185" i="3"/>
  <c r="P185" i="3" s="1"/>
  <c r="L186" i="3"/>
  <c r="M186" i="3"/>
  <c r="P186" i="3" s="1"/>
  <c r="L187" i="3"/>
  <c r="M187" i="3"/>
  <c r="P187" i="3" s="1"/>
  <c r="L188" i="3"/>
  <c r="M188" i="3"/>
  <c r="P188" i="3" s="1"/>
  <c r="L189" i="3"/>
  <c r="M189" i="3"/>
  <c r="P189" i="3" s="1"/>
  <c r="L190" i="3"/>
  <c r="M190" i="3"/>
  <c r="P190" i="3" s="1"/>
  <c r="L191" i="3"/>
  <c r="M191" i="3"/>
  <c r="P191" i="3" s="1"/>
  <c r="L192" i="3"/>
  <c r="M192" i="3"/>
  <c r="P192" i="3" s="1"/>
  <c r="L193" i="3"/>
  <c r="M193" i="3"/>
  <c r="P193" i="3" s="1"/>
  <c r="L194" i="3"/>
  <c r="M194" i="3"/>
  <c r="P194" i="3" s="1"/>
  <c r="L195" i="3"/>
  <c r="M195" i="3"/>
  <c r="P195" i="3" s="1"/>
  <c r="L196" i="3"/>
  <c r="M196" i="3"/>
  <c r="P196" i="3" s="1"/>
  <c r="L197" i="3"/>
  <c r="M197" i="3"/>
  <c r="P197" i="3" s="1"/>
  <c r="L198" i="3"/>
  <c r="M198" i="3"/>
  <c r="P198" i="3" s="1"/>
  <c r="L199" i="3"/>
  <c r="M199" i="3"/>
  <c r="P199" i="3" s="1"/>
  <c r="L200" i="3"/>
  <c r="M200" i="3"/>
  <c r="P200" i="3" s="1"/>
  <c r="L201" i="3"/>
  <c r="M201" i="3"/>
  <c r="P201" i="3" s="1"/>
  <c r="L202" i="3"/>
  <c r="M202" i="3"/>
  <c r="P202" i="3" s="1"/>
  <c r="L203" i="3"/>
  <c r="M203" i="3"/>
  <c r="P203" i="3" s="1"/>
  <c r="L204" i="3"/>
  <c r="M204" i="3"/>
  <c r="P204" i="3" s="1"/>
  <c r="L205" i="3"/>
  <c r="M205" i="3"/>
  <c r="P205" i="3" s="1"/>
  <c r="L206" i="3"/>
  <c r="M206" i="3"/>
  <c r="P206" i="3" s="1"/>
  <c r="L207" i="3"/>
  <c r="M207" i="3"/>
  <c r="P207" i="3" s="1"/>
  <c r="L208" i="3"/>
  <c r="M208" i="3"/>
  <c r="P208" i="3" s="1"/>
  <c r="L209" i="3"/>
  <c r="M209" i="3"/>
  <c r="P209" i="3" s="1"/>
  <c r="L210" i="3"/>
  <c r="M210" i="3"/>
  <c r="P210" i="3" s="1"/>
  <c r="L211" i="3"/>
  <c r="M211" i="3"/>
  <c r="P211" i="3" s="1"/>
  <c r="L212" i="3"/>
  <c r="M212" i="3"/>
  <c r="P212" i="3" s="1"/>
  <c r="L213" i="3"/>
  <c r="M213" i="3"/>
  <c r="P213" i="3" s="1"/>
  <c r="L214" i="3"/>
  <c r="M214" i="3"/>
  <c r="P214" i="3" s="1"/>
  <c r="L215" i="3"/>
  <c r="M215" i="3"/>
  <c r="P215" i="3" s="1"/>
  <c r="L216" i="3"/>
  <c r="M216" i="3"/>
  <c r="P216" i="3" s="1"/>
  <c r="L217" i="3"/>
  <c r="M217" i="3"/>
  <c r="P217" i="3" s="1"/>
  <c r="L218" i="3"/>
  <c r="M218" i="3"/>
  <c r="P218" i="3" s="1"/>
  <c r="L219" i="3"/>
  <c r="M219" i="3"/>
  <c r="P219" i="3" s="1"/>
  <c r="L220" i="3"/>
  <c r="M220" i="3"/>
  <c r="P220" i="3" s="1"/>
  <c r="L221" i="3"/>
  <c r="M221" i="3"/>
  <c r="P221" i="3" s="1"/>
  <c r="L222" i="3"/>
  <c r="M222" i="3"/>
  <c r="P222" i="3" s="1"/>
  <c r="L223" i="3"/>
  <c r="M223" i="3"/>
  <c r="P223" i="3" s="1"/>
  <c r="L224" i="3"/>
  <c r="M224" i="3"/>
  <c r="P224" i="3" s="1"/>
  <c r="L225" i="3"/>
  <c r="M225" i="3"/>
  <c r="P225" i="3" s="1"/>
  <c r="L226" i="3"/>
  <c r="M226" i="3"/>
  <c r="P226" i="3" s="1"/>
  <c r="L227" i="3"/>
  <c r="M227" i="3"/>
  <c r="P227" i="3" s="1"/>
  <c r="L228" i="3"/>
  <c r="M228" i="3"/>
  <c r="P228" i="3" s="1"/>
  <c r="L229" i="3"/>
  <c r="M229" i="3"/>
  <c r="P229" i="3" s="1"/>
  <c r="L230" i="3"/>
  <c r="M230" i="3"/>
  <c r="P230" i="3" s="1"/>
  <c r="L231" i="3"/>
  <c r="M231" i="3"/>
  <c r="P231" i="3" s="1"/>
  <c r="L232" i="3"/>
  <c r="M232" i="3"/>
  <c r="P232" i="3" s="1"/>
  <c r="L233" i="3"/>
  <c r="M233" i="3"/>
  <c r="P233" i="3" s="1"/>
  <c r="L234" i="3"/>
  <c r="M234" i="3"/>
  <c r="P234" i="3" s="1"/>
  <c r="L235" i="3"/>
  <c r="M235" i="3"/>
  <c r="P235" i="3" s="1"/>
  <c r="L236" i="3"/>
  <c r="M236" i="3"/>
  <c r="P236" i="3" s="1"/>
  <c r="L237" i="3"/>
  <c r="M237" i="3"/>
  <c r="P237" i="3" s="1"/>
  <c r="L238" i="3"/>
  <c r="M238" i="3"/>
  <c r="P238" i="3" s="1"/>
  <c r="L239" i="3"/>
  <c r="M239" i="3"/>
  <c r="P239" i="3" s="1"/>
  <c r="L240" i="3"/>
  <c r="M240" i="3"/>
  <c r="P240" i="3" s="1"/>
  <c r="L241" i="3"/>
  <c r="M241" i="3"/>
  <c r="P241" i="3" s="1"/>
  <c r="L242" i="3"/>
  <c r="M242" i="3"/>
  <c r="P242" i="3" s="1"/>
  <c r="L243" i="3"/>
  <c r="M243" i="3"/>
  <c r="P243" i="3" s="1"/>
  <c r="L244" i="3"/>
  <c r="M244" i="3"/>
  <c r="P244" i="3" s="1"/>
  <c r="L245" i="3"/>
  <c r="M245" i="3"/>
  <c r="P245" i="3" s="1"/>
  <c r="L246" i="3"/>
  <c r="M246" i="3"/>
  <c r="P246" i="3" s="1"/>
  <c r="L247" i="3"/>
  <c r="M247" i="3"/>
  <c r="P247" i="3" s="1"/>
  <c r="L248" i="3"/>
  <c r="M248" i="3"/>
  <c r="P248" i="3" s="1"/>
  <c r="L249" i="3"/>
  <c r="M249" i="3"/>
  <c r="P249" i="3" s="1"/>
  <c r="L250" i="3"/>
  <c r="M250" i="3"/>
  <c r="P250" i="3" s="1"/>
  <c r="L251" i="3"/>
  <c r="M251" i="3"/>
  <c r="P251" i="3" s="1"/>
  <c r="L252" i="3"/>
  <c r="M252" i="3"/>
  <c r="P252" i="3" s="1"/>
  <c r="L253" i="3"/>
  <c r="M253" i="3"/>
  <c r="P253" i="3" s="1"/>
  <c r="L254" i="3"/>
  <c r="M254" i="3"/>
  <c r="P254" i="3" s="1"/>
  <c r="L255" i="3"/>
  <c r="M255" i="3"/>
  <c r="P255" i="3" s="1"/>
  <c r="L256" i="3"/>
  <c r="M256" i="3"/>
  <c r="P256" i="3" s="1"/>
  <c r="L257" i="3"/>
  <c r="M257" i="3"/>
  <c r="P257" i="3" s="1"/>
  <c r="L258" i="3"/>
  <c r="M258" i="3"/>
  <c r="P258" i="3" s="1"/>
  <c r="L259" i="3"/>
  <c r="M259" i="3"/>
  <c r="P259" i="3" s="1"/>
  <c r="L260" i="3"/>
  <c r="M260" i="3"/>
  <c r="P260" i="3" s="1"/>
  <c r="L261" i="3"/>
  <c r="M261" i="3"/>
  <c r="P261" i="3" s="1"/>
  <c r="L262" i="3"/>
  <c r="M262" i="3"/>
  <c r="P262" i="3" s="1"/>
  <c r="L263" i="3"/>
  <c r="M263" i="3"/>
  <c r="P263" i="3" s="1"/>
  <c r="L264" i="3"/>
  <c r="M264" i="3"/>
  <c r="P264" i="3" s="1"/>
  <c r="L265" i="3"/>
  <c r="M265" i="3"/>
  <c r="P265" i="3" s="1"/>
  <c r="L266" i="3"/>
  <c r="M266" i="3"/>
  <c r="P266" i="3" s="1"/>
  <c r="L267" i="3"/>
  <c r="M267" i="3"/>
  <c r="P267" i="3" s="1"/>
  <c r="L268" i="3"/>
  <c r="M268" i="3"/>
  <c r="P268" i="3" s="1"/>
  <c r="L269" i="3"/>
  <c r="M269" i="3"/>
  <c r="P269" i="3" s="1"/>
  <c r="L270" i="3"/>
  <c r="M270" i="3"/>
  <c r="P270" i="3" s="1"/>
  <c r="L271" i="3"/>
  <c r="M271" i="3"/>
  <c r="P271" i="3" s="1"/>
  <c r="L272" i="3"/>
  <c r="M272" i="3"/>
  <c r="P272" i="3" s="1"/>
  <c r="L273" i="3"/>
  <c r="M273" i="3"/>
  <c r="P273" i="3" s="1"/>
  <c r="L274" i="3"/>
  <c r="M274" i="3"/>
  <c r="P274" i="3" s="1"/>
  <c r="L275" i="3"/>
  <c r="M275" i="3"/>
  <c r="P275" i="3" s="1"/>
  <c r="L276" i="3"/>
  <c r="M276" i="3"/>
  <c r="P276" i="3" s="1"/>
  <c r="L277" i="3"/>
  <c r="M277" i="3"/>
  <c r="P277" i="3" s="1"/>
  <c r="L278" i="3"/>
  <c r="M278" i="3"/>
  <c r="P278" i="3" s="1"/>
  <c r="L279" i="3"/>
  <c r="M279" i="3"/>
  <c r="P279" i="3" s="1"/>
  <c r="L280" i="3"/>
  <c r="M280" i="3"/>
  <c r="P280" i="3" s="1"/>
  <c r="L281" i="3"/>
  <c r="M281" i="3"/>
  <c r="P281" i="3" s="1"/>
  <c r="L282" i="3"/>
  <c r="M282" i="3"/>
  <c r="P282" i="3" s="1"/>
  <c r="L283" i="3"/>
  <c r="M283" i="3"/>
  <c r="P283" i="3" s="1"/>
  <c r="L284" i="3"/>
  <c r="M284" i="3"/>
  <c r="P284" i="3" s="1"/>
  <c r="L285" i="3"/>
  <c r="M285" i="3"/>
  <c r="P285" i="3" s="1"/>
  <c r="L286" i="3"/>
  <c r="M286" i="3"/>
  <c r="P286" i="3" s="1"/>
  <c r="L287" i="3"/>
  <c r="M287" i="3"/>
  <c r="P287" i="3" s="1"/>
  <c r="L288" i="3"/>
  <c r="M288" i="3"/>
  <c r="P288" i="3" s="1"/>
  <c r="L289" i="3"/>
  <c r="M289" i="3"/>
  <c r="P289" i="3" s="1"/>
  <c r="L290" i="3"/>
  <c r="M290" i="3"/>
  <c r="P290" i="3" s="1"/>
  <c r="L291" i="3"/>
  <c r="M291" i="3"/>
  <c r="P291" i="3" s="1"/>
  <c r="L292" i="3"/>
  <c r="M292" i="3"/>
  <c r="P292" i="3" s="1"/>
  <c r="L293" i="3"/>
  <c r="M293" i="3"/>
  <c r="P293" i="3" s="1"/>
  <c r="L294" i="3"/>
  <c r="M294" i="3"/>
  <c r="P294" i="3" s="1"/>
  <c r="L295" i="3"/>
  <c r="M295" i="3"/>
  <c r="P295" i="3" s="1"/>
  <c r="L296" i="3"/>
  <c r="M296" i="3"/>
  <c r="P296" i="3" s="1"/>
  <c r="L297" i="3"/>
  <c r="M297" i="3"/>
  <c r="P297" i="3" s="1"/>
  <c r="L298" i="3"/>
  <c r="M298" i="3"/>
  <c r="P298" i="3" s="1"/>
  <c r="L299" i="3"/>
  <c r="M299" i="3"/>
  <c r="P299" i="3" s="1"/>
  <c r="L300" i="3"/>
  <c r="M300" i="3"/>
  <c r="P300" i="3" s="1"/>
  <c r="L301" i="3"/>
  <c r="M301" i="3"/>
  <c r="P301" i="3" s="1"/>
  <c r="L302" i="3"/>
  <c r="M302" i="3"/>
  <c r="P302" i="3" s="1"/>
  <c r="L303" i="3"/>
  <c r="M303" i="3"/>
  <c r="P303" i="3" s="1"/>
  <c r="L304" i="3"/>
  <c r="M304" i="3"/>
  <c r="P304" i="3" s="1"/>
  <c r="L305" i="3"/>
  <c r="M305" i="3"/>
  <c r="P305" i="3" s="1"/>
  <c r="L306" i="3"/>
  <c r="M306" i="3"/>
  <c r="P306" i="3" s="1"/>
  <c r="L307" i="3"/>
  <c r="M307" i="3"/>
  <c r="P307" i="3" s="1"/>
  <c r="L308" i="3"/>
  <c r="M308" i="3"/>
  <c r="P308" i="3" s="1"/>
  <c r="L309" i="3"/>
  <c r="M309" i="3"/>
  <c r="P309" i="3" s="1"/>
  <c r="L310" i="3"/>
  <c r="M310" i="3"/>
  <c r="P310" i="3" s="1"/>
  <c r="L311" i="3"/>
  <c r="M311" i="3"/>
  <c r="P311" i="3" s="1"/>
  <c r="L312" i="3"/>
  <c r="M312" i="3"/>
  <c r="P312" i="3" s="1"/>
  <c r="L313" i="3"/>
  <c r="M313" i="3"/>
  <c r="P313" i="3" s="1"/>
  <c r="L314" i="3"/>
  <c r="M314" i="3"/>
  <c r="P314" i="3" s="1"/>
  <c r="L315" i="3"/>
  <c r="M315" i="3"/>
  <c r="P315" i="3" s="1"/>
  <c r="L316" i="3"/>
  <c r="M316" i="3"/>
  <c r="P316" i="3" s="1"/>
  <c r="L317" i="3"/>
  <c r="M317" i="3"/>
  <c r="P317" i="3" s="1"/>
  <c r="L318" i="3"/>
  <c r="M318" i="3"/>
  <c r="P318" i="3" s="1"/>
  <c r="L319" i="3"/>
  <c r="M319" i="3"/>
  <c r="P319" i="3" s="1"/>
  <c r="L320" i="3"/>
  <c r="M320" i="3"/>
  <c r="P320" i="3" s="1"/>
  <c r="L321" i="3"/>
  <c r="M321" i="3"/>
  <c r="P321" i="3" s="1"/>
  <c r="L322" i="3"/>
  <c r="M322" i="3"/>
  <c r="P322" i="3" s="1"/>
  <c r="L323" i="3"/>
  <c r="M323" i="3"/>
  <c r="P323" i="3" s="1"/>
  <c r="L324" i="3"/>
  <c r="M324" i="3"/>
  <c r="P324" i="3" s="1"/>
  <c r="L325" i="3"/>
  <c r="M325" i="3"/>
  <c r="P325" i="3" s="1"/>
  <c r="L326" i="3"/>
  <c r="M326" i="3"/>
  <c r="P326" i="3" s="1"/>
  <c r="L327" i="3"/>
  <c r="M327" i="3"/>
  <c r="P327" i="3" s="1"/>
  <c r="L328" i="3"/>
  <c r="M328" i="3"/>
  <c r="P328" i="3" s="1"/>
  <c r="L329" i="3"/>
  <c r="M329" i="3"/>
  <c r="P329" i="3" s="1"/>
  <c r="L330" i="3"/>
  <c r="M330" i="3"/>
  <c r="P330" i="3" s="1"/>
  <c r="L331" i="3"/>
  <c r="M331" i="3"/>
  <c r="P331" i="3" s="1"/>
  <c r="L332" i="3"/>
  <c r="M332" i="3"/>
  <c r="P332" i="3" s="1"/>
  <c r="L333" i="3"/>
  <c r="M333" i="3"/>
  <c r="P333" i="3" s="1"/>
  <c r="L334" i="3"/>
  <c r="M334" i="3"/>
  <c r="P334" i="3" s="1"/>
  <c r="L335" i="3"/>
  <c r="M335" i="3"/>
  <c r="P335" i="3" s="1"/>
  <c r="L336" i="3"/>
  <c r="M336" i="3"/>
  <c r="P336" i="3" s="1"/>
  <c r="L337" i="3"/>
  <c r="M337" i="3"/>
  <c r="P337" i="3" s="1"/>
  <c r="L338" i="3"/>
  <c r="M338" i="3"/>
  <c r="P338" i="3" s="1"/>
  <c r="L339" i="3"/>
  <c r="M339" i="3"/>
  <c r="P339" i="3" s="1"/>
  <c r="L340" i="3"/>
  <c r="M340" i="3"/>
  <c r="P340" i="3" s="1"/>
  <c r="L341" i="3"/>
  <c r="M341" i="3"/>
  <c r="P341" i="3" s="1"/>
  <c r="L342" i="3"/>
  <c r="M342" i="3"/>
  <c r="P342" i="3" s="1"/>
  <c r="L343" i="3"/>
  <c r="M343" i="3"/>
  <c r="P343" i="3" s="1"/>
  <c r="L344" i="3"/>
  <c r="M344" i="3"/>
  <c r="P344" i="3" s="1"/>
  <c r="L345" i="3"/>
  <c r="M345" i="3"/>
  <c r="P345" i="3" s="1"/>
  <c r="L346" i="3"/>
  <c r="M346" i="3"/>
  <c r="P346" i="3" s="1"/>
  <c r="L347" i="3"/>
  <c r="M347" i="3"/>
  <c r="P347" i="3" s="1"/>
  <c r="L348" i="3"/>
  <c r="M348" i="3"/>
  <c r="P348" i="3" s="1"/>
  <c r="L349" i="3"/>
  <c r="M349" i="3"/>
  <c r="P349" i="3" s="1"/>
  <c r="L350" i="3"/>
  <c r="M350" i="3"/>
  <c r="P350" i="3" s="1"/>
  <c r="L351" i="3"/>
  <c r="M351" i="3"/>
  <c r="P351" i="3" s="1"/>
  <c r="L352" i="3"/>
  <c r="M352" i="3"/>
  <c r="P352" i="3" s="1"/>
  <c r="L353" i="3"/>
  <c r="M353" i="3"/>
  <c r="P353" i="3" s="1"/>
  <c r="L354" i="3"/>
  <c r="M354" i="3"/>
  <c r="P354" i="3" s="1"/>
  <c r="L355" i="3"/>
  <c r="M355" i="3"/>
  <c r="P355" i="3" s="1"/>
  <c r="L356" i="3"/>
  <c r="M356" i="3"/>
  <c r="P356" i="3" s="1"/>
  <c r="L357" i="3"/>
  <c r="M357" i="3"/>
  <c r="P357" i="3" s="1"/>
  <c r="L358" i="3"/>
  <c r="M358" i="3"/>
  <c r="P358" i="3" s="1"/>
  <c r="L359" i="3"/>
  <c r="M359" i="3"/>
  <c r="P359" i="3" s="1"/>
  <c r="L360" i="3"/>
  <c r="M360" i="3"/>
  <c r="P360" i="3" s="1"/>
  <c r="L361" i="3"/>
  <c r="M361" i="3"/>
  <c r="P361" i="3" s="1"/>
  <c r="L362" i="3"/>
  <c r="M362" i="3"/>
  <c r="P362" i="3" s="1"/>
  <c r="L363" i="3"/>
  <c r="M363" i="3"/>
  <c r="P363" i="3" s="1"/>
  <c r="L364" i="3"/>
  <c r="M364" i="3"/>
  <c r="P364" i="3" s="1"/>
  <c r="L365" i="3"/>
  <c r="M365" i="3"/>
  <c r="P365" i="3" s="1"/>
  <c r="L366" i="3"/>
  <c r="M366" i="3"/>
  <c r="P366" i="3" s="1"/>
  <c r="L367" i="3"/>
  <c r="M367" i="3"/>
  <c r="P367" i="3" s="1"/>
  <c r="L368" i="3"/>
  <c r="M368" i="3"/>
  <c r="P368" i="3" s="1"/>
  <c r="L369" i="3"/>
  <c r="M369" i="3"/>
  <c r="P369" i="3" s="1"/>
  <c r="L370" i="3"/>
  <c r="M370" i="3"/>
  <c r="P370" i="3" s="1"/>
  <c r="L371" i="3"/>
  <c r="M371" i="3"/>
  <c r="P371" i="3" s="1"/>
  <c r="L372" i="3"/>
  <c r="M372" i="3"/>
  <c r="P372" i="3" s="1"/>
  <c r="L373" i="3"/>
  <c r="M373" i="3"/>
  <c r="P373" i="3" s="1"/>
  <c r="L374" i="3"/>
  <c r="M374" i="3"/>
  <c r="P374" i="3" s="1"/>
  <c r="L375" i="3"/>
  <c r="M375" i="3"/>
  <c r="P375" i="3" s="1"/>
  <c r="L376" i="3"/>
  <c r="M376" i="3"/>
  <c r="P376" i="3" s="1"/>
  <c r="L377" i="3"/>
  <c r="M377" i="3"/>
  <c r="P377" i="3" s="1"/>
  <c r="L378" i="3"/>
  <c r="M378" i="3"/>
  <c r="P378" i="3" s="1"/>
  <c r="L379" i="3"/>
  <c r="M379" i="3"/>
  <c r="P379" i="3" s="1"/>
  <c r="L380" i="3"/>
  <c r="M380" i="3"/>
  <c r="P380" i="3" s="1"/>
  <c r="L381" i="3"/>
  <c r="M381" i="3"/>
  <c r="P381" i="3" s="1"/>
  <c r="L382" i="3"/>
  <c r="M382" i="3"/>
  <c r="P382" i="3" s="1"/>
  <c r="L383" i="3"/>
  <c r="M383" i="3"/>
  <c r="P383" i="3" s="1"/>
  <c r="L384" i="3"/>
  <c r="M384" i="3"/>
  <c r="P384" i="3" s="1"/>
  <c r="L385" i="3"/>
  <c r="M385" i="3"/>
  <c r="P385" i="3" s="1"/>
  <c r="L386" i="3"/>
  <c r="M386" i="3"/>
  <c r="P386" i="3" s="1"/>
  <c r="L387" i="3"/>
  <c r="M387" i="3"/>
  <c r="P387" i="3" s="1"/>
  <c r="L388" i="3"/>
  <c r="M388" i="3"/>
  <c r="P388" i="3" s="1"/>
  <c r="L389" i="3"/>
  <c r="M389" i="3"/>
  <c r="P389" i="3" s="1"/>
  <c r="L390" i="3"/>
  <c r="M390" i="3"/>
  <c r="P390" i="3" s="1"/>
  <c r="L391" i="3"/>
  <c r="M391" i="3"/>
  <c r="P391" i="3" s="1"/>
  <c r="L392" i="3"/>
  <c r="M392" i="3"/>
  <c r="P392" i="3" s="1"/>
  <c r="L393" i="3"/>
  <c r="M393" i="3"/>
  <c r="P393" i="3" s="1"/>
  <c r="L394" i="3"/>
  <c r="M394" i="3"/>
  <c r="P394" i="3" s="1"/>
  <c r="L395" i="3"/>
  <c r="M395" i="3"/>
  <c r="P395" i="3" s="1"/>
  <c r="L396" i="3"/>
  <c r="M396" i="3"/>
  <c r="P396" i="3" s="1"/>
  <c r="L397" i="3"/>
  <c r="M397" i="3"/>
  <c r="P397" i="3" s="1"/>
  <c r="L398" i="3"/>
  <c r="M398" i="3"/>
  <c r="P398" i="3" s="1"/>
  <c r="L399" i="3"/>
  <c r="M399" i="3"/>
  <c r="P399" i="3" s="1"/>
  <c r="L400" i="3"/>
  <c r="M400" i="3"/>
  <c r="P400" i="3" s="1"/>
  <c r="L401" i="3"/>
  <c r="M401" i="3"/>
  <c r="P401" i="3"/>
  <c r="L402" i="3"/>
  <c r="M402" i="3"/>
  <c r="P402" i="3" s="1"/>
  <c r="L403" i="3"/>
  <c r="M403" i="3"/>
  <c r="P403" i="3" s="1"/>
  <c r="L404" i="3"/>
  <c r="M404" i="3"/>
  <c r="P404" i="3" s="1"/>
  <c r="L405" i="3"/>
  <c r="M405" i="3"/>
  <c r="P405" i="3" s="1"/>
  <c r="L406" i="3"/>
  <c r="M406" i="3"/>
  <c r="P406" i="3" s="1"/>
  <c r="L407" i="3"/>
  <c r="M407" i="3"/>
  <c r="P407" i="3" s="1"/>
  <c r="L408" i="3"/>
  <c r="M408" i="3"/>
  <c r="P408" i="3" s="1"/>
  <c r="L409" i="3"/>
  <c r="M409" i="3"/>
  <c r="P409" i="3" s="1"/>
  <c r="L410" i="3"/>
  <c r="M410" i="3"/>
  <c r="P410" i="3"/>
  <c r="L411" i="3"/>
  <c r="M411" i="3"/>
  <c r="P411" i="3" s="1"/>
  <c r="L412" i="3"/>
  <c r="M412" i="3"/>
  <c r="P412" i="3" s="1"/>
  <c r="L413" i="3"/>
  <c r="M413" i="3"/>
  <c r="P413" i="3" s="1"/>
  <c r="L414" i="3"/>
  <c r="M414" i="3"/>
  <c r="P414" i="3" s="1"/>
  <c r="L415" i="3"/>
  <c r="M415" i="3"/>
  <c r="P415" i="3" s="1"/>
  <c r="L416" i="3"/>
  <c r="M416" i="3"/>
  <c r="P416" i="3" s="1"/>
  <c r="L417" i="3"/>
  <c r="M417" i="3"/>
  <c r="P417" i="3" s="1"/>
  <c r="L418" i="3"/>
  <c r="M418" i="3"/>
  <c r="P418" i="3"/>
  <c r="L419" i="3"/>
  <c r="M419" i="3"/>
  <c r="P419" i="3" s="1"/>
  <c r="L420" i="3"/>
  <c r="M420" i="3"/>
  <c r="P420" i="3" s="1"/>
  <c r="L421" i="3"/>
  <c r="M421" i="3"/>
  <c r="P421" i="3" s="1"/>
  <c r="L422" i="3"/>
  <c r="M422" i="3"/>
  <c r="P422" i="3" s="1"/>
  <c r="L423" i="3"/>
  <c r="M423" i="3"/>
  <c r="P423" i="3" s="1"/>
  <c r="L424" i="3"/>
  <c r="M424" i="3"/>
  <c r="P424" i="3" s="1"/>
  <c r="L425" i="3"/>
  <c r="M425" i="3"/>
  <c r="P425" i="3" s="1"/>
  <c r="L426" i="3"/>
  <c r="M426" i="3"/>
  <c r="P426" i="3" s="1"/>
  <c r="L427" i="3"/>
  <c r="M427" i="3"/>
  <c r="P427" i="3" s="1"/>
  <c r="L428" i="3"/>
  <c r="M428" i="3"/>
  <c r="P428" i="3" s="1"/>
  <c r="L429" i="3"/>
  <c r="M429" i="3"/>
  <c r="P429" i="3" s="1"/>
  <c r="L430" i="3"/>
  <c r="M430" i="3"/>
  <c r="P430" i="3" s="1"/>
  <c r="L431" i="3"/>
  <c r="M431" i="3"/>
  <c r="P431" i="3" s="1"/>
  <c r="L432" i="3"/>
  <c r="M432" i="3"/>
  <c r="P432" i="3" s="1"/>
  <c r="L433" i="3"/>
  <c r="M433" i="3"/>
  <c r="P433" i="3" s="1"/>
  <c r="L434" i="3"/>
  <c r="M434" i="3"/>
  <c r="P434" i="3" s="1"/>
  <c r="L435" i="3"/>
  <c r="M435" i="3"/>
  <c r="P435" i="3" s="1"/>
  <c r="L436" i="3"/>
  <c r="M436" i="3"/>
  <c r="P436" i="3" s="1"/>
  <c r="L437" i="3"/>
  <c r="M437" i="3"/>
  <c r="P437" i="3"/>
  <c r="L438" i="3"/>
  <c r="M438" i="3"/>
  <c r="P438" i="3" s="1"/>
  <c r="L439" i="3"/>
  <c r="M439" i="3"/>
  <c r="P439" i="3" s="1"/>
  <c r="L440" i="3"/>
  <c r="M440" i="3"/>
  <c r="P440" i="3" s="1"/>
  <c r="L441" i="3"/>
  <c r="M441" i="3"/>
  <c r="P441" i="3" s="1"/>
  <c r="L442" i="3"/>
  <c r="M442" i="3"/>
  <c r="P442" i="3" s="1"/>
  <c r="L443" i="3"/>
  <c r="M443" i="3"/>
  <c r="P443" i="3" s="1"/>
  <c r="L444" i="3"/>
  <c r="M444" i="3"/>
  <c r="P444" i="3" s="1"/>
  <c r="L445" i="3"/>
  <c r="M445" i="3"/>
  <c r="P445" i="3" s="1"/>
  <c r="L446" i="3"/>
  <c r="M446" i="3"/>
  <c r="P446" i="3" s="1"/>
  <c r="L447" i="3"/>
  <c r="M447" i="3"/>
  <c r="P447" i="3" s="1"/>
  <c r="L448" i="3"/>
  <c r="M448" i="3"/>
  <c r="P448" i="3" s="1"/>
  <c r="L449" i="3"/>
  <c r="M449" i="3"/>
  <c r="P449" i="3" s="1"/>
  <c r="L450" i="3"/>
  <c r="M450" i="3"/>
  <c r="P450" i="3" s="1"/>
  <c r="L451" i="3"/>
  <c r="M451" i="3"/>
  <c r="P451" i="3" s="1"/>
  <c r="L452" i="3"/>
  <c r="M452" i="3"/>
  <c r="P452" i="3" s="1"/>
  <c r="L453" i="3"/>
  <c r="M453" i="3"/>
  <c r="P453" i="3" s="1"/>
  <c r="L454" i="3"/>
  <c r="M454" i="3"/>
  <c r="P454" i="3" s="1"/>
  <c r="L455" i="3"/>
  <c r="M455" i="3"/>
  <c r="P455" i="3" s="1"/>
  <c r="L456" i="3"/>
  <c r="M456" i="3"/>
  <c r="P456" i="3" s="1"/>
  <c r="L457" i="3"/>
  <c r="M457" i="3"/>
  <c r="P457" i="3" s="1"/>
  <c r="L458" i="3"/>
  <c r="M458" i="3"/>
  <c r="P458" i="3" s="1"/>
  <c r="L459" i="3"/>
  <c r="M459" i="3"/>
  <c r="P459" i="3" s="1"/>
  <c r="L460" i="3"/>
  <c r="M460" i="3"/>
  <c r="P460" i="3" s="1"/>
  <c r="L461" i="3"/>
  <c r="M461" i="3"/>
  <c r="P461" i="3" s="1"/>
  <c r="L462" i="3"/>
  <c r="M462" i="3"/>
  <c r="P462" i="3" s="1"/>
  <c r="L463" i="3"/>
  <c r="M463" i="3"/>
  <c r="P463" i="3" s="1"/>
  <c r="L464" i="3"/>
  <c r="M464" i="3"/>
  <c r="P464" i="3" s="1"/>
  <c r="L465" i="3"/>
  <c r="M465" i="3"/>
  <c r="P465" i="3" s="1"/>
  <c r="L466" i="3"/>
  <c r="M466" i="3"/>
  <c r="P466" i="3" s="1"/>
  <c r="L467" i="3"/>
  <c r="M467" i="3"/>
  <c r="P467" i="3" s="1"/>
  <c r="L468" i="3"/>
  <c r="M468" i="3"/>
  <c r="P468" i="3" s="1"/>
  <c r="L469" i="3"/>
  <c r="M469" i="3"/>
  <c r="P469" i="3" s="1"/>
  <c r="L470" i="3"/>
  <c r="M470" i="3"/>
  <c r="P470" i="3" s="1"/>
  <c r="L471" i="3"/>
  <c r="M471" i="3"/>
  <c r="P471" i="3" s="1"/>
  <c r="L472" i="3"/>
  <c r="M472" i="3"/>
  <c r="P472" i="3" s="1"/>
  <c r="L473" i="3"/>
  <c r="M473" i="3"/>
  <c r="P473" i="3" s="1"/>
  <c r="L474" i="3"/>
  <c r="M474" i="3"/>
  <c r="P474" i="3" s="1"/>
  <c r="L475" i="3"/>
  <c r="M475" i="3"/>
  <c r="P475" i="3" s="1"/>
  <c r="L476" i="3"/>
  <c r="M476" i="3"/>
  <c r="P476" i="3" s="1"/>
  <c r="L477" i="3"/>
  <c r="M477" i="3"/>
  <c r="P477" i="3" s="1"/>
  <c r="L478" i="3"/>
  <c r="M478" i="3"/>
  <c r="P478" i="3" s="1"/>
  <c r="L479" i="3"/>
  <c r="M479" i="3"/>
  <c r="P479" i="3" s="1"/>
  <c r="L480" i="3"/>
  <c r="M480" i="3"/>
  <c r="P480" i="3" s="1"/>
  <c r="L481" i="3"/>
  <c r="M481" i="3"/>
  <c r="P481" i="3" s="1"/>
  <c r="L482" i="3"/>
  <c r="M482" i="3"/>
  <c r="P482" i="3" s="1"/>
  <c r="L483" i="3"/>
  <c r="M483" i="3"/>
  <c r="P483" i="3" s="1"/>
  <c r="L484" i="3"/>
  <c r="M484" i="3"/>
  <c r="P484" i="3" s="1"/>
  <c r="L485" i="3"/>
  <c r="M485" i="3"/>
  <c r="P485" i="3" s="1"/>
  <c r="L486" i="3"/>
  <c r="M486" i="3"/>
  <c r="P486" i="3" s="1"/>
  <c r="L487" i="3"/>
  <c r="M487" i="3"/>
  <c r="P487" i="3" s="1"/>
  <c r="L488" i="3"/>
  <c r="M488" i="3"/>
  <c r="P488" i="3" s="1"/>
  <c r="L489" i="3"/>
  <c r="M489" i="3"/>
  <c r="P489" i="3" s="1"/>
  <c r="L490" i="3"/>
  <c r="M490" i="3"/>
  <c r="P490" i="3" s="1"/>
  <c r="L491" i="3"/>
  <c r="M491" i="3"/>
  <c r="P491" i="3" s="1"/>
  <c r="L492" i="3"/>
  <c r="M492" i="3"/>
  <c r="P492" i="3" s="1"/>
  <c r="L493" i="3"/>
  <c r="M493" i="3"/>
  <c r="P493" i="3" s="1"/>
  <c r="L494" i="3"/>
  <c r="M494" i="3"/>
  <c r="P494" i="3" s="1"/>
  <c r="L495" i="3"/>
  <c r="M495" i="3"/>
  <c r="P495" i="3" s="1"/>
  <c r="L496" i="3"/>
  <c r="M496" i="3"/>
  <c r="P496" i="3" s="1"/>
  <c r="L497" i="3"/>
  <c r="M497" i="3"/>
  <c r="P497" i="3" s="1"/>
  <c r="L498" i="3"/>
  <c r="M498" i="3"/>
  <c r="P498" i="3" s="1"/>
  <c r="L499" i="3"/>
  <c r="M499" i="3"/>
  <c r="P499" i="3" s="1"/>
  <c r="L500" i="3"/>
  <c r="M500" i="3"/>
  <c r="P500" i="3" s="1"/>
  <c r="L501" i="3"/>
  <c r="M501" i="3"/>
  <c r="P501" i="3" s="1"/>
  <c r="L502" i="3"/>
  <c r="M502" i="3"/>
  <c r="P502" i="3" s="1"/>
  <c r="L503" i="3"/>
  <c r="M503" i="3"/>
  <c r="P503" i="3" s="1"/>
  <c r="L504" i="3"/>
  <c r="M504" i="3"/>
  <c r="P504" i="3" s="1"/>
  <c r="L505" i="3"/>
  <c r="M505" i="3"/>
  <c r="P505" i="3" s="1"/>
  <c r="L506" i="3"/>
  <c r="M506" i="3"/>
  <c r="P506" i="3" s="1"/>
  <c r="L507" i="3"/>
  <c r="M507" i="3"/>
  <c r="P507" i="3" s="1"/>
  <c r="L508" i="3"/>
  <c r="M508" i="3"/>
  <c r="P508" i="3" s="1"/>
  <c r="L509" i="3"/>
  <c r="M509" i="3"/>
  <c r="P509" i="3" s="1"/>
  <c r="L510" i="3"/>
  <c r="M510" i="3"/>
  <c r="P510" i="3" s="1"/>
  <c r="L511" i="3"/>
  <c r="M511" i="3"/>
  <c r="P511" i="3" s="1"/>
  <c r="L512" i="3"/>
  <c r="M512" i="3"/>
  <c r="P512" i="3" s="1"/>
  <c r="L513" i="3"/>
  <c r="M513" i="3"/>
  <c r="P513" i="3" s="1"/>
  <c r="L514" i="3"/>
  <c r="M514" i="3"/>
  <c r="P514" i="3" s="1"/>
  <c r="L515" i="3"/>
  <c r="M515" i="3"/>
  <c r="P515" i="3" s="1"/>
  <c r="L516" i="3"/>
  <c r="M516" i="3"/>
  <c r="P516" i="3" s="1"/>
  <c r="L517" i="3"/>
  <c r="M517" i="3"/>
  <c r="P517" i="3" s="1"/>
  <c r="L518" i="3"/>
  <c r="M518" i="3"/>
  <c r="P518" i="3" s="1"/>
  <c r="L519" i="3"/>
  <c r="M519" i="3"/>
  <c r="P519" i="3" s="1"/>
  <c r="L520" i="3"/>
  <c r="M520" i="3"/>
  <c r="P520" i="3" s="1"/>
  <c r="L521" i="3"/>
  <c r="M521" i="3"/>
  <c r="P521" i="3" s="1"/>
  <c r="L522" i="3"/>
  <c r="M522" i="3"/>
  <c r="P522" i="3" s="1"/>
  <c r="L523" i="3"/>
  <c r="M523" i="3"/>
  <c r="P523" i="3" s="1"/>
  <c r="L524" i="3"/>
  <c r="M524" i="3"/>
  <c r="P524" i="3" s="1"/>
  <c r="L525" i="3"/>
  <c r="M525" i="3"/>
  <c r="P525" i="3" s="1"/>
  <c r="L526" i="3"/>
  <c r="M526" i="3"/>
  <c r="P526" i="3" s="1"/>
  <c r="L527" i="3"/>
  <c r="M527" i="3"/>
  <c r="P527" i="3" s="1"/>
  <c r="L528" i="3"/>
  <c r="M528" i="3"/>
  <c r="P528" i="3" s="1"/>
  <c r="L529" i="3"/>
  <c r="M529" i="3"/>
  <c r="P529" i="3" s="1"/>
  <c r="L530" i="3"/>
  <c r="M530" i="3"/>
  <c r="P530" i="3" s="1"/>
  <c r="L531" i="3"/>
  <c r="M531" i="3"/>
  <c r="P531" i="3" s="1"/>
  <c r="L532" i="3"/>
  <c r="M532" i="3"/>
  <c r="P532" i="3" s="1"/>
  <c r="L533" i="3"/>
  <c r="M533" i="3"/>
  <c r="P533" i="3" s="1"/>
  <c r="L534" i="3"/>
  <c r="M534" i="3"/>
  <c r="P534" i="3" s="1"/>
  <c r="L535" i="3"/>
  <c r="M535" i="3"/>
  <c r="P535" i="3" s="1"/>
  <c r="L536" i="3"/>
  <c r="M536" i="3"/>
  <c r="P536" i="3" s="1"/>
  <c r="L537" i="3"/>
  <c r="M537" i="3"/>
  <c r="P537" i="3" s="1"/>
  <c r="L538" i="3"/>
  <c r="M538" i="3"/>
  <c r="P538" i="3" s="1"/>
  <c r="L539" i="3"/>
  <c r="M539" i="3"/>
  <c r="P539" i="3" s="1"/>
  <c r="L540" i="3"/>
  <c r="M540" i="3"/>
  <c r="P540" i="3" s="1"/>
  <c r="L541" i="3"/>
  <c r="M541" i="3"/>
  <c r="P541" i="3" s="1"/>
  <c r="L542" i="3"/>
  <c r="M542" i="3"/>
  <c r="P542" i="3" s="1"/>
  <c r="L543" i="3"/>
  <c r="M543" i="3"/>
  <c r="P543" i="3" s="1"/>
  <c r="L544" i="3"/>
  <c r="M544" i="3"/>
  <c r="P544" i="3" s="1"/>
  <c r="L545" i="3"/>
  <c r="M545" i="3"/>
  <c r="P545" i="3" s="1"/>
  <c r="L546" i="3"/>
  <c r="M546" i="3"/>
  <c r="P546" i="3" s="1"/>
  <c r="L547" i="3"/>
  <c r="M547" i="3"/>
  <c r="P547" i="3" s="1"/>
  <c r="L548" i="3"/>
  <c r="M548" i="3"/>
  <c r="P548" i="3" s="1"/>
  <c r="L549" i="3"/>
  <c r="M549" i="3"/>
  <c r="P549" i="3" s="1"/>
  <c r="L550" i="3"/>
  <c r="M550" i="3"/>
  <c r="P550" i="3" s="1"/>
  <c r="L551" i="3"/>
  <c r="M551" i="3"/>
  <c r="P551" i="3" s="1"/>
  <c r="L552" i="3"/>
  <c r="M552" i="3"/>
  <c r="P552" i="3" s="1"/>
  <c r="L553" i="3"/>
  <c r="M553" i="3"/>
  <c r="P553" i="3" s="1"/>
  <c r="L554" i="3"/>
  <c r="M554" i="3"/>
  <c r="P554" i="3" s="1"/>
  <c r="L555" i="3"/>
  <c r="M555" i="3"/>
  <c r="P555" i="3" s="1"/>
  <c r="L556" i="3"/>
  <c r="M556" i="3"/>
  <c r="P556" i="3" s="1"/>
  <c r="L557" i="3"/>
  <c r="M557" i="3"/>
  <c r="P557" i="3" s="1"/>
  <c r="L558" i="3"/>
  <c r="M558" i="3"/>
  <c r="P558" i="3" s="1"/>
  <c r="L559" i="3"/>
  <c r="M559" i="3"/>
  <c r="P559" i="3" s="1"/>
  <c r="L560" i="3"/>
  <c r="M560" i="3"/>
  <c r="P560" i="3" s="1"/>
  <c r="L561" i="3"/>
  <c r="M561" i="3"/>
  <c r="P561" i="3" s="1"/>
  <c r="L562" i="3"/>
  <c r="M562" i="3"/>
  <c r="P562" i="3" s="1"/>
  <c r="L563" i="3"/>
  <c r="M563" i="3"/>
  <c r="P563" i="3" s="1"/>
  <c r="L564" i="3"/>
  <c r="M564" i="3"/>
  <c r="P564" i="3" s="1"/>
  <c r="L565" i="3"/>
  <c r="M565" i="3"/>
  <c r="P565" i="3" s="1"/>
  <c r="L566" i="3"/>
  <c r="M566" i="3"/>
  <c r="P566" i="3" s="1"/>
  <c r="L567" i="3"/>
  <c r="M567" i="3"/>
  <c r="P567" i="3" s="1"/>
  <c r="L568" i="3"/>
  <c r="M568" i="3"/>
  <c r="P568" i="3" s="1"/>
  <c r="L569" i="3"/>
  <c r="M569" i="3"/>
  <c r="P569" i="3" s="1"/>
  <c r="L570" i="3"/>
  <c r="M570" i="3"/>
  <c r="P570" i="3" s="1"/>
  <c r="L571" i="3"/>
  <c r="M571" i="3"/>
  <c r="P571" i="3" s="1"/>
  <c r="L572" i="3"/>
  <c r="M572" i="3"/>
  <c r="P572" i="3" s="1"/>
  <c r="L573" i="3"/>
  <c r="M573" i="3"/>
  <c r="P573" i="3" s="1"/>
  <c r="L574" i="3"/>
  <c r="M574" i="3"/>
  <c r="P574" i="3" s="1"/>
  <c r="L575" i="3"/>
  <c r="M575" i="3"/>
  <c r="P575" i="3" s="1"/>
  <c r="L576" i="3"/>
  <c r="M576" i="3"/>
  <c r="P576" i="3" s="1"/>
  <c r="L577" i="3"/>
  <c r="M577" i="3"/>
  <c r="P577" i="3" s="1"/>
  <c r="L578" i="3"/>
  <c r="M578" i="3"/>
  <c r="P578" i="3" s="1"/>
  <c r="L579" i="3"/>
  <c r="M579" i="3"/>
  <c r="P579" i="3" s="1"/>
  <c r="L580" i="3"/>
  <c r="M580" i="3"/>
  <c r="P580" i="3" s="1"/>
  <c r="L581" i="3"/>
  <c r="M581" i="3"/>
  <c r="P581" i="3" s="1"/>
  <c r="L582" i="3"/>
  <c r="M582" i="3"/>
  <c r="P582" i="3" s="1"/>
  <c r="L583" i="3"/>
  <c r="M583" i="3"/>
  <c r="P583" i="3" s="1"/>
  <c r="L584" i="3"/>
  <c r="M584" i="3"/>
  <c r="P584" i="3" s="1"/>
  <c r="L585" i="3"/>
  <c r="M585" i="3"/>
  <c r="P585" i="3" s="1"/>
  <c r="L586" i="3"/>
  <c r="M586" i="3"/>
  <c r="P586" i="3" s="1"/>
  <c r="L587" i="3"/>
  <c r="M587" i="3"/>
  <c r="P587" i="3" s="1"/>
  <c r="L588" i="3"/>
  <c r="M588" i="3"/>
  <c r="P588" i="3" s="1"/>
  <c r="L589" i="3"/>
  <c r="M589" i="3"/>
  <c r="P589" i="3" s="1"/>
  <c r="L590" i="3"/>
  <c r="M590" i="3"/>
  <c r="P590" i="3" s="1"/>
  <c r="L591" i="3"/>
  <c r="M591" i="3"/>
  <c r="P591" i="3" s="1"/>
  <c r="L592" i="3"/>
  <c r="M592" i="3"/>
  <c r="P592" i="3" s="1"/>
  <c r="L593" i="3"/>
  <c r="M593" i="3"/>
  <c r="P593" i="3" s="1"/>
  <c r="L594" i="3"/>
  <c r="M594" i="3"/>
  <c r="P594" i="3" s="1"/>
  <c r="L595" i="3"/>
  <c r="M595" i="3"/>
  <c r="P595" i="3" s="1"/>
  <c r="L596" i="3"/>
  <c r="M596" i="3"/>
  <c r="P596" i="3" s="1"/>
  <c r="L597" i="3"/>
  <c r="M597" i="3"/>
  <c r="P597" i="3" s="1"/>
  <c r="L598" i="3"/>
  <c r="M598" i="3"/>
  <c r="P598" i="3" s="1"/>
  <c r="L599" i="3"/>
  <c r="M599" i="3"/>
  <c r="P599" i="3" s="1"/>
  <c r="L600" i="3"/>
  <c r="M600" i="3"/>
  <c r="P600" i="3" s="1"/>
  <c r="L601" i="3"/>
  <c r="M601" i="3"/>
  <c r="P601" i="3" s="1"/>
  <c r="L602" i="3"/>
  <c r="M602" i="3"/>
  <c r="P602" i="3" s="1"/>
  <c r="L603" i="3"/>
  <c r="M603" i="3"/>
  <c r="P603" i="3" s="1"/>
  <c r="L604" i="3"/>
  <c r="M604" i="3"/>
  <c r="P604" i="3" s="1"/>
  <c r="L605" i="3"/>
  <c r="M605" i="3"/>
  <c r="P605" i="3" s="1"/>
  <c r="L606" i="3"/>
  <c r="M606" i="3"/>
  <c r="P606" i="3" s="1"/>
  <c r="L607" i="3"/>
  <c r="M607" i="3"/>
  <c r="P607" i="3" s="1"/>
  <c r="L608" i="3"/>
  <c r="M608" i="3"/>
  <c r="P608" i="3" s="1"/>
  <c r="L609" i="3"/>
  <c r="M609" i="3"/>
  <c r="P609" i="3" s="1"/>
  <c r="L610" i="3"/>
  <c r="M610" i="3"/>
  <c r="P610" i="3" s="1"/>
  <c r="L611" i="3"/>
  <c r="M611" i="3"/>
  <c r="P611" i="3" s="1"/>
  <c r="L612" i="3"/>
  <c r="M612" i="3"/>
  <c r="P612" i="3" s="1"/>
  <c r="L613" i="3"/>
  <c r="M613" i="3"/>
  <c r="P613" i="3"/>
  <c r="L614" i="3"/>
  <c r="M614" i="3"/>
  <c r="P614" i="3" s="1"/>
  <c r="L615" i="3"/>
  <c r="M615" i="3"/>
  <c r="P615" i="3" s="1"/>
  <c r="L616" i="3"/>
  <c r="M616" i="3"/>
  <c r="P616" i="3" s="1"/>
  <c r="L617" i="3"/>
  <c r="M617" i="3"/>
  <c r="P617" i="3" s="1"/>
  <c r="L618" i="3"/>
  <c r="M618" i="3"/>
  <c r="P618" i="3" s="1"/>
  <c r="L619" i="3"/>
  <c r="M619" i="3"/>
  <c r="P619" i="3" s="1"/>
  <c r="L620" i="3"/>
  <c r="M620" i="3"/>
  <c r="P620" i="3" s="1"/>
  <c r="L621" i="3"/>
  <c r="M621" i="3"/>
  <c r="P621" i="3" s="1"/>
  <c r="L622" i="3"/>
  <c r="M622" i="3"/>
  <c r="P622" i="3" s="1"/>
  <c r="L623" i="3"/>
  <c r="M623" i="3"/>
  <c r="P623" i="3" s="1"/>
  <c r="L624" i="3"/>
  <c r="M624" i="3"/>
  <c r="P624" i="3" s="1"/>
  <c r="L625" i="3"/>
  <c r="M625" i="3"/>
  <c r="P625" i="3" s="1"/>
  <c r="L626" i="3"/>
  <c r="M626" i="3"/>
  <c r="P626" i="3" s="1"/>
  <c r="L627" i="3"/>
  <c r="M627" i="3"/>
  <c r="P627" i="3" s="1"/>
  <c r="L628" i="3"/>
  <c r="M628" i="3"/>
  <c r="P628" i="3" s="1"/>
  <c r="L629" i="3"/>
  <c r="M629" i="3"/>
  <c r="P629" i="3" s="1"/>
  <c r="L630" i="3"/>
  <c r="M630" i="3"/>
  <c r="P630" i="3" s="1"/>
  <c r="L631" i="3"/>
  <c r="M631" i="3"/>
  <c r="P631" i="3" s="1"/>
  <c r="L632" i="3"/>
  <c r="M632" i="3"/>
  <c r="P632" i="3" s="1"/>
  <c r="L633" i="3"/>
  <c r="M633" i="3"/>
  <c r="P633" i="3" s="1"/>
  <c r="L634" i="3"/>
  <c r="M634" i="3"/>
  <c r="P634" i="3" s="1"/>
  <c r="L635" i="3"/>
  <c r="M635" i="3"/>
  <c r="P635" i="3" s="1"/>
  <c r="L636" i="3"/>
  <c r="M636" i="3"/>
  <c r="P636" i="3" s="1"/>
  <c r="L637" i="3"/>
  <c r="M637" i="3"/>
  <c r="P637" i="3" s="1"/>
  <c r="L638" i="3"/>
  <c r="M638" i="3"/>
  <c r="P638" i="3" s="1"/>
  <c r="L639" i="3"/>
  <c r="M639" i="3"/>
  <c r="P639" i="3" s="1"/>
  <c r="L640" i="3"/>
  <c r="M640" i="3"/>
  <c r="P640" i="3" s="1"/>
  <c r="L641" i="3"/>
  <c r="M641" i="3"/>
  <c r="P641" i="3" s="1"/>
  <c r="L642" i="3"/>
  <c r="M642" i="3"/>
  <c r="P642" i="3" s="1"/>
  <c r="L643" i="3"/>
  <c r="M643" i="3"/>
  <c r="P643" i="3" s="1"/>
  <c r="L644" i="3"/>
  <c r="M644" i="3"/>
  <c r="P644" i="3" s="1"/>
  <c r="L645" i="3"/>
  <c r="M645" i="3"/>
  <c r="P645" i="3" s="1"/>
  <c r="L646" i="3"/>
  <c r="M646" i="3"/>
  <c r="P646" i="3" s="1"/>
  <c r="L647" i="3"/>
  <c r="M647" i="3"/>
  <c r="P647" i="3" s="1"/>
  <c r="L648" i="3"/>
  <c r="M648" i="3"/>
  <c r="P648" i="3" s="1"/>
  <c r="L649" i="3"/>
  <c r="M649" i="3"/>
  <c r="P649" i="3" s="1"/>
  <c r="L650" i="3"/>
  <c r="M650" i="3"/>
  <c r="P650" i="3" s="1"/>
  <c r="L651" i="3"/>
  <c r="M651" i="3"/>
  <c r="P651" i="3" s="1"/>
  <c r="L652" i="3"/>
  <c r="M652" i="3"/>
  <c r="P652" i="3" s="1"/>
  <c r="L653" i="3"/>
  <c r="M653" i="3"/>
  <c r="P653" i="3" s="1"/>
  <c r="L654" i="3"/>
  <c r="M654" i="3"/>
  <c r="P654" i="3" s="1"/>
  <c r="L655" i="3"/>
  <c r="M655" i="3"/>
  <c r="P655" i="3" s="1"/>
  <c r="L656" i="3"/>
  <c r="M656" i="3"/>
  <c r="P656" i="3" s="1"/>
  <c r="L657" i="3"/>
  <c r="M657" i="3"/>
  <c r="P657" i="3" s="1"/>
  <c r="L658" i="3"/>
  <c r="M658" i="3"/>
  <c r="P658" i="3" s="1"/>
  <c r="L659" i="3"/>
  <c r="M659" i="3"/>
  <c r="P659" i="3" s="1"/>
  <c r="L660" i="3"/>
  <c r="M660" i="3"/>
  <c r="P660" i="3" s="1"/>
  <c r="L661" i="3"/>
  <c r="M661" i="3"/>
  <c r="P661" i="3" s="1"/>
  <c r="L662" i="3"/>
  <c r="M662" i="3"/>
  <c r="P662" i="3" s="1"/>
  <c r="L663" i="3"/>
  <c r="M663" i="3"/>
  <c r="P663" i="3" s="1"/>
  <c r="L664" i="3"/>
  <c r="M664" i="3"/>
  <c r="P664" i="3" s="1"/>
  <c r="L665" i="3"/>
  <c r="M665" i="3"/>
  <c r="P665" i="3" s="1"/>
  <c r="L666" i="3"/>
  <c r="M666" i="3"/>
  <c r="P666" i="3" s="1"/>
  <c r="L667" i="3"/>
  <c r="M667" i="3"/>
  <c r="P667" i="3" s="1"/>
  <c r="L668" i="3"/>
  <c r="M668" i="3"/>
  <c r="P668" i="3" s="1"/>
  <c r="L669" i="3"/>
  <c r="M669" i="3"/>
  <c r="P669" i="3" s="1"/>
  <c r="L670" i="3"/>
  <c r="M670" i="3"/>
  <c r="P670" i="3" s="1"/>
  <c r="L671" i="3"/>
  <c r="M671" i="3"/>
  <c r="P671" i="3" s="1"/>
  <c r="L672" i="3"/>
  <c r="M672" i="3"/>
  <c r="P672" i="3" s="1"/>
  <c r="L673" i="3"/>
  <c r="M673" i="3"/>
  <c r="P673" i="3" s="1"/>
  <c r="L674" i="3"/>
  <c r="M674" i="3"/>
  <c r="P674" i="3" s="1"/>
  <c r="L675" i="3"/>
  <c r="M675" i="3"/>
  <c r="P675" i="3" s="1"/>
  <c r="L676" i="3"/>
  <c r="M676" i="3"/>
  <c r="P676" i="3" s="1"/>
  <c r="L677" i="3"/>
  <c r="M677" i="3"/>
  <c r="P677" i="3" s="1"/>
  <c r="L678" i="3"/>
  <c r="M678" i="3"/>
  <c r="P678" i="3" s="1"/>
  <c r="L679" i="3"/>
  <c r="M679" i="3"/>
  <c r="P679" i="3" s="1"/>
  <c r="L680" i="3"/>
  <c r="M680" i="3"/>
  <c r="P680" i="3"/>
  <c r="L681" i="3"/>
  <c r="M681" i="3"/>
  <c r="P681" i="3" s="1"/>
  <c r="L682" i="3"/>
  <c r="M682" i="3"/>
  <c r="P682" i="3" s="1"/>
  <c r="L683" i="3"/>
  <c r="M683" i="3"/>
  <c r="P683" i="3" s="1"/>
  <c r="L684" i="3"/>
  <c r="M684" i="3"/>
  <c r="P684" i="3" s="1"/>
  <c r="L685" i="3"/>
  <c r="M685" i="3"/>
  <c r="P685" i="3" s="1"/>
  <c r="L686" i="3"/>
  <c r="M686" i="3"/>
  <c r="P686" i="3" s="1"/>
  <c r="L687" i="3"/>
  <c r="M687" i="3"/>
  <c r="P687" i="3" s="1"/>
  <c r="L688" i="3"/>
  <c r="M688" i="3"/>
  <c r="P688" i="3" s="1"/>
  <c r="L689" i="3"/>
  <c r="M689" i="3"/>
  <c r="P689" i="3" s="1"/>
  <c r="L690" i="3"/>
  <c r="M690" i="3"/>
  <c r="P690" i="3" s="1"/>
  <c r="L691" i="3"/>
  <c r="M691" i="3"/>
  <c r="P691" i="3" s="1"/>
  <c r="L692" i="3"/>
  <c r="M692" i="3"/>
  <c r="P692" i="3" s="1"/>
  <c r="L693" i="3"/>
  <c r="M693" i="3"/>
  <c r="P693" i="3" s="1"/>
  <c r="L694" i="3"/>
  <c r="M694" i="3"/>
  <c r="P694" i="3" s="1"/>
  <c r="L695" i="3"/>
  <c r="M695" i="3"/>
  <c r="P695" i="3" s="1"/>
  <c r="L696" i="3"/>
  <c r="M696" i="3"/>
  <c r="P696" i="3" s="1"/>
  <c r="L697" i="3"/>
  <c r="M697" i="3"/>
  <c r="P697" i="3" s="1"/>
  <c r="L698" i="3"/>
  <c r="M698" i="3"/>
  <c r="P698" i="3" s="1"/>
  <c r="L699" i="3"/>
  <c r="M699" i="3"/>
  <c r="P699" i="3" s="1"/>
  <c r="L700" i="3"/>
  <c r="M700" i="3"/>
  <c r="P700" i="3" s="1"/>
  <c r="L701" i="3"/>
  <c r="M701" i="3"/>
  <c r="P701" i="3" s="1"/>
  <c r="L702" i="3"/>
  <c r="M702" i="3"/>
  <c r="P702" i="3" s="1"/>
  <c r="L703" i="3"/>
  <c r="M703" i="3"/>
  <c r="P703" i="3" s="1"/>
  <c r="L704" i="3"/>
  <c r="M704" i="3"/>
  <c r="P704" i="3" s="1"/>
  <c r="L705" i="3"/>
  <c r="M705" i="3"/>
  <c r="P705" i="3" s="1"/>
  <c r="L706" i="3"/>
  <c r="M706" i="3"/>
  <c r="P706" i="3" s="1"/>
  <c r="L707" i="3"/>
  <c r="M707" i="3"/>
  <c r="P707" i="3" s="1"/>
  <c r="L708" i="3"/>
  <c r="M708" i="3"/>
  <c r="P708" i="3" s="1"/>
  <c r="L709" i="3"/>
  <c r="M709" i="3"/>
  <c r="P709" i="3" s="1"/>
  <c r="L710" i="3"/>
  <c r="M710" i="3"/>
  <c r="P710" i="3" s="1"/>
  <c r="L711" i="3"/>
  <c r="M711" i="3"/>
  <c r="P711" i="3" s="1"/>
  <c r="L712" i="3"/>
  <c r="M712" i="3"/>
  <c r="P712" i="3" s="1"/>
  <c r="L713" i="3"/>
  <c r="M713" i="3"/>
  <c r="P713" i="3" s="1"/>
  <c r="L714" i="3"/>
  <c r="M714" i="3"/>
  <c r="P714" i="3" s="1"/>
  <c r="L715" i="3"/>
  <c r="M715" i="3"/>
  <c r="P715" i="3" s="1"/>
  <c r="L716" i="3"/>
  <c r="M716" i="3"/>
  <c r="P716" i="3" s="1"/>
  <c r="L717" i="3"/>
  <c r="M717" i="3"/>
  <c r="P717" i="3" s="1"/>
  <c r="L718" i="3"/>
  <c r="M718" i="3"/>
  <c r="P718" i="3" s="1"/>
  <c r="L719" i="3"/>
  <c r="M719" i="3"/>
  <c r="P719" i="3" s="1"/>
  <c r="L720" i="3"/>
  <c r="M720" i="3"/>
  <c r="P720" i="3" s="1"/>
  <c r="L721" i="3"/>
  <c r="M721" i="3"/>
  <c r="P721" i="3" s="1"/>
  <c r="L722" i="3"/>
  <c r="M722" i="3"/>
  <c r="P722" i="3" s="1"/>
  <c r="L723" i="3"/>
  <c r="M723" i="3"/>
  <c r="P723" i="3"/>
  <c r="L724" i="3"/>
  <c r="M724" i="3"/>
  <c r="P724" i="3" s="1"/>
  <c r="L725" i="3"/>
  <c r="M725" i="3"/>
  <c r="P725" i="3" s="1"/>
  <c r="L726" i="3"/>
  <c r="M726" i="3"/>
  <c r="P726" i="3" s="1"/>
  <c r="L727" i="3"/>
  <c r="M727" i="3"/>
  <c r="P727" i="3" s="1"/>
  <c r="L728" i="3"/>
  <c r="M728" i="3"/>
  <c r="P728" i="3" s="1"/>
  <c r="L729" i="3"/>
  <c r="M729" i="3"/>
  <c r="P729" i="3" s="1"/>
  <c r="L730" i="3"/>
  <c r="M730" i="3"/>
  <c r="P730" i="3" s="1"/>
  <c r="L731" i="3"/>
  <c r="M731" i="3"/>
  <c r="P731" i="3" s="1"/>
  <c r="L732" i="3"/>
  <c r="M732" i="3"/>
  <c r="P732" i="3" s="1"/>
  <c r="L733" i="3"/>
  <c r="M733" i="3"/>
  <c r="P733" i="3" s="1"/>
  <c r="L734" i="3"/>
  <c r="M734" i="3"/>
  <c r="P734" i="3" s="1"/>
  <c r="L735" i="3"/>
  <c r="M735" i="3"/>
  <c r="P735" i="3" s="1"/>
  <c r="L736" i="3"/>
  <c r="M736" i="3"/>
  <c r="P736" i="3" s="1"/>
  <c r="L737" i="3"/>
  <c r="M737" i="3"/>
  <c r="P737" i="3" s="1"/>
  <c r="L738" i="3"/>
  <c r="M738" i="3"/>
  <c r="P738" i="3" s="1"/>
  <c r="L739" i="3"/>
  <c r="M739" i="3"/>
  <c r="P739" i="3" s="1"/>
  <c r="L740" i="3"/>
  <c r="M740" i="3"/>
  <c r="P740" i="3" s="1"/>
  <c r="L741" i="3"/>
  <c r="M741" i="3"/>
  <c r="P741" i="3" s="1"/>
  <c r="L742" i="3"/>
  <c r="M742" i="3"/>
  <c r="P742" i="3" s="1"/>
  <c r="L743" i="3"/>
  <c r="M743" i="3"/>
  <c r="P743" i="3" s="1"/>
  <c r="L744" i="3"/>
  <c r="M744" i="3"/>
  <c r="P744" i="3" s="1"/>
  <c r="L745" i="3"/>
  <c r="M745" i="3"/>
  <c r="P745" i="3" s="1"/>
  <c r="L746" i="3"/>
  <c r="M746" i="3"/>
  <c r="P746" i="3"/>
  <c r="L747" i="3"/>
  <c r="M747" i="3"/>
  <c r="P747" i="3" s="1"/>
  <c r="L748" i="3"/>
  <c r="M748" i="3"/>
  <c r="P748" i="3" s="1"/>
  <c r="L749" i="3"/>
  <c r="M749" i="3"/>
  <c r="P749" i="3" s="1"/>
  <c r="L750" i="3"/>
  <c r="M750" i="3"/>
  <c r="P750" i="3" s="1"/>
  <c r="L751" i="3"/>
  <c r="M751" i="3"/>
  <c r="P751" i="3" s="1"/>
  <c r="L752" i="3"/>
  <c r="M752" i="3"/>
  <c r="P752" i="3" s="1"/>
  <c r="L753" i="3"/>
  <c r="M753" i="3"/>
  <c r="P753" i="3" s="1"/>
  <c r="L754" i="3"/>
  <c r="M754" i="3"/>
  <c r="P754" i="3" s="1"/>
  <c r="L755" i="3"/>
  <c r="M755" i="3"/>
  <c r="P755" i="3" s="1"/>
  <c r="L756" i="3"/>
  <c r="M756" i="3"/>
  <c r="P756" i="3" s="1"/>
  <c r="L757" i="3"/>
  <c r="M757" i="3"/>
  <c r="P757" i="3" s="1"/>
  <c r="L758" i="3"/>
  <c r="M758" i="3"/>
  <c r="P758" i="3" s="1"/>
  <c r="L759" i="3"/>
  <c r="M759" i="3"/>
  <c r="P759" i="3" s="1"/>
  <c r="L760" i="3"/>
  <c r="M760" i="3"/>
  <c r="P760" i="3" s="1"/>
  <c r="L761" i="3"/>
  <c r="M761" i="3"/>
  <c r="P761" i="3" s="1"/>
  <c r="L762" i="3"/>
  <c r="M762" i="3"/>
  <c r="P762" i="3" s="1"/>
  <c r="L763" i="3"/>
  <c r="M763" i="3"/>
  <c r="P763" i="3" s="1"/>
  <c r="L764" i="3"/>
  <c r="M764" i="3"/>
  <c r="P764" i="3" s="1"/>
  <c r="L765" i="3"/>
  <c r="M765" i="3"/>
  <c r="P765" i="3" s="1"/>
  <c r="L766" i="3"/>
  <c r="M766" i="3"/>
  <c r="P766" i="3" s="1"/>
  <c r="L767" i="3"/>
  <c r="M767" i="3"/>
  <c r="P767" i="3" s="1"/>
  <c r="L768" i="3"/>
  <c r="M768" i="3"/>
  <c r="P768" i="3" s="1"/>
  <c r="L769" i="3"/>
  <c r="M769" i="3"/>
  <c r="P769" i="3" s="1"/>
  <c r="L770" i="3"/>
  <c r="M770" i="3"/>
  <c r="P770" i="3" s="1"/>
  <c r="L771" i="3"/>
  <c r="M771" i="3"/>
  <c r="P771" i="3" s="1"/>
  <c r="L772" i="3"/>
  <c r="M772" i="3"/>
  <c r="P772" i="3" s="1"/>
  <c r="L773" i="3"/>
  <c r="M773" i="3"/>
  <c r="P773" i="3" s="1"/>
  <c r="L774" i="3"/>
  <c r="M774" i="3"/>
  <c r="P774" i="3" s="1"/>
  <c r="L775" i="3"/>
  <c r="M775" i="3"/>
  <c r="P775" i="3" s="1"/>
  <c r="L776" i="3"/>
  <c r="M776" i="3"/>
  <c r="P776" i="3" s="1"/>
  <c r="L777" i="3"/>
  <c r="M777" i="3"/>
  <c r="P777" i="3" s="1"/>
  <c r="L778" i="3"/>
  <c r="M778" i="3"/>
  <c r="P778" i="3" s="1"/>
  <c r="L779" i="3"/>
  <c r="M779" i="3"/>
  <c r="P779" i="3" s="1"/>
  <c r="L780" i="3"/>
  <c r="M780" i="3"/>
  <c r="P780" i="3" s="1"/>
  <c r="L781" i="3"/>
  <c r="M781" i="3"/>
  <c r="P781" i="3" s="1"/>
  <c r="L782" i="3"/>
  <c r="M782" i="3"/>
  <c r="P782" i="3" s="1"/>
  <c r="L783" i="3"/>
  <c r="M783" i="3"/>
  <c r="P783" i="3" s="1"/>
  <c r="L784" i="3"/>
  <c r="M784" i="3"/>
  <c r="P784" i="3" s="1"/>
  <c r="L785" i="3"/>
  <c r="M785" i="3"/>
  <c r="P785" i="3" s="1"/>
  <c r="L786" i="3"/>
  <c r="M786" i="3"/>
  <c r="P786" i="3" s="1"/>
  <c r="L787" i="3"/>
  <c r="M787" i="3"/>
  <c r="P787" i="3" s="1"/>
  <c r="L788" i="3"/>
  <c r="M788" i="3"/>
  <c r="P788" i="3" s="1"/>
  <c r="L789" i="3"/>
  <c r="M789" i="3"/>
  <c r="P789" i="3" s="1"/>
  <c r="L790" i="3"/>
  <c r="M790" i="3"/>
  <c r="P790" i="3" s="1"/>
  <c r="L791" i="3"/>
  <c r="M791" i="3"/>
  <c r="P791" i="3" s="1"/>
  <c r="L792" i="3"/>
  <c r="M792" i="3"/>
  <c r="P792" i="3" s="1"/>
  <c r="L793" i="3"/>
  <c r="M793" i="3"/>
  <c r="P793" i="3" s="1"/>
  <c r="L794" i="3"/>
  <c r="M794" i="3"/>
  <c r="P794" i="3" s="1"/>
  <c r="L795" i="3"/>
  <c r="M795" i="3"/>
  <c r="P795" i="3" s="1"/>
  <c r="L796" i="3"/>
  <c r="M796" i="3"/>
  <c r="P796" i="3" s="1"/>
  <c r="L797" i="3"/>
  <c r="M797" i="3"/>
  <c r="P797" i="3" s="1"/>
  <c r="L798" i="3"/>
  <c r="M798" i="3"/>
  <c r="P798" i="3" s="1"/>
  <c r="L799" i="3"/>
  <c r="M799" i="3"/>
  <c r="P799" i="3" s="1"/>
  <c r="L800" i="3"/>
  <c r="M800" i="3"/>
  <c r="P800" i="3" s="1"/>
  <c r="L801" i="3"/>
  <c r="M801" i="3"/>
  <c r="P801" i="3" s="1"/>
  <c r="L802" i="3"/>
  <c r="M802" i="3"/>
  <c r="P802" i="3" s="1"/>
  <c r="L803" i="3"/>
  <c r="M803" i="3"/>
  <c r="P803" i="3" s="1"/>
  <c r="L804" i="3"/>
  <c r="M804" i="3"/>
  <c r="P804" i="3"/>
  <c r="L805" i="3"/>
  <c r="M805" i="3"/>
  <c r="P805" i="3" s="1"/>
  <c r="L806" i="3"/>
  <c r="M806" i="3"/>
  <c r="P806" i="3" s="1"/>
  <c r="L807" i="3"/>
  <c r="M807" i="3"/>
  <c r="P807" i="3" s="1"/>
  <c r="L808" i="3"/>
  <c r="M808" i="3"/>
  <c r="P808" i="3" s="1"/>
  <c r="L809" i="3"/>
  <c r="M809" i="3"/>
  <c r="P809" i="3" s="1"/>
  <c r="L810" i="3"/>
  <c r="M810" i="3"/>
  <c r="P810" i="3" s="1"/>
  <c r="L811" i="3"/>
  <c r="M811" i="3"/>
  <c r="P811" i="3" s="1"/>
  <c r="L812" i="3"/>
  <c r="M812" i="3"/>
  <c r="P812" i="3" s="1"/>
  <c r="L813" i="3"/>
  <c r="M813" i="3"/>
  <c r="P813" i="3" s="1"/>
  <c r="L814" i="3"/>
  <c r="M814" i="3"/>
  <c r="P814" i="3" s="1"/>
  <c r="L815" i="3"/>
  <c r="M815" i="3"/>
  <c r="P815" i="3" s="1"/>
  <c r="L816" i="3"/>
  <c r="M816" i="3"/>
  <c r="P816" i="3" s="1"/>
  <c r="L817" i="3"/>
  <c r="M817" i="3"/>
  <c r="P817" i="3" s="1"/>
  <c r="L818" i="3"/>
  <c r="M818" i="3"/>
  <c r="P818" i="3" s="1"/>
  <c r="L819" i="3"/>
  <c r="M819" i="3"/>
  <c r="P819" i="3" s="1"/>
  <c r="L820" i="3"/>
  <c r="M820" i="3"/>
  <c r="P820" i="3" s="1"/>
  <c r="L821" i="3"/>
  <c r="M821" i="3"/>
  <c r="P821" i="3" s="1"/>
  <c r="L822" i="3"/>
  <c r="M822" i="3"/>
  <c r="P822" i="3" s="1"/>
  <c r="L823" i="3"/>
  <c r="M823" i="3"/>
  <c r="P823" i="3" s="1"/>
  <c r="L824" i="3"/>
  <c r="M824" i="3"/>
  <c r="P824" i="3" s="1"/>
  <c r="L825" i="3"/>
  <c r="M825" i="3"/>
  <c r="P825" i="3" s="1"/>
  <c r="L826" i="3"/>
  <c r="M826" i="3"/>
  <c r="P826" i="3" s="1"/>
  <c r="L827" i="3"/>
  <c r="M827" i="3"/>
  <c r="P827" i="3" s="1"/>
  <c r="L828" i="3"/>
  <c r="M828" i="3"/>
  <c r="P828" i="3" s="1"/>
  <c r="L829" i="3"/>
  <c r="M829" i="3"/>
  <c r="P829" i="3" s="1"/>
  <c r="L830" i="3"/>
  <c r="M830" i="3"/>
  <c r="P830" i="3" s="1"/>
  <c r="L831" i="3"/>
  <c r="M831" i="3"/>
  <c r="P831" i="3" s="1"/>
  <c r="L832" i="3"/>
  <c r="M832" i="3"/>
  <c r="P832" i="3" s="1"/>
  <c r="L833" i="3"/>
  <c r="M833" i="3"/>
  <c r="P833" i="3" s="1"/>
  <c r="L834" i="3"/>
  <c r="M834" i="3"/>
  <c r="P834" i="3" s="1"/>
  <c r="L835" i="3"/>
  <c r="M835" i="3"/>
  <c r="P835" i="3" s="1"/>
  <c r="L836" i="3"/>
  <c r="M836" i="3"/>
  <c r="P836" i="3" s="1"/>
  <c r="L837" i="3"/>
  <c r="M837" i="3"/>
  <c r="P837" i="3" s="1"/>
  <c r="L838" i="3"/>
  <c r="M838" i="3"/>
  <c r="P838" i="3" s="1"/>
  <c r="L839" i="3"/>
  <c r="M839" i="3"/>
  <c r="P839" i="3" s="1"/>
  <c r="L840" i="3"/>
  <c r="M840" i="3"/>
  <c r="P840" i="3" s="1"/>
  <c r="L841" i="3"/>
  <c r="M841" i="3"/>
  <c r="P841" i="3" s="1"/>
  <c r="L842" i="3"/>
  <c r="M842" i="3"/>
  <c r="P842" i="3" s="1"/>
  <c r="L843" i="3"/>
  <c r="M843" i="3"/>
  <c r="P843" i="3" s="1"/>
  <c r="L844" i="3"/>
  <c r="M844" i="3"/>
  <c r="P844" i="3" s="1"/>
  <c r="L845" i="3"/>
  <c r="M845" i="3"/>
  <c r="P845" i="3" s="1"/>
  <c r="L846" i="3"/>
  <c r="M846" i="3"/>
  <c r="P846" i="3" s="1"/>
  <c r="L847" i="3"/>
  <c r="M847" i="3"/>
  <c r="P847" i="3" s="1"/>
  <c r="L848" i="3"/>
  <c r="M848" i="3"/>
  <c r="P848" i="3" s="1"/>
  <c r="L849" i="3"/>
  <c r="M849" i="3"/>
  <c r="P849" i="3" s="1"/>
  <c r="L850" i="3"/>
  <c r="M850" i="3"/>
  <c r="P850" i="3" s="1"/>
  <c r="L851" i="3"/>
  <c r="M851" i="3"/>
  <c r="P851" i="3" s="1"/>
  <c r="L852" i="3"/>
  <c r="M852" i="3"/>
  <c r="P852" i="3" s="1"/>
  <c r="L853" i="3"/>
  <c r="M853" i="3"/>
  <c r="P853" i="3" s="1"/>
  <c r="L854" i="3"/>
  <c r="M854" i="3"/>
  <c r="P854" i="3" s="1"/>
  <c r="L855" i="3"/>
  <c r="M855" i="3"/>
  <c r="P855" i="3" s="1"/>
  <c r="L856" i="3"/>
  <c r="M856" i="3"/>
  <c r="P856" i="3"/>
  <c r="L857" i="3"/>
  <c r="M857" i="3"/>
  <c r="P857" i="3" s="1"/>
  <c r="L858" i="3"/>
  <c r="M858" i="3"/>
  <c r="P858" i="3" s="1"/>
  <c r="L859" i="3"/>
  <c r="M859" i="3"/>
  <c r="P859" i="3" s="1"/>
  <c r="L860" i="3"/>
  <c r="M860" i="3"/>
  <c r="P860" i="3" s="1"/>
  <c r="L861" i="3"/>
  <c r="M861" i="3"/>
  <c r="P861" i="3" s="1"/>
  <c r="L862" i="3"/>
  <c r="M862" i="3"/>
  <c r="P862" i="3" s="1"/>
  <c r="L863" i="3"/>
  <c r="M863" i="3"/>
  <c r="P863" i="3" s="1"/>
  <c r="L864" i="3"/>
  <c r="M864" i="3"/>
  <c r="P864" i="3" s="1"/>
  <c r="L865" i="3"/>
  <c r="M865" i="3"/>
  <c r="P865" i="3" s="1"/>
  <c r="L866" i="3"/>
  <c r="M866" i="3"/>
  <c r="P866" i="3" s="1"/>
  <c r="L867" i="3"/>
  <c r="M867" i="3"/>
  <c r="P867" i="3" s="1"/>
  <c r="L868" i="3"/>
  <c r="M868" i="3"/>
  <c r="P868" i="3" s="1"/>
  <c r="L869" i="3"/>
  <c r="M869" i="3"/>
  <c r="P869" i="3" s="1"/>
  <c r="L870" i="3"/>
  <c r="M870" i="3"/>
  <c r="P870" i="3" s="1"/>
  <c r="L871" i="3"/>
  <c r="M871" i="3"/>
  <c r="P871" i="3" s="1"/>
  <c r="L872" i="3"/>
  <c r="M872" i="3"/>
  <c r="P872" i="3" s="1"/>
  <c r="L873" i="3"/>
  <c r="M873" i="3"/>
  <c r="P873" i="3" s="1"/>
  <c r="L874" i="3"/>
  <c r="M874" i="3"/>
  <c r="P874" i="3" s="1"/>
  <c r="L875" i="3"/>
  <c r="M875" i="3"/>
  <c r="P875" i="3" s="1"/>
  <c r="L876" i="3"/>
  <c r="M876" i="3"/>
  <c r="P876" i="3" s="1"/>
  <c r="L877" i="3"/>
  <c r="M877" i="3"/>
  <c r="P877" i="3" s="1"/>
  <c r="L878" i="3"/>
  <c r="M878" i="3"/>
  <c r="P878" i="3" s="1"/>
  <c r="L879" i="3"/>
  <c r="M879" i="3"/>
  <c r="P879" i="3" s="1"/>
  <c r="L880" i="3"/>
  <c r="M880" i="3"/>
  <c r="P880" i="3" s="1"/>
  <c r="L881" i="3"/>
  <c r="M881" i="3"/>
  <c r="P881" i="3" s="1"/>
  <c r="L882" i="3"/>
  <c r="M882" i="3"/>
  <c r="P882" i="3" s="1"/>
  <c r="L883" i="3"/>
  <c r="M883" i="3"/>
  <c r="P883" i="3" s="1"/>
  <c r="L884" i="3"/>
  <c r="M884" i="3"/>
  <c r="P884" i="3" s="1"/>
  <c r="L885" i="3"/>
  <c r="M885" i="3"/>
  <c r="P885" i="3" s="1"/>
  <c r="L886" i="3"/>
  <c r="M886" i="3"/>
  <c r="P886" i="3" s="1"/>
  <c r="L887" i="3"/>
  <c r="M887" i="3"/>
  <c r="P887" i="3"/>
  <c r="L888" i="3"/>
  <c r="M888" i="3"/>
  <c r="P888" i="3" s="1"/>
  <c r="L889" i="3"/>
  <c r="M889" i="3"/>
  <c r="P889" i="3" s="1"/>
  <c r="L890" i="3"/>
  <c r="M890" i="3"/>
  <c r="P890" i="3" s="1"/>
  <c r="L891" i="3"/>
  <c r="M891" i="3"/>
  <c r="P891" i="3" s="1"/>
  <c r="L892" i="3"/>
  <c r="M892" i="3"/>
  <c r="P892" i="3" s="1"/>
  <c r="L893" i="3"/>
  <c r="M893" i="3"/>
  <c r="P893" i="3" s="1"/>
  <c r="L894" i="3"/>
  <c r="M894" i="3"/>
  <c r="P894" i="3" s="1"/>
  <c r="L895" i="3"/>
  <c r="M895" i="3"/>
  <c r="P895" i="3" s="1"/>
  <c r="L896" i="3"/>
  <c r="M896" i="3"/>
  <c r="P896" i="3" s="1"/>
  <c r="L897" i="3"/>
  <c r="M897" i="3"/>
  <c r="P897" i="3" s="1"/>
  <c r="L898" i="3"/>
  <c r="M898" i="3"/>
  <c r="P898" i="3" s="1"/>
  <c r="L899" i="3"/>
  <c r="M899" i="3"/>
  <c r="P899" i="3" s="1"/>
  <c r="L900" i="3"/>
  <c r="M900" i="3"/>
  <c r="P900" i="3" s="1"/>
  <c r="L901" i="3"/>
  <c r="M901" i="3"/>
  <c r="P901" i="3" s="1"/>
  <c r="L902" i="3"/>
  <c r="M902" i="3"/>
  <c r="P902" i="3" s="1"/>
  <c r="L903" i="3"/>
  <c r="M903" i="3"/>
  <c r="P903" i="3" s="1"/>
  <c r="L904" i="3"/>
  <c r="M904" i="3"/>
  <c r="P904" i="3" s="1"/>
  <c r="L905" i="3"/>
  <c r="M905" i="3"/>
  <c r="P905" i="3" s="1"/>
  <c r="L906" i="3"/>
  <c r="M906" i="3"/>
  <c r="P906" i="3" s="1"/>
  <c r="L907" i="3"/>
  <c r="M907" i="3"/>
  <c r="P907" i="3" s="1"/>
  <c r="L908" i="3"/>
  <c r="M908" i="3"/>
  <c r="P908" i="3" s="1"/>
  <c r="L909" i="3"/>
  <c r="M909" i="3"/>
  <c r="P909" i="3" s="1"/>
  <c r="L910" i="3"/>
  <c r="M910" i="3"/>
  <c r="P910" i="3" s="1"/>
  <c r="L911" i="3"/>
  <c r="M911" i="3"/>
  <c r="P911" i="3" s="1"/>
  <c r="L912" i="3"/>
  <c r="M912" i="3"/>
  <c r="P912" i="3" s="1"/>
  <c r="L913" i="3"/>
  <c r="M913" i="3"/>
  <c r="P913" i="3" s="1"/>
  <c r="L914" i="3"/>
  <c r="M914" i="3"/>
  <c r="P914" i="3" s="1"/>
  <c r="L915" i="3"/>
  <c r="M915" i="3"/>
  <c r="P915" i="3" s="1"/>
  <c r="L916" i="3"/>
  <c r="M916" i="3"/>
  <c r="P916" i="3"/>
  <c r="L917" i="3"/>
  <c r="M917" i="3"/>
  <c r="P917" i="3" s="1"/>
  <c r="L918" i="3"/>
  <c r="M918" i="3"/>
  <c r="P918" i="3" s="1"/>
  <c r="L919" i="3"/>
  <c r="M919" i="3"/>
  <c r="P919" i="3"/>
  <c r="L920" i="3"/>
  <c r="M920" i="3"/>
  <c r="P920" i="3" s="1"/>
  <c r="L921" i="3"/>
  <c r="M921" i="3"/>
  <c r="P921" i="3" s="1"/>
  <c r="L922" i="3"/>
  <c r="M922" i="3"/>
  <c r="P922" i="3" s="1"/>
  <c r="L923" i="3"/>
  <c r="M923" i="3"/>
  <c r="P923" i="3" s="1"/>
  <c r="L924" i="3"/>
  <c r="M924" i="3"/>
  <c r="P924" i="3" s="1"/>
  <c r="L925" i="3"/>
  <c r="M925" i="3"/>
  <c r="P925" i="3" s="1"/>
  <c r="L926" i="3"/>
  <c r="M926" i="3"/>
  <c r="P926" i="3" s="1"/>
  <c r="L927" i="3"/>
  <c r="M927" i="3"/>
  <c r="P927" i="3" s="1"/>
  <c r="L928" i="3"/>
  <c r="M928" i="3"/>
  <c r="P928" i="3" s="1"/>
  <c r="L929" i="3"/>
  <c r="M929" i="3"/>
  <c r="P929" i="3" s="1"/>
  <c r="L930" i="3"/>
  <c r="M930" i="3"/>
  <c r="P930" i="3" s="1"/>
  <c r="L931" i="3"/>
  <c r="M931" i="3"/>
  <c r="P931" i="3" s="1"/>
  <c r="L932" i="3"/>
  <c r="M932" i="3"/>
  <c r="P932" i="3" s="1"/>
  <c r="L933" i="3"/>
  <c r="M933" i="3"/>
  <c r="P933" i="3"/>
  <c r="L934" i="3"/>
  <c r="M934" i="3"/>
  <c r="P934" i="3" s="1"/>
  <c r="L935" i="3"/>
  <c r="M935" i="3"/>
  <c r="P935" i="3" s="1"/>
  <c r="L936" i="3"/>
  <c r="M936" i="3"/>
  <c r="P936" i="3" s="1"/>
  <c r="L937" i="3"/>
  <c r="M937" i="3"/>
  <c r="P937" i="3" s="1"/>
  <c r="L938" i="3"/>
  <c r="M938" i="3"/>
  <c r="P938" i="3" s="1"/>
  <c r="L939" i="3"/>
  <c r="M939" i="3"/>
  <c r="P939" i="3"/>
  <c r="L940" i="3"/>
  <c r="M940" i="3"/>
  <c r="P940" i="3" s="1"/>
  <c r="L941" i="3"/>
  <c r="M941" i="3"/>
  <c r="P941" i="3" s="1"/>
  <c r="L942" i="3"/>
  <c r="M942" i="3"/>
  <c r="P942" i="3" s="1"/>
  <c r="L943" i="3"/>
  <c r="M943" i="3"/>
  <c r="P943" i="3" s="1"/>
  <c r="L944" i="3"/>
  <c r="M944" i="3"/>
  <c r="P944" i="3"/>
  <c r="L945" i="3"/>
  <c r="M945" i="3"/>
  <c r="P945" i="3" s="1"/>
  <c r="L946" i="3"/>
  <c r="M946" i="3"/>
  <c r="P946" i="3" s="1"/>
  <c r="L947" i="3"/>
  <c r="M947" i="3"/>
  <c r="P947" i="3" s="1"/>
  <c r="L948" i="3"/>
  <c r="M948" i="3"/>
  <c r="P948" i="3"/>
  <c r="L949" i="3"/>
  <c r="M949" i="3"/>
  <c r="P949" i="3" s="1"/>
  <c r="L950" i="3"/>
  <c r="M950" i="3"/>
  <c r="P950" i="3" s="1"/>
  <c r="L951" i="3"/>
  <c r="M951" i="3"/>
  <c r="P951" i="3" s="1"/>
  <c r="L952" i="3"/>
  <c r="M952" i="3"/>
  <c r="P952" i="3" s="1"/>
  <c r="L953" i="3"/>
  <c r="M953" i="3"/>
  <c r="P953" i="3" s="1"/>
  <c r="L954" i="3"/>
  <c r="M954" i="3"/>
  <c r="P954" i="3" s="1"/>
  <c r="L955" i="3"/>
  <c r="M955" i="3"/>
  <c r="P955" i="3" s="1"/>
  <c r="L956" i="3"/>
  <c r="M956" i="3"/>
  <c r="P956" i="3" s="1"/>
  <c r="L957" i="3"/>
  <c r="M957" i="3"/>
  <c r="P957" i="3" s="1"/>
  <c r="L958" i="3"/>
  <c r="M958" i="3"/>
  <c r="P958" i="3" s="1"/>
  <c r="L959" i="3"/>
  <c r="M959" i="3"/>
  <c r="P959" i="3" s="1"/>
  <c r="L960" i="3"/>
  <c r="M960" i="3"/>
  <c r="P960" i="3" s="1"/>
  <c r="L961" i="3"/>
  <c r="M961" i="3"/>
  <c r="P961" i="3" s="1"/>
  <c r="L962" i="3"/>
  <c r="M962" i="3"/>
  <c r="P962" i="3" s="1"/>
  <c r="L963" i="3"/>
  <c r="M963" i="3"/>
  <c r="P963" i="3" s="1"/>
  <c r="L964" i="3"/>
  <c r="M964" i="3"/>
  <c r="P964" i="3" s="1"/>
  <c r="L965" i="3"/>
  <c r="M965" i="3"/>
  <c r="P965" i="3" s="1"/>
  <c r="L966" i="3"/>
  <c r="M966" i="3"/>
  <c r="P966" i="3" s="1"/>
  <c r="L967" i="3"/>
  <c r="M967" i="3"/>
  <c r="P967" i="3" s="1"/>
  <c r="L968" i="3"/>
  <c r="M968" i="3"/>
  <c r="P968" i="3" s="1"/>
  <c r="L969" i="3"/>
  <c r="M969" i="3"/>
  <c r="P969" i="3" s="1"/>
  <c r="L970" i="3"/>
  <c r="M970" i="3"/>
  <c r="P970" i="3" s="1"/>
  <c r="L971" i="3"/>
  <c r="M971" i="3"/>
  <c r="P971" i="3"/>
  <c r="L972" i="3"/>
  <c r="M972" i="3"/>
  <c r="P972" i="3" s="1"/>
  <c r="L973" i="3"/>
  <c r="M973" i="3"/>
  <c r="P973" i="3" s="1"/>
  <c r="L974" i="3"/>
  <c r="M974" i="3"/>
  <c r="P974" i="3" s="1"/>
  <c r="L975" i="3"/>
  <c r="M975" i="3"/>
  <c r="P975" i="3" s="1"/>
  <c r="L976" i="3"/>
  <c r="M976" i="3"/>
  <c r="P976" i="3"/>
  <c r="L977" i="3"/>
  <c r="M977" i="3"/>
  <c r="P977" i="3" s="1"/>
  <c r="L978" i="3"/>
  <c r="M978" i="3"/>
  <c r="P978" i="3" s="1"/>
  <c r="L979" i="3"/>
  <c r="M979" i="3"/>
  <c r="P979" i="3" s="1"/>
  <c r="L980" i="3"/>
  <c r="M980" i="3"/>
  <c r="P980" i="3" s="1"/>
  <c r="L981" i="3"/>
  <c r="M981" i="3"/>
  <c r="P981" i="3" s="1"/>
  <c r="L982" i="3"/>
  <c r="M982" i="3"/>
  <c r="P982" i="3" s="1"/>
  <c r="L983" i="3"/>
  <c r="M983" i="3"/>
  <c r="P983" i="3"/>
  <c r="L984" i="3"/>
  <c r="M984" i="3"/>
  <c r="P984" i="3" s="1"/>
  <c r="L985" i="3"/>
  <c r="M985" i="3"/>
  <c r="P985" i="3" s="1"/>
  <c r="L986" i="3"/>
  <c r="M986" i="3"/>
  <c r="P986" i="3" s="1"/>
  <c r="L987" i="3"/>
  <c r="M987" i="3"/>
  <c r="P987" i="3" s="1"/>
  <c r="L988" i="3"/>
  <c r="M988" i="3"/>
  <c r="P988" i="3" s="1"/>
  <c r="L989" i="3"/>
  <c r="M989" i="3"/>
  <c r="P989" i="3" s="1"/>
  <c r="L990" i="3"/>
  <c r="M990" i="3"/>
  <c r="P990" i="3" s="1"/>
  <c r="L991" i="3"/>
  <c r="M991" i="3"/>
  <c r="P991" i="3" s="1"/>
  <c r="L992" i="3"/>
  <c r="M992" i="3"/>
  <c r="P992" i="3" s="1"/>
  <c r="L993" i="3"/>
  <c r="M993" i="3"/>
  <c r="P993" i="3" s="1"/>
  <c r="L994" i="3"/>
  <c r="M994" i="3"/>
  <c r="P994" i="3" s="1"/>
  <c r="L995" i="3"/>
  <c r="M995" i="3"/>
  <c r="P995" i="3" s="1"/>
  <c r="L996" i="3"/>
  <c r="M996" i="3"/>
  <c r="P996" i="3" s="1"/>
  <c r="L997" i="3"/>
  <c r="M997" i="3"/>
  <c r="P997" i="3" s="1"/>
  <c r="L998" i="3"/>
  <c r="M998" i="3"/>
  <c r="P998" i="3" s="1"/>
  <c r="L999" i="3"/>
  <c r="M999" i="3"/>
  <c r="P999" i="3" s="1"/>
  <c r="L1000" i="3"/>
  <c r="M1000" i="3"/>
  <c r="P1000" i="3" s="1"/>
  <c r="L1001" i="3"/>
  <c r="M1001" i="3"/>
  <c r="P1001" i="3" s="1"/>
  <c r="L1002" i="3"/>
  <c r="M1002" i="3"/>
  <c r="P1002" i="3" s="1"/>
  <c r="L1003" i="3"/>
  <c r="M1003" i="3"/>
  <c r="P1003" i="3" s="1"/>
  <c r="L1004" i="3"/>
  <c r="M1004" i="3"/>
  <c r="P1004" i="3" s="1"/>
  <c r="M42" i="3"/>
  <c r="P42" i="3" s="1"/>
  <c r="G3" i="3"/>
  <c r="D38" i="3" s="1"/>
  <c r="D42" i="3"/>
  <c r="B28" i="3"/>
  <c r="D28" i="3" s="1"/>
  <c r="B29" i="3"/>
  <c r="B30" i="3"/>
  <c r="B31" i="3"/>
  <c r="B32" i="3"/>
  <c r="B33" i="3"/>
  <c r="B27" i="3"/>
  <c r="A33" i="3"/>
  <c r="A28" i="3"/>
  <c r="A29" i="3"/>
  <c r="A30" i="3"/>
  <c r="A31" i="3"/>
  <c r="A32" i="3"/>
  <c r="A27" i="3"/>
  <c r="C22" i="3"/>
  <c r="C19" i="3"/>
  <c r="B19" i="3"/>
  <c r="C20" i="3"/>
  <c r="B20" i="3"/>
  <c r="C21" i="3"/>
  <c r="B21" i="3"/>
  <c r="B22" i="3"/>
  <c r="B10" i="3"/>
  <c r="B11" i="3"/>
  <c r="B12" i="3"/>
  <c r="B13" i="3"/>
  <c r="B14" i="3"/>
  <c r="B15" i="3"/>
  <c r="B16" i="3"/>
  <c r="B17" i="3"/>
  <c r="B18" i="3"/>
  <c r="C11" i="3"/>
  <c r="C12" i="3"/>
  <c r="C13" i="3"/>
  <c r="C14" i="3"/>
  <c r="C15" i="3"/>
  <c r="C16" i="3"/>
  <c r="C17" i="3"/>
  <c r="C18" i="3"/>
  <c r="C10" i="3"/>
  <c r="L96" i="3"/>
  <c r="M96" i="3"/>
  <c r="P96" i="3" s="1"/>
  <c r="L97" i="3"/>
  <c r="M97" i="3"/>
  <c r="P97" i="3" s="1"/>
  <c r="L98" i="3"/>
  <c r="M98" i="3"/>
  <c r="P98" i="3" s="1"/>
  <c r="L99" i="3"/>
  <c r="M99" i="3"/>
  <c r="P99" i="3" s="1"/>
  <c r="L100" i="3"/>
  <c r="M100" i="3"/>
  <c r="P100" i="3" s="1"/>
  <c r="L101" i="3"/>
  <c r="M101" i="3"/>
  <c r="P101" i="3" s="1"/>
  <c r="L102" i="3"/>
  <c r="M102" i="3"/>
  <c r="P102" i="3" s="1"/>
  <c r="L103" i="3"/>
  <c r="M103" i="3"/>
  <c r="P103" i="3" s="1"/>
  <c r="L104" i="3"/>
  <c r="M104" i="3"/>
  <c r="P104" i="3" s="1"/>
  <c r="L79" i="3"/>
  <c r="M79" i="3"/>
  <c r="P79" i="3" s="1"/>
  <c r="L80" i="3"/>
  <c r="M80" i="3"/>
  <c r="P80" i="3" s="1"/>
  <c r="L81" i="3"/>
  <c r="M81" i="3"/>
  <c r="P81" i="3" s="1"/>
  <c r="L82" i="3"/>
  <c r="M82" i="3"/>
  <c r="P82" i="3" s="1"/>
  <c r="L83" i="3"/>
  <c r="M83" i="3"/>
  <c r="P83" i="3" s="1"/>
  <c r="L84" i="3"/>
  <c r="M84" i="3"/>
  <c r="P84" i="3" s="1"/>
  <c r="L85" i="3"/>
  <c r="M85" i="3"/>
  <c r="P85" i="3" s="1"/>
  <c r="L86" i="3"/>
  <c r="M86" i="3"/>
  <c r="P86" i="3" s="1"/>
  <c r="L87" i="3"/>
  <c r="M87" i="3"/>
  <c r="P87" i="3" s="1"/>
  <c r="L88" i="3"/>
  <c r="M88" i="3"/>
  <c r="P88" i="3" s="1"/>
  <c r="L89" i="3"/>
  <c r="M89" i="3"/>
  <c r="P89" i="3" s="1"/>
  <c r="L90" i="3"/>
  <c r="M90" i="3"/>
  <c r="P90" i="3" s="1"/>
  <c r="L91" i="3"/>
  <c r="M91" i="3"/>
  <c r="P91" i="3" s="1"/>
  <c r="L92" i="3"/>
  <c r="M92" i="3"/>
  <c r="P92" i="3" s="1"/>
  <c r="L93" i="3"/>
  <c r="M93" i="3"/>
  <c r="P93" i="3" s="1"/>
  <c r="L94" i="3"/>
  <c r="M94" i="3"/>
  <c r="P94" i="3" s="1"/>
  <c r="L95" i="3"/>
  <c r="M95" i="3"/>
  <c r="P95" i="3" s="1"/>
  <c r="L5" i="3"/>
  <c r="M5" i="3"/>
  <c r="P5" i="3" s="1"/>
  <c r="L6" i="3"/>
  <c r="M6" i="3"/>
  <c r="P6" i="3" s="1"/>
  <c r="L7" i="3"/>
  <c r="M7" i="3"/>
  <c r="P7" i="3" s="1"/>
  <c r="L9" i="3"/>
  <c r="M9" i="3"/>
  <c r="P9" i="3" s="1"/>
  <c r="L10" i="3"/>
  <c r="M10" i="3"/>
  <c r="P10" i="3" s="1"/>
  <c r="L11" i="3"/>
  <c r="M11" i="3"/>
  <c r="P11" i="3" s="1"/>
  <c r="L12" i="3"/>
  <c r="M12" i="3"/>
  <c r="P12" i="3" s="1"/>
  <c r="L13" i="3"/>
  <c r="M13" i="3"/>
  <c r="P13" i="3" s="1"/>
  <c r="L14" i="3"/>
  <c r="M14" i="3"/>
  <c r="P14" i="3" s="1"/>
  <c r="L15" i="3"/>
  <c r="M15" i="3"/>
  <c r="P15" i="3" s="1"/>
  <c r="L16" i="3"/>
  <c r="M16" i="3"/>
  <c r="P16" i="3" s="1"/>
  <c r="L17" i="3"/>
  <c r="M17" i="3"/>
  <c r="P17" i="3" s="1"/>
  <c r="L18" i="3"/>
  <c r="M18" i="3"/>
  <c r="P18" i="3" s="1"/>
  <c r="L19" i="3"/>
  <c r="M19" i="3"/>
  <c r="P19" i="3" s="1"/>
  <c r="L20" i="3"/>
  <c r="M20" i="3"/>
  <c r="P20" i="3" s="1"/>
  <c r="L21" i="3"/>
  <c r="M21" i="3"/>
  <c r="P21" i="3" s="1"/>
  <c r="L22" i="3"/>
  <c r="M22" i="3"/>
  <c r="P22" i="3" s="1"/>
  <c r="L23" i="3"/>
  <c r="M23" i="3"/>
  <c r="P23" i="3" s="1"/>
  <c r="L24" i="3"/>
  <c r="M24" i="3"/>
  <c r="P24" i="3" s="1"/>
  <c r="L25" i="3"/>
  <c r="M25" i="3"/>
  <c r="P25" i="3" s="1"/>
  <c r="L26" i="3"/>
  <c r="M26" i="3"/>
  <c r="P26" i="3" s="1"/>
  <c r="L27" i="3"/>
  <c r="M27" i="3"/>
  <c r="P27" i="3" s="1"/>
  <c r="L28" i="3"/>
  <c r="M28" i="3"/>
  <c r="P28" i="3" s="1"/>
  <c r="L29" i="3"/>
  <c r="M29" i="3"/>
  <c r="P29" i="3" s="1"/>
  <c r="L30" i="3"/>
  <c r="M30" i="3"/>
  <c r="P30" i="3" s="1"/>
  <c r="L31" i="3"/>
  <c r="M31" i="3"/>
  <c r="P31" i="3" s="1"/>
  <c r="L32" i="3"/>
  <c r="M32" i="3"/>
  <c r="P32" i="3" s="1"/>
  <c r="L33" i="3"/>
  <c r="M33" i="3"/>
  <c r="P33" i="3" s="1"/>
  <c r="L34" i="3"/>
  <c r="M34" i="3"/>
  <c r="P34" i="3" s="1"/>
  <c r="L35" i="3"/>
  <c r="M35" i="3"/>
  <c r="P35" i="3" s="1"/>
  <c r="L36" i="3"/>
  <c r="M36" i="3"/>
  <c r="P36" i="3" s="1"/>
  <c r="L37" i="3"/>
  <c r="M37" i="3"/>
  <c r="P37" i="3" s="1"/>
  <c r="L38" i="3"/>
  <c r="M38" i="3"/>
  <c r="P38" i="3" s="1"/>
  <c r="L39" i="3"/>
  <c r="M39" i="3"/>
  <c r="P39" i="3" s="1"/>
  <c r="L40" i="3"/>
  <c r="M40" i="3"/>
  <c r="P40" i="3" s="1"/>
  <c r="L41" i="3"/>
  <c r="M41" i="3"/>
  <c r="P41" i="3" s="1"/>
  <c r="L42" i="3"/>
  <c r="L43" i="3"/>
  <c r="M43" i="3"/>
  <c r="P43" i="3" s="1"/>
  <c r="L44" i="3"/>
  <c r="M44" i="3"/>
  <c r="P44" i="3" s="1"/>
  <c r="L45" i="3"/>
  <c r="M45" i="3"/>
  <c r="P45" i="3" s="1"/>
  <c r="L46" i="3"/>
  <c r="M46" i="3"/>
  <c r="P46" i="3" s="1"/>
  <c r="L47" i="3"/>
  <c r="M47" i="3"/>
  <c r="P47" i="3" s="1"/>
  <c r="L48" i="3"/>
  <c r="M48" i="3"/>
  <c r="P48" i="3" s="1"/>
  <c r="L49" i="3"/>
  <c r="M49" i="3"/>
  <c r="P49" i="3" s="1"/>
  <c r="L50" i="3"/>
  <c r="M50" i="3"/>
  <c r="P50" i="3" s="1"/>
  <c r="L51" i="3"/>
  <c r="M51" i="3"/>
  <c r="P51" i="3" s="1"/>
  <c r="L52" i="3"/>
  <c r="M52" i="3"/>
  <c r="P52" i="3" s="1"/>
  <c r="L53" i="3"/>
  <c r="M53" i="3"/>
  <c r="P53" i="3" s="1"/>
  <c r="L54" i="3"/>
  <c r="M54" i="3"/>
  <c r="P54" i="3" s="1"/>
  <c r="L55" i="3"/>
  <c r="M55" i="3"/>
  <c r="P55" i="3" s="1"/>
  <c r="L56" i="3"/>
  <c r="M56" i="3"/>
  <c r="P56" i="3" s="1"/>
  <c r="L57" i="3"/>
  <c r="M57" i="3"/>
  <c r="P57" i="3" s="1"/>
  <c r="L58" i="3"/>
  <c r="M58" i="3"/>
  <c r="P58" i="3" s="1"/>
  <c r="L59" i="3"/>
  <c r="M59" i="3"/>
  <c r="P59" i="3" s="1"/>
  <c r="L60" i="3"/>
  <c r="M60" i="3"/>
  <c r="P60" i="3" s="1"/>
  <c r="L61" i="3"/>
  <c r="M61" i="3"/>
  <c r="P61" i="3" s="1"/>
  <c r="L62" i="3"/>
  <c r="M62" i="3"/>
  <c r="P62" i="3" s="1"/>
  <c r="L63" i="3"/>
  <c r="M63" i="3"/>
  <c r="P63" i="3" s="1"/>
  <c r="L64" i="3"/>
  <c r="M64" i="3"/>
  <c r="P64" i="3" s="1"/>
  <c r="L65" i="3"/>
  <c r="M65" i="3"/>
  <c r="P65" i="3" s="1"/>
  <c r="L66" i="3"/>
  <c r="M66" i="3"/>
  <c r="P66" i="3" s="1"/>
  <c r="L67" i="3"/>
  <c r="M67" i="3"/>
  <c r="P67" i="3" s="1"/>
  <c r="L68" i="3"/>
  <c r="M68" i="3"/>
  <c r="P68" i="3" s="1"/>
  <c r="L69" i="3"/>
  <c r="M69" i="3"/>
  <c r="P69" i="3" s="1"/>
  <c r="L70" i="3"/>
  <c r="M70" i="3"/>
  <c r="P70" i="3" s="1"/>
  <c r="L71" i="3"/>
  <c r="M71" i="3"/>
  <c r="P71" i="3" s="1"/>
  <c r="L72" i="3"/>
  <c r="M72" i="3"/>
  <c r="P72" i="3" s="1"/>
  <c r="L73" i="3"/>
  <c r="M73" i="3"/>
  <c r="P73" i="3" s="1"/>
  <c r="L74" i="3"/>
  <c r="M74" i="3"/>
  <c r="P74" i="3" s="1"/>
  <c r="L75" i="3"/>
  <c r="M75" i="3"/>
  <c r="P75" i="3" s="1"/>
  <c r="L76" i="3"/>
  <c r="M76" i="3"/>
  <c r="P76" i="3" s="1"/>
  <c r="L77" i="3"/>
  <c r="M77" i="3"/>
  <c r="P77" i="3" s="1"/>
  <c r="L78" i="3"/>
  <c r="M78" i="3"/>
  <c r="P78" i="3" s="1"/>
  <c r="M4" i="3"/>
  <c r="L4" i="3"/>
  <c r="D31" i="3" l="1"/>
  <c r="C29" i="3"/>
  <c r="D29" i="3" s="1"/>
  <c r="C30" i="3"/>
  <c r="D30" i="3" s="1"/>
  <c r="C32" i="3"/>
  <c r="D32" i="3" s="1"/>
  <c r="C33" i="3"/>
  <c r="D33" i="3" s="1"/>
  <c r="G20" i="3" a="1"/>
  <c r="G20" i="3" s="1"/>
  <c r="G21" i="3" s="1"/>
  <c r="D39" i="3" s="1"/>
  <c r="E12" i="1"/>
  <c r="D35" i="3" l="1"/>
  <c r="G34" i="3" s="1"/>
  <c r="D40" i="3" s="1"/>
  <c r="D41" i="3" s="1"/>
  <c r="I39" i="3" l="1"/>
  <c r="I38" i="3"/>
  <c r="C34" i="2" s="1"/>
  <c r="A42" i="3"/>
  <c r="I1" i="2" s="1"/>
  <c r="G13" i="1" l="1"/>
  <c r="J34" i="2"/>
  <c r="F12" i="1" s="1"/>
  <c r="G12" i="1"/>
  <c r="O20" i="6" l="1"/>
  <c r="O32" i="6"/>
  <c r="O44" i="6"/>
  <c r="O56" i="6"/>
  <c r="O68" i="6"/>
  <c r="O80" i="6"/>
  <c r="O92" i="6"/>
  <c r="O104" i="6"/>
  <c r="O116" i="6"/>
  <c r="O128" i="6"/>
  <c r="O140" i="6"/>
  <c r="O152" i="6"/>
  <c r="O164" i="6"/>
  <c r="O176" i="6"/>
  <c r="O188" i="6"/>
  <c r="O200" i="6"/>
  <c r="O212" i="6"/>
  <c r="O224" i="6"/>
  <c r="O236" i="6"/>
  <c r="O248" i="6"/>
  <c r="O260" i="6"/>
  <c r="O272" i="6"/>
  <c r="O284" i="6"/>
  <c r="O296" i="6"/>
  <c r="O308" i="6"/>
  <c r="O320" i="6"/>
  <c r="O332" i="6"/>
  <c r="O344" i="6"/>
  <c r="O356" i="6"/>
  <c r="O368" i="6"/>
  <c r="O380" i="6"/>
  <c r="O392" i="6"/>
  <c r="O404" i="6"/>
  <c r="O416" i="6"/>
  <c r="O428" i="6"/>
  <c r="O440" i="6"/>
  <c r="O452" i="6"/>
  <c r="O464" i="6"/>
  <c r="O476" i="6"/>
  <c r="O488" i="6"/>
  <c r="O500" i="6"/>
  <c r="O512" i="6"/>
  <c r="O524" i="6"/>
  <c r="O536" i="6"/>
  <c r="O548" i="6"/>
  <c r="O560" i="6"/>
  <c r="O572" i="6"/>
  <c r="O584" i="6"/>
  <c r="O596" i="6"/>
  <c r="O608" i="6"/>
  <c r="O620" i="6"/>
  <c r="O632" i="6"/>
  <c r="O644" i="6"/>
  <c r="O656" i="6"/>
  <c r="O668" i="6"/>
  <c r="O680" i="6"/>
  <c r="O692" i="6"/>
  <c r="O704" i="6"/>
  <c r="O716" i="6"/>
  <c r="O728" i="6"/>
  <c r="O740" i="6"/>
  <c r="O752" i="6"/>
  <c r="O764" i="6"/>
  <c r="O776" i="6"/>
  <c r="O788" i="6"/>
  <c r="O800" i="6"/>
  <c r="O812" i="6"/>
  <c r="O824" i="6"/>
  <c r="O836" i="6"/>
  <c r="O848" i="6"/>
  <c r="O860" i="6"/>
  <c r="O872" i="6"/>
  <c r="O884" i="6"/>
  <c r="O896" i="6"/>
  <c r="O908" i="6"/>
  <c r="O920" i="6"/>
  <c r="O932" i="6"/>
  <c r="O944" i="6"/>
  <c r="O956" i="6"/>
  <c r="O968" i="6"/>
  <c r="O980" i="6"/>
  <c r="O992" i="6"/>
  <c r="O1004" i="6"/>
  <c r="O10" i="6"/>
  <c r="O22" i="6"/>
  <c r="O34" i="6"/>
  <c r="O46" i="6"/>
  <c r="O58" i="6"/>
  <c r="O70" i="6"/>
  <c r="O82" i="6"/>
  <c r="O94" i="6"/>
  <c r="O106" i="6"/>
  <c r="O118" i="6"/>
  <c r="O130" i="6"/>
  <c r="O142" i="6"/>
  <c r="O154" i="6"/>
  <c r="O166" i="6"/>
  <c r="O178" i="6"/>
  <c r="O190" i="6"/>
  <c r="O202" i="6"/>
  <c r="O214" i="6"/>
  <c r="O226" i="6"/>
  <c r="O238" i="6"/>
  <c r="O250" i="6"/>
  <c r="O262" i="6"/>
  <c r="O274" i="6"/>
  <c r="O286" i="6"/>
  <c r="O298" i="6"/>
  <c r="O310" i="6"/>
  <c r="O322" i="6"/>
  <c r="O334" i="6"/>
  <c r="O346" i="6"/>
  <c r="O358" i="6"/>
  <c r="O370" i="6"/>
  <c r="O382" i="6"/>
  <c r="O394" i="6"/>
  <c r="O406" i="6"/>
  <c r="O418" i="6"/>
  <c r="O430" i="6"/>
  <c r="O442" i="6"/>
  <c r="O454" i="6"/>
  <c r="O466" i="6"/>
  <c r="O478" i="6"/>
  <c r="O490" i="6"/>
  <c r="O502" i="6"/>
  <c r="O514" i="6"/>
  <c r="O526" i="6"/>
  <c r="O538" i="6"/>
  <c r="O550" i="6"/>
  <c r="O562" i="6"/>
  <c r="O574" i="6"/>
  <c r="O586" i="6"/>
  <c r="O598" i="6"/>
  <c r="O610" i="6"/>
  <c r="O622" i="6"/>
  <c r="O634" i="6"/>
  <c r="O646" i="6"/>
  <c r="O658" i="6"/>
  <c r="O670" i="6"/>
  <c r="O682" i="6"/>
  <c r="O694" i="6"/>
  <c r="O706" i="6"/>
  <c r="O718" i="6"/>
  <c r="O730" i="6"/>
  <c r="O742" i="6"/>
  <c r="O754" i="6"/>
  <c r="O766" i="6"/>
  <c r="O778" i="6"/>
  <c r="O790" i="6"/>
  <c r="O802" i="6"/>
  <c r="O814" i="6"/>
  <c r="O826" i="6"/>
  <c r="O838" i="6"/>
  <c r="O850" i="6"/>
  <c r="O862" i="6"/>
  <c r="O874" i="6"/>
  <c r="O886" i="6"/>
  <c r="O898" i="6"/>
  <c r="O910" i="6"/>
  <c r="O922" i="6"/>
  <c r="O934" i="6"/>
  <c r="O946" i="6"/>
  <c r="O958" i="6"/>
  <c r="O970" i="6"/>
  <c r="O982" i="6"/>
  <c r="O994" i="6"/>
  <c r="O1006" i="6"/>
  <c r="O23" i="6"/>
  <c r="O37" i="6"/>
  <c r="O51" i="6"/>
  <c r="O65" i="6"/>
  <c r="O79" i="6"/>
  <c r="O95" i="6"/>
  <c r="O109" i="6"/>
  <c r="O123" i="6"/>
  <c r="O137" i="6"/>
  <c r="O151" i="6"/>
  <c r="O167" i="6"/>
  <c r="O181" i="6"/>
  <c r="O195" i="6"/>
  <c r="O209" i="6"/>
  <c r="O223" i="6"/>
  <c r="O239" i="6"/>
  <c r="O253" i="6"/>
  <c r="O267" i="6"/>
  <c r="O281" i="6"/>
  <c r="O295" i="6"/>
  <c r="O311" i="6"/>
  <c r="O325" i="6"/>
  <c r="O339" i="6"/>
  <c r="O353" i="6"/>
  <c r="O367" i="6"/>
  <c r="O383" i="6"/>
  <c r="O397" i="6"/>
  <c r="O411" i="6"/>
  <c r="O425" i="6"/>
  <c r="O439" i="6"/>
  <c r="O455" i="6"/>
  <c r="O469" i="6"/>
  <c r="O483" i="6"/>
  <c r="O497" i="6"/>
  <c r="O511" i="6"/>
  <c r="O527" i="6"/>
  <c r="O541" i="6"/>
  <c r="O555" i="6"/>
  <c r="O569" i="6"/>
  <c r="O583" i="6"/>
  <c r="O599" i="6"/>
  <c r="O613" i="6"/>
  <c r="O627" i="6"/>
  <c r="O641" i="6"/>
  <c r="O655" i="6"/>
  <c r="O671" i="6"/>
  <c r="O685" i="6"/>
  <c r="O699" i="6"/>
  <c r="O713" i="6"/>
  <c r="O727" i="6"/>
  <c r="O743" i="6"/>
  <c r="O757" i="6"/>
  <c r="O771" i="6"/>
  <c r="O785" i="6"/>
  <c r="O799" i="6"/>
  <c r="O815" i="6"/>
  <c r="O829" i="6"/>
  <c r="O843" i="6"/>
  <c r="O857" i="6"/>
  <c r="O871" i="6"/>
  <c r="O887" i="6"/>
  <c r="O901" i="6"/>
  <c r="O915" i="6"/>
  <c r="O929" i="6"/>
  <c r="O943" i="6"/>
  <c r="O959" i="6"/>
  <c r="O973" i="6"/>
  <c r="O987" i="6"/>
  <c r="O1001" i="6"/>
  <c r="O25" i="6"/>
  <c r="O139" i="6"/>
  <c r="O169" i="6"/>
  <c r="O211" i="6"/>
  <c r="O241" i="6"/>
  <c r="O255" i="6"/>
  <c r="O283" i="6"/>
  <c r="O299" i="6"/>
  <c r="O327" i="6"/>
  <c r="O371" i="6"/>
  <c r="O24" i="6"/>
  <c r="O38" i="6"/>
  <c r="O52" i="6"/>
  <c r="O66" i="6"/>
  <c r="O81" i="6"/>
  <c r="O96" i="6"/>
  <c r="O110" i="6"/>
  <c r="O124" i="6"/>
  <c r="O138" i="6"/>
  <c r="O153" i="6"/>
  <c r="O168" i="6"/>
  <c r="O182" i="6"/>
  <c r="O196" i="6"/>
  <c r="O210" i="6"/>
  <c r="O225" i="6"/>
  <c r="O240" i="6"/>
  <c r="O254" i="6"/>
  <c r="O268" i="6"/>
  <c r="O282" i="6"/>
  <c r="O297" i="6"/>
  <c r="O312" i="6"/>
  <c r="O326" i="6"/>
  <c r="O340" i="6"/>
  <c r="O354" i="6"/>
  <c r="O369" i="6"/>
  <c r="O384" i="6"/>
  <c r="O398" i="6"/>
  <c r="O412" i="6"/>
  <c r="O426" i="6"/>
  <c r="O441" i="6"/>
  <c r="O456" i="6"/>
  <c r="O470" i="6"/>
  <c r="O484" i="6"/>
  <c r="O498" i="6"/>
  <c r="O513" i="6"/>
  <c r="O528" i="6"/>
  <c r="O542" i="6"/>
  <c r="O556" i="6"/>
  <c r="O570" i="6"/>
  <c r="O585" i="6"/>
  <c r="O600" i="6"/>
  <c r="O614" i="6"/>
  <c r="O628" i="6"/>
  <c r="O642" i="6"/>
  <c r="O657" i="6"/>
  <c r="O672" i="6"/>
  <c r="O686" i="6"/>
  <c r="O700" i="6"/>
  <c r="O714" i="6"/>
  <c r="O729" i="6"/>
  <c r="O744" i="6"/>
  <c r="O758" i="6"/>
  <c r="O772" i="6"/>
  <c r="O786" i="6"/>
  <c r="O801" i="6"/>
  <c r="O816" i="6"/>
  <c r="O830" i="6"/>
  <c r="O844" i="6"/>
  <c r="O858" i="6"/>
  <c r="O873" i="6"/>
  <c r="O888" i="6"/>
  <c r="O902" i="6"/>
  <c r="O916" i="6"/>
  <c r="O930" i="6"/>
  <c r="O945" i="6"/>
  <c r="O960" i="6"/>
  <c r="O974" i="6"/>
  <c r="O988" i="6"/>
  <c r="O1002" i="6"/>
  <c r="O11" i="6"/>
  <c r="O39" i="6"/>
  <c r="O53" i="6"/>
  <c r="O67" i="6"/>
  <c r="O83" i="6"/>
  <c r="O97" i="6"/>
  <c r="O111" i="6"/>
  <c r="O125" i="6"/>
  <c r="O155" i="6"/>
  <c r="O183" i="6"/>
  <c r="O197" i="6"/>
  <c r="O227" i="6"/>
  <c r="O269" i="6"/>
  <c r="O313" i="6"/>
  <c r="O341" i="6"/>
  <c r="O355" i="6"/>
  <c r="O27" i="6"/>
  <c r="O45" i="6"/>
  <c r="O63" i="6"/>
  <c r="O85" i="6"/>
  <c r="O102" i="6"/>
  <c r="O121" i="6"/>
  <c r="O143" i="6"/>
  <c r="O160" i="6"/>
  <c r="O179" i="6"/>
  <c r="O199" i="6"/>
  <c r="O218" i="6"/>
  <c r="O235" i="6"/>
  <c r="O257" i="6"/>
  <c r="O276" i="6"/>
  <c r="O293" i="6"/>
  <c r="O315" i="6"/>
  <c r="O333" i="6"/>
  <c r="O351" i="6"/>
  <c r="O373" i="6"/>
  <c r="O389" i="6"/>
  <c r="O407" i="6"/>
  <c r="O423" i="6"/>
  <c r="O443" i="6"/>
  <c r="O459" i="6"/>
  <c r="O475" i="6"/>
  <c r="O493" i="6"/>
  <c r="O509" i="6"/>
  <c r="O529" i="6"/>
  <c r="O545" i="6"/>
  <c r="O563" i="6"/>
  <c r="O579" i="6"/>
  <c r="O595" i="6"/>
  <c r="O615" i="6"/>
  <c r="O631" i="6"/>
  <c r="O649" i="6"/>
  <c r="O665" i="6"/>
  <c r="O683" i="6"/>
  <c r="O701" i="6"/>
  <c r="O719" i="6"/>
  <c r="O735" i="6"/>
  <c r="O751" i="6"/>
  <c r="O769" i="6"/>
  <c r="O787" i="6"/>
  <c r="O805" i="6"/>
  <c r="O821" i="6"/>
  <c r="O839" i="6"/>
  <c r="O855" i="6"/>
  <c r="O875" i="6"/>
  <c r="O891" i="6"/>
  <c r="O907" i="6"/>
  <c r="O925" i="6"/>
  <c r="O941" i="6"/>
  <c r="O961" i="6"/>
  <c r="O977" i="6"/>
  <c r="O995" i="6"/>
  <c r="O29" i="6"/>
  <c r="O220" i="6"/>
  <c r="O278" i="6"/>
  <c r="O317" i="6"/>
  <c r="O375" i="6"/>
  <c r="O409" i="6"/>
  <c r="O445" i="6"/>
  <c r="O495" i="6"/>
  <c r="O531" i="6"/>
  <c r="O565" i="6"/>
  <c r="O617" i="6"/>
  <c r="O635" i="6"/>
  <c r="O687" i="6"/>
  <c r="O721" i="6"/>
  <c r="O755" i="6"/>
  <c r="O791" i="6"/>
  <c r="O823" i="6"/>
  <c r="O859" i="6"/>
  <c r="O893" i="6"/>
  <c r="O927" i="6"/>
  <c r="O963" i="6"/>
  <c r="O997" i="6"/>
  <c r="O30" i="6"/>
  <c r="O49" i="6"/>
  <c r="O88" i="6"/>
  <c r="O107" i="6"/>
  <c r="O146" i="6"/>
  <c r="O204" i="6"/>
  <c r="O261" i="6"/>
  <c r="O301" i="6"/>
  <c r="O28" i="6"/>
  <c r="O47" i="6"/>
  <c r="O64" i="6"/>
  <c r="O86" i="6"/>
  <c r="O103" i="6"/>
  <c r="O122" i="6"/>
  <c r="O144" i="6"/>
  <c r="O161" i="6"/>
  <c r="O180" i="6"/>
  <c r="O201" i="6"/>
  <c r="O219" i="6"/>
  <c r="O237" i="6"/>
  <c r="O258" i="6"/>
  <c r="O277" i="6"/>
  <c r="O294" i="6"/>
  <c r="O316" i="6"/>
  <c r="O335" i="6"/>
  <c r="O352" i="6"/>
  <c r="O374" i="6"/>
  <c r="O390" i="6"/>
  <c r="O408" i="6"/>
  <c r="O424" i="6"/>
  <c r="O444" i="6"/>
  <c r="O460" i="6"/>
  <c r="O477" i="6"/>
  <c r="O494" i="6"/>
  <c r="O510" i="6"/>
  <c r="O530" i="6"/>
  <c r="O546" i="6"/>
  <c r="O564" i="6"/>
  <c r="O580" i="6"/>
  <c r="O597" i="6"/>
  <c r="O616" i="6"/>
  <c r="O633" i="6"/>
  <c r="O650" i="6"/>
  <c r="O666" i="6"/>
  <c r="O684" i="6"/>
  <c r="O702" i="6"/>
  <c r="O720" i="6"/>
  <c r="O736" i="6"/>
  <c r="O753" i="6"/>
  <c r="O770" i="6"/>
  <c r="O789" i="6"/>
  <c r="O806" i="6"/>
  <c r="O822" i="6"/>
  <c r="O840" i="6"/>
  <c r="O856" i="6"/>
  <c r="O876" i="6"/>
  <c r="O892" i="6"/>
  <c r="O909" i="6"/>
  <c r="O926" i="6"/>
  <c r="O942" i="6"/>
  <c r="O962" i="6"/>
  <c r="O978" i="6"/>
  <c r="O996" i="6"/>
  <c r="O12" i="6"/>
  <c r="O48" i="6"/>
  <c r="O69" i="6"/>
  <c r="O87" i="6"/>
  <c r="O105" i="6"/>
  <c r="O126" i="6"/>
  <c r="O145" i="6"/>
  <c r="O162" i="6"/>
  <c r="O184" i="6"/>
  <c r="O203" i="6"/>
  <c r="O242" i="6"/>
  <c r="O259" i="6"/>
  <c r="O300" i="6"/>
  <c r="O336" i="6"/>
  <c r="O357" i="6"/>
  <c r="O391" i="6"/>
  <c r="O427" i="6"/>
  <c r="O461" i="6"/>
  <c r="O479" i="6"/>
  <c r="O515" i="6"/>
  <c r="O547" i="6"/>
  <c r="O581" i="6"/>
  <c r="O601" i="6"/>
  <c r="O651" i="6"/>
  <c r="O667" i="6"/>
  <c r="O703" i="6"/>
  <c r="O737" i="6"/>
  <c r="O773" i="6"/>
  <c r="O807" i="6"/>
  <c r="O841" i="6"/>
  <c r="O877" i="6"/>
  <c r="O911" i="6"/>
  <c r="O947" i="6"/>
  <c r="O979" i="6"/>
  <c r="O13" i="6"/>
  <c r="O71" i="6"/>
  <c r="O127" i="6"/>
  <c r="O163" i="6"/>
  <c r="O185" i="6"/>
  <c r="O221" i="6"/>
  <c r="O243" i="6"/>
  <c r="O279" i="6"/>
  <c r="O318" i="6"/>
  <c r="O35" i="6"/>
  <c r="O61" i="6"/>
  <c r="O91" i="6"/>
  <c r="O119" i="6"/>
  <c r="O149" i="6"/>
  <c r="O175" i="6"/>
  <c r="O207" i="6"/>
  <c r="O233" i="6"/>
  <c r="O265" i="6"/>
  <c r="O291" i="6"/>
  <c r="O323" i="6"/>
  <c r="O348" i="6"/>
  <c r="O376" i="6"/>
  <c r="O399" i="6"/>
  <c r="O420" i="6"/>
  <c r="O446" i="6"/>
  <c r="O467" i="6"/>
  <c r="O489" i="6"/>
  <c r="O516" i="6"/>
  <c r="O535" i="6"/>
  <c r="O558" i="6"/>
  <c r="O582" i="6"/>
  <c r="O605" i="6"/>
  <c r="O626" i="6"/>
  <c r="O652" i="6"/>
  <c r="O675" i="6"/>
  <c r="O696" i="6"/>
  <c r="O722" i="6"/>
  <c r="O745" i="6"/>
  <c r="O765" i="6"/>
  <c r="O792" i="6"/>
  <c r="O811" i="6"/>
  <c r="O834" i="6"/>
  <c r="O861" i="6"/>
  <c r="O881" i="6"/>
  <c r="O904" i="6"/>
  <c r="O928" i="6"/>
  <c r="O951" i="6"/>
  <c r="O972" i="6"/>
  <c r="O998" i="6"/>
  <c r="O40" i="6"/>
  <c r="O270" i="6"/>
  <c r="O328" i="6"/>
  <c r="O378" i="6"/>
  <c r="O401" i="6"/>
  <c r="O448" i="6"/>
  <c r="O471" i="6"/>
  <c r="O518" i="6"/>
  <c r="O561" i="6"/>
  <c r="O607" i="6"/>
  <c r="O630" i="6"/>
  <c r="O677" i="6"/>
  <c r="O724" i="6"/>
  <c r="O747" i="6"/>
  <c r="O794" i="6"/>
  <c r="O837" i="6"/>
  <c r="O906" i="6"/>
  <c r="O933" i="6"/>
  <c r="O976" i="6"/>
  <c r="O15" i="6"/>
  <c r="O99" i="6"/>
  <c r="O157" i="6"/>
  <c r="O215" i="6"/>
  <c r="O271" i="6"/>
  <c r="O329" i="6"/>
  <c r="O379" i="6"/>
  <c r="O429" i="6"/>
  <c r="O472" i="6"/>
  <c r="O540" i="6"/>
  <c r="O589" i="6"/>
  <c r="O636" i="6"/>
  <c r="O678" i="6"/>
  <c r="O705" i="6"/>
  <c r="O774" i="6"/>
  <c r="O818" i="6"/>
  <c r="O865" i="6"/>
  <c r="O935" i="6"/>
  <c r="O1003" i="6"/>
  <c r="O16" i="6"/>
  <c r="O100" i="6"/>
  <c r="O132" i="6"/>
  <c r="O216" i="6"/>
  <c r="O273" i="6"/>
  <c r="O360" i="6"/>
  <c r="O403" i="6"/>
  <c r="O450" i="6"/>
  <c r="O499" i="6"/>
  <c r="O543" i="6"/>
  <c r="O567" i="6"/>
  <c r="O611" i="6"/>
  <c r="O660" i="6"/>
  <c r="O749" i="6"/>
  <c r="O796" i="6"/>
  <c r="O819" i="6"/>
  <c r="O845" i="6"/>
  <c r="O889" i="6"/>
  <c r="O936" i="6"/>
  <c r="O983" i="6"/>
  <c r="O43" i="6"/>
  <c r="O75" i="6"/>
  <c r="O101" i="6"/>
  <c r="O159" i="6"/>
  <c r="O217" i="6"/>
  <c r="O275" i="6"/>
  <c r="O361" i="6"/>
  <c r="O432" i="6"/>
  <c r="O451" i="6"/>
  <c r="O501" i="6"/>
  <c r="O544" i="6"/>
  <c r="O591" i="6"/>
  <c r="O612" i="6"/>
  <c r="O661" i="6"/>
  <c r="O708" i="6"/>
  <c r="O777" i="6"/>
  <c r="O846" i="6"/>
  <c r="O890" i="6"/>
  <c r="O957" i="6"/>
  <c r="O9" i="6"/>
  <c r="O18" i="6"/>
  <c r="O108" i="6"/>
  <c r="O134" i="6"/>
  <c r="O192" i="6"/>
  <c r="O249" i="6"/>
  <c r="O306" i="6"/>
  <c r="O362" i="6"/>
  <c r="O410" i="6"/>
  <c r="O453" i="6"/>
  <c r="O503" i="6"/>
  <c r="O571" i="6"/>
  <c r="O592" i="6"/>
  <c r="O639" i="6"/>
  <c r="O709" i="6"/>
  <c r="O756" i="6"/>
  <c r="O798" i="6"/>
  <c r="O847" i="6"/>
  <c r="O917" i="6"/>
  <c r="O964" i="6"/>
  <c r="O6" i="6"/>
  <c r="O54" i="6"/>
  <c r="O112" i="6"/>
  <c r="O170" i="6"/>
  <c r="O228" i="6"/>
  <c r="O251" i="6"/>
  <c r="O307" i="6"/>
  <c r="O363" i="6"/>
  <c r="O413" i="6"/>
  <c r="O481" i="6"/>
  <c r="O504" i="6"/>
  <c r="O551" i="6"/>
  <c r="O593" i="6"/>
  <c r="O663" i="6"/>
  <c r="O710" i="6"/>
  <c r="O759" i="6"/>
  <c r="O803" i="6"/>
  <c r="O849" i="6"/>
  <c r="O918" i="6"/>
  <c r="O939" i="6"/>
  <c r="O7" i="6"/>
  <c r="O21" i="6"/>
  <c r="O78" i="6"/>
  <c r="O136" i="6"/>
  <c r="O171" i="6"/>
  <c r="O36" i="6"/>
  <c r="O62" i="6"/>
  <c r="O93" i="6"/>
  <c r="O120" i="6"/>
  <c r="O150" i="6"/>
  <c r="O177" i="6"/>
  <c r="O208" i="6"/>
  <c r="O234" i="6"/>
  <c r="O266" i="6"/>
  <c r="O292" i="6"/>
  <c r="O324" i="6"/>
  <c r="O349" i="6"/>
  <c r="O377" i="6"/>
  <c r="O400" i="6"/>
  <c r="O421" i="6"/>
  <c r="O447" i="6"/>
  <c r="O468" i="6"/>
  <c r="O491" i="6"/>
  <c r="O517" i="6"/>
  <c r="O537" i="6"/>
  <c r="O559" i="6"/>
  <c r="O587" i="6"/>
  <c r="O606" i="6"/>
  <c r="O629" i="6"/>
  <c r="O653" i="6"/>
  <c r="O676" i="6"/>
  <c r="O697" i="6"/>
  <c r="O723" i="6"/>
  <c r="O746" i="6"/>
  <c r="O767" i="6"/>
  <c r="O793" i="6"/>
  <c r="O813" i="6"/>
  <c r="O835" i="6"/>
  <c r="O863" i="6"/>
  <c r="O882" i="6"/>
  <c r="O905" i="6"/>
  <c r="O931" i="6"/>
  <c r="O952" i="6"/>
  <c r="O975" i="6"/>
  <c r="O999" i="6"/>
  <c r="O14" i="6"/>
  <c r="O72" i="6"/>
  <c r="O98" i="6"/>
  <c r="O129" i="6"/>
  <c r="O156" i="6"/>
  <c r="O186" i="6"/>
  <c r="O213" i="6"/>
  <c r="O244" i="6"/>
  <c r="O302" i="6"/>
  <c r="O350" i="6"/>
  <c r="O422" i="6"/>
  <c r="O492" i="6"/>
  <c r="O539" i="6"/>
  <c r="O588" i="6"/>
  <c r="O654" i="6"/>
  <c r="O698" i="6"/>
  <c r="O768" i="6"/>
  <c r="O817" i="6"/>
  <c r="O864" i="6"/>
  <c r="O883" i="6"/>
  <c r="O953" i="6"/>
  <c r="O1000" i="6"/>
  <c r="O41" i="6"/>
  <c r="O73" i="6"/>
  <c r="O131" i="6"/>
  <c r="O187" i="6"/>
  <c r="O245" i="6"/>
  <c r="O303" i="6"/>
  <c r="O359" i="6"/>
  <c r="O402" i="6"/>
  <c r="O449" i="6"/>
  <c r="O496" i="6"/>
  <c r="O519" i="6"/>
  <c r="O566" i="6"/>
  <c r="O609" i="6"/>
  <c r="O659" i="6"/>
  <c r="O725" i="6"/>
  <c r="O748" i="6"/>
  <c r="O795" i="6"/>
  <c r="O842" i="6"/>
  <c r="O885" i="6"/>
  <c r="O912" i="6"/>
  <c r="O954" i="6"/>
  <c r="O981" i="6"/>
  <c r="O42" i="6"/>
  <c r="O74" i="6"/>
  <c r="O158" i="6"/>
  <c r="O189" i="6"/>
  <c r="O246" i="6"/>
  <c r="O304" i="6"/>
  <c r="O330" i="6"/>
  <c r="O381" i="6"/>
  <c r="O431" i="6"/>
  <c r="O473" i="6"/>
  <c r="O520" i="6"/>
  <c r="O590" i="6"/>
  <c r="O637" i="6"/>
  <c r="O679" i="6"/>
  <c r="O707" i="6"/>
  <c r="O726" i="6"/>
  <c r="O775" i="6"/>
  <c r="O866" i="6"/>
  <c r="O913" i="6"/>
  <c r="O955" i="6"/>
  <c r="O1005" i="6"/>
  <c r="O17" i="6"/>
  <c r="O133" i="6"/>
  <c r="O191" i="6"/>
  <c r="O247" i="6"/>
  <c r="O305" i="6"/>
  <c r="O331" i="6"/>
  <c r="O385" i="6"/>
  <c r="O405" i="6"/>
  <c r="O474" i="6"/>
  <c r="O521" i="6"/>
  <c r="O568" i="6"/>
  <c r="O638" i="6"/>
  <c r="O681" i="6"/>
  <c r="O731" i="6"/>
  <c r="O750" i="6"/>
  <c r="O797" i="6"/>
  <c r="O820" i="6"/>
  <c r="O867" i="6"/>
  <c r="O914" i="6"/>
  <c r="O937" i="6"/>
  <c r="O984" i="6"/>
  <c r="O50" i="6"/>
  <c r="O76" i="6"/>
  <c r="O165" i="6"/>
  <c r="O222" i="6"/>
  <c r="O280" i="6"/>
  <c r="O337" i="6"/>
  <c r="O386" i="6"/>
  <c r="O433" i="6"/>
  <c r="O480" i="6"/>
  <c r="O522" i="6"/>
  <c r="O549" i="6"/>
  <c r="O618" i="6"/>
  <c r="O662" i="6"/>
  <c r="O688" i="6"/>
  <c r="O732" i="6"/>
  <c r="O779" i="6"/>
  <c r="O825" i="6"/>
  <c r="O868" i="6"/>
  <c r="O894" i="6"/>
  <c r="O938" i="6"/>
  <c r="O985" i="6"/>
  <c r="O19" i="6"/>
  <c r="O77" i="6"/>
  <c r="O135" i="6"/>
  <c r="O193" i="6"/>
  <c r="O285" i="6"/>
  <c r="O338" i="6"/>
  <c r="O387" i="6"/>
  <c r="O434" i="6"/>
  <c r="O457" i="6"/>
  <c r="O523" i="6"/>
  <c r="O573" i="6"/>
  <c r="O619" i="6"/>
  <c r="O640" i="6"/>
  <c r="O689" i="6"/>
  <c r="O733" i="6"/>
  <c r="O780" i="6"/>
  <c r="O827" i="6"/>
  <c r="O869" i="6"/>
  <c r="O895" i="6"/>
  <c r="O965" i="6"/>
  <c r="O986" i="6"/>
  <c r="O55" i="6"/>
  <c r="O113" i="6"/>
  <c r="O115" i="6"/>
  <c r="O229" i="6"/>
  <c r="O309" i="6"/>
  <c r="O388" i="6"/>
  <c r="O458" i="6"/>
  <c r="O525" i="6"/>
  <c r="O594" i="6"/>
  <c r="O664" i="6"/>
  <c r="O734" i="6"/>
  <c r="O804" i="6"/>
  <c r="O870" i="6"/>
  <c r="O940" i="6"/>
  <c r="O5" i="6"/>
  <c r="O141" i="6"/>
  <c r="O879" i="6"/>
  <c r="O31" i="6"/>
  <c r="O232" i="6"/>
  <c r="O534" i="6"/>
  <c r="O674" i="6"/>
  <c r="O810" i="6"/>
  <c r="O950" i="6"/>
  <c r="O33" i="6"/>
  <c r="O252" i="6"/>
  <c r="O414" i="6"/>
  <c r="O552" i="6"/>
  <c r="O690" i="6"/>
  <c r="O828" i="6"/>
  <c r="O966" i="6"/>
  <c r="O57" i="6"/>
  <c r="O256" i="6"/>
  <c r="O415" i="6"/>
  <c r="O553" i="6"/>
  <c r="O691" i="6"/>
  <c r="O831" i="6"/>
  <c r="O967" i="6"/>
  <c r="O59" i="6"/>
  <c r="O263" i="6"/>
  <c r="O486" i="6"/>
  <c r="O624" i="6"/>
  <c r="O693" i="6"/>
  <c r="O832" i="6"/>
  <c r="O969" i="6"/>
  <c r="O174" i="6"/>
  <c r="O347" i="6"/>
  <c r="O487" i="6"/>
  <c r="O557" i="6"/>
  <c r="O695" i="6"/>
  <c r="O833" i="6"/>
  <c r="O84" i="6"/>
  <c r="O364" i="6"/>
  <c r="O505" i="6"/>
  <c r="O643" i="6"/>
  <c r="O851" i="6"/>
  <c r="O198" i="6"/>
  <c r="O288" i="6"/>
  <c r="O365" i="6"/>
  <c r="O436" i="6"/>
  <c r="O506" i="6"/>
  <c r="O645" i="6"/>
  <c r="O782" i="6"/>
  <c r="O990" i="6"/>
  <c r="O90" i="6"/>
  <c r="O366" i="6"/>
  <c r="O507" i="6"/>
  <c r="O647" i="6"/>
  <c r="O783" i="6"/>
  <c r="O923" i="6"/>
  <c r="O206" i="6"/>
  <c r="O372" i="6"/>
  <c r="O508" i="6"/>
  <c r="O648" i="6"/>
  <c r="O784" i="6"/>
  <c r="O854" i="6"/>
  <c r="O993" i="6"/>
  <c r="O117" i="6"/>
  <c r="O230" i="6"/>
  <c r="O314" i="6"/>
  <c r="O393" i="6"/>
  <c r="O462" i="6"/>
  <c r="O532" i="6"/>
  <c r="O602" i="6"/>
  <c r="O669" i="6"/>
  <c r="O738" i="6"/>
  <c r="O808" i="6"/>
  <c r="O878" i="6"/>
  <c r="O948" i="6"/>
  <c r="O26" i="6"/>
  <c r="O231" i="6"/>
  <c r="O319" i="6"/>
  <c r="O395" i="6"/>
  <c r="O463" i="6"/>
  <c r="O533" i="6"/>
  <c r="O603" i="6"/>
  <c r="O673" i="6"/>
  <c r="O739" i="6"/>
  <c r="O809" i="6"/>
  <c r="O949" i="6"/>
  <c r="O147" i="6"/>
  <c r="O321" i="6"/>
  <c r="O396" i="6"/>
  <c r="O465" i="6"/>
  <c r="O604" i="6"/>
  <c r="O741" i="6"/>
  <c r="O880" i="6"/>
  <c r="O148" i="6"/>
  <c r="O342" i="6"/>
  <c r="O482" i="6"/>
  <c r="O621" i="6"/>
  <c r="O760" i="6"/>
  <c r="O897" i="6"/>
  <c r="O172" i="6"/>
  <c r="O343" i="6"/>
  <c r="O485" i="6"/>
  <c r="O623" i="6"/>
  <c r="O761" i="6"/>
  <c r="O899" i="6"/>
  <c r="O173" i="6"/>
  <c r="O345" i="6"/>
  <c r="O417" i="6"/>
  <c r="O554" i="6"/>
  <c r="O762" i="6"/>
  <c r="O900" i="6"/>
  <c r="O60" i="6"/>
  <c r="O264" i="6"/>
  <c r="O419" i="6"/>
  <c r="O625" i="6"/>
  <c r="O763" i="6"/>
  <c r="O903" i="6"/>
  <c r="O971" i="6"/>
  <c r="O194" i="6"/>
  <c r="O287" i="6"/>
  <c r="O435" i="6"/>
  <c r="O575" i="6"/>
  <c r="O711" i="6"/>
  <c r="O781" i="6"/>
  <c r="O919" i="6"/>
  <c r="O989" i="6"/>
  <c r="O89" i="6"/>
  <c r="O576" i="6"/>
  <c r="O712" i="6"/>
  <c r="O852" i="6"/>
  <c r="O921" i="6"/>
  <c r="O205" i="6"/>
  <c r="O289" i="6"/>
  <c r="O437" i="6"/>
  <c r="O577" i="6"/>
  <c r="O715" i="6"/>
  <c r="O853" i="6"/>
  <c r="O991" i="6"/>
  <c r="O114" i="6"/>
  <c r="O290" i="6"/>
  <c r="O438" i="6"/>
  <c r="O578" i="6"/>
  <c r="O717" i="6"/>
  <c r="O924" i="6"/>
  <c r="O1006" i="3"/>
  <c r="O1005" i="3"/>
  <c r="O57" i="3"/>
  <c r="O607" i="3"/>
  <c r="O507" i="3"/>
  <c r="O509" i="3"/>
  <c r="O511" i="3"/>
  <c r="O513" i="3"/>
  <c r="O515" i="3"/>
  <c r="O517" i="3"/>
  <c r="O519" i="3"/>
  <c r="O521" i="3"/>
  <c r="O523" i="3"/>
  <c r="O525" i="3"/>
  <c r="O527" i="3"/>
  <c r="O529" i="3"/>
  <c r="O531" i="3"/>
  <c r="O533" i="3"/>
  <c r="O535" i="3"/>
  <c r="O537" i="3"/>
  <c r="O539" i="3"/>
  <c r="O541" i="3"/>
  <c r="O543" i="3"/>
  <c r="O545" i="3"/>
  <c r="O547" i="3"/>
  <c r="O549" i="3"/>
  <c r="O551" i="3"/>
  <c r="O553" i="3"/>
  <c r="O555" i="3"/>
  <c r="O557" i="3"/>
  <c r="O559" i="3"/>
  <c r="O561" i="3"/>
  <c r="O563" i="3"/>
  <c r="O565" i="3"/>
  <c r="O567" i="3"/>
  <c r="O569" i="3"/>
  <c r="O571" i="3"/>
  <c r="O573" i="3"/>
  <c r="O575" i="3"/>
  <c r="O577" i="3"/>
  <c r="O579" i="3"/>
  <c r="O581" i="3"/>
  <c r="O583" i="3"/>
  <c r="O585" i="3"/>
  <c r="O587" i="3"/>
  <c r="O589" i="3"/>
  <c r="O591" i="3"/>
  <c r="O593" i="3"/>
  <c r="O595" i="3"/>
  <c r="O597" i="3"/>
  <c r="O599" i="3"/>
  <c r="O601" i="3"/>
  <c r="O603" i="3"/>
  <c r="O605" i="3"/>
  <c r="O609" i="3"/>
  <c r="O611" i="3"/>
  <c r="O613" i="3"/>
  <c r="O615" i="3"/>
  <c r="O617" i="3"/>
  <c r="O619" i="3"/>
  <c r="O621" i="3"/>
  <c r="O623" i="3"/>
  <c r="O625" i="3"/>
  <c r="O627" i="3"/>
  <c r="O629" i="3"/>
  <c r="O631" i="3"/>
  <c r="O633" i="3"/>
  <c r="O635" i="3"/>
  <c r="O637" i="3"/>
  <c r="O639" i="3"/>
  <c r="O641" i="3"/>
  <c r="O643" i="3"/>
  <c r="O645" i="3"/>
  <c r="O647" i="3"/>
  <c r="O649" i="3"/>
  <c r="O651" i="3"/>
  <c r="O653" i="3"/>
  <c r="O655" i="3"/>
  <c r="O657" i="3"/>
  <c r="O659" i="3"/>
  <c r="O661" i="3"/>
  <c r="O663" i="3"/>
  <c r="O665" i="3"/>
  <c r="O667" i="3"/>
  <c r="O669" i="3"/>
  <c r="O671" i="3"/>
  <c r="O673" i="3"/>
  <c r="O675" i="3"/>
  <c r="O677" i="3"/>
  <c r="O107" i="3"/>
  <c r="O105" i="3"/>
  <c r="O510" i="3"/>
  <c r="O512" i="3"/>
  <c r="O514" i="3"/>
  <c r="O516" i="3"/>
  <c r="O518" i="3"/>
  <c r="O520" i="3"/>
  <c r="O522" i="3"/>
  <c r="O524" i="3"/>
  <c r="O526" i="3"/>
  <c r="O528" i="3"/>
  <c r="O530" i="3"/>
  <c r="O532" i="3"/>
  <c r="O534" i="3"/>
  <c r="O536" i="3"/>
  <c r="O538" i="3"/>
  <c r="O508" i="3"/>
  <c r="O506" i="3"/>
  <c r="O109" i="3"/>
  <c r="O111" i="3"/>
  <c r="O113" i="3"/>
  <c r="O115" i="3"/>
  <c r="O117" i="3"/>
  <c r="O119" i="3"/>
  <c r="O121" i="3"/>
  <c r="O123" i="3"/>
  <c r="O125" i="3"/>
  <c r="O127" i="3"/>
  <c r="O129" i="3"/>
  <c r="O131" i="3"/>
  <c r="O133" i="3"/>
  <c r="O135" i="3"/>
  <c r="O137" i="3"/>
  <c r="O139" i="3"/>
  <c r="O141" i="3"/>
  <c r="O143" i="3"/>
  <c r="O145" i="3"/>
  <c r="O147" i="3"/>
  <c r="O149" i="3"/>
  <c r="O151" i="3"/>
  <c r="O153" i="3"/>
  <c r="O155" i="3"/>
  <c r="O157" i="3"/>
  <c r="O159" i="3"/>
  <c r="O161" i="3"/>
  <c r="O163" i="3"/>
  <c r="O165" i="3"/>
  <c r="O167" i="3"/>
  <c r="O169" i="3"/>
  <c r="O171" i="3"/>
  <c r="O173" i="3"/>
  <c r="O175" i="3"/>
  <c r="O177" i="3"/>
  <c r="O179" i="3"/>
  <c r="O181" i="3"/>
  <c r="O183" i="3"/>
  <c r="O185" i="3"/>
  <c r="O187" i="3"/>
  <c r="O189" i="3"/>
  <c r="O191" i="3"/>
  <c r="O193" i="3"/>
  <c r="O195" i="3"/>
  <c r="O197" i="3"/>
  <c r="O199" i="3"/>
  <c r="O201" i="3"/>
  <c r="O203" i="3"/>
  <c r="O205" i="3"/>
  <c r="O207" i="3"/>
  <c r="O209" i="3"/>
  <c r="O211" i="3"/>
  <c r="O213" i="3"/>
  <c r="O215" i="3"/>
  <c r="O217" i="3"/>
  <c r="O219" i="3"/>
  <c r="O221" i="3"/>
  <c r="O223" i="3"/>
  <c r="O225" i="3"/>
  <c r="O227" i="3"/>
  <c r="O229" i="3"/>
  <c r="O231" i="3"/>
  <c r="O233" i="3"/>
  <c r="O235" i="3"/>
  <c r="O237" i="3"/>
  <c r="O239" i="3"/>
  <c r="O241" i="3"/>
  <c r="O243" i="3"/>
  <c r="O245" i="3"/>
  <c r="O247" i="3"/>
  <c r="O249" i="3"/>
  <c r="O251" i="3"/>
  <c r="O253" i="3"/>
  <c r="O255" i="3"/>
  <c r="O257" i="3"/>
  <c r="O259" i="3"/>
  <c r="O261" i="3"/>
  <c r="O263" i="3"/>
  <c r="O265" i="3"/>
  <c r="O267" i="3"/>
  <c r="O269" i="3"/>
  <c r="O271" i="3"/>
  <c r="O273" i="3"/>
  <c r="O275" i="3"/>
  <c r="O277" i="3"/>
  <c r="O540" i="3"/>
  <c r="O556" i="3"/>
  <c r="O572" i="3"/>
  <c r="O588" i="3"/>
  <c r="O554" i="3"/>
  <c r="O570" i="3"/>
  <c r="O586" i="3"/>
  <c r="O108" i="3"/>
  <c r="O110" i="3"/>
  <c r="O112" i="3"/>
  <c r="O114" i="3"/>
  <c r="O116" i="3"/>
  <c r="O118" i="3"/>
  <c r="O120" i="3"/>
  <c r="O122" i="3"/>
  <c r="O124" i="3"/>
  <c r="O130" i="3"/>
  <c r="O146" i="3"/>
  <c r="O162" i="3"/>
  <c r="O178" i="3"/>
  <c r="O194" i="3"/>
  <c r="O210" i="3"/>
  <c r="O226" i="3"/>
  <c r="O242" i="3"/>
  <c r="O258" i="3"/>
  <c r="O274" i="3"/>
  <c r="O544" i="3"/>
  <c r="O584" i="3"/>
  <c r="O596" i="3"/>
  <c r="O612" i="3"/>
  <c r="O628" i="3"/>
  <c r="O644" i="3"/>
  <c r="O660" i="3"/>
  <c r="O676" i="3"/>
  <c r="O128" i="3"/>
  <c r="O144" i="3"/>
  <c r="O160" i="3"/>
  <c r="O176" i="3"/>
  <c r="O192" i="3"/>
  <c r="O208" i="3"/>
  <c r="O224" i="3"/>
  <c r="O240" i="3"/>
  <c r="O256" i="3"/>
  <c r="O272" i="3"/>
  <c r="O542" i="3"/>
  <c r="O582" i="3"/>
  <c r="O594" i="3"/>
  <c r="O610" i="3"/>
  <c r="O626" i="3"/>
  <c r="O642" i="3"/>
  <c r="O658" i="3"/>
  <c r="O674" i="3"/>
  <c r="O126" i="3"/>
  <c r="O142" i="3"/>
  <c r="O158" i="3"/>
  <c r="O174" i="3"/>
  <c r="O190" i="3"/>
  <c r="O206" i="3"/>
  <c r="O222" i="3"/>
  <c r="O238" i="3"/>
  <c r="O254" i="3"/>
  <c r="O270" i="3"/>
  <c r="O279" i="3"/>
  <c r="O281" i="3"/>
  <c r="O283" i="3"/>
  <c r="O285" i="3"/>
  <c r="O287" i="3"/>
  <c r="O289" i="3"/>
  <c r="O291" i="3"/>
  <c r="O293" i="3"/>
  <c r="O295" i="3"/>
  <c r="O297" i="3"/>
  <c r="O299" i="3"/>
  <c r="O301" i="3"/>
  <c r="O303" i="3"/>
  <c r="O305" i="3"/>
  <c r="O307" i="3"/>
  <c r="O309" i="3"/>
  <c r="O311" i="3"/>
  <c r="O313" i="3"/>
  <c r="O315" i="3"/>
  <c r="O317" i="3"/>
  <c r="O319" i="3"/>
  <c r="O321" i="3"/>
  <c r="O323" i="3"/>
  <c r="O325" i="3"/>
  <c r="O327" i="3"/>
  <c r="O329" i="3"/>
  <c r="O331" i="3"/>
  <c r="O333" i="3"/>
  <c r="O335" i="3"/>
  <c r="O337" i="3"/>
  <c r="O339" i="3"/>
  <c r="O341" i="3"/>
  <c r="O343" i="3"/>
  <c r="O345" i="3"/>
  <c r="O347" i="3"/>
  <c r="O349" i="3"/>
  <c r="O351" i="3"/>
  <c r="O353" i="3"/>
  <c r="O355" i="3"/>
  <c r="O357" i="3"/>
  <c r="O359" i="3"/>
  <c r="O361" i="3"/>
  <c r="O363" i="3"/>
  <c r="O365" i="3"/>
  <c r="O367" i="3"/>
  <c r="O369" i="3"/>
  <c r="O371" i="3"/>
  <c r="O373" i="3"/>
  <c r="O375" i="3"/>
  <c r="O377" i="3"/>
  <c r="O379" i="3"/>
  <c r="O381" i="3"/>
  <c r="O383" i="3"/>
  <c r="O385" i="3"/>
  <c r="O387" i="3"/>
  <c r="O389" i="3"/>
  <c r="O391" i="3"/>
  <c r="O393" i="3"/>
  <c r="O395" i="3"/>
  <c r="O397" i="3"/>
  <c r="O399" i="3"/>
  <c r="O401" i="3"/>
  <c r="O403" i="3"/>
  <c r="O405" i="3"/>
  <c r="O407" i="3"/>
  <c r="O411" i="3"/>
  <c r="O413" i="3"/>
  <c r="O415" i="3"/>
  <c r="O417" i="3"/>
  <c r="O419" i="3"/>
  <c r="O423" i="3"/>
  <c r="O425" i="3"/>
  <c r="O427" i="3"/>
  <c r="O429" i="3"/>
  <c r="O431" i="3"/>
  <c r="O140" i="3"/>
  <c r="O156" i="3"/>
  <c r="O172" i="3"/>
  <c r="O188" i="3"/>
  <c r="O204" i="3"/>
  <c r="O220" i="3"/>
  <c r="O236" i="3"/>
  <c r="O252" i="3"/>
  <c r="O268" i="3"/>
  <c r="O566" i="3"/>
  <c r="O578" i="3"/>
  <c r="O590" i="3"/>
  <c r="O606" i="3"/>
  <c r="O622" i="3"/>
  <c r="O638" i="3"/>
  <c r="O654" i="3"/>
  <c r="O670" i="3"/>
  <c r="O679" i="3"/>
  <c r="O681" i="3"/>
  <c r="O683" i="3"/>
  <c r="O685" i="3"/>
  <c r="O687" i="3"/>
  <c r="O689" i="3"/>
  <c r="O691" i="3"/>
  <c r="O693" i="3"/>
  <c r="O695" i="3"/>
  <c r="O697" i="3"/>
  <c r="O699" i="3"/>
  <c r="O701" i="3"/>
  <c r="O703" i="3"/>
  <c r="O705" i="3"/>
  <c r="O707" i="3"/>
  <c r="O709" i="3"/>
  <c r="O711" i="3"/>
  <c r="O713" i="3"/>
  <c r="O715" i="3"/>
  <c r="O138" i="3"/>
  <c r="O154" i="3"/>
  <c r="O170" i="3"/>
  <c r="O186" i="3"/>
  <c r="O202" i="3"/>
  <c r="O218" i="3"/>
  <c r="O234" i="3"/>
  <c r="O250" i="3"/>
  <c r="O266" i="3"/>
  <c r="O552" i="3"/>
  <c r="O564" i="3"/>
  <c r="O576" i="3"/>
  <c r="O604" i="3"/>
  <c r="O620" i="3"/>
  <c r="O636" i="3"/>
  <c r="O652" i="3"/>
  <c r="O668" i="3"/>
  <c r="O168" i="3"/>
  <c r="O196" i="3"/>
  <c r="O246" i="3"/>
  <c r="O290" i="3"/>
  <c r="O306" i="3"/>
  <c r="O322" i="3"/>
  <c r="O338" i="3"/>
  <c r="O354" i="3"/>
  <c r="O370" i="3"/>
  <c r="O386" i="3"/>
  <c r="O402" i="3"/>
  <c r="O420" i="3"/>
  <c r="O422" i="3"/>
  <c r="O550" i="3"/>
  <c r="O560" i="3"/>
  <c r="O580" i="3"/>
  <c r="O598" i="3"/>
  <c r="O630" i="3"/>
  <c r="O662" i="3"/>
  <c r="O686" i="3"/>
  <c r="O702" i="3"/>
  <c r="O718" i="3"/>
  <c r="O724" i="3"/>
  <c r="O728" i="3"/>
  <c r="O732" i="3"/>
  <c r="O736" i="3"/>
  <c r="O740" i="3"/>
  <c r="O742" i="3"/>
  <c r="O746" i="3"/>
  <c r="O748" i="3"/>
  <c r="O752" i="3"/>
  <c r="O756" i="3"/>
  <c r="O758" i="3"/>
  <c r="O762" i="3"/>
  <c r="O764" i="3"/>
  <c r="O768" i="3"/>
  <c r="O772" i="3"/>
  <c r="O774" i="3"/>
  <c r="O778" i="3"/>
  <c r="O782" i="3"/>
  <c r="O786" i="3"/>
  <c r="O790" i="3"/>
  <c r="O794" i="3"/>
  <c r="O798" i="3"/>
  <c r="O800" i="3"/>
  <c r="O804" i="3"/>
  <c r="O806" i="3"/>
  <c r="O810" i="3"/>
  <c r="O814" i="3"/>
  <c r="O818" i="3"/>
  <c r="O822" i="3"/>
  <c r="O824" i="3"/>
  <c r="O828" i="3"/>
  <c r="O832" i="3"/>
  <c r="O836" i="3"/>
  <c r="O838" i="3"/>
  <c r="O842" i="3"/>
  <c r="O846" i="3"/>
  <c r="O850" i="3"/>
  <c r="O854" i="3"/>
  <c r="O858" i="3"/>
  <c r="O860" i="3"/>
  <c r="O864" i="3"/>
  <c r="O868" i="3"/>
  <c r="O870" i="3"/>
  <c r="O874" i="3"/>
  <c r="O876" i="3"/>
  <c r="O880" i="3"/>
  <c r="O884" i="3"/>
  <c r="O886" i="3"/>
  <c r="O890" i="3"/>
  <c r="O892" i="3"/>
  <c r="O896" i="3"/>
  <c r="O898" i="3"/>
  <c r="O902" i="3"/>
  <c r="O904" i="3"/>
  <c r="O908" i="3"/>
  <c r="O912" i="3"/>
  <c r="O916" i="3"/>
  <c r="O918" i="3"/>
  <c r="O922" i="3"/>
  <c r="O166" i="3"/>
  <c r="O216" i="3"/>
  <c r="O244" i="3"/>
  <c r="O288" i="3"/>
  <c r="O304" i="3"/>
  <c r="O320" i="3"/>
  <c r="O336" i="3"/>
  <c r="O352" i="3"/>
  <c r="O368" i="3"/>
  <c r="O384" i="3"/>
  <c r="O400" i="3"/>
  <c r="O409" i="3"/>
  <c r="O418" i="3"/>
  <c r="O548" i="3"/>
  <c r="O558" i="3"/>
  <c r="O608" i="3"/>
  <c r="O640" i="3"/>
  <c r="O672" i="3"/>
  <c r="O684" i="3"/>
  <c r="O700" i="3"/>
  <c r="O716" i="3"/>
  <c r="O720" i="3"/>
  <c r="O722" i="3"/>
  <c r="O726" i="3"/>
  <c r="O730" i="3"/>
  <c r="O734" i="3"/>
  <c r="O738" i="3"/>
  <c r="O744" i="3"/>
  <c r="O750" i="3"/>
  <c r="O754" i="3"/>
  <c r="O760" i="3"/>
  <c r="O766" i="3"/>
  <c r="O770" i="3"/>
  <c r="O776" i="3"/>
  <c r="O780" i="3"/>
  <c r="O784" i="3"/>
  <c r="O788" i="3"/>
  <c r="O792" i="3"/>
  <c r="O796" i="3"/>
  <c r="O802" i="3"/>
  <c r="O808" i="3"/>
  <c r="O812" i="3"/>
  <c r="O816" i="3"/>
  <c r="O820" i="3"/>
  <c r="O826" i="3"/>
  <c r="O830" i="3"/>
  <c r="O834" i="3"/>
  <c r="O840" i="3"/>
  <c r="O844" i="3"/>
  <c r="O848" i="3"/>
  <c r="O852" i="3"/>
  <c r="O856" i="3"/>
  <c r="O862" i="3"/>
  <c r="O866" i="3"/>
  <c r="O872" i="3"/>
  <c r="O878" i="3"/>
  <c r="O882" i="3"/>
  <c r="O888" i="3"/>
  <c r="O894" i="3"/>
  <c r="O900" i="3"/>
  <c r="O906" i="3"/>
  <c r="O910" i="3"/>
  <c r="O914" i="3"/>
  <c r="O920" i="3"/>
  <c r="O136" i="3"/>
  <c r="O164" i="3"/>
  <c r="O214" i="3"/>
  <c r="O264" i="3"/>
  <c r="O286" i="3"/>
  <c r="O302" i="3"/>
  <c r="O318" i="3"/>
  <c r="O334" i="3"/>
  <c r="O350" i="3"/>
  <c r="O366" i="3"/>
  <c r="O382" i="3"/>
  <c r="O398" i="3"/>
  <c r="O416" i="3"/>
  <c r="O546" i="3"/>
  <c r="O568" i="3"/>
  <c r="O618" i="3"/>
  <c r="O650" i="3"/>
  <c r="O682" i="3"/>
  <c r="O698" i="3"/>
  <c r="O714" i="3"/>
  <c r="O861" i="3"/>
  <c r="O895" i="3"/>
  <c r="O134" i="3"/>
  <c r="O184" i="3"/>
  <c r="O212" i="3"/>
  <c r="O262" i="3"/>
  <c r="O284" i="3"/>
  <c r="O300" i="3"/>
  <c r="O316" i="3"/>
  <c r="O332" i="3"/>
  <c r="O348" i="3"/>
  <c r="O364" i="3"/>
  <c r="O380" i="3"/>
  <c r="O396" i="3"/>
  <c r="O414" i="3"/>
  <c r="O432" i="3"/>
  <c r="O434" i="3"/>
  <c r="O436" i="3"/>
  <c r="O438" i="3"/>
  <c r="O440" i="3"/>
  <c r="O442" i="3"/>
  <c r="O444" i="3"/>
  <c r="O446" i="3"/>
  <c r="O448" i="3"/>
  <c r="O450" i="3"/>
  <c r="O452" i="3"/>
  <c r="O454" i="3"/>
  <c r="O456" i="3"/>
  <c r="O458" i="3"/>
  <c r="O460" i="3"/>
  <c r="O462" i="3"/>
  <c r="O464" i="3"/>
  <c r="O466" i="3"/>
  <c r="O468" i="3"/>
  <c r="O470" i="3"/>
  <c r="O472" i="3"/>
  <c r="O474" i="3"/>
  <c r="O476" i="3"/>
  <c r="O478" i="3"/>
  <c r="O480" i="3"/>
  <c r="O482" i="3"/>
  <c r="O484" i="3"/>
  <c r="O486" i="3"/>
  <c r="O488" i="3"/>
  <c r="O490" i="3"/>
  <c r="O492" i="3"/>
  <c r="O494" i="3"/>
  <c r="O496" i="3"/>
  <c r="O498" i="3"/>
  <c r="O500" i="3"/>
  <c r="O502" i="3"/>
  <c r="O504" i="3"/>
  <c r="O616" i="3"/>
  <c r="O648" i="3"/>
  <c r="O680" i="3"/>
  <c r="O696" i="3"/>
  <c r="O712" i="3"/>
  <c r="O839" i="3"/>
  <c r="O887" i="3"/>
  <c r="O132" i="3"/>
  <c r="O182" i="3"/>
  <c r="O232" i="3"/>
  <c r="O260" i="3"/>
  <c r="O282" i="3"/>
  <c r="O298" i="3"/>
  <c r="O314" i="3"/>
  <c r="O330" i="3"/>
  <c r="O346" i="3"/>
  <c r="O362" i="3"/>
  <c r="O378" i="3"/>
  <c r="O394" i="3"/>
  <c r="O412" i="3"/>
  <c r="O421" i="3"/>
  <c r="O430" i="3"/>
  <c r="O614" i="3"/>
  <c r="O646" i="3"/>
  <c r="O678" i="3"/>
  <c r="O694" i="3"/>
  <c r="O710" i="3"/>
  <c r="O757" i="3"/>
  <c r="O793" i="3"/>
  <c r="O801" i="3"/>
  <c r="O805" i="3"/>
  <c r="O811" i="3"/>
  <c r="O815" i="3"/>
  <c r="O819" i="3"/>
  <c r="O823" i="3"/>
  <c r="O829" i="3"/>
  <c r="O833" i="3"/>
  <c r="O837" i="3"/>
  <c r="O843" i="3"/>
  <c r="O847" i="3"/>
  <c r="O849" i="3"/>
  <c r="O853" i="3"/>
  <c r="O857" i="3"/>
  <c r="O865" i="3"/>
  <c r="O869" i="3"/>
  <c r="O875" i="3"/>
  <c r="O879" i="3"/>
  <c r="O883" i="3"/>
  <c r="O891" i="3"/>
  <c r="O897" i="3"/>
  <c r="O152" i="3"/>
  <c r="O180" i="3"/>
  <c r="O230" i="3"/>
  <c r="O280" i="3"/>
  <c r="O296" i="3"/>
  <c r="O312" i="3"/>
  <c r="O328" i="3"/>
  <c r="O344" i="3"/>
  <c r="O360" i="3"/>
  <c r="O376" i="3"/>
  <c r="O392" i="3"/>
  <c r="O408" i="3"/>
  <c r="O410" i="3"/>
  <c r="O428" i="3"/>
  <c r="O574" i="3"/>
  <c r="O592" i="3"/>
  <c r="O624" i="3"/>
  <c r="O656" i="3"/>
  <c r="O692" i="3"/>
  <c r="O708" i="3"/>
  <c r="O717" i="3"/>
  <c r="O719" i="3"/>
  <c r="O721" i="3"/>
  <c r="O723" i="3"/>
  <c r="O725" i="3"/>
  <c r="O727" i="3"/>
  <c r="O729" i="3"/>
  <c r="O731" i="3"/>
  <c r="O733" i="3"/>
  <c r="O735" i="3"/>
  <c r="O737" i="3"/>
  <c r="O739" i="3"/>
  <c r="O741" i="3"/>
  <c r="O743" i="3"/>
  <c r="O745" i="3"/>
  <c r="O747" i="3"/>
  <c r="O749" i="3"/>
  <c r="O751" i="3"/>
  <c r="O753" i="3"/>
  <c r="O755" i="3"/>
  <c r="O759" i="3"/>
  <c r="O761" i="3"/>
  <c r="O763" i="3"/>
  <c r="O765" i="3"/>
  <c r="O767" i="3"/>
  <c r="O769" i="3"/>
  <c r="O771" i="3"/>
  <c r="O773" i="3"/>
  <c r="O775" i="3"/>
  <c r="O777" i="3"/>
  <c r="O779" i="3"/>
  <c r="O781" i="3"/>
  <c r="O783" i="3"/>
  <c r="O785" i="3"/>
  <c r="O787" i="3"/>
  <c r="O789" i="3"/>
  <c r="O791" i="3"/>
  <c r="O795" i="3"/>
  <c r="O797" i="3"/>
  <c r="O799" i="3"/>
  <c r="O803" i="3"/>
  <c r="O807" i="3"/>
  <c r="O809" i="3"/>
  <c r="O813" i="3"/>
  <c r="O817" i="3"/>
  <c r="O821" i="3"/>
  <c r="O825" i="3"/>
  <c r="O827" i="3"/>
  <c r="O831" i="3"/>
  <c r="O835" i="3"/>
  <c r="O841" i="3"/>
  <c r="O845" i="3"/>
  <c r="O851" i="3"/>
  <c r="O855" i="3"/>
  <c r="O859" i="3"/>
  <c r="O863" i="3"/>
  <c r="O867" i="3"/>
  <c r="O871" i="3"/>
  <c r="O873" i="3"/>
  <c r="O877" i="3"/>
  <c r="O881" i="3"/>
  <c r="O885" i="3"/>
  <c r="O889" i="3"/>
  <c r="O893" i="3"/>
  <c r="O899" i="3"/>
  <c r="O228" i="3"/>
  <c r="O324" i="3"/>
  <c r="O388" i="3"/>
  <c r="O424" i="3"/>
  <c r="O443" i="3"/>
  <c r="O459" i="3"/>
  <c r="O475" i="3"/>
  <c r="O491" i="3"/>
  <c r="O634" i="3"/>
  <c r="O901" i="3"/>
  <c r="O917" i="3"/>
  <c r="O278" i="3"/>
  <c r="O342" i="3"/>
  <c r="O406" i="3"/>
  <c r="O441" i="3"/>
  <c r="O457" i="3"/>
  <c r="O473" i="3"/>
  <c r="O489" i="3"/>
  <c r="O505" i="3"/>
  <c r="O632" i="3"/>
  <c r="O915" i="3"/>
  <c r="O924" i="3"/>
  <c r="O926" i="3"/>
  <c r="O928" i="3"/>
  <c r="O930" i="3"/>
  <c r="O932" i="3"/>
  <c r="O934" i="3"/>
  <c r="O936" i="3"/>
  <c r="O938" i="3"/>
  <c r="O940" i="3"/>
  <c r="O942" i="3"/>
  <c r="O944" i="3"/>
  <c r="O946" i="3"/>
  <c r="O948" i="3"/>
  <c r="O950" i="3"/>
  <c r="O952" i="3"/>
  <c r="O954" i="3"/>
  <c r="O956" i="3"/>
  <c r="O958" i="3"/>
  <c r="O960" i="3"/>
  <c r="O962" i="3"/>
  <c r="O964" i="3"/>
  <c r="O966" i="3"/>
  <c r="O968" i="3"/>
  <c r="O970" i="3"/>
  <c r="O972" i="3"/>
  <c r="O974" i="3"/>
  <c r="O976" i="3"/>
  <c r="O978" i="3"/>
  <c r="O980" i="3"/>
  <c r="O982" i="3"/>
  <c r="O984" i="3"/>
  <c r="O986" i="3"/>
  <c r="O988" i="3"/>
  <c r="O990" i="3"/>
  <c r="O992" i="3"/>
  <c r="O994" i="3"/>
  <c r="O996" i="3"/>
  <c r="O1000" i="3"/>
  <c r="O1002" i="3"/>
  <c r="O1004" i="3"/>
  <c r="O963" i="3"/>
  <c r="O977" i="3"/>
  <c r="O989" i="3"/>
  <c r="O999" i="3"/>
  <c r="O998" i="3"/>
  <c r="O965" i="3"/>
  <c r="O981" i="3"/>
  <c r="O997" i="3"/>
  <c r="O106" i="3"/>
  <c r="O276" i="3"/>
  <c r="O340" i="3"/>
  <c r="O404" i="3"/>
  <c r="O439" i="3"/>
  <c r="O455" i="3"/>
  <c r="O471" i="3"/>
  <c r="O487" i="3"/>
  <c r="O503" i="3"/>
  <c r="O666" i="3"/>
  <c r="O913" i="3"/>
  <c r="O967" i="3"/>
  <c r="O987" i="3"/>
  <c r="O1001" i="3"/>
  <c r="O463" i="3"/>
  <c r="O921" i="3"/>
  <c r="O426" i="3"/>
  <c r="O704" i="3"/>
  <c r="O903" i="3"/>
  <c r="O150" i="3"/>
  <c r="O200" i="3"/>
  <c r="O294" i="3"/>
  <c r="O358" i="3"/>
  <c r="O437" i="3"/>
  <c r="O453" i="3"/>
  <c r="O469" i="3"/>
  <c r="O485" i="3"/>
  <c r="O501" i="3"/>
  <c r="O664" i="3"/>
  <c r="O911" i="3"/>
  <c r="O971" i="3"/>
  <c r="O985" i="3"/>
  <c r="O995" i="3"/>
  <c r="O308" i="3"/>
  <c r="O495" i="3"/>
  <c r="O706" i="3"/>
  <c r="O461" i="3"/>
  <c r="O493" i="3"/>
  <c r="O600" i="3"/>
  <c r="O148" i="3"/>
  <c r="O198" i="3"/>
  <c r="O292" i="3"/>
  <c r="O356" i="3"/>
  <c r="O435" i="3"/>
  <c r="O451" i="3"/>
  <c r="O467" i="3"/>
  <c r="O483" i="3"/>
  <c r="O499" i="3"/>
  <c r="O562" i="3"/>
  <c r="O690" i="3"/>
  <c r="O909" i="3"/>
  <c r="O973" i="3"/>
  <c r="O983" i="3"/>
  <c r="O993" i="3"/>
  <c r="O447" i="3"/>
  <c r="O326" i="3"/>
  <c r="O390" i="3"/>
  <c r="O477" i="3"/>
  <c r="O919" i="3"/>
  <c r="O248" i="3"/>
  <c r="O310" i="3"/>
  <c r="O374" i="3"/>
  <c r="O433" i="3"/>
  <c r="O449" i="3"/>
  <c r="O465" i="3"/>
  <c r="O481" i="3"/>
  <c r="O497" i="3"/>
  <c r="O688" i="3"/>
  <c r="O907" i="3"/>
  <c r="O923" i="3"/>
  <c r="O925" i="3"/>
  <c r="O927" i="3"/>
  <c r="O929" i="3"/>
  <c r="O931" i="3"/>
  <c r="O933" i="3"/>
  <c r="O935" i="3"/>
  <c r="O937" i="3"/>
  <c r="O939" i="3"/>
  <c r="O941" i="3"/>
  <c r="O943" i="3"/>
  <c r="O945" i="3"/>
  <c r="O947" i="3"/>
  <c r="O949" i="3"/>
  <c r="O951" i="3"/>
  <c r="O953" i="3"/>
  <c r="O955" i="3"/>
  <c r="O957" i="3"/>
  <c r="O959" i="3"/>
  <c r="O961" i="3"/>
  <c r="O969" i="3"/>
  <c r="O975" i="3"/>
  <c r="O979" i="3"/>
  <c r="O991" i="3"/>
  <c r="O1003" i="3"/>
  <c r="O372" i="3"/>
  <c r="O479" i="3"/>
  <c r="O602" i="3"/>
  <c r="O905" i="3"/>
  <c r="O445" i="3"/>
  <c r="O85" i="3"/>
  <c r="O95" i="3"/>
  <c r="O97" i="3"/>
  <c r="O79" i="3"/>
  <c r="O96" i="3"/>
  <c r="O58" i="3"/>
  <c r="O91" i="3"/>
  <c r="O36" i="3"/>
  <c r="O30" i="3"/>
  <c r="O61" i="3"/>
  <c r="O42" i="3"/>
  <c r="O56" i="3"/>
  <c r="O81" i="3"/>
  <c r="O39" i="3"/>
  <c r="O92" i="3"/>
  <c r="O75" i="3"/>
  <c r="O9" i="3"/>
  <c r="O65" i="3"/>
  <c r="O7" i="3"/>
  <c r="O101" i="3"/>
  <c r="O55" i="3"/>
  <c r="O83" i="3"/>
  <c r="O53" i="3"/>
  <c r="O40" i="3"/>
  <c r="O6" i="3"/>
  <c r="O88" i="3"/>
  <c r="O74" i="3"/>
  <c r="O12" i="3"/>
  <c r="O32" i="3"/>
  <c r="O41" i="3"/>
  <c r="O78" i="3"/>
  <c r="O43" i="3"/>
  <c r="O68" i="3"/>
  <c r="O16" i="3"/>
  <c r="O34" i="3"/>
  <c r="O99" i="3"/>
  <c r="O13" i="3"/>
  <c r="O54" i="3"/>
  <c r="O50" i="3"/>
  <c r="O25" i="3"/>
  <c r="O17" i="3"/>
  <c r="O19" i="3"/>
  <c r="O10" i="3"/>
  <c r="O87" i="3"/>
  <c r="O51" i="3"/>
  <c r="O49" i="3"/>
  <c r="O38" i="3"/>
  <c r="O71" i="3"/>
  <c r="O64" i="3"/>
  <c r="O63" i="3"/>
  <c r="O70" i="3"/>
  <c r="O86" i="3"/>
  <c r="O31" i="3"/>
  <c r="O5" i="3"/>
  <c r="O52" i="3"/>
  <c r="O46" i="3"/>
  <c r="O44" i="3"/>
  <c r="O73" i="3"/>
  <c r="O35" i="3"/>
  <c r="O100" i="3"/>
  <c r="O26" i="3"/>
  <c r="O45" i="3"/>
  <c r="O22" i="3"/>
  <c r="O11" i="3"/>
  <c r="O104" i="3"/>
  <c r="O20" i="3"/>
  <c r="O14" i="3"/>
  <c r="O98" i="3"/>
  <c r="O28" i="3"/>
  <c r="O67" i="3"/>
  <c r="O24" i="3"/>
  <c r="O21" i="3"/>
  <c r="O60" i="3"/>
  <c r="O84" i="3"/>
  <c r="O102" i="3"/>
  <c r="O72" i="3"/>
  <c r="O80" i="3"/>
  <c r="O82" i="3"/>
  <c r="O59" i="3"/>
  <c r="O29" i="3"/>
  <c r="O15" i="3"/>
  <c r="O18" i="3"/>
  <c r="O48" i="3"/>
  <c r="O62" i="3"/>
  <c r="O27" i="3"/>
  <c r="O33" i="3"/>
  <c r="O94" i="3"/>
  <c r="O103" i="3"/>
  <c r="O77" i="3"/>
  <c r="O47" i="3"/>
  <c r="O66" i="3"/>
  <c r="O93" i="3"/>
  <c r="O89" i="3"/>
  <c r="O37" i="3"/>
  <c r="O90" i="3"/>
  <c r="O23" i="3"/>
  <c r="O76" i="3"/>
  <c r="O69" i="3"/>
  <c r="T5" i="6" l="1"/>
  <c r="T6" i="6" s="1"/>
  <c r="H13" i="1" s="1"/>
  <c r="T5" i="3"/>
  <c r="T6" i="3" s="1"/>
  <c r="H12" i="1" s="1"/>
</calcChain>
</file>

<file path=xl/sharedStrings.xml><?xml version="1.0" encoding="utf-8"?>
<sst xmlns="http://schemas.openxmlformats.org/spreadsheetml/2006/main" count="508" uniqueCount="77">
  <si>
    <t>Residual</t>
  </si>
  <si>
    <t/>
  </si>
  <si>
    <t>Predicted test score:</t>
  </si>
  <si>
    <t>Predicted test score</t>
  </si>
  <si>
    <t>Determine SD(residual) to use; DO NOT MAKE CHANGES HERE</t>
  </si>
  <si>
    <t>ONLY MAKE CHANGES IN THE GREY HIGHLIGHTED CELLS</t>
  </si>
  <si>
    <t>[SPECIFY THE APPROPRIATE FORMULA IN CELL B27 TO COMPUTE</t>
  </si>
  <si>
    <t xml:space="preserve">THE PREDICTED TEST SCORE BASED ON THE INPUT PROVIDED   </t>
  </si>
  <si>
    <t xml:space="preserve"> IN SHEET 1 (E.G. SPECIFIED GENDER) + COPY-PASTED STAGE 1 MODEL]</t>
  </si>
  <si>
    <t>Computed residual:</t>
  </si>
  <si>
    <t>Percentile</t>
  </si>
  <si>
    <t>Delta</t>
  </si>
  <si>
    <t>Std. Residual:</t>
  </si>
  <si>
    <t>Determine percentile</t>
  </si>
  <si>
    <t>Abs diff delta</t>
  </si>
  <si>
    <t>Min abs delta</t>
  </si>
  <si>
    <t>Predicted score:</t>
  </si>
  <si>
    <t>Estimate</t>
  </si>
  <si>
    <t>Assuming homoscedasticity</t>
  </si>
  <si>
    <t>https://www.excel-easy.com/examples/closest-match.html</t>
  </si>
  <si>
    <t>Formula, see:</t>
  </si>
  <si>
    <t>Res. Std error</t>
  </si>
  <si>
    <t>Checks</t>
  </si>
  <si>
    <t>Overall resid std error entered</t>
  </si>
  <si>
    <t>Resid std per group</t>
  </si>
  <si>
    <t>Variance function</t>
  </si>
  <si>
    <t>Som</t>
  </si>
  <si>
    <r>
      <t xml:space="preserve">Not assuming homoscedasticity, </t>
    </r>
    <r>
      <rPr>
        <b/>
        <sz val="12"/>
        <color theme="4"/>
        <rFont val="Calibri (Hoofdtekst)"/>
      </rPr>
      <t>variance function</t>
    </r>
  </si>
  <si>
    <r>
      <t xml:space="preserve">Not assuming homoscedasticity, </t>
    </r>
    <r>
      <rPr>
        <b/>
        <sz val="12"/>
        <color theme="4"/>
        <rFont val="Calibri (Hoofdtekst)"/>
      </rPr>
      <t>residual std.error per group</t>
    </r>
    <r>
      <rPr>
        <b/>
        <sz val="12"/>
        <color theme="1"/>
        <rFont val="Calibri"/>
        <family val="2"/>
        <scheme val="minor"/>
      </rPr>
      <t>:</t>
    </r>
  </si>
  <si>
    <t>X</t>
  </si>
  <si>
    <t>Beta x X</t>
  </si>
  <si>
    <t>Predicted VARIANCE</t>
  </si>
  <si>
    <t>(check should be 1 to be OK)</t>
  </si>
  <si>
    <t>A</t>
  </si>
  <si>
    <t>B</t>
  </si>
  <si>
    <t>C</t>
  </si>
  <si>
    <t>Residual variance</t>
  </si>
  <si>
    <t>Not assuming homoscedasticity, prediction-specific residual variances:</t>
  </si>
  <si>
    <t>Residual std. Error</t>
  </si>
  <si>
    <t>COPY-PASTE FINAL STAGE 1 MEAN PREDICTION FUNCTION HERE:</t>
  </si>
  <si>
    <t>COPY-PASTE FINAL STAGE 1 VARIANCE PREDICTION FUNCTION HERE:</t>
  </si>
  <si>
    <t xml:space="preserve">Residual Std.Error to be used: </t>
  </si>
  <si>
    <t>Not assuming homoscedasticity, continuous variance prediction function:</t>
  </si>
  <si>
    <t>COPY-PASTE PERCENTILE RANKS DELTA HERE:</t>
  </si>
  <si>
    <t>Percentile rank</t>
  </si>
  <si>
    <t>Please fill in the raw test score:</t>
  </si>
  <si>
    <t xml:space="preserve">Please fill in the relevant independent variables: </t>
  </si>
  <si>
    <t>Age</t>
  </si>
  <si>
    <t>Sex</t>
  </si>
  <si>
    <t>Years of Education</t>
  </si>
  <si>
    <t>Years</t>
  </si>
  <si>
    <t>Male = 0; Female = 1</t>
  </si>
  <si>
    <t>RAVLT Learning</t>
  </si>
  <si>
    <t>RAVLT Delayed</t>
  </si>
  <si>
    <t>Digit Span Forward</t>
  </si>
  <si>
    <t>Digit Span Backward</t>
  </si>
  <si>
    <t>Trail Making Test A</t>
  </si>
  <si>
    <t>Trail Making Test B</t>
  </si>
  <si>
    <t>Semantic Fluency</t>
  </si>
  <si>
    <t>Phonological Fluency</t>
  </si>
  <si>
    <t>Predicted Test score</t>
  </si>
  <si>
    <t>Regression Based Normative Data</t>
  </si>
  <si>
    <t>Residual Standard Error</t>
  </si>
  <si>
    <t>(Intercept)</t>
  </si>
  <si>
    <t>ageC</t>
  </si>
  <si>
    <t>sexM</t>
  </si>
  <si>
    <t>years_education</t>
  </si>
  <si>
    <t>Pred.Y</t>
  </si>
  <si>
    <t>Pred.Y.2</t>
  </si>
  <si>
    <t>Pred.Y.3</t>
  </si>
  <si>
    <t>z score</t>
  </si>
  <si>
    <t>Estimated percentile rank</t>
  </si>
  <si>
    <t>TMTA</t>
  </si>
  <si>
    <t>TMTB</t>
  </si>
  <si>
    <t>age_log_100</t>
  </si>
  <si>
    <t>Log scale</t>
  </si>
  <si>
    <t>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</si>
</sst>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7">
    <font>
      <sz val="12"/>
      <color theme="1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0"/>
      <color theme="1" tint="4.9989318521683403E-2"/>
      <name val="Calibri (Hoofdtekst)"/>
    </font>
    <font>
      <sz val="12"/>
      <color theme="1" tint="4.9989318521683403E-2"/>
      <name val="Calibri (Hoofdtekst)"/>
    </font>
    <font>
      <b/>
      <sz val="24"/>
      <color theme="1" tint="4.9989318521683403E-2"/>
      <name val="Calibri"/>
      <family val="2"/>
      <scheme val="minor"/>
    </font>
    <font>
      <b/>
      <sz val="12"/>
      <color theme="1" tint="4.9989318521683403E-2"/>
      <name val="Calibri (Hoofdtekst)"/>
    </font>
    <font>
      <sz val="8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b/>
      <sz val="12"/>
      <color theme="4"/>
      <name val="Calibri (Hoofdtekst)"/>
    </font>
    <font>
      <b/>
      <sz val="12"/>
      <color theme="4"/>
      <name val="Calibri"/>
      <family val="2"/>
      <scheme val="minor"/>
    </font>
    <font>
      <b/>
      <sz val="12"/>
      <color rgb="FF000000"/>
      <name val="Calibri"/>
      <family val="2"/>
      <scheme val="minor"/>
    </font>
    <font>
      <i/>
      <sz val="12"/>
      <color theme="1" tint="4.9989318521683403E-2"/>
      <name val="Calibri"/>
      <family val="2"/>
      <scheme val="minor"/>
    </font>
    <font>
      <b/>
      <sz val="12"/>
      <color theme="0"/>
      <name val="Calibri (Hoofdtekst)"/>
    </font>
    <font>
      <sz val="7"/>
      <color rgb="FF4D4D4C"/>
      <name val="Consolas"/>
      <family val="3"/>
    </font>
    <font>
      <sz val="12"/>
      <color theme="0" tint="-0.249977111117893"/>
      <name val="Calibri (Hoofdtekst)"/>
    </font>
    <font>
      <sz val="12"/>
      <name val="Calibri (Hoofdtekst)"/>
    </font>
  </fonts>
  <fills count="9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0" fillId="0" borderId="1" xfId="0" applyBorder="1"/>
    <xf numFmtId="0" fontId="2" fillId="0" borderId="1" xfId="0" applyFont="1" applyBorder="1"/>
    <xf numFmtId="0" fontId="4" fillId="0" borderId="0" xfId="0" applyFont="1" applyAlignment="1">
      <alignment horizontal="center"/>
    </xf>
    <xf numFmtId="0" fontId="6" fillId="0" borderId="0" xfId="0" applyFont="1"/>
    <xf numFmtId="0" fontId="0" fillId="0" borderId="0" xfId="0" applyAlignment="1">
      <alignment horizontal="center"/>
    </xf>
    <xf numFmtId="0" fontId="0" fillId="3" borderId="4" xfId="0" applyFill="1" applyBorder="1" applyAlignment="1">
      <alignment horizontal="center"/>
    </xf>
    <xf numFmtId="0" fontId="0" fillId="2" borderId="5" xfId="0" applyFill="1" applyBorder="1"/>
    <xf numFmtId="0" fontId="0" fillId="3" borderId="6" xfId="0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0" borderId="7" xfId="0" applyBorder="1"/>
    <xf numFmtId="0" fontId="0" fillId="0" borderId="5" xfId="0" applyBorder="1"/>
    <xf numFmtId="0" fontId="7" fillId="0" borderId="0" xfId="0" applyFont="1"/>
    <xf numFmtId="0" fontId="0" fillId="4" borderId="0" xfId="0" applyFill="1" applyAlignment="1">
      <alignment horizontal="center"/>
    </xf>
    <xf numFmtId="0" fontId="8" fillId="0" borderId="0" xfId="0" applyFont="1"/>
    <xf numFmtId="0" fontId="10" fillId="0" borderId="0" xfId="0" applyFont="1"/>
    <xf numFmtId="0" fontId="0" fillId="5" borderId="0" xfId="0" applyFill="1"/>
    <xf numFmtId="0" fontId="0" fillId="5" borderId="0" xfId="0" applyFill="1" applyAlignment="1">
      <alignment horizontal="center"/>
    </xf>
    <xf numFmtId="0" fontId="8" fillId="5" borderId="0" xfId="0" applyFont="1" applyFill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0" fillId="2" borderId="6" xfId="0" applyFill="1" applyBorder="1"/>
    <xf numFmtId="0" fontId="0" fillId="2" borderId="1" xfId="0" applyFill="1" applyBorder="1"/>
    <xf numFmtId="0" fontId="0" fillId="2" borderId="4" xfId="0" applyFill="1" applyBorder="1"/>
    <xf numFmtId="0" fontId="0" fillId="2" borderId="8" xfId="0" applyFill="1" applyBorder="1"/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0" fillId="2" borderId="4" xfId="0" applyFill="1" applyBorder="1" applyAlignment="1">
      <alignment horizontal="left"/>
    </xf>
    <xf numFmtId="0" fontId="12" fillId="0" borderId="8" xfId="0" applyFont="1" applyBorder="1" applyAlignment="1">
      <alignment horizontal="left"/>
    </xf>
    <xf numFmtId="0" fontId="6" fillId="0" borderId="8" xfId="0" applyFont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/>
    </xf>
    <xf numFmtId="0" fontId="4" fillId="0" borderId="8" xfId="0" applyFont="1" applyBorder="1" applyAlignment="1">
      <alignment horizontal="left"/>
    </xf>
    <xf numFmtId="0" fontId="14" fillId="7" borderId="0" xfId="0" applyFont="1" applyFill="1" applyAlignment="1">
      <alignment vertical="center"/>
    </xf>
    <xf numFmtId="0" fontId="6" fillId="0" borderId="8" xfId="0" applyFont="1" applyBorder="1" applyAlignment="1">
      <alignment horizontal="center" vertical="center" wrapText="1"/>
    </xf>
    <xf numFmtId="2" fontId="13" fillId="6" borderId="14" xfId="0" applyNumberFormat="1" applyFont="1" applyFill="1" applyBorder="1" applyAlignment="1">
      <alignment horizontal="center" vertical="center"/>
    </xf>
    <xf numFmtId="2" fontId="13" fillId="6" borderId="15" xfId="0" applyNumberFormat="1" applyFont="1" applyFill="1" applyBorder="1" applyAlignment="1">
      <alignment horizontal="center" vertical="center"/>
    </xf>
    <xf numFmtId="2" fontId="13" fillId="6" borderId="16" xfId="0" applyNumberFormat="1" applyFont="1" applyFill="1" applyBorder="1" applyAlignment="1">
      <alignment horizontal="center" vertical="center"/>
    </xf>
    <xf numFmtId="1" fontId="13" fillId="6" borderId="13" xfId="0" applyNumberFormat="1" applyFont="1" applyFill="1" applyBorder="1" applyAlignment="1">
      <alignment horizontal="center"/>
    </xf>
    <xf numFmtId="0" fontId="5" fillId="0" borderId="10" xfId="0" applyFont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6" fillId="0" borderId="2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/>
    </xf>
    <xf numFmtId="0" fontId="0" fillId="0" borderId="3" xfId="0" applyBorder="1"/>
    <xf numFmtId="0" fontId="15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/>
    </xf>
    <xf numFmtId="0" fontId="16" fillId="2" borderId="8" xfId="0" applyFont="1" applyFill="1" applyBorder="1" applyAlignment="1">
      <alignment horizontal="center" vertical="center"/>
    </xf>
    <xf numFmtId="0" fontId="0" fillId="0" borderId="0" xfId="0" applyAlignment="1">
      <alignment horizontal="right"/>
    </xf>
    <xf numFmtId="0" fontId="6" fillId="8" borderId="8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139925</xdr:colOff>
      <xdr:row>3</xdr:row>
      <xdr:rowOff>11704</xdr:rowOff>
    </xdr:from>
    <xdr:to>
      <xdr:col>8</xdr:col>
      <xdr:colOff>182427</xdr:colOff>
      <xdr:row>7</xdr:row>
      <xdr:rowOff>158750</xdr:rowOff>
    </xdr:to>
    <xdr:pic>
      <xdr:nvPicPr>
        <xdr:cNvPr id="2" name="1 Imagen"/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5371" t="28667" r="14249" b="39482"/>
        <a:stretch/>
      </xdr:blipFill>
      <xdr:spPr>
        <a:xfrm>
          <a:off x="5133935" y="805454"/>
          <a:ext cx="4593336" cy="94079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1"/>
  <dimension ref="A1:I44"/>
  <sheetViews>
    <sheetView showGridLines="0" tabSelected="1" zoomScale="96" zoomScaleNormal="96" workbookViewId="0">
      <selection activeCell="C16" sqref="C16"/>
    </sheetView>
  </sheetViews>
  <sheetFormatPr baseColWidth="10" defaultColWidth="10.83203125" defaultRowHeight="15.5"/>
  <cols>
    <col min="1" max="1" width="1.83203125" style="4" customWidth="1"/>
    <col min="2" max="2" width="35" style="4" customWidth="1"/>
    <col min="3" max="3" width="10.33203125" style="4" customWidth="1"/>
    <col min="4" max="4" width="18.4140625" style="4" customWidth="1"/>
    <col min="5" max="5" width="10.9140625" style="4" customWidth="1"/>
    <col min="6" max="6" width="17" style="4" customWidth="1"/>
    <col min="7" max="7" width="16.08203125" style="4" customWidth="1"/>
    <col min="8" max="8" width="15.75" style="4" customWidth="1"/>
    <col min="9" max="16384" width="10.83203125" style="4"/>
  </cols>
  <sheetData>
    <row r="1" spans="1:9" ht="15.5" customHeight="1" thickBot="1"/>
    <row r="2" spans="1:9" ht="31.5" thickBot="1">
      <c r="A2" s="3"/>
      <c r="B2" s="46" t="s">
        <v>61</v>
      </c>
      <c r="C2" s="47"/>
      <c r="D2" s="48"/>
    </row>
    <row r="4" spans="1:9">
      <c r="A4" s="3"/>
      <c r="B4" s="49" t="s">
        <v>46</v>
      </c>
      <c r="C4" s="50"/>
      <c r="D4" s="51"/>
    </row>
    <row r="5" spans="1:9">
      <c r="A5" s="3"/>
      <c r="B5" s="52"/>
      <c r="C5" s="53"/>
      <c r="D5" s="54"/>
    </row>
    <row r="6" spans="1:9">
      <c r="A6" s="3"/>
      <c r="B6" s="39" t="s">
        <v>47</v>
      </c>
      <c r="C6" s="38">
        <v>60</v>
      </c>
      <c r="D6" s="36" t="s">
        <v>50</v>
      </c>
    </row>
    <row r="7" spans="1:9">
      <c r="A7" s="3"/>
      <c r="B7" s="39" t="s">
        <v>48</v>
      </c>
      <c r="C7" s="38">
        <v>1</v>
      </c>
      <c r="D7" s="36" t="s">
        <v>51</v>
      </c>
    </row>
    <row r="8" spans="1:9">
      <c r="A8" s="3"/>
      <c r="B8" s="39" t="s">
        <v>49</v>
      </c>
      <c r="C8" s="38">
        <v>12</v>
      </c>
      <c r="D8" s="36" t="s">
        <v>50</v>
      </c>
    </row>
    <row r="9" spans="1:9">
      <c r="A9" s="3"/>
      <c r="B9" s="8"/>
    </row>
    <row r="10" spans="1:9">
      <c r="A10" s="3"/>
    </row>
    <row r="11" spans="1:9" ht="31">
      <c r="A11" s="3"/>
      <c r="B11" s="55" t="s">
        <v>45</v>
      </c>
      <c r="C11" s="55"/>
      <c r="D11" s="37" t="s">
        <v>60</v>
      </c>
      <c r="E11" s="37" t="s">
        <v>0</v>
      </c>
      <c r="F11" s="37" t="s">
        <v>62</v>
      </c>
      <c r="G11" s="37" t="s">
        <v>70</v>
      </c>
      <c r="H11" s="41" t="s">
        <v>71</v>
      </c>
    </row>
    <row r="12" spans="1:9">
      <c r="A12" s="3"/>
      <c r="B12" s="62" t="s">
        <v>52</v>
      </c>
      <c r="C12" s="38">
        <v>1</v>
      </c>
      <c r="D12" s="58">
        <f>RAVLT_Learning!C27</f>
        <v>44.613724831307415</v>
      </c>
      <c r="E12" s="58">
        <f>RAVLT_Learning!C33</f>
        <v>-43.613724831307415</v>
      </c>
      <c r="F12" s="58">
        <f>RAVLT_Learning!J34</f>
        <v>7.8819729999999995</v>
      </c>
      <c r="G12" s="42">
        <f>RAVLT_Learning!C34</f>
        <v>-5.533351209311097</v>
      </c>
      <c r="H12" s="45">
        <f>SD_PERC_RAVLTL!T6</f>
        <v>0</v>
      </c>
    </row>
    <row r="13" spans="1:9">
      <c r="A13" s="3"/>
      <c r="B13" s="62" t="s">
        <v>53</v>
      </c>
      <c r="C13" s="38">
        <v>1</v>
      </c>
      <c r="D13" s="58">
        <f>RAVLT_Delayed!C27</f>
        <v>8.8981358441363234</v>
      </c>
      <c r="E13" s="58">
        <f>RAVLT_Delayed!C33</f>
        <v>-7.8981358441363234</v>
      </c>
      <c r="F13" s="58">
        <f>RAVLT_Delayed!J34</f>
        <v>2.8047849999999999</v>
      </c>
      <c r="G13" s="43">
        <f>RAVLT_Delayed!C34</f>
        <v>-2.8159505431383596</v>
      </c>
      <c r="H13" s="45">
        <f>SD_PERC_RAVLTD!T6</f>
        <v>0</v>
      </c>
    </row>
    <row r="14" spans="1:9">
      <c r="A14" s="3"/>
      <c r="B14" s="62" t="s">
        <v>54</v>
      </c>
      <c r="C14" s="38">
        <v>1</v>
      </c>
      <c r="D14" s="58">
        <f>DigDir!C27</f>
        <v>5.9085465262568517</v>
      </c>
      <c r="E14" s="58">
        <f>DigDir!C34</f>
        <v>-4.756620080873744</v>
      </c>
      <c r="F14" s="58">
        <f>DigDir!J34</f>
        <v>1.0319400000000001</v>
      </c>
      <c r="G14" s="43">
        <f>DigDir!C34</f>
        <v>-4.756620080873744</v>
      </c>
      <c r="H14" s="45">
        <f>SD_PERC_DigDir!T6</f>
        <v>0</v>
      </c>
      <c r="I14" s="40"/>
    </row>
    <row r="15" spans="1:9">
      <c r="A15" s="3"/>
      <c r="B15" s="62" t="s">
        <v>55</v>
      </c>
      <c r="C15" s="60">
        <v>1</v>
      </c>
      <c r="D15" s="58">
        <f>DigInv!C27</f>
        <v>4.2774111036502411</v>
      </c>
      <c r="E15" s="58">
        <f>DigInv!C33</f>
        <v>-3.2774111036502411</v>
      </c>
      <c r="F15" s="58">
        <f>DigInv!J34</f>
        <v>0.81645671659881813</v>
      </c>
      <c r="G15" s="43">
        <f>DigInv!C34</f>
        <v>-4.0141884278975937</v>
      </c>
      <c r="H15" s="45">
        <f>SD_PERC_DigInv!T6</f>
        <v>0</v>
      </c>
    </row>
    <row r="16" spans="1:9">
      <c r="A16" s="3"/>
      <c r="B16" s="62" t="s">
        <v>56</v>
      </c>
      <c r="C16" s="38">
        <v>1</v>
      </c>
      <c r="D16" s="58">
        <f>TMTA!C27</f>
        <v>3.4821742347067479</v>
      </c>
      <c r="E16" s="58">
        <f>TMTA!C33</f>
        <v>-3.4821742347067479</v>
      </c>
      <c r="F16" s="58">
        <f>TMTA!J34</f>
        <v>0.33576400000000001</v>
      </c>
      <c r="G16" s="43">
        <f>TMTA!C34</f>
        <v>10.370898115065188</v>
      </c>
      <c r="H16" s="45">
        <f>SD_PERC_TMTA!T6</f>
        <v>100</v>
      </c>
    </row>
    <row r="17" spans="1:8">
      <c r="A17" s="3"/>
      <c r="B17" s="62" t="s">
        <v>57</v>
      </c>
      <c r="C17" s="38">
        <v>1</v>
      </c>
      <c r="D17" s="58">
        <f>TMTB!C27</f>
        <v>4.4113913242607259</v>
      </c>
      <c r="E17" s="58">
        <f>TMTB!C33</f>
        <v>-4.4113913242607259</v>
      </c>
      <c r="F17" s="58">
        <f>TMTB!J34</f>
        <v>0.371282</v>
      </c>
      <c r="G17" s="43">
        <f>TMTB!C34</f>
        <v>11.881511423286682</v>
      </c>
      <c r="H17" s="45">
        <f>SD_PERC_TMTB!T6</f>
        <v>100</v>
      </c>
    </row>
    <row r="18" spans="1:8">
      <c r="A18" s="3"/>
      <c r="B18" s="62" t="s">
        <v>58</v>
      </c>
      <c r="C18" s="38">
        <v>1</v>
      </c>
      <c r="D18" s="59">
        <f>SEM!C27</f>
        <v>20.803765672469368</v>
      </c>
      <c r="E18" s="58">
        <f>SEM!C33</f>
        <v>-19.803765672469368</v>
      </c>
      <c r="F18" s="58">
        <f>SEM!J34</f>
        <v>4.4128970000000001</v>
      </c>
      <c r="G18" s="43">
        <f>SEM!C34</f>
        <v>-4.4877017688084191</v>
      </c>
      <c r="H18" s="45">
        <f>SD_PERC_SEM!T6</f>
        <v>0</v>
      </c>
    </row>
    <row r="19" spans="1:8">
      <c r="A19" s="3"/>
      <c r="B19" s="62" t="s">
        <v>59</v>
      </c>
      <c r="C19" s="38">
        <v>1</v>
      </c>
      <c r="D19" s="58">
        <f>FONO!C27</f>
        <v>17.024134824840644</v>
      </c>
      <c r="E19" s="58">
        <f>FONO!C33</f>
        <v>-16.024134824840644</v>
      </c>
      <c r="F19" s="58">
        <f>FONO!J34</f>
        <v>4.3349330000000004</v>
      </c>
      <c r="G19" s="44">
        <f>FONO!C34</f>
        <v>-3.6965126853957471</v>
      </c>
      <c r="H19" s="45">
        <f>SD_PERC_FONO!T6</f>
        <v>0</v>
      </c>
    </row>
    <row r="20" spans="1:8">
      <c r="C20" s="7"/>
      <c r="D20" s="7"/>
      <c r="E20" s="7"/>
      <c r="F20" s="7"/>
      <c r="G20" s="7"/>
    </row>
    <row r="43" spans="3:4">
      <c r="C43" s="4" t="s">
        <v>72</v>
      </c>
      <c r="D43" s="4">
        <f>LN(C16)</f>
        <v>0</v>
      </c>
    </row>
    <row r="44" spans="3:4">
      <c r="C44" s="4" t="s">
        <v>73</v>
      </c>
      <c r="D44" s="4">
        <f>LN(C17)</f>
        <v>0</v>
      </c>
    </row>
  </sheetData>
  <mergeCells count="3">
    <mergeCell ref="B2:D2"/>
    <mergeCell ref="B4:D5"/>
    <mergeCell ref="B11:C11"/>
  </mergeCell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2">
    <pageSetUpPr fitToPage="1"/>
  </sheetPr>
  <dimension ref="A1:N1006"/>
  <sheetViews>
    <sheetView showGridLines="0" zoomScaleNormal="100" workbookViewId="0">
      <selection activeCell="C6" sqref="C6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SD_PERC_RAVLTL!A42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29.5434365796478</v>
      </c>
      <c r="I6" s="10" t="s">
        <v>36</v>
      </c>
      <c r="J6">
        <v>62.125498372728998</v>
      </c>
      <c r="M6">
        <v>-2.6486869999999998</v>
      </c>
      <c r="N6">
        <v>0</v>
      </c>
    </row>
    <row r="7" spans="1:14">
      <c r="B7" t="s">
        <v>64</v>
      </c>
      <c r="C7">
        <v>-0.43731308998982499</v>
      </c>
      <c r="M7">
        <v>-2.5960841280000002</v>
      </c>
      <c r="N7">
        <v>0.1</v>
      </c>
    </row>
    <row r="8" spans="1:14">
      <c r="B8" t="s">
        <v>65</v>
      </c>
      <c r="C8">
        <v>4.6162081266235102</v>
      </c>
      <c r="I8" s="9"/>
      <c r="J8" s="9"/>
      <c r="M8">
        <v>-2.5434812560000002</v>
      </c>
      <c r="N8">
        <v>0.2</v>
      </c>
    </row>
    <row r="9" spans="1:14">
      <c r="B9" t="s">
        <v>66</v>
      </c>
      <c r="C9">
        <v>0.460099039162573</v>
      </c>
      <c r="H9" s="9" t="s">
        <v>34</v>
      </c>
      <c r="I9" s="56" t="s">
        <v>37</v>
      </c>
      <c r="J9" s="57"/>
      <c r="M9">
        <v>-2.5077859999999998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-2.4928409999999999</v>
      </c>
      <c r="N10">
        <v>0.4</v>
      </c>
    </row>
    <row r="11" spans="1:14">
      <c r="B11" s="29"/>
      <c r="C11" s="30"/>
      <c r="I11" s="14"/>
      <c r="J11" s="15"/>
      <c r="M11">
        <v>-2.4778959999999999</v>
      </c>
      <c r="N11">
        <v>0.5</v>
      </c>
    </row>
    <row r="12" spans="1:14">
      <c r="B12" s="29"/>
      <c r="C12" s="30"/>
      <c r="I12" s="14"/>
      <c r="J12" s="15"/>
      <c r="M12">
        <v>-2.4498998959999998</v>
      </c>
      <c r="N12">
        <v>0.6</v>
      </c>
    </row>
    <row r="13" spans="1:14">
      <c r="B13" s="29"/>
      <c r="C13" s="30"/>
      <c r="I13" s="14"/>
      <c r="J13" s="15"/>
      <c r="M13">
        <v>-2.4204207119999999</v>
      </c>
      <c r="N13">
        <v>0.7</v>
      </c>
    </row>
    <row r="14" spans="1:14">
      <c r="B14" s="29"/>
      <c r="C14" s="30"/>
      <c r="I14" s="14"/>
      <c r="J14" s="15"/>
      <c r="M14">
        <v>-2.383251816</v>
      </c>
      <c r="N14">
        <v>0.8</v>
      </c>
    </row>
    <row r="15" spans="1:14">
      <c r="B15" s="29"/>
      <c r="C15" s="30"/>
      <c r="I15" s="14"/>
      <c r="J15" s="15"/>
      <c r="M15">
        <v>-2.3316081679999998</v>
      </c>
      <c r="N15">
        <v>0.9</v>
      </c>
    </row>
    <row r="16" spans="1:14">
      <c r="B16" s="29"/>
      <c r="C16" s="30"/>
      <c r="I16" s="14"/>
      <c r="J16" s="15"/>
      <c r="M16">
        <v>-2.2799645200000001</v>
      </c>
      <c r="N16">
        <v>1</v>
      </c>
    </row>
    <row r="17" spans="1:14">
      <c r="B17" s="29"/>
      <c r="C17" s="30"/>
      <c r="I17" s="14"/>
      <c r="J17" s="15"/>
      <c r="M17">
        <v>-2.1971929440000002</v>
      </c>
      <c r="N17">
        <v>1.1000000000000001</v>
      </c>
    </row>
    <row r="18" spans="1:14">
      <c r="B18" s="29"/>
      <c r="C18" s="30"/>
      <c r="I18" s="14"/>
      <c r="J18" s="15"/>
      <c r="M18">
        <v>-2.1064398479999999</v>
      </c>
      <c r="N18">
        <v>1.2</v>
      </c>
    </row>
    <row r="19" spans="1:14">
      <c r="B19" s="29"/>
      <c r="C19" s="30"/>
      <c r="I19" s="14"/>
      <c r="J19" s="15"/>
      <c r="M19">
        <v>-2.0358746879999998</v>
      </c>
      <c r="N19">
        <v>1.3</v>
      </c>
    </row>
    <row r="20" spans="1:14">
      <c r="B20" s="29"/>
      <c r="C20" s="30"/>
      <c r="I20" s="14"/>
      <c r="J20" s="15"/>
      <c r="M20">
        <v>-2.0275556639999999</v>
      </c>
      <c r="N20">
        <v>1.4</v>
      </c>
    </row>
    <row r="21" spans="1:14">
      <c r="B21" s="29"/>
      <c r="C21" s="30"/>
      <c r="I21" s="14"/>
      <c r="J21" s="15"/>
      <c r="M21">
        <v>-2.0192366399999999</v>
      </c>
      <c r="N21">
        <v>1.5</v>
      </c>
    </row>
    <row r="22" spans="1:14">
      <c r="B22" s="29"/>
      <c r="C22" s="30"/>
      <c r="I22" s="16"/>
      <c r="J22" s="17"/>
      <c r="M22">
        <v>-2.0048645280000001</v>
      </c>
      <c r="N22">
        <v>1.6</v>
      </c>
    </row>
    <row r="23" spans="1:14">
      <c r="B23" s="29"/>
      <c r="C23" s="30"/>
      <c r="M23">
        <v>-1.987821936</v>
      </c>
      <c r="N23">
        <v>1.7</v>
      </c>
    </row>
    <row r="24" spans="1:14">
      <c r="B24" s="31"/>
      <c r="C24" s="11"/>
      <c r="M24">
        <v>-1.9693788400000001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-1.94253272</v>
      </c>
      <c r="N25">
        <v>1.9</v>
      </c>
    </row>
    <row r="26" spans="1:14">
      <c r="I26" s="12" t="s">
        <v>1</v>
      </c>
      <c r="J26" s="13" t="s">
        <v>17</v>
      </c>
      <c r="M26">
        <v>-1.9156865999999999</v>
      </c>
      <c r="N26">
        <v>2</v>
      </c>
    </row>
    <row r="27" spans="1:14">
      <c r="A27" s="34">
        <v>4</v>
      </c>
      <c r="B27" s="2" t="s">
        <v>2</v>
      </c>
      <c r="C27" s="32">
        <f>C6+(C7*('Normative data'!C6-71.28))+(RAVLT_Learning!C8*'Normative data'!C7)+(C9*'Normative data'!C8)</f>
        <v>44.613724831307415</v>
      </c>
      <c r="I27" s="14"/>
      <c r="J27" s="15"/>
      <c r="M27">
        <v>-1.904303976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s="14"/>
      <c r="J28" s="15"/>
      <c r="M28">
        <v>-1.9035858320000001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s="14"/>
      <c r="J29" s="15"/>
      <c r="M29">
        <v>-1.90274956</v>
      </c>
      <c r="N29">
        <v>2.2999999999999998</v>
      </c>
    </row>
    <row r="30" spans="1:14">
      <c r="B30" s="2" t="s">
        <v>8</v>
      </c>
      <c r="I30" s="14"/>
      <c r="J30" s="15"/>
      <c r="M30">
        <v>-1.8991372799999999</v>
      </c>
      <c r="N30">
        <v>2.4</v>
      </c>
    </row>
    <row r="31" spans="1:14">
      <c r="I31" s="14"/>
      <c r="J31" s="15"/>
      <c r="M31">
        <v>-1.8955249999999999</v>
      </c>
      <c r="N31">
        <v>2.5</v>
      </c>
    </row>
    <row r="32" spans="1:14">
      <c r="I32" s="35"/>
      <c r="J32" s="17"/>
      <c r="M32">
        <v>-1.8891373600000001</v>
      </c>
      <c r="N32">
        <v>2.6</v>
      </c>
    </row>
    <row r="33" spans="2:14">
      <c r="B33" t="s">
        <v>9</v>
      </c>
      <c r="C33">
        <f>'Normative data'!C12-RAVLT_Learning!C27</f>
        <v>-43.613724831307415</v>
      </c>
      <c r="M33">
        <v>-1.8798587200000001</v>
      </c>
      <c r="N33">
        <v>2.7</v>
      </c>
    </row>
    <row r="34" spans="2:14">
      <c r="B34" t="s">
        <v>12</v>
      </c>
      <c r="C34">
        <f>C33/SD_PERC_RAVLTL!I38</f>
        <v>-5.533351209311097</v>
      </c>
      <c r="I34" t="s">
        <v>41</v>
      </c>
      <c r="J34">
        <f>SD_PERC_RAVLTL!I38</f>
        <v>7.8819729999999995</v>
      </c>
      <c r="M34">
        <v>-1.8705800800000001</v>
      </c>
      <c r="N34">
        <v>2.8</v>
      </c>
    </row>
    <row r="35" spans="2:14">
      <c r="M35">
        <v>-1.851758464</v>
      </c>
      <c r="N35">
        <v>2.9</v>
      </c>
    </row>
    <row r="36" spans="2:14">
      <c r="M36">
        <v>-1.83231448</v>
      </c>
      <c r="N36">
        <v>3</v>
      </c>
    </row>
    <row r="37" spans="2:14">
      <c r="M37">
        <v>-1.818871152</v>
      </c>
      <c r="N37">
        <v>3.1</v>
      </c>
    </row>
    <row r="38" spans="2:14">
      <c r="M38">
        <v>-1.814902544</v>
      </c>
      <c r="N38">
        <v>3.2</v>
      </c>
    </row>
    <row r="39" spans="2:14">
      <c r="M39">
        <v>-1.8109339360000001</v>
      </c>
      <c r="N39">
        <v>3.3</v>
      </c>
    </row>
    <row r="40" spans="2:14">
      <c r="M40">
        <v>-1.801400152</v>
      </c>
      <c r="N40">
        <v>3.4</v>
      </c>
    </row>
    <row r="41" spans="2:14">
      <c r="M41">
        <v>-1.79078048</v>
      </c>
      <c r="N41">
        <v>3.5</v>
      </c>
    </row>
    <row r="42" spans="2:14">
      <c r="M42">
        <v>-1.783152552</v>
      </c>
      <c r="N42">
        <v>3.6</v>
      </c>
    </row>
    <row r="43" spans="2:14">
      <c r="M43">
        <v>-1.783003984</v>
      </c>
      <c r="N43">
        <v>3.7</v>
      </c>
    </row>
    <row r="44" spans="2:14">
      <c r="M44">
        <v>-1.7828554160000001</v>
      </c>
      <c r="N44">
        <v>3.8</v>
      </c>
    </row>
    <row r="45" spans="2:14">
      <c r="M45">
        <v>-1.7744579519999999</v>
      </c>
      <c r="N45">
        <v>3.9</v>
      </c>
    </row>
    <row r="46" spans="2:14">
      <c r="M46">
        <v>-1.76308172</v>
      </c>
      <c r="N46">
        <v>4</v>
      </c>
    </row>
    <row r="47" spans="2:14">
      <c r="M47">
        <v>-1.752968584</v>
      </c>
      <c r="N47">
        <v>4.0999999999999996</v>
      </c>
    </row>
    <row r="48" spans="2:14">
      <c r="M48">
        <v>-1.7484692079999999</v>
      </c>
      <c r="N48">
        <v>4.2</v>
      </c>
    </row>
    <row r="49" spans="13:14">
      <c r="M49">
        <v>-1.7439698320000001</v>
      </c>
      <c r="N49">
        <v>4.3</v>
      </c>
    </row>
    <row r="50" spans="13:14">
      <c r="M50">
        <v>-1.73905208</v>
      </c>
      <c r="N50">
        <v>4.4000000000000004</v>
      </c>
    </row>
    <row r="51" spans="13:14">
      <c r="M51">
        <v>-1.7338914000000001</v>
      </c>
      <c r="N51">
        <v>4.5</v>
      </c>
    </row>
    <row r="52" spans="13:14">
      <c r="M52">
        <v>-1.7277808960000001</v>
      </c>
      <c r="N52">
        <v>4.5999999999999996</v>
      </c>
    </row>
    <row r="53" spans="13:14">
      <c r="M53">
        <v>-1.710984872</v>
      </c>
      <c r="N53">
        <v>4.7</v>
      </c>
    </row>
    <row r="54" spans="13:14">
      <c r="M54">
        <v>-1.694188848</v>
      </c>
      <c r="N54">
        <v>4.8</v>
      </c>
    </row>
    <row r="55" spans="13:14">
      <c r="M55">
        <v>-1.6624130800000001</v>
      </c>
      <c r="N55">
        <v>4.9000000000000004</v>
      </c>
    </row>
    <row r="56" spans="13:14">
      <c r="M56">
        <v>-1.617386</v>
      </c>
      <c r="N56">
        <v>5</v>
      </c>
    </row>
    <row r="57" spans="13:14">
      <c r="M57">
        <v>-1.5723589200000001</v>
      </c>
      <c r="N57">
        <v>5.0999999999999996</v>
      </c>
    </row>
    <row r="58" spans="13:14">
      <c r="M58">
        <v>-1.5709204480000001</v>
      </c>
      <c r="N58">
        <v>5.2</v>
      </c>
    </row>
    <row r="59" spans="13:14">
      <c r="M59">
        <v>-1.5703900719999999</v>
      </c>
      <c r="N59">
        <v>5.3</v>
      </c>
    </row>
    <row r="60" spans="13:14">
      <c r="M60">
        <v>-1.5689377120000001</v>
      </c>
      <c r="N60">
        <v>5.4</v>
      </c>
    </row>
    <row r="61" spans="13:14">
      <c r="M61">
        <v>-1.5662560400000001</v>
      </c>
      <c r="N61">
        <v>5.5</v>
      </c>
    </row>
    <row r="62" spans="13:14">
      <c r="M62">
        <v>-1.563574368</v>
      </c>
      <c r="N62">
        <v>5.6</v>
      </c>
    </row>
    <row r="63" spans="13:14">
      <c r="M63">
        <v>-1.56007604</v>
      </c>
      <c r="N63">
        <v>5.7</v>
      </c>
    </row>
    <row r="64" spans="13:14">
      <c r="M64">
        <v>-1.55646376</v>
      </c>
      <c r="N64">
        <v>5.8</v>
      </c>
    </row>
    <row r="65" spans="13:14">
      <c r="M65">
        <v>-1.5529886959999999</v>
      </c>
      <c r="N65">
        <v>5.9</v>
      </c>
    </row>
    <row r="66" spans="13:14">
      <c r="M66">
        <v>-1.5497966400000001</v>
      </c>
      <c r="N66">
        <v>6</v>
      </c>
    </row>
    <row r="67" spans="13:14">
      <c r="M67">
        <v>-1.546604584</v>
      </c>
      <c r="N67">
        <v>6.1</v>
      </c>
    </row>
    <row r="68" spans="13:14">
      <c r="M68">
        <v>-1.5385312</v>
      </c>
      <c r="N68">
        <v>6.2</v>
      </c>
    </row>
    <row r="69" spans="13:14">
      <c r="M69">
        <v>-1.5290448000000001</v>
      </c>
      <c r="N69">
        <v>6.3</v>
      </c>
    </row>
    <row r="70" spans="13:14">
      <c r="M70">
        <v>-1.5173276</v>
      </c>
      <c r="N70">
        <v>6.4</v>
      </c>
    </row>
    <row r="71" spans="13:14">
      <c r="M71">
        <v>-1.4979039999999999</v>
      </c>
      <c r="N71">
        <v>6.5</v>
      </c>
    </row>
    <row r="72" spans="13:14">
      <c r="M72">
        <v>-1.4784804</v>
      </c>
      <c r="N72">
        <v>6.6</v>
      </c>
    </row>
    <row r="73" spans="13:14">
      <c r="M73">
        <v>-1.470228224</v>
      </c>
      <c r="N73">
        <v>6.7</v>
      </c>
    </row>
    <row r="74" spans="13:14">
      <c r="M74">
        <v>-1.467392496</v>
      </c>
      <c r="N74">
        <v>6.8</v>
      </c>
    </row>
    <row r="75" spans="13:14">
      <c r="M75">
        <v>-1.464133264</v>
      </c>
      <c r="N75">
        <v>6.9</v>
      </c>
    </row>
    <row r="76" spans="13:14">
      <c r="M76">
        <v>-1.4578389199999999</v>
      </c>
      <c r="N76">
        <v>7</v>
      </c>
    </row>
    <row r="77" spans="13:14">
      <c r="M77">
        <v>-1.4515445760000001</v>
      </c>
      <c r="N77">
        <v>7.1</v>
      </c>
    </row>
    <row r="78" spans="13:14">
      <c r="M78">
        <v>-1.437165848</v>
      </c>
      <c r="N78">
        <v>7.2</v>
      </c>
    </row>
    <row r="79" spans="13:14">
      <c r="M79">
        <v>-1.416723832</v>
      </c>
      <c r="N79">
        <v>7.3</v>
      </c>
    </row>
    <row r="80" spans="13:14">
      <c r="M80">
        <v>-1.396371568</v>
      </c>
      <c r="N80">
        <v>7.4</v>
      </c>
    </row>
    <row r="81" spans="13:14">
      <c r="M81">
        <v>-1.3803274000000001</v>
      </c>
      <c r="N81">
        <v>7.5</v>
      </c>
    </row>
    <row r="82" spans="13:14">
      <c r="M82">
        <v>-1.364283232</v>
      </c>
      <c r="N82">
        <v>7.6</v>
      </c>
    </row>
    <row r="83" spans="13:14">
      <c r="M83">
        <v>-1.3557000800000001</v>
      </c>
      <c r="N83">
        <v>7.7</v>
      </c>
    </row>
    <row r="84" spans="13:14">
      <c r="M84">
        <v>-1.3555511200000001</v>
      </c>
      <c r="N84">
        <v>7.8</v>
      </c>
    </row>
    <row r="85" spans="13:14">
      <c r="M85">
        <v>-1.3554021599999999</v>
      </c>
      <c r="N85">
        <v>7.9</v>
      </c>
    </row>
    <row r="86" spans="13:14">
      <c r="M86">
        <v>-1.3468688</v>
      </c>
      <c r="N86">
        <v>8</v>
      </c>
    </row>
    <row r="87" spans="13:14">
      <c r="M87">
        <v>-1.33759016</v>
      </c>
      <c r="N87">
        <v>8.1</v>
      </c>
    </row>
    <row r="88" spans="13:14">
      <c r="M88">
        <v>-1.3312132640000001</v>
      </c>
      <c r="N88">
        <v>8.1999999999999993</v>
      </c>
    </row>
    <row r="89" spans="13:14">
      <c r="M89">
        <v>-1.3298338160000001</v>
      </c>
      <c r="N89">
        <v>8.3000000000000007</v>
      </c>
    </row>
    <row r="90" spans="13:14">
      <c r="M90">
        <v>-1.3284543680000001</v>
      </c>
      <c r="N90">
        <v>8.4</v>
      </c>
    </row>
    <row r="91" spans="13:14">
      <c r="M91">
        <v>-1.3274451599999999</v>
      </c>
      <c r="N91">
        <v>8.5</v>
      </c>
    </row>
    <row r="92" spans="13:14">
      <c r="M92">
        <v>-1.3265192560000001</v>
      </c>
      <c r="N92">
        <v>8.6</v>
      </c>
    </row>
    <row r="93" spans="13:14">
      <c r="M93">
        <v>-1.3248515199999999</v>
      </c>
      <c r="N93">
        <v>8.6999999999999993</v>
      </c>
    </row>
    <row r="94" spans="13:14">
      <c r="M94">
        <v>-1.32112948</v>
      </c>
      <c r="N94">
        <v>8.8000000000000007</v>
      </c>
    </row>
    <row r="95" spans="13:14">
      <c r="M95">
        <v>-1.31740744</v>
      </c>
      <c r="N95">
        <v>8.9</v>
      </c>
    </row>
    <row r="96" spans="13:14">
      <c r="M96">
        <v>-1.31387356</v>
      </c>
      <c r="N96">
        <v>9</v>
      </c>
    </row>
    <row r="97" spans="13:14">
      <c r="M97">
        <v>-1.3104149439999999</v>
      </c>
      <c r="N97">
        <v>9.1</v>
      </c>
    </row>
    <row r="98" spans="13:14">
      <c r="M98">
        <v>-1.306503016</v>
      </c>
      <c r="N98">
        <v>9.1999999999999993</v>
      </c>
    </row>
    <row r="99" spans="13:14">
      <c r="M99">
        <v>-1.3002678640000001</v>
      </c>
      <c r="N99">
        <v>9.3000000000000007</v>
      </c>
    </row>
    <row r="100" spans="13:14">
      <c r="M100">
        <v>-1.2940327119999999</v>
      </c>
      <c r="N100">
        <v>9.4</v>
      </c>
    </row>
    <row r="101" spans="13:14">
      <c r="M101">
        <v>-1.2883762000000001</v>
      </c>
      <c r="N101">
        <v>9.5</v>
      </c>
    </row>
    <row r="102" spans="13:14">
      <c r="M102">
        <v>-1.2830861600000001</v>
      </c>
      <c r="N102">
        <v>9.6</v>
      </c>
    </row>
    <row r="103" spans="13:14">
      <c r="M103">
        <v>-1.2777057839999999</v>
      </c>
      <c r="N103">
        <v>9.6999999999999993</v>
      </c>
    </row>
    <row r="104" spans="13:14">
      <c r="M104">
        <v>-1.270940256</v>
      </c>
      <c r="N104">
        <v>9.8000000000000007</v>
      </c>
    </row>
    <row r="105" spans="13:14">
      <c r="M105">
        <v>-1.264174728</v>
      </c>
      <c r="N105">
        <v>9.9</v>
      </c>
    </row>
    <row r="106" spans="13:14">
      <c r="M106">
        <v>-1.2543926000000001</v>
      </c>
      <c r="N106">
        <v>10</v>
      </c>
    </row>
    <row r="107" spans="13:14">
      <c r="M107">
        <v>-1.2417145359999999</v>
      </c>
      <c r="N107">
        <v>10.1</v>
      </c>
    </row>
    <row r="108" spans="13:14">
      <c r="M108">
        <v>-1.229036472</v>
      </c>
      <c r="N108">
        <v>10.199999999999999</v>
      </c>
    </row>
    <row r="109" spans="13:14">
      <c r="M109">
        <v>-1.22576668</v>
      </c>
      <c r="N109">
        <v>10.3</v>
      </c>
    </row>
    <row r="110" spans="13:14">
      <c r="M110">
        <v>-1.22289724</v>
      </c>
      <c r="N110">
        <v>10.4</v>
      </c>
    </row>
    <row r="111" spans="13:14">
      <c r="M111">
        <v>-1.2211382</v>
      </c>
      <c r="N111">
        <v>10.5</v>
      </c>
    </row>
    <row r="112" spans="13:14">
      <c r="M112">
        <v>-1.22098924</v>
      </c>
      <c r="N112">
        <v>10.6</v>
      </c>
    </row>
    <row r="113" spans="13:14">
      <c r="M113">
        <v>-1.22084028</v>
      </c>
      <c r="N113">
        <v>10.7</v>
      </c>
    </row>
    <row r="114" spans="13:14">
      <c r="M114">
        <v>-1.2104355920000001</v>
      </c>
      <c r="N114">
        <v>10.8</v>
      </c>
    </row>
    <row r="115" spans="13:14">
      <c r="M115">
        <v>-1.1983216160000001</v>
      </c>
      <c r="N115">
        <v>10.9</v>
      </c>
    </row>
    <row r="116" spans="13:14">
      <c r="M116">
        <v>-1.18880396</v>
      </c>
      <c r="N116">
        <v>11</v>
      </c>
    </row>
    <row r="117" spans="13:14">
      <c r="M117">
        <v>-1.185171296</v>
      </c>
      <c r="N117">
        <v>11.1</v>
      </c>
    </row>
    <row r="118" spans="13:14">
      <c r="M118">
        <v>-1.1815386320000001</v>
      </c>
      <c r="N118">
        <v>11.2</v>
      </c>
    </row>
    <row r="119" spans="13:14">
      <c r="M119">
        <v>-1.17395644</v>
      </c>
      <c r="N119">
        <v>11.3</v>
      </c>
    </row>
    <row r="120" spans="13:14">
      <c r="M120">
        <v>-1.16509332</v>
      </c>
      <c r="N120">
        <v>11.4</v>
      </c>
    </row>
    <row r="121" spans="13:14">
      <c r="M121">
        <v>-1.1572604399999999</v>
      </c>
      <c r="N121">
        <v>11.5</v>
      </c>
    </row>
    <row r="122" spans="13:14">
      <c r="M122">
        <v>-1.153445496</v>
      </c>
      <c r="N122">
        <v>11.6</v>
      </c>
    </row>
    <row r="123" spans="13:14">
      <c r="M123">
        <v>-1.1496305520000001</v>
      </c>
      <c r="N123">
        <v>11.7</v>
      </c>
    </row>
    <row r="124" spans="13:14">
      <c r="M124">
        <v>-1.1407803439999999</v>
      </c>
      <c r="N124">
        <v>11.8</v>
      </c>
    </row>
    <row r="125" spans="13:14">
      <c r="M125">
        <v>-1.129255152</v>
      </c>
      <c r="N125">
        <v>11.9</v>
      </c>
    </row>
    <row r="126" spans="13:14">
      <c r="M126">
        <v>-1.1182485600000001</v>
      </c>
      <c r="N126">
        <v>12</v>
      </c>
    </row>
    <row r="127" spans="13:14">
      <c r="M127">
        <v>-1.111805648</v>
      </c>
      <c r="N127">
        <v>12.1</v>
      </c>
    </row>
    <row r="128" spans="13:14">
      <c r="M128">
        <v>-1.105362736</v>
      </c>
      <c r="N128">
        <v>12.2</v>
      </c>
    </row>
    <row r="129" spans="13:14">
      <c r="M129">
        <v>-1.101021936</v>
      </c>
      <c r="N129">
        <v>12.3</v>
      </c>
    </row>
    <row r="130" spans="13:14">
      <c r="M130">
        <v>-1.0983939680000001</v>
      </c>
      <c r="N130">
        <v>12.4</v>
      </c>
    </row>
    <row r="131" spans="13:14">
      <c r="M131">
        <v>-1.095766</v>
      </c>
      <c r="N131">
        <v>12.5</v>
      </c>
    </row>
    <row r="132" spans="13:14">
      <c r="M132">
        <v>-1.0895304560000001</v>
      </c>
      <c r="N132">
        <v>12.6</v>
      </c>
    </row>
    <row r="133" spans="13:14">
      <c r="M133">
        <v>-1.0832949119999999</v>
      </c>
      <c r="N133">
        <v>12.7</v>
      </c>
    </row>
    <row r="134" spans="13:14">
      <c r="M134">
        <v>-1.0763794799999999</v>
      </c>
      <c r="N134">
        <v>12.8</v>
      </c>
    </row>
    <row r="135" spans="13:14">
      <c r="M135">
        <v>-1.0686296399999999</v>
      </c>
      <c r="N135">
        <v>12.9</v>
      </c>
    </row>
    <row r="136" spans="13:14">
      <c r="M136">
        <v>-1.0608797999999999</v>
      </c>
      <c r="N136">
        <v>13</v>
      </c>
    </row>
    <row r="137" spans="13:14">
      <c r="M137">
        <v>-1.0412034960000001</v>
      </c>
      <c r="N137">
        <v>13.1</v>
      </c>
    </row>
    <row r="138" spans="13:14">
      <c r="M138">
        <v>-1.0201719119999999</v>
      </c>
      <c r="N138">
        <v>13.2</v>
      </c>
    </row>
    <row r="139" spans="13:14">
      <c r="M139">
        <v>-1.0063854560000001</v>
      </c>
      <c r="N139">
        <v>13.3</v>
      </c>
    </row>
    <row r="140" spans="13:14">
      <c r="M140">
        <v>-1.0062368880000001</v>
      </c>
      <c r="N140">
        <v>13.4</v>
      </c>
    </row>
    <row r="141" spans="13:14">
      <c r="M141">
        <v>-1.0060883199999999</v>
      </c>
      <c r="N141">
        <v>13.5</v>
      </c>
    </row>
    <row r="142" spans="13:14">
      <c r="M142">
        <v>-1.0039395200000001</v>
      </c>
      <c r="N142">
        <v>13.6</v>
      </c>
    </row>
    <row r="143" spans="13:14">
      <c r="M143">
        <v>-1.00127784</v>
      </c>
      <c r="N143">
        <v>13.7</v>
      </c>
    </row>
    <row r="144" spans="13:14">
      <c r="M144">
        <v>-0.99913811200000002</v>
      </c>
      <c r="N144">
        <v>13.8</v>
      </c>
    </row>
    <row r="145" spans="13:14">
      <c r="M145">
        <v>-0.99860773599999997</v>
      </c>
      <c r="N145">
        <v>13.9</v>
      </c>
    </row>
    <row r="146" spans="13:14">
      <c r="M146">
        <v>-0.99807736000000002</v>
      </c>
      <c r="N146">
        <v>14</v>
      </c>
    </row>
    <row r="147" spans="13:14">
      <c r="M147">
        <v>-0.99788807199999996</v>
      </c>
      <c r="N147">
        <v>14.1</v>
      </c>
    </row>
    <row r="148" spans="13:14">
      <c r="M148">
        <v>-0.99784926399999996</v>
      </c>
      <c r="N148">
        <v>14.2</v>
      </c>
    </row>
    <row r="149" spans="13:14">
      <c r="M149">
        <v>-0.99763288000000006</v>
      </c>
      <c r="N149">
        <v>14.3</v>
      </c>
    </row>
    <row r="150" spans="13:14">
      <c r="M150">
        <v>-0.99635103999999997</v>
      </c>
      <c r="N150">
        <v>14.4</v>
      </c>
    </row>
    <row r="151" spans="13:14">
      <c r="M151">
        <v>-0.99506919999999999</v>
      </c>
      <c r="N151">
        <v>14.5</v>
      </c>
    </row>
    <row r="152" spans="13:14">
      <c r="M152">
        <v>-0.99006213600000004</v>
      </c>
      <c r="N152">
        <v>14.6</v>
      </c>
    </row>
    <row r="153" spans="13:14">
      <c r="M153">
        <v>-0.982485952</v>
      </c>
      <c r="N153">
        <v>14.7</v>
      </c>
    </row>
    <row r="154" spans="13:14">
      <c r="M154">
        <v>-0.97508768800000001</v>
      </c>
      <c r="N154">
        <v>14.8</v>
      </c>
    </row>
    <row r="155" spans="13:14">
      <c r="M155">
        <v>-0.97187054399999995</v>
      </c>
      <c r="N155">
        <v>14.9</v>
      </c>
    </row>
    <row r="156" spans="13:14">
      <c r="M156">
        <v>-0.9686534</v>
      </c>
      <c r="N156">
        <v>15</v>
      </c>
    </row>
    <row r="157" spans="13:14">
      <c r="M157">
        <v>-0.96693903999999997</v>
      </c>
      <c r="N157">
        <v>15.1</v>
      </c>
    </row>
    <row r="158" spans="13:14">
      <c r="M158">
        <v>-0.96679008</v>
      </c>
      <c r="N158">
        <v>15.2</v>
      </c>
    </row>
    <row r="159" spans="13:14">
      <c r="M159">
        <v>-0.96664112000000002</v>
      </c>
      <c r="N159">
        <v>15.3</v>
      </c>
    </row>
    <row r="160" spans="13:14">
      <c r="M160">
        <v>-0.96590262400000004</v>
      </c>
      <c r="N160">
        <v>15.4</v>
      </c>
    </row>
    <row r="161" spans="13:14">
      <c r="M161">
        <v>-0.96512567999999999</v>
      </c>
      <c r="N161">
        <v>15.5</v>
      </c>
    </row>
    <row r="162" spans="13:14">
      <c r="M162">
        <v>-0.96411495999999997</v>
      </c>
      <c r="N162">
        <v>15.6</v>
      </c>
    </row>
    <row r="163" spans="13:14">
      <c r="M163">
        <v>-0.96273512000000006</v>
      </c>
      <c r="N163">
        <v>15.7</v>
      </c>
    </row>
    <row r="164" spans="13:14">
      <c r="M164">
        <v>-0.96135528000000003</v>
      </c>
      <c r="N164">
        <v>15.8</v>
      </c>
    </row>
    <row r="165" spans="13:14">
      <c r="M165">
        <v>-0.95022367200000002</v>
      </c>
      <c r="N165">
        <v>15.9</v>
      </c>
    </row>
    <row r="166" spans="13:14">
      <c r="M166">
        <v>-0.93718928000000001</v>
      </c>
      <c r="N166">
        <v>16</v>
      </c>
    </row>
    <row r="167" spans="13:14">
      <c r="M167">
        <v>-0.92728360799999998</v>
      </c>
      <c r="N167">
        <v>16.100000000000001</v>
      </c>
    </row>
    <row r="168" spans="13:14">
      <c r="M168">
        <v>-0.92519973600000005</v>
      </c>
      <c r="N168">
        <v>16.2</v>
      </c>
    </row>
    <row r="169" spans="13:14">
      <c r="M169">
        <v>-0.92311586400000001</v>
      </c>
      <c r="N169">
        <v>16.3</v>
      </c>
    </row>
    <row r="170" spans="13:14">
      <c r="M170">
        <v>-0.91992722400000004</v>
      </c>
      <c r="N170">
        <v>16.399999999999999</v>
      </c>
    </row>
    <row r="171" spans="13:14">
      <c r="M171">
        <v>-0.91633964000000001</v>
      </c>
      <c r="N171">
        <v>16.5</v>
      </c>
    </row>
    <row r="172" spans="13:14">
      <c r="M172">
        <v>-0.91323733600000001</v>
      </c>
      <c r="N172">
        <v>16.600000000000001</v>
      </c>
    </row>
    <row r="173" spans="13:14">
      <c r="M173">
        <v>-0.91229183199999997</v>
      </c>
      <c r="N173">
        <v>16.7</v>
      </c>
    </row>
    <row r="174" spans="13:14">
      <c r="M174">
        <v>-0.91134632800000004</v>
      </c>
      <c r="N174">
        <v>16.8</v>
      </c>
    </row>
    <row r="175" spans="13:14">
      <c r="M175">
        <v>-0.91088020800000002</v>
      </c>
      <c r="N175">
        <v>16.899999999999999</v>
      </c>
    </row>
    <row r="176" spans="13:14">
      <c r="M176">
        <v>-0.91069244000000005</v>
      </c>
      <c r="N176">
        <v>17</v>
      </c>
    </row>
    <row r="177" spans="13:14">
      <c r="M177">
        <v>-0.91036409600000001</v>
      </c>
      <c r="N177">
        <v>17.100000000000001</v>
      </c>
    </row>
    <row r="178" spans="13:14">
      <c r="M178">
        <v>-0.90845427199999995</v>
      </c>
      <c r="N178">
        <v>17.2</v>
      </c>
    </row>
    <row r="179" spans="13:14">
      <c r="M179">
        <v>-0.906544448</v>
      </c>
      <c r="N179">
        <v>17.3</v>
      </c>
    </row>
    <row r="180" spans="13:14">
      <c r="M180">
        <v>-0.90545892800000005</v>
      </c>
      <c r="N180">
        <v>17.399999999999999</v>
      </c>
    </row>
    <row r="181" spans="13:14">
      <c r="M181">
        <v>-0.90510259999999998</v>
      </c>
      <c r="N181">
        <v>17.5</v>
      </c>
    </row>
    <row r="182" spans="13:14">
      <c r="M182">
        <v>-0.90474627200000002</v>
      </c>
      <c r="N182">
        <v>17.600000000000001</v>
      </c>
    </row>
    <row r="183" spans="13:14">
      <c r="M183">
        <v>-0.89287186399999996</v>
      </c>
      <c r="N183">
        <v>17.7</v>
      </c>
    </row>
    <row r="184" spans="13:14">
      <c r="M184">
        <v>-0.88075749599999997</v>
      </c>
      <c r="N184">
        <v>17.8</v>
      </c>
    </row>
    <row r="185" spans="13:14">
      <c r="M185">
        <v>-0.87312217599999997</v>
      </c>
      <c r="N185">
        <v>17.899999999999999</v>
      </c>
    </row>
    <row r="186" spans="13:14">
      <c r="M186">
        <v>-0.87145892000000003</v>
      </c>
      <c r="N186">
        <v>18</v>
      </c>
    </row>
    <row r="187" spans="13:14">
      <c r="M187">
        <v>-0.86979566399999997</v>
      </c>
      <c r="N187">
        <v>18.100000000000001</v>
      </c>
    </row>
    <row r="188" spans="13:14">
      <c r="M188">
        <v>-0.86791568799999996</v>
      </c>
      <c r="N188">
        <v>18.2</v>
      </c>
    </row>
    <row r="189" spans="13:14">
      <c r="M189">
        <v>-0.866005472</v>
      </c>
      <c r="N189">
        <v>18.3</v>
      </c>
    </row>
    <row r="190" spans="13:14">
      <c r="M190">
        <v>-0.86317109599999997</v>
      </c>
      <c r="N190">
        <v>18.399999999999999</v>
      </c>
    </row>
    <row r="191" spans="13:14">
      <c r="M191">
        <v>-0.85843064000000002</v>
      </c>
      <c r="N191">
        <v>18.5</v>
      </c>
    </row>
    <row r="192" spans="13:14">
      <c r="M192">
        <v>-0.85369018399999996</v>
      </c>
      <c r="N192">
        <v>18.600000000000001</v>
      </c>
    </row>
    <row r="193" spans="13:14">
      <c r="M193">
        <v>-0.84415564799999998</v>
      </c>
      <c r="N193">
        <v>18.7</v>
      </c>
    </row>
    <row r="194" spans="13:14">
      <c r="M194">
        <v>-0.83323335200000004</v>
      </c>
      <c r="N194">
        <v>18.8</v>
      </c>
    </row>
    <row r="195" spans="13:14">
      <c r="M195">
        <v>-0.82416099200000004</v>
      </c>
      <c r="N195">
        <v>18.899999999999999</v>
      </c>
    </row>
    <row r="196" spans="13:14">
      <c r="M196">
        <v>-0.82147932000000001</v>
      </c>
      <c r="N196">
        <v>19</v>
      </c>
    </row>
    <row r="197" spans="13:14">
      <c r="M197">
        <v>-0.81879764799999999</v>
      </c>
      <c r="N197">
        <v>19.100000000000001</v>
      </c>
    </row>
    <row r="198" spans="13:14">
      <c r="M198">
        <v>-0.81092335999999998</v>
      </c>
      <c r="N198">
        <v>19.2</v>
      </c>
    </row>
    <row r="199" spans="13:14">
      <c r="M199">
        <v>-0.80053143999999998</v>
      </c>
      <c r="N199">
        <v>19.3</v>
      </c>
    </row>
    <row r="200" spans="13:14">
      <c r="M200">
        <v>-0.79134710399999997</v>
      </c>
      <c r="N200">
        <v>19.399999999999999</v>
      </c>
    </row>
    <row r="201" spans="13:14">
      <c r="M201">
        <v>-0.79081712000000004</v>
      </c>
      <c r="N201">
        <v>19.5</v>
      </c>
    </row>
    <row r="202" spans="13:14">
      <c r="M202">
        <v>-0.790287136</v>
      </c>
      <c r="N202">
        <v>19.600000000000001</v>
      </c>
    </row>
    <row r="203" spans="13:14">
      <c r="M203">
        <v>-0.78971526400000003</v>
      </c>
      <c r="N203">
        <v>19.7</v>
      </c>
    </row>
    <row r="204" spans="13:14">
      <c r="M204">
        <v>-0.78911197600000005</v>
      </c>
      <c r="N204">
        <v>19.8</v>
      </c>
    </row>
    <row r="205" spans="13:14">
      <c r="M205">
        <v>-0.78851321600000002</v>
      </c>
      <c r="N205">
        <v>19.899999999999999</v>
      </c>
    </row>
    <row r="206" spans="13:14">
      <c r="M206">
        <v>-0.78813180000000005</v>
      </c>
      <c r="N206">
        <v>20</v>
      </c>
    </row>
    <row r="207" spans="13:14">
      <c r="M207">
        <v>-0.78775038399999997</v>
      </c>
      <c r="N207">
        <v>20.100000000000001</v>
      </c>
    </row>
    <row r="208" spans="13:14">
      <c r="M208">
        <v>-0.78658163199999998</v>
      </c>
      <c r="N208">
        <v>20.2</v>
      </c>
    </row>
    <row r="209" spans="13:14">
      <c r="M209">
        <v>-0.78452284800000005</v>
      </c>
      <c r="N209">
        <v>20.3</v>
      </c>
    </row>
    <row r="210" spans="13:14">
      <c r="M210">
        <v>-0.78246406400000001</v>
      </c>
      <c r="N210">
        <v>20.399999999999999</v>
      </c>
    </row>
    <row r="211" spans="13:14">
      <c r="M211">
        <v>-0.78002368</v>
      </c>
      <c r="N211">
        <v>20.5</v>
      </c>
    </row>
    <row r="212" spans="13:14">
      <c r="M212">
        <v>-0.77754937599999996</v>
      </c>
      <c r="N212">
        <v>20.6</v>
      </c>
    </row>
    <row r="213" spans="13:14">
      <c r="M213">
        <v>-0.77583884800000003</v>
      </c>
      <c r="N213">
        <v>20.7</v>
      </c>
    </row>
    <row r="214" spans="13:14">
      <c r="M214">
        <v>-0.77544371199999995</v>
      </c>
      <c r="N214">
        <v>20.8</v>
      </c>
    </row>
    <row r="215" spans="13:14">
      <c r="M215">
        <v>-0.77504857599999999</v>
      </c>
      <c r="N215">
        <v>20.9</v>
      </c>
    </row>
    <row r="216" spans="13:14">
      <c r="M216">
        <v>-0.76925184000000002</v>
      </c>
      <c r="N216">
        <v>21</v>
      </c>
    </row>
    <row r="217" spans="13:14">
      <c r="M217">
        <v>-0.76223974400000005</v>
      </c>
      <c r="N217">
        <v>21.1</v>
      </c>
    </row>
    <row r="218" spans="13:14">
      <c r="M218">
        <v>-0.75338424800000003</v>
      </c>
      <c r="N218">
        <v>21.2</v>
      </c>
    </row>
    <row r="219" spans="13:14">
      <c r="M219">
        <v>-0.739423952</v>
      </c>
      <c r="N219">
        <v>21.3</v>
      </c>
    </row>
    <row r="220" spans="13:14">
      <c r="M220">
        <v>-0.72546365599999996</v>
      </c>
      <c r="N220">
        <v>21.4</v>
      </c>
    </row>
    <row r="221" spans="13:14">
      <c r="M221">
        <v>-0.72079599999999999</v>
      </c>
      <c r="N221">
        <v>21.5</v>
      </c>
    </row>
    <row r="222" spans="13:14">
      <c r="M222">
        <v>-0.71984539999999997</v>
      </c>
      <c r="N222">
        <v>21.6</v>
      </c>
    </row>
    <row r="223" spans="13:14">
      <c r="M223">
        <v>-0.71871387200000003</v>
      </c>
      <c r="N223">
        <v>21.7</v>
      </c>
    </row>
    <row r="224" spans="13:14">
      <c r="M224">
        <v>-0.716655088</v>
      </c>
      <c r="N224">
        <v>21.8</v>
      </c>
    </row>
    <row r="225" spans="13:14">
      <c r="M225">
        <v>-0.71459630399999996</v>
      </c>
      <c r="N225">
        <v>21.9</v>
      </c>
    </row>
    <row r="226" spans="13:14">
      <c r="M226">
        <v>-0.71158927999999999</v>
      </c>
      <c r="N226">
        <v>22</v>
      </c>
    </row>
    <row r="227" spans="13:14">
      <c r="M227">
        <v>-0.70798170400000004</v>
      </c>
      <c r="N227">
        <v>22.1</v>
      </c>
    </row>
    <row r="228" spans="13:14">
      <c r="M228">
        <v>-0.70443410399999995</v>
      </c>
      <c r="N228">
        <v>22.2</v>
      </c>
    </row>
    <row r="229" spans="13:14">
      <c r="M229">
        <v>-0.70180613599999997</v>
      </c>
      <c r="N229">
        <v>22.3</v>
      </c>
    </row>
    <row r="230" spans="13:14">
      <c r="M230">
        <v>-0.69917816799999999</v>
      </c>
      <c r="N230">
        <v>22.4</v>
      </c>
    </row>
    <row r="231" spans="13:14">
      <c r="M231">
        <v>-0.69758339999999996</v>
      </c>
      <c r="N231">
        <v>22.5</v>
      </c>
    </row>
    <row r="232" spans="13:14">
      <c r="M232">
        <v>-0.696980504</v>
      </c>
      <c r="N232">
        <v>22.6</v>
      </c>
    </row>
    <row r="233" spans="13:14">
      <c r="M233">
        <v>-0.69637760800000004</v>
      </c>
      <c r="N233">
        <v>22.7</v>
      </c>
    </row>
    <row r="234" spans="13:14">
      <c r="M234">
        <v>-0.69292538400000003</v>
      </c>
      <c r="N234">
        <v>22.8</v>
      </c>
    </row>
    <row r="235" spans="13:14">
      <c r="M235">
        <v>-0.68935191200000001</v>
      </c>
      <c r="N235">
        <v>22.9</v>
      </c>
    </row>
    <row r="236" spans="13:14">
      <c r="M236">
        <v>-0.68661315999999994</v>
      </c>
      <c r="N236">
        <v>23</v>
      </c>
    </row>
    <row r="237" spans="13:14">
      <c r="M237">
        <v>-0.68508475199999996</v>
      </c>
      <c r="N237">
        <v>23.1</v>
      </c>
    </row>
    <row r="238" spans="13:14">
      <c r="M238">
        <v>-0.68355634399999998</v>
      </c>
      <c r="N238">
        <v>23.2</v>
      </c>
    </row>
    <row r="239" spans="13:14">
      <c r="M239">
        <v>-0.68301073599999995</v>
      </c>
      <c r="N239">
        <v>23.3</v>
      </c>
    </row>
    <row r="240" spans="13:14">
      <c r="M240">
        <v>-0.68262892799999997</v>
      </c>
      <c r="N240">
        <v>23.4</v>
      </c>
    </row>
    <row r="241" spans="13:14">
      <c r="M241">
        <v>-0.68190799999999996</v>
      </c>
      <c r="N241">
        <v>23.5</v>
      </c>
    </row>
    <row r="242" spans="13:14">
      <c r="M242">
        <v>-0.68041839999999998</v>
      </c>
      <c r="N242">
        <v>23.6</v>
      </c>
    </row>
    <row r="243" spans="13:14">
      <c r="M243">
        <v>-0.6789288</v>
      </c>
      <c r="N243">
        <v>23.7</v>
      </c>
    </row>
    <row r="244" spans="13:14">
      <c r="M244">
        <v>-0.67767896000000005</v>
      </c>
      <c r="N244">
        <v>23.8</v>
      </c>
    </row>
    <row r="245" spans="13:14">
      <c r="M245">
        <v>-0.67650688000000003</v>
      </c>
      <c r="N245">
        <v>23.9</v>
      </c>
    </row>
    <row r="246" spans="13:14">
      <c r="M246">
        <v>-0.67545887999999998</v>
      </c>
      <c r="N246">
        <v>24</v>
      </c>
    </row>
    <row r="247" spans="13:14">
      <c r="M247">
        <v>-0.67489479200000002</v>
      </c>
      <c r="N247">
        <v>24.1</v>
      </c>
    </row>
    <row r="248" spans="13:14">
      <c r="M248">
        <v>-0.67433070399999995</v>
      </c>
      <c r="N248">
        <v>24.2</v>
      </c>
    </row>
    <row r="249" spans="13:14">
      <c r="M249">
        <v>-0.67351419999999995</v>
      </c>
      <c r="N249">
        <v>24.3</v>
      </c>
    </row>
    <row r="250" spans="13:14">
      <c r="M250">
        <v>-0.67256360000000004</v>
      </c>
      <c r="N250">
        <v>24.4</v>
      </c>
    </row>
    <row r="251" spans="13:14">
      <c r="M251">
        <v>-0.67153883999999997</v>
      </c>
      <c r="N251">
        <v>24.5</v>
      </c>
    </row>
    <row r="252" spans="13:14">
      <c r="M252">
        <v>-0.66986147200000001</v>
      </c>
      <c r="N252">
        <v>24.6</v>
      </c>
    </row>
    <row r="253" spans="13:14">
      <c r="M253">
        <v>-0.66818410399999995</v>
      </c>
      <c r="N253">
        <v>24.7</v>
      </c>
    </row>
    <row r="254" spans="13:14">
      <c r="M254">
        <v>-0.66731651999999997</v>
      </c>
      <c r="N254">
        <v>24.8</v>
      </c>
    </row>
    <row r="255" spans="13:14">
      <c r="M255">
        <v>-0.66710875999999997</v>
      </c>
      <c r="N255">
        <v>24.9</v>
      </c>
    </row>
    <row r="256" spans="13:14">
      <c r="M256">
        <v>-0.66690099999999997</v>
      </c>
      <c r="N256">
        <v>25</v>
      </c>
    </row>
    <row r="257" spans="13:14">
      <c r="M257">
        <v>-0.66163016799999996</v>
      </c>
      <c r="N257">
        <v>25.1</v>
      </c>
    </row>
    <row r="258" spans="13:14">
      <c r="M258">
        <v>-0.65635933599999996</v>
      </c>
      <c r="N258">
        <v>25.2</v>
      </c>
    </row>
    <row r="259" spans="13:14">
      <c r="M259">
        <v>-0.651510904</v>
      </c>
      <c r="N259">
        <v>25.3</v>
      </c>
    </row>
    <row r="260" spans="13:14">
      <c r="M260">
        <v>-0.64718087199999996</v>
      </c>
      <c r="N260">
        <v>25.4</v>
      </c>
    </row>
    <row r="261" spans="13:14">
      <c r="M261">
        <v>-0.64285084000000003</v>
      </c>
      <c r="N261">
        <v>25.5</v>
      </c>
    </row>
    <row r="262" spans="13:14">
      <c r="M262">
        <v>-0.63964580000000004</v>
      </c>
      <c r="N262">
        <v>25.6</v>
      </c>
    </row>
    <row r="263" spans="13:14">
      <c r="M263">
        <v>-0.63656860000000004</v>
      </c>
      <c r="N263">
        <v>25.7</v>
      </c>
    </row>
    <row r="264" spans="13:14">
      <c r="M264">
        <v>-0.63442667200000002</v>
      </c>
      <c r="N264">
        <v>25.8</v>
      </c>
    </row>
    <row r="265" spans="13:14">
      <c r="M265">
        <v>-0.63404525599999995</v>
      </c>
      <c r="N265">
        <v>25.9</v>
      </c>
    </row>
    <row r="266" spans="13:14">
      <c r="M266">
        <v>-0.63366383999999998</v>
      </c>
      <c r="N266">
        <v>26</v>
      </c>
    </row>
    <row r="267" spans="13:14">
      <c r="M267">
        <v>-0.62638628799999996</v>
      </c>
      <c r="N267">
        <v>26.1</v>
      </c>
    </row>
    <row r="268" spans="13:14">
      <c r="M268">
        <v>-0.61734049599999996</v>
      </c>
      <c r="N268">
        <v>26.2</v>
      </c>
    </row>
    <row r="269" spans="13:14">
      <c r="M269">
        <v>-0.61027835200000002</v>
      </c>
      <c r="N269">
        <v>26.3</v>
      </c>
    </row>
    <row r="270" spans="13:14">
      <c r="M270">
        <v>-0.60933245599999997</v>
      </c>
      <c r="N270">
        <v>26.4</v>
      </c>
    </row>
    <row r="271" spans="13:14">
      <c r="M271">
        <v>-0.60838656000000002</v>
      </c>
      <c r="N271">
        <v>26.5</v>
      </c>
    </row>
    <row r="272" spans="13:14">
      <c r="M272">
        <v>-0.60059469600000004</v>
      </c>
      <c r="N272">
        <v>26.6</v>
      </c>
    </row>
    <row r="273" spans="13:14">
      <c r="M273">
        <v>-0.58978255199999996</v>
      </c>
      <c r="N273">
        <v>26.7</v>
      </c>
    </row>
    <row r="274" spans="13:14">
      <c r="M274">
        <v>-0.58038832799999995</v>
      </c>
      <c r="N274">
        <v>26.8</v>
      </c>
    </row>
    <row r="275" spans="13:14">
      <c r="M275">
        <v>-0.57950162400000005</v>
      </c>
      <c r="N275">
        <v>26.9</v>
      </c>
    </row>
    <row r="276" spans="13:14">
      <c r="M276">
        <v>-0.57861492000000003</v>
      </c>
      <c r="N276">
        <v>27</v>
      </c>
    </row>
    <row r="277" spans="13:14">
      <c r="M277">
        <v>-0.57657494399999998</v>
      </c>
      <c r="N277">
        <v>27.1</v>
      </c>
    </row>
    <row r="278" spans="13:14">
      <c r="M278">
        <v>-0.57373960800000001</v>
      </c>
      <c r="N278">
        <v>27.2</v>
      </c>
    </row>
    <row r="279" spans="13:14">
      <c r="M279">
        <v>-0.57100304000000002</v>
      </c>
      <c r="N279">
        <v>27.3</v>
      </c>
    </row>
    <row r="280" spans="13:14">
      <c r="M280">
        <v>-0.57058752000000001</v>
      </c>
      <c r="N280">
        <v>27.4</v>
      </c>
    </row>
    <row r="281" spans="13:14">
      <c r="M281">
        <v>-0.57017200000000001</v>
      </c>
      <c r="N281">
        <v>27.5</v>
      </c>
    </row>
    <row r="282" spans="13:14">
      <c r="M282">
        <v>-0.56867283199999996</v>
      </c>
      <c r="N282">
        <v>27.6</v>
      </c>
    </row>
    <row r="283" spans="13:14">
      <c r="M283">
        <v>-0.56604486399999998</v>
      </c>
      <c r="N283">
        <v>27.7</v>
      </c>
    </row>
    <row r="284" spans="13:14">
      <c r="M284">
        <v>-0.563416896</v>
      </c>
      <c r="N284">
        <v>27.8</v>
      </c>
    </row>
    <row r="285" spans="13:14">
      <c r="M285">
        <v>-0.56269001600000002</v>
      </c>
      <c r="N285">
        <v>27.9</v>
      </c>
    </row>
    <row r="286" spans="13:14">
      <c r="M286">
        <v>-0.56208712000000005</v>
      </c>
      <c r="N286">
        <v>28</v>
      </c>
    </row>
    <row r="287" spans="13:14">
      <c r="M287">
        <v>-0.56070096800000002</v>
      </c>
      <c r="N287">
        <v>28.1</v>
      </c>
    </row>
    <row r="288" spans="13:14">
      <c r="M288">
        <v>-0.55807809600000002</v>
      </c>
      <c r="N288">
        <v>28.2</v>
      </c>
    </row>
    <row r="289" spans="13:14">
      <c r="M289">
        <v>-0.55545522400000003</v>
      </c>
      <c r="N289">
        <v>28.3</v>
      </c>
    </row>
    <row r="290" spans="13:14">
      <c r="M290">
        <v>-0.55295240000000001</v>
      </c>
      <c r="N290">
        <v>28.4</v>
      </c>
    </row>
    <row r="291" spans="13:14">
      <c r="M291">
        <v>-0.55047299999999999</v>
      </c>
      <c r="N291">
        <v>28.5</v>
      </c>
    </row>
    <row r="292" spans="13:14">
      <c r="M292">
        <v>-0.54858339199999995</v>
      </c>
      <c r="N292">
        <v>28.6</v>
      </c>
    </row>
    <row r="293" spans="13:14">
      <c r="M293">
        <v>-0.54816826399999996</v>
      </c>
      <c r="N293">
        <v>28.7</v>
      </c>
    </row>
    <row r="294" spans="13:14">
      <c r="M294">
        <v>-0.54775313599999997</v>
      </c>
      <c r="N294">
        <v>28.8</v>
      </c>
    </row>
    <row r="295" spans="13:14">
      <c r="M295">
        <v>-0.54725333600000003</v>
      </c>
      <c r="N295">
        <v>28.9</v>
      </c>
    </row>
    <row r="296" spans="13:14">
      <c r="M296">
        <v>-0.54672295999999998</v>
      </c>
      <c r="N296">
        <v>29</v>
      </c>
    </row>
    <row r="297" spans="13:14">
      <c r="M297">
        <v>-0.546255512</v>
      </c>
      <c r="N297">
        <v>29.1</v>
      </c>
    </row>
    <row r="298" spans="13:14">
      <c r="M298">
        <v>-0.54606774400000002</v>
      </c>
      <c r="N298">
        <v>29.2</v>
      </c>
    </row>
    <row r="299" spans="13:14">
      <c r="M299">
        <v>-0.54587997600000004</v>
      </c>
      <c r="N299">
        <v>29.3</v>
      </c>
    </row>
    <row r="300" spans="13:14">
      <c r="M300">
        <v>-0.54485272799999995</v>
      </c>
      <c r="N300">
        <v>29.4</v>
      </c>
    </row>
    <row r="301" spans="13:14">
      <c r="M301">
        <v>-0.54333803999999997</v>
      </c>
      <c r="N301">
        <v>29.5</v>
      </c>
    </row>
    <row r="302" spans="13:14">
      <c r="M302">
        <v>-0.54114514400000002</v>
      </c>
      <c r="N302">
        <v>29.6</v>
      </c>
    </row>
    <row r="303" spans="13:14">
      <c r="M303">
        <v>-0.53132240799999997</v>
      </c>
      <c r="N303">
        <v>29.7</v>
      </c>
    </row>
    <row r="304" spans="13:14">
      <c r="M304">
        <v>-0.52149967200000003</v>
      </c>
      <c r="N304">
        <v>29.8</v>
      </c>
    </row>
    <row r="305" spans="13:14">
      <c r="M305">
        <v>-0.51638730399999999</v>
      </c>
      <c r="N305">
        <v>29.9</v>
      </c>
    </row>
    <row r="306" spans="13:14">
      <c r="M306">
        <v>-0.51544179999999995</v>
      </c>
      <c r="N306">
        <v>30</v>
      </c>
    </row>
    <row r="307" spans="13:14">
      <c r="M307">
        <v>-0.51449629600000002</v>
      </c>
      <c r="N307">
        <v>30.1</v>
      </c>
    </row>
    <row r="308" spans="13:14">
      <c r="M308">
        <v>-0.509295304</v>
      </c>
      <c r="N308">
        <v>30.2</v>
      </c>
    </row>
    <row r="309" spans="13:14">
      <c r="M309">
        <v>-0.50400565600000002</v>
      </c>
      <c r="N309">
        <v>30.3</v>
      </c>
    </row>
    <row r="310" spans="13:14">
      <c r="M310">
        <v>-0.49945151199999999</v>
      </c>
      <c r="N310">
        <v>30.4</v>
      </c>
    </row>
    <row r="311" spans="13:14">
      <c r="M311">
        <v>-0.49587804000000002</v>
      </c>
      <c r="N311">
        <v>30.5</v>
      </c>
    </row>
    <row r="312" spans="13:14">
      <c r="M312">
        <v>-0.492304568</v>
      </c>
      <c r="N312">
        <v>30.6</v>
      </c>
    </row>
    <row r="313" spans="13:14">
      <c r="M313">
        <v>-0.48919652800000002</v>
      </c>
      <c r="N313">
        <v>30.7</v>
      </c>
    </row>
    <row r="314" spans="13:14">
      <c r="M314">
        <v>-0.486153432</v>
      </c>
      <c r="N314">
        <v>30.8</v>
      </c>
    </row>
    <row r="315" spans="13:14">
      <c r="M315">
        <v>-0.48392633600000001</v>
      </c>
      <c r="N315">
        <v>30.9</v>
      </c>
    </row>
    <row r="316" spans="13:14">
      <c r="M316">
        <v>-0.48338224000000002</v>
      </c>
      <c r="N316">
        <v>31</v>
      </c>
    </row>
    <row r="317" spans="13:14">
      <c r="M317">
        <v>-0.48283814400000002</v>
      </c>
      <c r="N317">
        <v>31.1</v>
      </c>
    </row>
    <row r="318" spans="13:14">
      <c r="M318">
        <v>-0.48270049599999998</v>
      </c>
      <c r="N318">
        <v>31.2</v>
      </c>
    </row>
    <row r="319" spans="13:14">
      <c r="M319">
        <v>-0.48268050400000001</v>
      </c>
      <c r="N319">
        <v>31.3</v>
      </c>
    </row>
    <row r="320" spans="13:14">
      <c r="M320">
        <v>-0.48266500000000001</v>
      </c>
      <c r="N320">
        <v>31.4</v>
      </c>
    </row>
    <row r="321" spans="13:14">
      <c r="M321">
        <v>-0.48266500000000001</v>
      </c>
      <c r="N321">
        <v>31.5</v>
      </c>
    </row>
    <row r="322" spans="13:14">
      <c r="M322">
        <v>-0.48266500000000001</v>
      </c>
      <c r="N322">
        <v>31.6</v>
      </c>
    </row>
    <row r="323" spans="13:14">
      <c r="M323">
        <v>-0.48013191999999999</v>
      </c>
      <c r="N323">
        <v>31.7</v>
      </c>
    </row>
    <row r="324" spans="13:14">
      <c r="M324">
        <v>-0.47637067999999999</v>
      </c>
      <c r="N324">
        <v>31.8</v>
      </c>
    </row>
    <row r="325" spans="13:14">
      <c r="M325">
        <v>-0.47244523199999999</v>
      </c>
      <c r="N325">
        <v>31.9</v>
      </c>
    </row>
    <row r="326" spans="13:14">
      <c r="M326">
        <v>-0.46734295999999997</v>
      </c>
      <c r="N326">
        <v>32</v>
      </c>
    </row>
    <row r="327" spans="13:14">
      <c r="M327">
        <v>-0.46224068800000001</v>
      </c>
      <c r="N327">
        <v>32.1</v>
      </c>
    </row>
    <row r="328" spans="13:14">
      <c r="M328">
        <v>-0.459709488</v>
      </c>
      <c r="N328">
        <v>32.200000000000003</v>
      </c>
    </row>
    <row r="329" spans="13:14">
      <c r="M329">
        <v>-0.45910659199999998</v>
      </c>
      <c r="N329">
        <v>32.299999999999997</v>
      </c>
    </row>
    <row r="330" spans="13:14">
      <c r="M330">
        <v>-0.45845388799999998</v>
      </c>
      <c r="N330">
        <v>32.4</v>
      </c>
    </row>
    <row r="331" spans="13:14">
      <c r="M331">
        <v>-0.45541039999999999</v>
      </c>
      <c r="N331">
        <v>32.5</v>
      </c>
    </row>
    <row r="332" spans="13:14">
      <c r="M332">
        <v>-0.45236691200000001</v>
      </c>
      <c r="N332">
        <v>32.6</v>
      </c>
    </row>
    <row r="333" spans="13:14">
      <c r="M333">
        <v>-0.44731175200000001</v>
      </c>
      <c r="N333">
        <v>32.700000000000003</v>
      </c>
    </row>
    <row r="334" spans="13:14">
      <c r="M334">
        <v>-0.43998252799999998</v>
      </c>
      <c r="N334">
        <v>32.799999999999997</v>
      </c>
    </row>
    <row r="335" spans="13:14">
      <c r="M335">
        <v>-0.43265330400000002</v>
      </c>
      <c r="N335">
        <v>32.9</v>
      </c>
    </row>
    <row r="336" spans="13:14">
      <c r="M336">
        <v>-0.43049152000000002</v>
      </c>
      <c r="N336">
        <v>33</v>
      </c>
    </row>
    <row r="337" spans="13:14">
      <c r="M337">
        <v>-0.428789064</v>
      </c>
      <c r="N337">
        <v>33.1</v>
      </c>
    </row>
    <row r="338" spans="13:14">
      <c r="M338">
        <v>-0.42756670400000002</v>
      </c>
      <c r="N338">
        <v>33.200000000000003</v>
      </c>
    </row>
    <row r="339" spans="13:14">
      <c r="M339">
        <v>-0.42717117599999999</v>
      </c>
      <c r="N339">
        <v>33.299999999999997</v>
      </c>
    </row>
    <row r="340" spans="13:14">
      <c r="M340">
        <v>-0.42677564800000001</v>
      </c>
      <c r="N340">
        <v>33.4</v>
      </c>
    </row>
    <row r="341" spans="13:14">
      <c r="M341">
        <v>-0.42514395999999999</v>
      </c>
      <c r="N341">
        <v>33.5</v>
      </c>
    </row>
    <row r="342" spans="13:14">
      <c r="M342">
        <v>-0.42323413599999998</v>
      </c>
      <c r="N342">
        <v>33.6</v>
      </c>
    </row>
    <row r="343" spans="13:14">
      <c r="M343">
        <v>-0.42168134400000001</v>
      </c>
      <c r="N343">
        <v>33.700000000000003</v>
      </c>
    </row>
    <row r="344" spans="13:14">
      <c r="M344">
        <v>-0.421117256</v>
      </c>
      <c r="N344">
        <v>33.799999999999997</v>
      </c>
    </row>
    <row r="345" spans="13:14">
      <c r="M345">
        <v>-0.42055316799999998</v>
      </c>
      <c r="N345">
        <v>33.9</v>
      </c>
    </row>
    <row r="346" spans="13:14">
      <c r="M346">
        <v>-0.41566560000000002</v>
      </c>
      <c r="N346">
        <v>34</v>
      </c>
    </row>
    <row r="347" spans="13:14">
      <c r="M347">
        <v>-0.40904864000000002</v>
      </c>
      <c r="N347">
        <v>34.1</v>
      </c>
    </row>
    <row r="348" spans="13:14">
      <c r="M348">
        <v>-0.40348774399999998</v>
      </c>
      <c r="N348">
        <v>34.200000000000003</v>
      </c>
    </row>
    <row r="349" spans="13:14">
      <c r="M349">
        <v>-0.40333917600000002</v>
      </c>
      <c r="N349">
        <v>34.299999999999997</v>
      </c>
    </row>
    <row r="350" spans="13:14">
      <c r="M350">
        <v>-0.40319060800000001</v>
      </c>
      <c r="N350">
        <v>34.4</v>
      </c>
    </row>
    <row r="351" spans="13:14">
      <c r="M351">
        <v>-0.40020667999999998</v>
      </c>
      <c r="N351">
        <v>34.5</v>
      </c>
    </row>
    <row r="352" spans="13:14">
      <c r="M352">
        <v>-0.39542702400000002</v>
      </c>
      <c r="N352">
        <v>34.6</v>
      </c>
    </row>
    <row r="353" spans="13:14">
      <c r="M353">
        <v>-0.39082544800000002</v>
      </c>
      <c r="N353">
        <v>34.700000000000003</v>
      </c>
    </row>
    <row r="354" spans="13:14">
      <c r="M354">
        <v>-0.38895443200000002</v>
      </c>
      <c r="N354">
        <v>34.799999999999997</v>
      </c>
    </row>
    <row r="355" spans="13:14">
      <c r="M355">
        <v>-0.38708341600000001</v>
      </c>
      <c r="N355">
        <v>34.9</v>
      </c>
    </row>
    <row r="356" spans="13:14">
      <c r="M356">
        <v>-0.38538440000000002</v>
      </c>
      <c r="N356">
        <v>35</v>
      </c>
    </row>
    <row r="357" spans="13:14">
      <c r="M357">
        <v>-0.38385050399999998</v>
      </c>
      <c r="N357">
        <v>35.1</v>
      </c>
    </row>
    <row r="358" spans="13:14">
      <c r="M358">
        <v>-0.382316608</v>
      </c>
      <c r="N358">
        <v>35.200000000000003</v>
      </c>
    </row>
    <row r="359" spans="13:14">
      <c r="M359">
        <v>-0.38157043200000001</v>
      </c>
      <c r="N359">
        <v>35.299999999999997</v>
      </c>
    </row>
    <row r="360" spans="13:14">
      <c r="M360">
        <v>-0.38085777599999998</v>
      </c>
      <c r="N360">
        <v>35.4</v>
      </c>
    </row>
    <row r="361" spans="13:14">
      <c r="M361">
        <v>-0.37958544</v>
      </c>
      <c r="N361">
        <v>35.5</v>
      </c>
    </row>
    <row r="362" spans="13:14">
      <c r="M362">
        <v>-0.37750156800000001</v>
      </c>
      <c r="N362">
        <v>35.6</v>
      </c>
    </row>
    <row r="363" spans="13:14">
      <c r="M363">
        <v>-0.37541769600000002</v>
      </c>
      <c r="N363">
        <v>35.700000000000003</v>
      </c>
    </row>
    <row r="364" spans="13:14">
      <c r="M364">
        <v>-0.37447555199999999</v>
      </c>
      <c r="N364">
        <v>35.799999999999997</v>
      </c>
    </row>
    <row r="365" spans="13:14">
      <c r="M365">
        <v>-0.37372369599999999</v>
      </c>
      <c r="N365">
        <v>35.9</v>
      </c>
    </row>
    <row r="366" spans="13:14">
      <c r="M366">
        <v>-0.37215355999999999</v>
      </c>
      <c r="N366">
        <v>36</v>
      </c>
    </row>
    <row r="367" spans="13:14">
      <c r="M367">
        <v>-0.36872865599999999</v>
      </c>
      <c r="N367">
        <v>36.1</v>
      </c>
    </row>
    <row r="368" spans="13:14">
      <c r="M368">
        <v>-0.36530375199999998</v>
      </c>
      <c r="N368">
        <v>36.200000000000003</v>
      </c>
    </row>
    <row r="369" spans="13:14">
      <c r="M369">
        <v>-0.36430841600000002</v>
      </c>
      <c r="N369">
        <v>36.299999999999997</v>
      </c>
    </row>
    <row r="370" spans="13:14">
      <c r="M370">
        <v>-0.36410104799999998</v>
      </c>
      <c r="N370">
        <v>36.4</v>
      </c>
    </row>
    <row r="371" spans="13:14">
      <c r="M371">
        <v>-0.36336239999999997</v>
      </c>
      <c r="N371">
        <v>36.5</v>
      </c>
    </row>
    <row r="372" spans="13:14">
      <c r="M372">
        <v>-0.36055176</v>
      </c>
      <c r="N372">
        <v>36.6</v>
      </c>
    </row>
    <row r="373" spans="13:14">
      <c r="M373">
        <v>-0.35774112000000002</v>
      </c>
      <c r="N373">
        <v>36.700000000000003</v>
      </c>
    </row>
    <row r="374" spans="13:14">
      <c r="M374">
        <v>-0.35440695999999999</v>
      </c>
      <c r="N374">
        <v>36.799999999999997</v>
      </c>
    </row>
    <row r="375" spans="13:14">
      <c r="M375">
        <v>-0.35079468000000003</v>
      </c>
      <c r="N375">
        <v>36.9</v>
      </c>
    </row>
    <row r="376" spans="13:14">
      <c r="M376">
        <v>-0.34746051999999999</v>
      </c>
      <c r="N376">
        <v>37</v>
      </c>
    </row>
    <row r="377" spans="13:14">
      <c r="M377">
        <v>-0.34657381599999998</v>
      </c>
      <c r="N377">
        <v>37.1</v>
      </c>
    </row>
    <row r="378" spans="13:14">
      <c r="M378">
        <v>-0.34568711200000002</v>
      </c>
      <c r="N378">
        <v>37.200000000000003</v>
      </c>
    </row>
    <row r="379" spans="13:14">
      <c r="M379">
        <v>-0.34431851200000002</v>
      </c>
      <c r="N379">
        <v>37.299999999999997</v>
      </c>
    </row>
    <row r="380" spans="13:14">
      <c r="M380">
        <v>-0.34255725599999998</v>
      </c>
      <c r="N380">
        <v>37.4</v>
      </c>
    </row>
    <row r="381" spans="13:14">
      <c r="M381">
        <v>-0.34079599999999999</v>
      </c>
      <c r="N381">
        <v>37.5</v>
      </c>
    </row>
    <row r="382" spans="13:14">
      <c r="M382">
        <v>-0.33760394399999999</v>
      </c>
      <c r="N382">
        <v>37.6</v>
      </c>
    </row>
    <row r="383" spans="13:14">
      <c r="M383">
        <v>-0.33441188799999999</v>
      </c>
      <c r="N383">
        <v>37.700000000000003</v>
      </c>
    </row>
    <row r="384" spans="13:14">
      <c r="M384">
        <v>-0.33018477600000001</v>
      </c>
      <c r="N384">
        <v>37.799999999999997</v>
      </c>
    </row>
    <row r="385" spans="13:14">
      <c r="M385">
        <v>-0.32468736799999998</v>
      </c>
      <c r="N385">
        <v>37.9</v>
      </c>
    </row>
    <row r="386" spans="13:14">
      <c r="M386">
        <v>-0.31918995999999999</v>
      </c>
      <c r="N386">
        <v>38</v>
      </c>
    </row>
    <row r="387" spans="13:14">
      <c r="M387">
        <v>-0.31255383199999998</v>
      </c>
      <c r="N387">
        <v>38.1</v>
      </c>
    </row>
    <row r="388" spans="13:14">
      <c r="M388">
        <v>-0.30578830400000001</v>
      </c>
      <c r="N388">
        <v>38.200000000000003</v>
      </c>
    </row>
    <row r="389" spans="13:14">
      <c r="M389">
        <v>-0.30122584000000002</v>
      </c>
      <c r="N389">
        <v>38.299999999999997</v>
      </c>
    </row>
    <row r="390" spans="13:14">
      <c r="M390">
        <v>-0.30081032000000002</v>
      </c>
      <c r="N390">
        <v>38.4</v>
      </c>
    </row>
    <row r="391" spans="13:14">
      <c r="M391">
        <v>-0.30039480000000002</v>
      </c>
      <c r="N391">
        <v>38.5</v>
      </c>
    </row>
    <row r="392" spans="13:14">
      <c r="M392">
        <v>-0.29864048799999998</v>
      </c>
      <c r="N392">
        <v>38.6</v>
      </c>
    </row>
    <row r="393" spans="13:14">
      <c r="M393">
        <v>-0.296542896</v>
      </c>
      <c r="N393">
        <v>38.700000000000003</v>
      </c>
    </row>
    <row r="394" spans="13:14">
      <c r="M394">
        <v>-0.29458805599999999</v>
      </c>
      <c r="N394">
        <v>38.799999999999997</v>
      </c>
    </row>
    <row r="395" spans="13:14">
      <c r="M395">
        <v>-0.293073368</v>
      </c>
      <c r="N395">
        <v>38.9</v>
      </c>
    </row>
    <row r="396" spans="13:14">
      <c r="M396">
        <v>-0.29155868000000001</v>
      </c>
      <c r="N396">
        <v>39</v>
      </c>
    </row>
    <row r="397" spans="13:14">
      <c r="M397">
        <v>-0.29003420000000002</v>
      </c>
      <c r="N397">
        <v>39.1</v>
      </c>
    </row>
    <row r="398" spans="13:14">
      <c r="M398">
        <v>-0.28850540000000002</v>
      </c>
      <c r="N398">
        <v>39.200000000000003</v>
      </c>
    </row>
    <row r="399" spans="13:14">
      <c r="M399">
        <v>-0.28657709599999998</v>
      </c>
      <c r="N399">
        <v>39.299999999999997</v>
      </c>
    </row>
    <row r="400" spans="13:14">
      <c r="M400">
        <v>-0.28225176800000001</v>
      </c>
      <c r="N400">
        <v>39.4</v>
      </c>
    </row>
    <row r="401" spans="13:14">
      <c r="M401">
        <v>-0.27792644</v>
      </c>
      <c r="N401">
        <v>39.5</v>
      </c>
    </row>
    <row r="402" spans="13:14">
      <c r="M402">
        <v>-0.27460868799999999</v>
      </c>
      <c r="N402">
        <v>39.6</v>
      </c>
    </row>
    <row r="403" spans="13:14">
      <c r="M403">
        <v>-0.27198581599999999</v>
      </c>
      <c r="N403">
        <v>39.700000000000003</v>
      </c>
    </row>
    <row r="404" spans="13:14">
      <c r="M404">
        <v>-0.26936033599999998</v>
      </c>
      <c r="N404">
        <v>39.799999999999997</v>
      </c>
    </row>
    <row r="405" spans="13:14">
      <c r="M405">
        <v>-0.26667356800000003</v>
      </c>
      <c r="N405">
        <v>39.9</v>
      </c>
    </row>
    <row r="406" spans="13:14">
      <c r="M406">
        <v>-0.26398680000000002</v>
      </c>
      <c r="N406">
        <v>40</v>
      </c>
    </row>
    <row r="407" spans="13:14">
      <c r="M407">
        <v>-0.26232742399999998</v>
      </c>
      <c r="N407">
        <v>40.1</v>
      </c>
    </row>
    <row r="408" spans="13:14">
      <c r="M408">
        <v>-0.26173824800000001</v>
      </c>
      <c r="N408">
        <v>40.200000000000003</v>
      </c>
    </row>
    <row r="409" spans="13:14">
      <c r="M409">
        <v>-0.26114907199999998</v>
      </c>
      <c r="N409">
        <v>40.299999999999997</v>
      </c>
    </row>
    <row r="410" spans="13:14">
      <c r="M410">
        <v>-0.258474808</v>
      </c>
      <c r="N410">
        <v>40.4</v>
      </c>
    </row>
    <row r="411" spans="13:14">
      <c r="M411">
        <v>-0.25566455999999999</v>
      </c>
      <c r="N411">
        <v>40.5</v>
      </c>
    </row>
    <row r="412" spans="13:14">
      <c r="M412">
        <v>-0.25388623999999999</v>
      </c>
      <c r="N412">
        <v>40.6</v>
      </c>
    </row>
    <row r="413" spans="13:14">
      <c r="M413">
        <v>-0.25373728000000001</v>
      </c>
      <c r="N413">
        <v>40.700000000000003</v>
      </c>
    </row>
    <row r="414" spans="13:14">
      <c r="M414">
        <v>-0.25358831999999998</v>
      </c>
      <c r="N414">
        <v>40.799999999999997</v>
      </c>
    </row>
    <row r="415" spans="13:14">
      <c r="M415">
        <v>-0.25119124799999998</v>
      </c>
      <c r="N415">
        <v>40.9</v>
      </c>
    </row>
    <row r="416" spans="13:14">
      <c r="M416">
        <v>-0.24835552</v>
      </c>
      <c r="N416">
        <v>41</v>
      </c>
    </row>
    <row r="417" spans="13:14">
      <c r="M417">
        <v>-0.24556235200000001</v>
      </c>
      <c r="N417">
        <v>41.1</v>
      </c>
    </row>
    <row r="418" spans="13:14">
      <c r="M418">
        <v>-0.24287558400000001</v>
      </c>
      <c r="N418">
        <v>41.2</v>
      </c>
    </row>
    <row r="419" spans="13:14">
      <c r="M419">
        <v>-0.240188816</v>
      </c>
      <c r="N419">
        <v>41.3</v>
      </c>
    </row>
    <row r="420" spans="13:14">
      <c r="M420">
        <v>-0.23853424000000001</v>
      </c>
      <c r="N420">
        <v>41.4</v>
      </c>
    </row>
    <row r="421" spans="13:14">
      <c r="M421">
        <v>-0.2372524</v>
      </c>
      <c r="N421">
        <v>41.5</v>
      </c>
    </row>
    <row r="422" spans="13:14">
      <c r="M422">
        <v>-0.23571964000000001</v>
      </c>
      <c r="N422">
        <v>41.6</v>
      </c>
    </row>
    <row r="423" spans="13:14">
      <c r="M423">
        <v>-0.23307168</v>
      </c>
      <c r="N423">
        <v>41.7</v>
      </c>
    </row>
    <row r="424" spans="13:14">
      <c r="M424">
        <v>-0.23042372</v>
      </c>
      <c r="N424">
        <v>41.8</v>
      </c>
    </row>
    <row r="425" spans="13:14">
      <c r="M425">
        <v>-0.22833673600000001</v>
      </c>
      <c r="N425">
        <v>41.9</v>
      </c>
    </row>
    <row r="426" spans="13:14">
      <c r="M426">
        <v>-0.22657548</v>
      </c>
      <c r="N426">
        <v>42</v>
      </c>
    </row>
    <row r="427" spans="13:14">
      <c r="M427">
        <v>-0.22465300799999999</v>
      </c>
      <c r="N427">
        <v>42.1</v>
      </c>
    </row>
    <row r="428" spans="13:14">
      <c r="M428">
        <v>-0.22091685599999999</v>
      </c>
      <c r="N428">
        <v>42.2</v>
      </c>
    </row>
    <row r="429" spans="13:14">
      <c r="M429">
        <v>-0.217180704</v>
      </c>
      <c r="N429">
        <v>42.3</v>
      </c>
    </row>
    <row r="430" spans="13:14">
      <c r="M430">
        <v>-0.214825672</v>
      </c>
      <c r="N430">
        <v>42.4</v>
      </c>
    </row>
    <row r="431" spans="13:14">
      <c r="M431">
        <v>-0.2136924</v>
      </c>
      <c r="N431">
        <v>42.5</v>
      </c>
    </row>
    <row r="432" spans="13:14">
      <c r="M432">
        <v>-0.21255912800000001</v>
      </c>
      <c r="N432">
        <v>42.6</v>
      </c>
    </row>
    <row r="433" spans="13:14">
      <c r="M433">
        <v>-0.20731513600000001</v>
      </c>
      <c r="N433">
        <v>42.7</v>
      </c>
    </row>
    <row r="434" spans="13:14">
      <c r="M434">
        <v>-0.20198550400000001</v>
      </c>
      <c r="N434">
        <v>42.8</v>
      </c>
    </row>
    <row r="435" spans="13:14">
      <c r="M435">
        <v>-0.198632224</v>
      </c>
      <c r="N435">
        <v>42.9</v>
      </c>
    </row>
    <row r="436" spans="13:14">
      <c r="M436">
        <v>-0.19791407999999999</v>
      </c>
      <c r="N436">
        <v>43</v>
      </c>
    </row>
    <row r="437" spans="13:14">
      <c r="M437">
        <v>-0.19719593599999999</v>
      </c>
      <c r="N437">
        <v>43.1</v>
      </c>
    </row>
    <row r="438" spans="13:14">
      <c r="M438">
        <v>-0.19508493599999999</v>
      </c>
      <c r="N438">
        <v>43.2</v>
      </c>
    </row>
    <row r="439" spans="13:14">
      <c r="M439">
        <v>-0.192779584</v>
      </c>
      <c r="N439">
        <v>43.3</v>
      </c>
    </row>
    <row r="440" spans="13:14">
      <c r="M440">
        <v>-0.19111064799999999</v>
      </c>
      <c r="N440">
        <v>43.4</v>
      </c>
    </row>
    <row r="441" spans="13:14">
      <c r="M441">
        <v>-0.19075432</v>
      </c>
      <c r="N441">
        <v>43.5</v>
      </c>
    </row>
    <row r="442" spans="13:14">
      <c r="M442">
        <v>-0.19039799199999999</v>
      </c>
      <c r="N442">
        <v>43.6</v>
      </c>
    </row>
    <row r="443" spans="13:14">
      <c r="M443">
        <v>-0.19018302400000001</v>
      </c>
      <c r="N443">
        <v>43.7</v>
      </c>
    </row>
    <row r="444" spans="13:14">
      <c r="M444">
        <v>-0.190008976</v>
      </c>
      <c r="N444">
        <v>43.8</v>
      </c>
    </row>
    <row r="445" spans="13:14">
      <c r="M445">
        <v>-0.18981864800000001</v>
      </c>
      <c r="N445">
        <v>43.9</v>
      </c>
    </row>
    <row r="446" spans="13:14">
      <c r="M446">
        <v>-0.18957208</v>
      </c>
      <c r="N446">
        <v>44</v>
      </c>
    </row>
    <row r="447" spans="13:14">
      <c r="M447">
        <v>-0.189325512</v>
      </c>
      <c r="N447">
        <v>44.1</v>
      </c>
    </row>
    <row r="448" spans="13:14">
      <c r="M448">
        <v>-0.18775841600000001</v>
      </c>
      <c r="N448">
        <v>44.2</v>
      </c>
    </row>
    <row r="449" spans="13:14">
      <c r="M449">
        <v>-0.18555106399999999</v>
      </c>
      <c r="N449">
        <v>44.3</v>
      </c>
    </row>
    <row r="450" spans="13:14">
      <c r="M450">
        <v>-0.183176432</v>
      </c>
      <c r="N450">
        <v>44.4</v>
      </c>
    </row>
    <row r="451" spans="13:14">
      <c r="M451">
        <v>-0.17960296000000001</v>
      </c>
      <c r="N451">
        <v>44.5</v>
      </c>
    </row>
    <row r="452" spans="13:14">
      <c r="M452">
        <v>-0.17602948800000001</v>
      </c>
      <c r="N452">
        <v>44.6</v>
      </c>
    </row>
    <row r="453" spans="13:14">
      <c r="M453">
        <v>-0.17426056000000001</v>
      </c>
      <c r="N453">
        <v>44.7</v>
      </c>
    </row>
    <row r="454" spans="13:14">
      <c r="M454">
        <v>-0.17384504000000001</v>
      </c>
      <c r="N454">
        <v>44.8</v>
      </c>
    </row>
    <row r="455" spans="13:14">
      <c r="M455">
        <v>-0.17340022399999999</v>
      </c>
      <c r="N455">
        <v>44.9</v>
      </c>
    </row>
    <row r="456" spans="13:14">
      <c r="M456">
        <v>-0.17154920000000001</v>
      </c>
      <c r="N456">
        <v>45</v>
      </c>
    </row>
    <row r="457" spans="13:14">
      <c r="M457">
        <v>-0.16969817600000001</v>
      </c>
      <c r="N457">
        <v>45.1</v>
      </c>
    </row>
    <row r="458" spans="13:14">
      <c r="M458">
        <v>-0.16657000799999999</v>
      </c>
      <c r="N458">
        <v>45.2</v>
      </c>
    </row>
    <row r="459" spans="13:14">
      <c r="M459">
        <v>-0.161998112</v>
      </c>
      <c r="N459">
        <v>45.3</v>
      </c>
    </row>
    <row r="460" spans="13:14">
      <c r="M460">
        <v>-0.15742621600000001</v>
      </c>
      <c r="N460">
        <v>45.4</v>
      </c>
    </row>
    <row r="461" spans="13:14">
      <c r="M461">
        <v>-0.15481200000000001</v>
      </c>
      <c r="N461">
        <v>45.5</v>
      </c>
    </row>
    <row r="462" spans="13:14">
      <c r="M462">
        <v>-0.1523718</v>
      </c>
      <c r="N462">
        <v>45.6</v>
      </c>
    </row>
    <row r="463" spans="13:14">
      <c r="M463">
        <v>-0.15060652799999999</v>
      </c>
      <c r="N463">
        <v>45.7</v>
      </c>
    </row>
    <row r="464" spans="13:14">
      <c r="M464">
        <v>-0.150003632</v>
      </c>
      <c r="N464">
        <v>45.8</v>
      </c>
    </row>
    <row r="465" spans="13:14">
      <c r="M465">
        <v>-0.14940073600000001</v>
      </c>
      <c r="N465">
        <v>45.9</v>
      </c>
    </row>
    <row r="466" spans="13:14">
      <c r="M466">
        <v>-0.14916840000000001</v>
      </c>
      <c r="N466">
        <v>46</v>
      </c>
    </row>
    <row r="467" spans="13:14">
      <c r="M467">
        <v>-0.14901944</v>
      </c>
      <c r="N467">
        <v>46.1</v>
      </c>
    </row>
    <row r="468" spans="13:14">
      <c r="M468">
        <v>-0.14884957600000001</v>
      </c>
      <c r="N468">
        <v>46.2</v>
      </c>
    </row>
    <row r="469" spans="13:14">
      <c r="M469">
        <v>-0.14862182400000001</v>
      </c>
      <c r="N469">
        <v>46.3</v>
      </c>
    </row>
    <row r="470" spans="13:14">
      <c r="M470">
        <v>-0.14839407199999999</v>
      </c>
      <c r="N470">
        <v>46.4</v>
      </c>
    </row>
    <row r="471" spans="13:14">
      <c r="M471">
        <v>-0.14685480000000001</v>
      </c>
      <c r="N471">
        <v>46.5</v>
      </c>
    </row>
    <row r="472" spans="13:14">
      <c r="M472">
        <v>-0.14479091999999999</v>
      </c>
      <c r="N472">
        <v>46.6</v>
      </c>
    </row>
    <row r="473" spans="13:14">
      <c r="M473">
        <v>-0.1428208</v>
      </c>
      <c r="N473">
        <v>46.7</v>
      </c>
    </row>
    <row r="474" spans="13:14">
      <c r="M474">
        <v>-0.14133119999999999</v>
      </c>
      <c r="N474">
        <v>46.8</v>
      </c>
    </row>
    <row r="475" spans="13:14">
      <c r="M475">
        <v>-0.13984160000000001</v>
      </c>
      <c r="N475">
        <v>46.9</v>
      </c>
    </row>
    <row r="476" spans="13:14">
      <c r="M476">
        <v>-0.13878856000000001</v>
      </c>
      <c r="N476">
        <v>47</v>
      </c>
    </row>
    <row r="477" spans="13:14">
      <c r="M477">
        <v>-0.13801200799999999</v>
      </c>
      <c r="N477">
        <v>47.1</v>
      </c>
    </row>
    <row r="478" spans="13:14">
      <c r="M478">
        <v>-0.137072472</v>
      </c>
      <c r="N478">
        <v>47.2</v>
      </c>
    </row>
    <row r="479" spans="13:14">
      <c r="M479">
        <v>-0.133633848</v>
      </c>
      <c r="N479">
        <v>47.3</v>
      </c>
    </row>
    <row r="480" spans="13:14">
      <c r="M480">
        <v>-0.130195224</v>
      </c>
      <c r="N480">
        <v>47.4</v>
      </c>
    </row>
    <row r="481" spans="13:14">
      <c r="M481">
        <v>-0.12851099999999999</v>
      </c>
      <c r="N481">
        <v>47.5</v>
      </c>
    </row>
    <row r="482" spans="13:14">
      <c r="M482">
        <v>-0.12851099999999999</v>
      </c>
      <c r="N482">
        <v>47.6</v>
      </c>
    </row>
    <row r="483" spans="13:14">
      <c r="M483">
        <v>-0.12851099999999999</v>
      </c>
      <c r="N483">
        <v>47.7</v>
      </c>
    </row>
    <row r="484" spans="13:14">
      <c r="M484">
        <v>-0.12816884000000001</v>
      </c>
      <c r="N484">
        <v>47.8</v>
      </c>
    </row>
    <row r="485" spans="13:14">
      <c r="M485">
        <v>-0.12781212</v>
      </c>
      <c r="N485">
        <v>47.9</v>
      </c>
    </row>
    <row r="486" spans="13:14">
      <c r="M486">
        <v>-0.12745556</v>
      </c>
      <c r="N486">
        <v>48</v>
      </c>
    </row>
    <row r="487" spans="13:14">
      <c r="M487">
        <v>-0.12709923200000001</v>
      </c>
      <c r="N487">
        <v>48.1</v>
      </c>
    </row>
    <row r="488" spans="13:14">
      <c r="M488">
        <v>-0.12674290399999999</v>
      </c>
      <c r="N488">
        <v>48.2</v>
      </c>
    </row>
    <row r="489" spans="13:14">
      <c r="M489">
        <v>-0.12667049599999999</v>
      </c>
      <c r="N489">
        <v>48.3</v>
      </c>
    </row>
    <row r="490" spans="13:14">
      <c r="M490">
        <v>-0.12664540799999999</v>
      </c>
      <c r="N490">
        <v>48.4</v>
      </c>
    </row>
    <row r="491" spans="13:14">
      <c r="M491">
        <v>-0.12560536</v>
      </c>
      <c r="N491">
        <v>48.5</v>
      </c>
    </row>
    <row r="492" spans="13:14">
      <c r="M492">
        <v>-0.122264736</v>
      </c>
      <c r="N492">
        <v>48.6</v>
      </c>
    </row>
    <row r="493" spans="13:14">
      <c r="M493">
        <v>-0.118924112</v>
      </c>
      <c r="N493">
        <v>48.7</v>
      </c>
    </row>
    <row r="494" spans="13:14">
      <c r="M494">
        <v>-0.115763456</v>
      </c>
      <c r="N494">
        <v>48.8</v>
      </c>
    </row>
    <row r="495" spans="13:14">
      <c r="M495">
        <v>-0.11266116800000001</v>
      </c>
      <c r="N495">
        <v>48.9</v>
      </c>
    </row>
    <row r="496" spans="13:14">
      <c r="M496">
        <v>-0.11015472</v>
      </c>
      <c r="N496">
        <v>49</v>
      </c>
    </row>
    <row r="497" spans="13:14">
      <c r="M497">
        <v>-0.109972048</v>
      </c>
      <c r="N497">
        <v>49.1</v>
      </c>
    </row>
    <row r="498" spans="13:14">
      <c r="M498">
        <v>-0.10978937599999999</v>
      </c>
      <c r="N498">
        <v>49.2</v>
      </c>
    </row>
    <row r="499" spans="13:14">
      <c r="M499">
        <v>-0.106293552</v>
      </c>
      <c r="N499">
        <v>49.3</v>
      </c>
    </row>
    <row r="500" spans="13:14">
      <c r="M500">
        <v>-0.101037616</v>
      </c>
      <c r="N500">
        <v>49.4</v>
      </c>
    </row>
    <row r="501" spans="13:14">
      <c r="M501">
        <v>-9.5642840000000104E-2</v>
      </c>
      <c r="N501">
        <v>49.5</v>
      </c>
    </row>
    <row r="502" spans="13:14">
      <c r="M502">
        <v>-8.9026272000000198E-2</v>
      </c>
      <c r="N502">
        <v>49.6</v>
      </c>
    </row>
    <row r="503" spans="13:14">
      <c r="M503">
        <v>-8.2409703999999806E-2</v>
      </c>
      <c r="N503">
        <v>49.7</v>
      </c>
    </row>
    <row r="504" spans="13:14">
      <c r="M504">
        <v>-7.7533231999999896E-2</v>
      </c>
      <c r="N504">
        <v>49.8</v>
      </c>
    </row>
    <row r="505" spans="13:14">
      <c r="M505">
        <v>-7.4074615999999996E-2</v>
      </c>
      <c r="N505">
        <v>49.9</v>
      </c>
    </row>
    <row r="506" spans="13:14">
      <c r="M506">
        <v>-7.0615999999999998E-2</v>
      </c>
      <c r="N506">
        <v>50</v>
      </c>
    </row>
    <row r="507" spans="13:14">
      <c r="M507">
        <v>-6.4969632000000097E-2</v>
      </c>
      <c r="N507">
        <v>50.1</v>
      </c>
    </row>
    <row r="508" spans="13:14">
      <c r="M508">
        <v>-5.9323264000000098E-2</v>
      </c>
      <c r="N508">
        <v>50.2</v>
      </c>
    </row>
    <row r="509" spans="13:14">
      <c r="M509">
        <v>-5.51164000000001E-2</v>
      </c>
      <c r="N509">
        <v>50.3</v>
      </c>
    </row>
    <row r="510" spans="13:14">
      <c r="M510">
        <v>-5.2676199999999902E-2</v>
      </c>
      <c r="N510">
        <v>50.4</v>
      </c>
    </row>
    <row r="511" spans="13:14">
      <c r="M511">
        <v>-5.0235999999999899E-2</v>
      </c>
      <c r="N511">
        <v>50.5</v>
      </c>
    </row>
    <row r="512" spans="13:14">
      <c r="M512">
        <v>-4.9289336000000003E-2</v>
      </c>
      <c r="N512">
        <v>50.6</v>
      </c>
    </row>
    <row r="513" spans="13:14">
      <c r="M513">
        <v>-4.8512392000000001E-2</v>
      </c>
      <c r="N513">
        <v>50.7</v>
      </c>
    </row>
    <row r="514" spans="13:14">
      <c r="M514">
        <v>-4.6636839999999999E-2</v>
      </c>
      <c r="N514">
        <v>50.8</v>
      </c>
    </row>
    <row r="515" spans="13:14">
      <c r="M515">
        <v>-4.2693320000000097E-2</v>
      </c>
      <c r="N515">
        <v>50.9</v>
      </c>
    </row>
    <row r="516" spans="13:14">
      <c r="M516">
        <v>-3.87497999999998E-2</v>
      </c>
      <c r="N516">
        <v>51</v>
      </c>
    </row>
    <row r="517" spans="13:14">
      <c r="M517">
        <v>-3.5672079999999898E-2</v>
      </c>
      <c r="N517">
        <v>51.1</v>
      </c>
    </row>
    <row r="518" spans="13:14">
      <c r="M518">
        <v>-3.2816359999999899E-2</v>
      </c>
      <c r="N518">
        <v>51.2</v>
      </c>
    </row>
    <row r="519" spans="13:14">
      <c r="M519">
        <v>-3.0146303999999999E-2</v>
      </c>
      <c r="N519">
        <v>51.3</v>
      </c>
    </row>
    <row r="520" spans="13:14">
      <c r="M520">
        <v>-2.8048712E-2</v>
      </c>
      <c r="N520">
        <v>51.4</v>
      </c>
    </row>
    <row r="521" spans="13:14">
      <c r="M521">
        <v>-2.5951120000000001E-2</v>
      </c>
      <c r="N521">
        <v>51.5</v>
      </c>
    </row>
    <row r="522" spans="13:14">
      <c r="M522">
        <v>-2.2949944000000101E-2</v>
      </c>
      <c r="N522">
        <v>51.6</v>
      </c>
    </row>
    <row r="523" spans="13:14">
      <c r="M523">
        <v>-1.9550127999999899E-2</v>
      </c>
      <c r="N523">
        <v>51.7</v>
      </c>
    </row>
    <row r="524" spans="13:14">
      <c r="M524">
        <v>-1.6095823999999901E-2</v>
      </c>
      <c r="N524">
        <v>51.8</v>
      </c>
    </row>
    <row r="525" spans="13:14">
      <c r="M525">
        <v>-1.23145919999999E-2</v>
      </c>
      <c r="N525">
        <v>51.9</v>
      </c>
    </row>
    <row r="526" spans="13:14">
      <c r="M526">
        <v>-8.5333599999999708E-3</v>
      </c>
      <c r="N526">
        <v>52</v>
      </c>
    </row>
    <row r="527" spans="13:14">
      <c r="M527">
        <v>-6.8818880000000001E-3</v>
      </c>
      <c r="N527">
        <v>52.1</v>
      </c>
    </row>
    <row r="528" spans="13:14">
      <c r="M528">
        <v>-6.699216E-3</v>
      </c>
      <c r="N528">
        <v>52.2</v>
      </c>
    </row>
    <row r="529" spans="13:14">
      <c r="M529">
        <v>-6.4458399999999102E-3</v>
      </c>
      <c r="N529">
        <v>52.3</v>
      </c>
    </row>
    <row r="530" spans="13:14">
      <c r="M530">
        <v>-4.5309199999999201E-3</v>
      </c>
      <c r="N530">
        <v>52.4</v>
      </c>
    </row>
    <row r="531" spans="13:14">
      <c r="M531">
        <v>-2.61599999999994E-3</v>
      </c>
      <c r="N531">
        <v>52.5</v>
      </c>
    </row>
    <row r="532" spans="13:14">
      <c r="M532">
        <v>-3.5432799999995099E-4</v>
      </c>
      <c r="N532">
        <v>52.6</v>
      </c>
    </row>
    <row r="533" spans="13:14">
      <c r="M533">
        <v>2.2685440000000199E-3</v>
      </c>
      <c r="N533">
        <v>52.7</v>
      </c>
    </row>
    <row r="534" spans="13:14">
      <c r="M534">
        <v>4.8914159999999896E-3</v>
      </c>
      <c r="N534">
        <v>52.8</v>
      </c>
    </row>
    <row r="535" spans="13:14">
      <c r="M535">
        <v>6.6137920000001E-3</v>
      </c>
      <c r="N535">
        <v>52.9</v>
      </c>
    </row>
    <row r="536" spans="13:14">
      <c r="M536">
        <v>8.2774400000000803E-3</v>
      </c>
      <c r="N536">
        <v>53</v>
      </c>
    </row>
    <row r="537" spans="13:14">
      <c r="M537">
        <v>1.0117104000000101E-2</v>
      </c>
      <c r="N537">
        <v>53.1</v>
      </c>
    </row>
    <row r="538" spans="13:14">
      <c r="M538">
        <v>1.2234688000000099E-2</v>
      </c>
      <c r="N538">
        <v>53.2</v>
      </c>
    </row>
    <row r="539" spans="13:14">
      <c r="M539">
        <v>1.4352271999999999E-2</v>
      </c>
      <c r="N539">
        <v>53.3</v>
      </c>
    </row>
    <row r="540" spans="13:14">
      <c r="M540">
        <v>1.5000416000000001E-2</v>
      </c>
      <c r="N540">
        <v>53.4</v>
      </c>
    </row>
    <row r="541" spans="13:14">
      <c r="M541">
        <v>1.536184E-2</v>
      </c>
      <c r="N541">
        <v>53.5</v>
      </c>
    </row>
    <row r="542" spans="13:14">
      <c r="M542">
        <v>1.567936E-2</v>
      </c>
      <c r="N542">
        <v>53.6</v>
      </c>
    </row>
    <row r="543" spans="13:14">
      <c r="M543">
        <v>1.5887120000000001E-2</v>
      </c>
      <c r="N543">
        <v>53.7</v>
      </c>
    </row>
    <row r="544" spans="13:14">
      <c r="M544">
        <v>1.6094879999999999E-2</v>
      </c>
      <c r="N544">
        <v>53.8</v>
      </c>
    </row>
    <row r="545" spans="13:14">
      <c r="M545">
        <v>1.6411792000000001E-2</v>
      </c>
      <c r="N545">
        <v>53.9</v>
      </c>
    </row>
    <row r="546" spans="13:14">
      <c r="M546">
        <v>1.6768120000000001E-2</v>
      </c>
      <c r="N546">
        <v>54</v>
      </c>
    </row>
    <row r="547" spans="13:14">
      <c r="M547">
        <v>1.7066128E-2</v>
      </c>
      <c r="N547">
        <v>54.1</v>
      </c>
    </row>
    <row r="548" spans="13:14">
      <c r="M548">
        <v>1.7104936000000001E-2</v>
      </c>
      <c r="N548">
        <v>54.2</v>
      </c>
    </row>
    <row r="549" spans="13:14">
      <c r="M549">
        <v>1.7143743999999999E-2</v>
      </c>
      <c r="N549">
        <v>54.3</v>
      </c>
    </row>
    <row r="550" spans="13:14">
      <c r="M550">
        <v>1.8817368000000102E-2</v>
      </c>
      <c r="N550">
        <v>54.4</v>
      </c>
    </row>
    <row r="551" spans="13:14">
      <c r="M551">
        <v>2.14402400000001E-2</v>
      </c>
      <c r="N551">
        <v>54.5</v>
      </c>
    </row>
    <row r="552" spans="13:14">
      <c r="M552">
        <v>2.4051400000000101E-2</v>
      </c>
      <c r="N552">
        <v>54.6</v>
      </c>
    </row>
    <row r="553" spans="13:14">
      <c r="M553">
        <v>2.65308E-2</v>
      </c>
      <c r="N553">
        <v>54.7</v>
      </c>
    </row>
    <row r="554" spans="13:14">
      <c r="M554">
        <v>2.9010200000000201E-2</v>
      </c>
      <c r="N554">
        <v>54.8</v>
      </c>
    </row>
    <row r="555" spans="13:14">
      <c r="M555">
        <v>3.0775328000000102E-2</v>
      </c>
      <c r="N555">
        <v>54.9</v>
      </c>
    </row>
    <row r="556" spans="13:14">
      <c r="M556">
        <v>3.1908600000000099E-2</v>
      </c>
      <c r="N556">
        <v>55</v>
      </c>
    </row>
    <row r="557" spans="13:14">
      <c r="M557">
        <v>3.3041872E-2</v>
      </c>
      <c r="N557">
        <v>55.1</v>
      </c>
    </row>
    <row r="558" spans="13:14">
      <c r="M558">
        <v>3.5804456000000102E-2</v>
      </c>
      <c r="N558">
        <v>55.2</v>
      </c>
    </row>
    <row r="559" spans="13:14">
      <c r="M559">
        <v>3.8600984000000102E-2</v>
      </c>
      <c r="N559">
        <v>55.3</v>
      </c>
    </row>
    <row r="560" spans="13:14">
      <c r="M560">
        <v>4.1414312000000099E-2</v>
      </c>
      <c r="N560">
        <v>55.4</v>
      </c>
    </row>
    <row r="561" spans="13:14">
      <c r="M561">
        <v>4.4250040000000199E-2</v>
      </c>
      <c r="N561">
        <v>55.5</v>
      </c>
    </row>
    <row r="562" spans="13:14">
      <c r="M562">
        <v>4.7085768000000201E-2</v>
      </c>
      <c r="N562">
        <v>55.6</v>
      </c>
    </row>
    <row r="563" spans="13:14">
      <c r="M563">
        <v>4.8956576000000099E-2</v>
      </c>
      <c r="N563">
        <v>55.7</v>
      </c>
    </row>
    <row r="564" spans="13:14">
      <c r="M564">
        <v>5.0692744000000102E-2</v>
      </c>
      <c r="N564">
        <v>55.8</v>
      </c>
    </row>
    <row r="565" spans="13:14">
      <c r="M565">
        <v>5.2164207999999997E-2</v>
      </c>
      <c r="N565">
        <v>55.9</v>
      </c>
    </row>
    <row r="566" spans="13:14">
      <c r="M566">
        <v>5.308972E-2</v>
      </c>
      <c r="N566">
        <v>56</v>
      </c>
    </row>
    <row r="567" spans="13:14">
      <c r="M567">
        <v>5.40152320000001E-2</v>
      </c>
      <c r="N567">
        <v>56.1</v>
      </c>
    </row>
    <row r="568" spans="13:14">
      <c r="M568">
        <v>5.4841032000000102E-2</v>
      </c>
      <c r="N568">
        <v>56.2</v>
      </c>
    </row>
    <row r="569" spans="13:14">
      <c r="M569">
        <v>5.56379680000001E-2</v>
      </c>
      <c r="N569">
        <v>56.3</v>
      </c>
    </row>
    <row r="570" spans="13:14">
      <c r="M570">
        <v>5.7133712000000197E-2</v>
      </c>
      <c r="N570">
        <v>56.4</v>
      </c>
    </row>
    <row r="571" spans="13:14">
      <c r="M571">
        <v>6.1043520000000198E-2</v>
      </c>
      <c r="N571">
        <v>56.5</v>
      </c>
    </row>
    <row r="572" spans="13:14">
      <c r="M572">
        <v>6.4953328000000102E-2</v>
      </c>
      <c r="N572">
        <v>56.6</v>
      </c>
    </row>
    <row r="573" spans="13:14">
      <c r="M573">
        <v>6.7656392000000107E-2</v>
      </c>
      <c r="N573">
        <v>56.7</v>
      </c>
    </row>
    <row r="574" spans="13:14">
      <c r="M574">
        <v>6.9774368000000198E-2</v>
      </c>
      <c r="N574">
        <v>56.8</v>
      </c>
    </row>
    <row r="575" spans="13:14">
      <c r="M575">
        <v>7.1958920000000204E-2</v>
      </c>
      <c r="N575">
        <v>56.9</v>
      </c>
    </row>
    <row r="576" spans="13:14">
      <c r="M576">
        <v>7.4620600000000203E-2</v>
      </c>
      <c r="N576">
        <v>57</v>
      </c>
    </row>
    <row r="577" spans="13:14">
      <c r="M577">
        <v>7.7282280000000203E-2</v>
      </c>
      <c r="N577">
        <v>57.1</v>
      </c>
    </row>
    <row r="578" spans="13:14">
      <c r="M578">
        <v>7.8522231999999997E-2</v>
      </c>
      <c r="N578">
        <v>57.2</v>
      </c>
    </row>
    <row r="579" spans="13:14">
      <c r="M579">
        <v>7.8695888000000006E-2</v>
      </c>
      <c r="N579">
        <v>57.3</v>
      </c>
    </row>
    <row r="580" spans="13:14">
      <c r="M580">
        <v>7.8920328000000303E-2</v>
      </c>
      <c r="N580">
        <v>57.4</v>
      </c>
    </row>
    <row r="581" spans="13:14">
      <c r="M581">
        <v>8.1582400000000194E-2</v>
      </c>
      <c r="N581">
        <v>57.5</v>
      </c>
    </row>
    <row r="582" spans="13:14">
      <c r="M582">
        <v>8.4244472000000195E-2</v>
      </c>
      <c r="N582">
        <v>57.6</v>
      </c>
    </row>
    <row r="583" spans="13:14">
      <c r="M583">
        <v>8.6100807999999904E-2</v>
      </c>
      <c r="N583">
        <v>57.7</v>
      </c>
    </row>
    <row r="584" spans="13:14">
      <c r="M584">
        <v>8.7046312000000001E-2</v>
      </c>
      <c r="N584">
        <v>57.8</v>
      </c>
    </row>
    <row r="585" spans="13:14">
      <c r="M585">
        <v>8.7991816E-2</v>
      </c>
      <c r="N585">
        <v>57.9</v>
      </c>
    </row>
    <row r="586" spans="13:14">
      <c r="M586">
        <v>8.8068999999999995E-2</v>
      </c>
      <c r="N586">
        <v>58</v>
      </c>
    </row>
    <row r="587" spans="13:14">
      <c r="M587">
        <v>8.8068999999999995E-2</v>
      </c>
      <c r="N587">
        <v>58.1</v>
      </c>
    </row>
    <row r="588" spans="13:14">
      <c r="M588">
        <v>8.8894263999999903E-2</v>
      </c>
      <c r="N588">
        <v>58.2</v>
      </c>
    </row>
    <row r="589" spans="13:14">
      <c r="M589">
        <v>9.1140815999999805E-2</v>
      </c>
      <c r="N589">
        <v>58.3</v>
      </c>
    </row>
    <row r="590" spans="13:14">
      <c r="M590">
        <v>9.3387367999999998E-2</v>
      </c>
      <c r="N590">
        <v>58.4</v>
      </c>
    </row>
    <row r="591" spans="13:14">
      <c r="M591">
        <v>9.4571840000000004E-2</v>
      </c>
      <c r="N591">
        <v>58.5</v>
      </c>
    </row>
    <row r="592" spans="13:14">
      <c r="M592">
        <v>9.5517344000000004E-2</v>
      </c>
      <c r="N592">
        <v>58.6</v>
      </c>
    </row>
    <row r="593" spans="13:14">
      <c r="M593">
        <v>9.6267015999999997E-2</v>
      </c>
      <c r="N593">
        <v>58.7</v>
      </c>
    </row>
    <row r="594" spans="13:14">
      <c r="M594">
        <v>9.6474383999999996E-2</v>
      </c>
      <c r="N594">
        <v>58.8</v>
      </c>
    </row>
    <row r="595" spans="13:14">
      <c r="M595">
        <v>9.6681751999999996E-2</v>
      </c>
      <c r="N595">
        <v>58.9</v>
      </c>
    </row>
    <row r="596" spans="13:14">
      <c r="M596">
        <v>0.10064364000000001</v>
      </c>
      <c r="N596">
        <v>59</v>
      </c>
    </row>
    <row r="597" spans="13:14">
      <c r="M597">
        <v>0.106107336</v>
      </c>
      <c r="N597">
        <v>59.1</v>
      </c>
    </row>
    <row r="598" spans="13:14">
      <c r="M598">
        <v>0.111332504</v>
      </c>
      <c r="N598">
        <v>59.2</v>
      </c>
    </row>
    <row r="599" spans="13:14">
      <c r="M599">
        <v>0.115335216</v>
      </c>
      <c r="N599">
        <v>59.3</v>
      </c>
    </row>
    <row r="600" spans="13:14">
      <c r="M600">
        <v>0.119337928</v>
      </c>
      <c r="N600">
        <v>59.4</v>
      </c>
    </row>
    <row r="601" spans="13:14">
      <c r="M601">
        <v>0.12364448</v>
      </c>
      <c r="N601">
        <v>59.5</v>
      </c>
    </row>
    <row r="602" spans="13:14">
      <c r="M602">
        <v>0.12814346400000001</v>
      </c>
      <c r="N602">
        <v>59.6</v>
      </c>
    </row>
    <row r="603" spans="13:14">
      <c r="M603">
        <v>0.13299383200000001</v>
      </c>
      <c r="N603">
        <v>59.7</v>
      </c>
    </row>
    <row r="604" spans="13:14">
      <c r="M604">
        <v>0.14323208800000001</v>
      </c>
      <c r="N604">
        <v>59.8</v>
      </c>
    </row>
    <row r="605" spans="13:14">
      <c r="M605">
        <v>0.15347034400000001</v>
      </c>
      <c r="N605">
        <v>59.9</v>
      </c>
    </row>
    <row r="606" spans="13:14">
      <c r="M606">
        <v>0.1600376</v>
      </c>
      <c r="N606">
        <v>60</v>
      </c>
    </row>
    <row r="607" spans="13:14">
      <c r="M607">
        <v>0.163080696</v>
      </c>
      <c r="N607">
        <v>60.1</v>
      </c>
    </row>
    <row r="608" spans="13:14">
      <c r="M608">
        <v>0.16612379199999999</v>
      </c>
      <c r="N608">
        <v>60.2</v>
      </c>
    </row>
    <row r="609" spans="13:14">
      <c r="M609">
        <v>0.16675672799999999</v>
      </c>
      <c r="N609">
        <v>60.3</v>
      </c>
    </row>
    <row r="610" spans="13:14">
      <c r="M610">
        <v>0.16728710399999999</v>
      </c>
      <c r="N610">
        <v>60.4</v>
      </c>
    </row>
    <row r="611" spans="13:14">
      <c r="M611">
        <v>0.1702226</v>
      </c>
      <c r="N611">
        <v>60.5</v>
      </c>
    </row>
    <row r="612" spans="13:14">
      <c r="M612">
        <v>0.17664552</v>
      </c>
      <c r="N612">
        <v>60.6</v>
      </c>
    </row>
    <row r="613" spans="13:14">
      <c r="M613">
        <v>0.18306844</v>
      </c>
      <c r="N613">
        <v>60.7</v>
      </c>
    </row>
    <row r="614" spans="13:14">
      <c r="M614">
        <v>0.1887152</v>
      </c>
      <c r="N614">
        <v>60.8</v>
      </c>
    </row>
    <row r="615" spans="13:14">
      <c r="M615">
        <v>0.19423260000000001</v>
      </c>
      <c r="N615">
        <v>60.9</v>
      </c>
    </row>
    <row r="616" spans="13:14">
      <c r="M616">
        <v>0.19886548000000001</v>
      </c>
      <c r="N616">
        <v>61</v>
      </c>
    </row>
    <row r="617" spans="13:14">
      <c r="M617">
        <v>0.20149344799999999</v>
      </c>
      <c r="N617">
        <v>61.1</v>
      </c>
    </row>
    <row r="618" spans="13:14">
      <c r="M618">
        <v>0.204121416</v>
      </c>
      <c r="N618">
        <v>61.2</v>
      </c>
    </row>
    <row r="619" spans="13:14">
      <c r="M619">
        <v>0.207620216</v>
      </c>
      <c r="N619">
        <v>61.3</v>
      </c>
    </row>
    <row r="620" spans="13:14">
      <c r="M620">
        <v>0.21140144799999999</v>
      </c>
      <c r="N620">
        <v>61.4</v>
      </c>
    </row>
    <row r="621" spans="13:14">
      <c r="M621">
        <v>0.21459987999999999</v>
      </c>
      <c r="N621">
        <v>61.5</v>
      </c>
    </row>
    <row r="622" spans="13:14">
      <c r="M622">
        <v>0.21552539200000001</v>
      </c>
      <c r="N622">
        <v>61.6</v>
      </c>
    </row>
    <row r="623" spans="13:14">
      <c r="M623">
        <v>0.216450904</v>
      </c>
      <c r="N623">
        <v>61.7</v>
      </c>
    </row>
    <row r="624" spans="13:14">
      <c r="M624">
        <v>0.218759328</v>
      </c>
      <c r="N624">
        <v>61.8</v>
      </c>
    </row>
    <row r="625" spans="13:14">
      <c r="M625">
        <v>0.221802424</v>
      </c>
      <c r="N625">
        <v>61.9</v>
      </c>
    </row>
    <row r="626" spans="13:14">
      <c r="M626">
        <v>0.22536616000000001</v>
      </c>
      <c r="N626">
        <v>62</v>
      </c>
    </row>
    <row r="627" spans="13:14">
      <c r="M627">
        <v>0.233511528</v>
      </c>
      <c r="N627">
        <v>62.1</v>
      </c>
    </row>
    <row r="628" spans="13:14">
      <c r="M628">
        <v>0.24165689600000001</v>
      </c>
      <c r="N628">
        <v>62.2</v>
      </c>
    </row>
    <row r="629" spans="13:14">
      <c r="M629">
        <v>0.24678085599999999</v>
      </c>
      <c r="N629">
        <v>62.3</v>
      </c>
    </row>
    <row r="630" spans="13:14">
      <c r="M630">
        <v>0.24944292800000001</v>
      </c>
      <c r="N630">
        <v>62.4</v>
      </c>
    </row>
    <row r="631" spans="13:14">
      <c r="M631">
        <v>0.25210500000000002</v>
      </c>
      <c r="N631">
        <v>62.5</v>
      </c>
    </row>
    <row r="632" spans="13:14">
      <c r="M632">
        <v>0.25263498400000001</v>
      </c>
      <c r="N632">
        <v>62.6</v>
      </c>
    </row>
    <row r="633" spans="13:14">
      <c r="M633">
        <v>0.25316496799999999</v>
      </c>
      <c r="N633">
        <v>62.7</v>
      </c>
    </row>
    <row r="634" spans="13:14">
      <c r="M634">
        <v>0.25516103200000001</v>
      </c>
      <c r="N634">
        <v>62.8</v>
      </c>
    </row>
    <row r="635" spans="13:14">
      <c r="M635">
        <v>0.25895637599999999</v>
      </c>
      <c r="N635">
        <v>62.9</v>
      </c>
    </row>
    <row r="636" spans="13:14">
      <c r="M636">
        <v>0.26275172000000002</v>
      </c>
      <c r="N636">
        <v>63</v>
      </c>
    </row>
    <row r="637" spans="13:14">
      <c r="M637">
        <v>0.26327240800000001</v>
      </c>
      <c r="N637">
        <v>63.1</v>
      </c>
    </row>
    <row r="638" spans="13:14">
      <c r="M638">
        <v>0.26342097599999997</v>
      </c>
      <c r="N638">
        <v>63.2</v>
      </c>
    </row>
    <row r="639" spans="13:14">
      <c r="M639">
        <v>0.26450876000000001</v>
      </c>
      <c r="N639">
        <v>63.3</v>
      </c>
    </row>
    <row r="640" spans="13:14">
      <c r="M640">
        <v>0.26736448000000002</v>
      </c>
      <c r="N640">
        <v>63.4</v>
      </c>
    </row>
    <row r="641" spans="13:14">
      <c r="M641">
        <v>0.27022020000000002</v>
      </c>
      <c r="N641">
        <v>63.5</v>
      </c>
    </row>
    <row r="642" spans="13:14">
      <c r="M642">
        <v>0.27289464800000002</v>
      </c>
      <c r="N642">
        <v>63.6</v>
      </c>
    </row>
    <row r="643" spans="13:14">
      <c r="M643">
        <v>0.275522616</v>
      </c>
      <c r="N643">
        <v>63.7</v>
      </c>
    </row>
    <row r="644" spans="13:14">
      <c r="M644">
        <v>0.27774805600000002</v>
      </c>
      <c r="N644">
        <v>63.8</v>
      </c>
    </row>
    <row r="645" spans="13:14">
      <c r="M645">
        <v>0.27873236800000001</v>
      </c>
      <c r="N645">
        <v>63.9</v>
      </c>
    </row>
    <row r="646" spans="13:14">
      <c r="M646">
        <v>0.27971668</v>
      </c>
      <c r="N646">
        <v>64</v>
      </c>
    </row>
    <row r="647" spans="13:14">
      <c r="M647">
        <v>0.28394976</v>
      </c>
      <c r="N647">
        <v>64.099999999999994</v>
      </c>
    </row>
    <row r="648" spans="13:14">
      <c r="M648">
        <v>0.28961611999999998</v>
      </c>
      <c r="N648">
        <v>64.2</v>
      </c>
    </row>
    <row r="649" spans="13:14">
      <c r="M649">
        <v>0.29475070399999997</v>
      </c>
      <c r="N649">
        <v>64.3</v>
      </c>
    </row>
    <row r="650" spans="13:14">
      <c r="M650">
        <v>0.29669463200000001</v>
      </c>
      <c r="N650">
        <v>64.400000000000006</v>
      </c>
    </row>
    <row r="651" spans="13:14">
      <c r="M651">
        <v>0.29863856</v>
      </c>
      <c r="N651">
        <v>64.5</v>
      </c>
    </row>
    <row r="652" spans="13:14">
      <c r="M652">
        <v>0.29964590400000002</v>
      </c>
      <c r="N652">
        <v>64.599999999999994</v>
      </c>
    </row>
    <row r="653" spans="13:14">
      <c r="M653">
        <v>0.30000732800000002</v>
      </c>
      <c r="N653">
        <v>64.7</v>
      </c>
    </row>
    <row r="654" spans="13:14">
      <c r="M654">
        <v>0.30049275199999997</v>
      </c>
      <c r="N654">
        <v>64.8</v>
      </c>
    </row>
    <row r="655" spans="13:14">
      <c r="M655">
        <v>0.30389217600000001</v>
      </c>
      <c r="N655">
        <v>64.900000000000006</v>
      </c>
    </row>
    <row r="656" spans="13:14">
      <c r="M656">
        <v>0.3072916</v>
      </c>
      <c r="N656">
        <v>65</v>
      </c>
    </row>
    <row r="657" spans="13:14">
      <c r="M657">
        <v>0.30909895999999998</v>
      </c>
      <c r="N657">
        <v>65.099999999999994</v>
      </c>
    </row>
    <row r="658" spans="13:14">
      <c r="M658">
        <v>0.30924792000000001</v>
      </c>
      <c r="N658">
        <v>65.2</v>
      </c>
    </row>
    <row r="659" spans="13:14">
      <c r="M659">
        <v>0.30939687999999999</v>
      </c>
      <c r="N659">
        <v>65.3</v>
      </c>
    </row>
    <row r="660" spans="13:14">
      <c r="M660">
        <v>0.30976406400000001</v>
      </c>
      <c r="N660">
        <v>65.400000000000006</v>
      </c>
    </row>
    <row r="661" spans="13:14">
      <c r="M661">
        <v>0.31014547999999997</v>
      </c>
      <c r="N661">
        <v>65.5</v>
      </c>
    </row>
    <row r="662" spans="13:14">
      <c r="M662">
        <v>0.31037900000000002</v>
      </c>
      <c r="N662">
        <v>65.599999999999994</v>
      </c>
    </row>
    <row r="663" spans="13:14">
      <c r="M663">
        <v>0.31037900000000002</v>
      </c>
      <c r="N663">
        <v>65.7</v>
      </c>
    </row>
    <row r="664" spans="13:14">
      <c r="M664">
        <v>0.31037900000000002</v>
      </c>
      <c r="N664">
        <v>65.8</v>
      </c>
    </row>
    <row r="665" spans="13:14">
      <c r="M665">
        <v>0.31547185599999999</v>
      </c>
      <c r="N665">
        <v>65.900000000000006</v>
      </c>
    </row>
    <row r="666" spans="13:14">
      <c r="M666">
        <v>0.32155844</v>
      </c>
      <c r="N666">
        <v>66</v>
      </c>
    </row>
    <row r="667" spans="13:14">
      <c r="M667">
        <v>0.32675865599999998</v>
      </c>
      <c r="N667">
        <v>66.099999999999994</v>
      </c>
    </row>
    <row r="668" spans="13:14">
      <c r="M668">
        <v>0.32974295199999998</v>
      </c>
      <c r="N668">
        <v>66.2</v>
      </c>
    </row>
    <row r="669" spans="13:14">
      <c r="M669">
        <v>0.33272724799999998</v>
      </c>
      <c r="N669">
        <v>66.3</v>
      </c>
    </row>
    <row r="670" spans="13:14">
      <c r="M670">
        <v>0.33783813600000001</v>
      </c>
      <c r="N670">
        <v>66.400000000000006</v>
      </c>
    </row>
    <row r="671" spans="13:14">
      <c r="M671">
        <v>0.34371696000000002</v>
      </c>
      <c r="N671">
        <v>66.5</v>
      </c>
    </row>
    <row r="672" spans="13:14">
      <c r="M672">
        <v>0.35022024000000002</v>
      </c>
      <c r="N672">
        <v>66.599999999999994</v>
      </c>
    </row>
    <row r="673" spans="13:14">
      <c r="M673">
        <v>0.35949888000000002</v>
      </c>
      <c r="N673">
        <v>66.7</v>
      </c>
    </row>
    <row r="674" spans="13:14">
      <c r="M674">
        <v>0.36877752000000003</v>
      </c>
      <c r="N674">
        <v>66.8</v>
      </c>
    </row>
    <row r="675" spans="13:14">
      <c r="M675">
        <v>0.37254287200000002</v>
      </c>
      <c r="N675">
        <v>66.900000000000006</v>
      </c>
    </row>
    <row r="676" spans="13:14">
      <c r="M676">
        <v>0.37310695999999999</v>
      </c>
      <c r="N676">
        <v>67</v>
      </c>
    </row>
    <row r="677" spans="13:14">
      <c r="M677">
        <v>0.37408592800000101</v>
      </c>
      <c r="N677">
        <v>67.099999999999994</v>
      </c>
    </row>
    <row r="678" spans="13:14">
      <c r="M678">
        <v>0.37973229600000002</v>
      </c>
      <c r="N678">
        <v>67.2</v>
      </c>
    </row>
    <row r="679" spans="13:14">
      <c r="M679">
        <v>0.38537866399999998</v>
      </c>
      <c r="N679">
        <v>67.3</v>
      </c>
    </row>
    <row r="680" spans="13:14">
      <c r="M680">
        <v>0.38806020000000002</v>
      </c>
      <c r="N680">
        <v>67.400000000000006</v>
      </c>
    </row>
    <row r="681" spans="13:14">
      <c r="M681">
        <v>0.38811899999999999</v>
      </c>
      <c r="N681">
        <v>67.5</v>
      </c>
    </row>
    <row r="682" spans="13:14">
      <c r="M682">
        <v>0.38817780000000002</v>
      </c>
      <c r="N682">
        <v>67.599999999999994</v>
      </c>
    </row>
    <row r="683" spans="13:14">
      <c r="M683">
        <v>0.39388024799999999</v>
      </c>
      <c r="N683">
        <v>67.7</v>
      </c>
    </row>
    <row r="684" spans="13:14">
      <c r="M684">
        <v>0.39970027200000002</v>
      </c>
      <c r="N684">
        <v>67.8</v>
      </c>
    </row>
    <row r="685" spans="13:14">
      <c r="M685">
        <v>0.403342176</v>
      </c>
      <c r="N685">
        <v>67.900000000000006</v>
      </c>
    </row>
    <row r="686" spans="13:14">
      <c r="M686">
        <v>0.40407991999999998</v>
      </c>
      <c r="N686">
        <v>68</v>
      </c>
    </row>
    <row r="687" spans="13:14">
      <c r="M687">
        <v>0.40481766400000002</v>
      </c>
      <c r="N687">
        <v>68.099999999999994</v>
      </c>
    </row>
    <row r="688" spans="13:14">
      <c r="M688">
        <v>0.40744809599999998</v>
      </c>
      <c r="N688">
        <v>68.2</v>
      </c>
    </row>
    <row r="689" spans="13:14">
      <c r="M689">
        <v>0.41034262399999999</v>
      </c>
      <c r="N689">
        <v>68.3</v>
      </c>
    </row>
    <row r="690" spans="13:14">
      <c r="M690">
        <v>0.413266464</v>
      </c>
      <c r="N690">
        <v>68.400000000000006</v>
      </c>
    </row>
    <row r="691" spans="13:14">
      <c r="M691">
        <v>0.41625076</v>
      </c>
      <c r="N691">
        <v>68.5</v>
      </c>
    </row>
    <row r="692" spans="13:14">
      <c r="M692">
        <v>0.41923505599999999</v>
      </c>
      <c r="N692">
        <v>68.599999999999994</v>
      </c>
    </row>
    <row r="693" spans="13:14">
      <c r="M693">
        <v>0.42036890399999999</v>
      </c>
      <c r="N693">
        <v>68.7</v>
      </c>
    </row>
    <row r="694" spans="13:14">
      <c r="M694">
        <v>0.42096709599999999</v>
      </c>
      <c r="N694">
        <v>68.8</v>
      </c>
    </row>
    <row r="695" spans="13:14">
      <c r="M695">
        <v>0.42192767199999998</v>
      </c>
      <c r="N695">
        <v>68.900000000000006</v>
      </c>
    </row>
    <row r="696" spans="13:14">
      <c r="M696">
        <v>0.42414012000000001</v>
      </c>
      <c r="N696">
        <v>69</v>
      </c>
    </row>
    <row r="697" spans="13:14">
      <c r="M697">
        <v>0.42635256799999999</v>
      </c>
      <c r="N697">
        <v>69.099999999999994</v>
      </c>
    </row>
    <row r="698" spans="13:14">
      <c r="M698">
        <v>0.42823501600000002</v>
      </c>
      <c r="N698">
        <v>69.2</v>
      </c>
    </row>
    <row r="699" spans="13:14">
      <c r="M699">
        <v>0.42995746400000001</v>
      </c>
      <c r="N699">
        <v>69.3</v>
      </c>
    </row>
    <row r="700" spans="13:14">
      <c r="M700">
        <v>0.432237288</v>
      </c>
      <c r="N700">
        <v>69.400000000000006</v>
      </c>
    </row>
    <row r="701" spans="13:14">
      <c r="M701">
        <v>0.43851163999999998</v>
      </c>
      <c r="N701">
        <v>69.5</v>
      </c>
    </row>
    <row r="702" spans="13:14">
      <c r="M702">
        <v>0.44478599200000102</v>
      </c>
      <c r="N702">
        <v>69.599999999999994</v>
      </c>
    </row>
    <row r="703" spans="13:14">
      <c r="M703">
        <v>0.44767861599999997</v>
      </c>
      <c r="N703">
        <v>69.7</v>
      </c>
    </row>
    <row r="704" spans="13:14">
      <c r="M704">
        <v>0.44803494399999999</v>
      </c>
      <c r="N704">
        <v>69.8</v>
      </c>
    </row>
    <row r="705" spans="13:14">
      <c r="M705">
        <v>0.44839985599999999</v>
      </c>
      <c r="N705">
        <v>69.900000000000006</v>
      </c>
    </row>
    <row r="706" spans="13:14">
      <c r="M706">
        <v>0.44917679999999999</v>
      </c>
      <c r="N706">
        <v>70</v>
      </c>
    </row>
    <row r="707" spans="13:14">
      <c r="M707">
        <v>0.44995374399999999</v>
      </c>
      <c r="N707">
        <v>70.099999999999994</v>
      </c>
    </row>
    <row r="708" spans="13:14">
      <c r="M708">
        <v>0.45054503200000001</v>
      </c>
      <c r="N708">
        <v>70.2</v>
      </c>
    </row>
    <row r="709" spans="13:14">
      <c r="M709">
        <v>0.45092644799999998</v>
      </c>
      <c r="N709">
        <v>70.3</v>
      </c>
    </row>
    <row r="710" spans="13:14">
      <c r="M710">
        <v>0.451307864</v>
      </c>
      <c r="N710">
        <v>70.400000000000006</v>
      </c>
    </row>
    <row r="711" spans="13:14">
      <c r="M711">
        <v>0.45427047999999998</v>
      </c>
      <c r="N711">
        <v>70.5</v>
      </c>
    </row>
    <row r="712" spans="13:14">
      <c r="M712">
        <v>0.45746253599999998</v>
      </c>
      <c r="N712">
        <v>70.599999999999994</v>
      </c>
    </row>
    <row r="713" spans="13:14">
      <c r="M713">
        <v>0.46065459199999997</v>
      </c>
      <c r="N713">
        <v>70.7</v>
      </c>
    </row>
    <row r="714" spans="13:14">
      <c r="M714">
        <v>0.46384664799999997</v>
      </c>
      <c r="N714">
        <v>70.8</v>
      </c>
    </row>
    <row r="715" spans="13:14">
      <c r="M715">
        <v>0.46703870400000003</v>
      </c>
      <c r="N715">
        <v>70.900000000000006</v>
      </c>
    </row>
    <row r="716" spans="13:14">
      <c r="M716">
        <v>0.46774628000000001</v>
      </c>
      <c r="N716">
        <v>71</v>
      </c>
    </row>
    <row r="717" spans="13:14">
      <c r="M717">
        <v>0.46789484799999997</v>
      </c>
      <c r="N717">
        <v>71.099999999999994</v>
      </c>
    </row>
    <row r="718" spans="13:14">
      <c r="M718">
        <v>0.46882705600000002</v>
      </c>
      <c r="N718">
        <v>71.2</v>
      </c>
    </row>
    <row r="719" spans="13:14">
      <c r="M719">
        <v>0.47192934399999997</v>
      </c>
      <c r="N719">
        <v>71.3</v>
      </c>
    </row>
    <row r="720" spans="13:14">
      <c r="M720">
        <v>0.47503163199999998</v>
      </c>
      <c r="N720">
        <v>71.400000000000006</v>
      </c>
    </row>
    <row r="721" spans="13:14">
      <c r="M721">
        <v>0.47657907999999999</v>
      </c>
      <c r="N721">
        <v>71.5</v>
      </c>
    </row>
    <row r="722" spans="13:14">
      <c r="M722">
        <v>0.47750459200000001</v>
      </c>
      <c r="N722">
        <v>71.599999999999994</v>
      </c>
    </row>
    <row r="723" spans="13:14">
      <c r="M723">
        <v>0.47868290400000002</v>
      </c>
      <c r="N723">
        <v>71.7</v>
      </c>
    </row>
    <row r="724" spans="13:14">
      <c r="M724">
        <v>0.48115681599999999</v>
      </c>
      <c r="N724">
        <v>71.8</v>
      </c>
    </row>
    <row r="725" spans="13:14">
      <c r="M725">
        <v>0.48363072800000001</v>
      </c>
      <c r="N725">
        <v>71.900000000000006</v>
      </c>
    </row>
    <row r="726" spans="13:14">
      <c r="M726">
        <v>0.48618383999999998</v>
      </c>
      <c r="N726">
        <v>72</v>
      </c>
    </row>
    <row r="727" spans="13:14">
      <c r="M727">
        <v>0.48878711200000002</v>
      </c>
      <c r="N727">
        <v>72.099999999999994</v>
      </c>
    </row>
    <row r="728" spans="13:14">
      <c r="M728">
        <v>0.49130189600000002</v>
      </c>
      <c r="N728">
        <v>72.2</v>
      </c>
    </row>
    <row r="729" spans="13:14">
      <c r="M729">
        <v>0.49245986400000002</v>
      </c>
      <c r="N729">
        <v>72.3</v>
      </c>
    </row>
    <row r="730" spans="13:14">
      <c r="M730">
        <v>0.49361783199999998</v>
      </c>
      <c r="N730">
        <v>72.400000000000006</v>
      </c>
    </row>
    <row r="731" spans="13:14">
      <c r="M731">
        <v>0.49554320000000002</v>
      </c>
      <c r="N731">
        <v>72.5</v>
      </c>
    </row>
    <row r="732" spans="13:14">
      <c r="M732">
        <v>0.49820527199999998</v>
      </c>
      <c r="N732">
        <v>72.599999999999994</v>
      </c>
    </row>
    <row r="733" spans="13:14">
      <c r="M733">
        <v>0.50086734399999999</v>
      </c>
      <c r="N733">
        <v>72.7</v>
      </c>
    </row>
    <row r="734" spans="13:14">
      <c r="M734">
        <v>0.50131778400000004</v>
      </c>
      <c r="N734">
        <v>72.8</v>
      </c>
    </row>
    <row r="735" spans="13:14">
      <c r="M735">
        <v>0.50167411200000001</v>
      </c>
      <c r="N735">
        <v>72.900000000000006</v>
      </c>
    </row>
    <row r="736" spans="13:14">
      <c r="M736">
        <v>0.50251908000000001</v>
      </c>
      <c r="N736">
        <v>73</v>
      </c>
    </row>
    <row r="737" spans="13:14">
      <c r="M737">
        <v>0.50407257599999999</v>
      </c>
      <c r="N737">
        <v>73.099999999999994</v>
      </c>
    </row>
    <row r="738" spans="13:14">
      <c r="M738">
        <v>0.50562607199999998</v>
      </c>
      <c r="N738">
        <v>73.2</v>
      </c>
    </row>
    <row r="739" spans="13:14">
      <c r="M739">
        <v>0.51115915199999995</v>
      </c>
      <c r="N739">
        <v>73.3</v>
      </c>
    </row>
    <row r="740" spans="13:14">
      <c r="M740">
        <v>0.51735549599999997</v>
      </c>
      <c r="N740">
        <v>73.400000000000006</v>
      </c>
    </row>
    <row r="741" spans="13:14">
      <c r="M741">
        <v>0.52276091999999996</v>
      </c>
      <c r="N741">
        <v>73.5</v>
      </c>
    </row>
    <row r="742" spans="13:14">
      <c r="M742">
        <v>0.526373592</v>
      </c>
      <c r="N742">
        <v>73.599999999999994</v>
      </c>
    </row>
    <row r="743" spans="13:14">
      <c r="M743">
        <v>0.52998626400000004</v>
      </c>
      <c r="N743">
        <v>73.7</v>
      </c>
    </row>
    <row r="744" spans="13:14">
      <c r="M744">
        <v>0.54256655200000004</v>
      </c>
      <c r="N744">
        <v>73.8</v>
      </c>
    </row>
    <row r="745" spans="13:14">
      <c r="M745">
        <v>0.55805525599999894</v>
      </c>
      <c r="N745">
        <v>73.900000000000006</v>
      </c>
    </row>
    <row r="746" spans="13:14">
      <c r="M746">
        <v>0.57054156</v>
      </c>
      <c r="N746">
        <v>74</v>
      </c>
    </row>
    <row r="747" spans="13:14">
      <c r="M747">
        <v>0.57131850399999995</v>
      </c>
      <c r="N747">
        <v>74.099999999999994</v>
      </c>
    </row>
    <row r="748" spans="13:14">
      <c r="M748">
        <v>0.57209544800000001</v>
      </c>
      <c r="N748">
        <v>74.2</v>
      </c>
    </row>
    <row r="749" spans="13:14">
      <c r="M749">
        <v>0.573612232</v>
      </c>
      <c r="N749">
        <v>74.3</v>
      </c>
    </row>
    <row r="750" spans="13:14">
      <c r="M750">
        <v>0.57552205599999995</v>
      </c>
      <c r="N750">
        <v>74.400000000000006</v>
      </c>
    </row>
    <row r="751" spans="13:14">
      <c r="M751">
        <v>0.57731231999999999</v>
      </c>
      <c r="N751">
        <v>74.5</v>
      </c>
    </row>
    <row r="752" spans="13:14">
      <c r="M752">
        <v>0.57805045600000005</v>
      </c>
      <c r="N752">
        <v>74.599999999999994</v>
      </c>
    </row>
    <row r="753" spans="13:14">
      <c r="M753">
        <v>0.57878859199999999</v>
      </c>
      <c r="N753">
        <v>74.7</v>
      </c>
    </row>
    <row r="754" spans="13:14">
      <c r="M754">
        <v>0.58204571999999999</v>
      </c>
      <c r="N754">
        <v>74.8</v>
      </c>
    </row>
    <row r="755" spans="13:14">
      <c r="M755">
        <v>0.58735535999999999</v>
      </c>
      <c r="N755">
        <v>74.900000000000006</v>
      </c>
    </row>
    <row r="756" spans="13:14">
      <c r="M756">
        <v>0.592665</v>
      </c>
      <c r="N756">
        <v>75</v>
      </c>
    </row>
    <row r="757" spans="13:14">
      <c r="M757">
        <v>0.60003342400000004</v>
      </c>
      <c r="N757">
        <v>75.099999999999994</v>
      </c>
    </row>
    <row r="758" spans="13:14">
      <c r="M758">
        <v>0.60740184799999997</v>
      </c>
      <c r="N758">
        <v>75.2</v>
      </c>
    </row>
    <row r="759" spans="13:14">
      <c r="M759">
        <v>0.61247065599999995</v>
      </c>
      <c r="N759">
        <v>75.3</v>
      </c>
    </row>
    <row r="760" spans="13:14">
      <c r="M760">
        <v>0.61471720799999996</v>
      </c>
      <c r="N760">
        <v>75.400000000000006</v>
      </c>
    </row>
    <row r="761" spans="13:14">
      <c r="M761">
        <v>0.61696375999999997</v>
      </c>
      <c r="N761">
        <v>75.5</v>
      </c>
    </row>
    <row r="762" spans="13:14">
      <c r="M762">
        <v>0.61719299999999999</v>
      </c>
      <c r="N762">
        <v>75.599999999999994</v>
      </c>
    </row>
    <row r="763" spans="13:14">
      <c r="M763">
        <v>0.61719299999999999</v>
      </c>
      <c r="N763">
        <v>75.7</v>
      </c>
    </row>
    <row r="764" spans="13:14">
      <c r="M764">
        <v>0.61746948800000001</v>
      </c>
      <c r="N764">
        <v>75.8</v>
      </c>
    </row>
    <row r="765" spans="13:14">
      <c r="M765">
        <v>0.61826642399999998</v>
      </c>
      <c r="N765">
        <v>75.900000000000006</v>
      </c>
    </row>
    <row r="766" spans="13:14">
      <c r="M766">
        <v>0.61906335999999995</v>
      </c>
      <c r="N766">
        <v>76</v>
      </c>
    </row>
    <row r="767" spans="13:14">
      <c r="M767">
        <v>0.61949369600000004</v>
      </c>
      <c r="N767">
        <v>76.099999999999994</v>
      </c>
    </row>
    <row r="768" spans="13:14">
      <c r="M768">
        <v>0.61983003199999998</v>
      </c>
      <c r="N768">
        <v>76.2</v>
      </c>
    </row>
    <row r="769" spans="13:14">
      <c r="M769">
        <v>0.626058848</v>
      </c>
      <c r="N769">
        <v>76.3</v>
      </c>
    </row>
    <row r="770" spans="13:14">
      <c r="M770">
        <v>0.65045614399999996</v>
      </c>
      <c r="N770">
        <v>76.400000000000006</v>
      </c>
    </row>
    <row r="771" spans="13:14">
      <c r="M771">
        <v>0.67485344000000003</v>
      </c>
      <c r="N771">
        <v>76.5</v>
      </c>
    </row>
    <row r="772" spans="13:14">
      <c r="M772">
        <v>0.68338252799999999</v>
      </c>
      <c r="N772">
        <v>76.599999999999994</v>
      </c>
    </row>
    <row r="773" spans="13:14">
      <c r="M773">
        <v>0.68491093599999997</v>
      </c>
      <c r="N773">
        <v>76.7</v>
      </c>
    </row>
    <row r="774" spans="13:14">
      <c r="M774">
        <v>0.68681767999999999</v>
      </c>
      <c r="N774">
        <v>76.8</v>
      </c>
    </row>
    <row r="775" spans="13:14">
      <c r="M775">
        <v>0.69099443999999999</v>
      </c>
      <c r="N775">
        <v>76.900000000000006</v>
      </c>
    </row>
    <row r="776" spans="13:14">
      <c r="M776">
        <v>0.69517119999999999</v>
      </c>
      <c r="N776">
        <v>77</v>
      </c>
    </row>
    <row r="777" spans="13:14">
      <c r="M777">
        <v>0.70079192800000101</v>
      </c>
      <c r="N777">
        <v>77.099999999999994</v>
      </c>
    </row>
    <row r="778" spans="13:14">
      <c r="M778">
        <v>0.707408496</v>
      </c>
      <c r="N778">
        <v>77.2</v>
      </c>
    </row>
    <row r="779" spans="13:14">
      <c r="M779">
        <v>0.714911768000001</v>
      </c>
      <c r="N779">
        <v>77.3</v>
      </c>
    </row>
    <row r="780" spans="13:14">
      <c r="M780">
        <v>0.74325258400000105</v>
      </c>
      <c r="N780">
        <v>77.400000000000006</v>
      </c>
    </row>
    <row r="781" spans="13:14">
      <c r="M781">
        <v>0.77159340000000098</v>
      </c>
      <c r="N781">
        <v>77.5</v>
      </c>
    </row>
    <row r="782" spans="13:14">
      <c r="M782">
        <v>0.78708058400000003</v>
      </c>
      <c r="N782">
        <v>77.599999999999994</v>
      </c>
    </row>
    <row r="783" spans="13:14">
      <c r="M783">
        <v>0.78917856799999997</v>
      </c>
      <c r="N783">
        <v>77.7</v>
      </c>
    </row>
    <row r="784" spans="13:14">
      <c r="M784">
        <v>0.79127655200000002</v>
      </c>
      <c r="N784">
        <v>77.8</v>
      </c>
    </row>
    <row r="785" spans="13:14">
      <c r="M785">
        <v>0.79514940000000001</v>
      </c>
      <c r="N785">
        <v>77.900000000000006</v>
      </c>
    </row>
    <row r="786" spans="13:14">
      <c r="M786">
        <v>0.79913800000000001</v>
      </c>
      <c r="N786">
        <v>78</v>
      </c>
    </row>
    <row r="787" spans="13:14">
      <c r="M787">
        <v>0.80258927999999996</v>
      </c>
      <c r="N787">
        <v>78.099999999999994</v>
      </c>
    </row>
    <row r="788" spans="13:14">
      <c r="M788">
        <v>0.80519216000000005</v>
      </c>
      <c r="N788">
        <v>78.2</v>
      </c>
    </row>
    <row r="789" spans="13:14">
      <c r="M789">
        <v>0.80779504000000002</v>
      </c>
      <c r="N789">
        <v>78.3</v>
      </c>
    </row>
    <row r="790" spans="13:14">
      <c r="M790">
        <v>0.80871298400000002</v>
      </c>
      <c r="N790">
        <v>78.400000000000006</v>
      </c>
    </row>
    <row r="791" spans="13:14">
      <c r="M791">
        <v>0.80930215999999999</v>
      </c>
      <c r="N791">
        <v>78.5</v>
      </c>
    </row>
    <row r="792" spans="13:14">
      <c r="M792">
        <v>0.81032242399999999</v>
      </c>
      <c r="N792">
        <v>78.599999999999994</v>
      </c>
    </row>
    <row r="793" spans="13:14">
      <c r="M793">
        <v>0.81242040800000004</v>
      </c>
      <c r="N793">
        <v>78.7</v>
      </c>
    </row>
    <row r="794" spans="13:14">
      <c r="M794">
        <v>0.81451839199999998</v>
      </c>
      <c r="N794">
        <v>78.8</v>
      </c>
    </row>
    <row r="795" spans="13:14">
      <c r="M795">
        <v>0.82007036</v>
      </c>
      <c r="N795">
        <v>78.900000000000006</v>
      </c>
    </row>
    <row r="796" spans="13:14">
      <c r="M796">
        <v>0.82686959999999998</v>
      </c>
      <c r="N796">
        <v>79</v>
      </c>
    </row>
    <row r="797" spans="13:14">
      <c r="M797">
        <v>0.83245189600000002</v>
      </c>
      <c r="N797">
        <v>79.099999999999994</v>
      </c>
    </row>
    <row r="798" spans="13:14">
      <c r="M798">
        <v>0.83262555199999999</v>
      </c>
      <c r="N798">
        <v>79.2</v>
      </c>
    </row>
    <row r="799" spans="13:14">
      <c r="M799">
        <v>0.83279920799999996</v>
      </c>
      <c r="N799">
        <v>79.3</v>
      </c>
    </row>
    <row r="800" spans="13:14">
      <c r="M800">
        <v>0.83584966400000005</v>
      </c>
      <c r="N800">
        <v>79.400000000000006</v>
      </c>
    </row>
    <row r="801" spans="13:14">
      <c r="M801">
        <v>0.84057052000000099</v>
      </c>
      <c r="N801">
        <v>79.5</v>
      </c>
    </row>
    <row r="802" spans="13:14">
      <c r="M802">
        <v>0.84530715200000095</v>
      </c>
      <c r="N802">
        <v>79.599999999999994</v>
      </c>
    </row>
    <row r="803" spans="13:14">
      <c r="M803">
        <v>0.85022126399999998</v>
      </c>
      <c r="N803">
        <v>79.7</v>
      </c>
    </row>
    <row r="804" spans="13:14">
      <c r="M804">
        <v>0.855135376</v>
      </c>
      <c r="N804">
        <v>79.8</v>
      </c>
    </row>
    <row r="805" spans="13:14">
      <c r="M805">
        <v>0.86375979200000097</v>
      </c>
      <c r="N805">
        <v>79.900000000000006</v>
      </c>
    </row>
    <row r="806" spans="13:14">
      <c r="M806">
        <v>0.87566640000000096</v>
      </c>
      <c r="N806">
        <v>80</v>
      </c>
    </row>
    <row r="807" spans="13:14">
      <c r="M807">
        <v>0.88757300800000105</v>
      </c>
      <c r="N807">
        <v>80.099999999999994</v>
      </c>
    </row>
    <row r="808" spans="13:14">
      <c r="M808">
        <v>0.88836857599999997</v>
      </c>
      <c r="N808">
        <v>80.2</v>
      </c>
    </row>
    <row r="809" spans="13:14">
      <c r="M809">
        <v>0.88893266400000004</v>
      </c>
      <c r="N809">
        <v>80.3</v>
      </c>
    </row>
    <row r="810" spans="13:14">
      <c r="M810">
        <v>0.88967701600000004</v>
      </c>
      <c r="N810">
        <v>80.400000000000006</v>
      </c>
    </row>
    <row r="811" spans="13:14">
      <c r="M811">
        <v>0.89066171999999999</v>
      </c>
      <c r="N811">
        <v>80.5</v>
      </c>
    </row>
    <row r="812" spans="13:14">
      <c r="M812">
        <v>0.89164642400000005</v>
      </c>
      <c r="N812">
        <v>80.599999999999994</v>
      </c>
    </row>
    <row r="813" spans="13:14">
      <c r="M813">
        <v>0.89541443200000004</v>
      </c>
      <c r="N813">
        <v>80.7</v>
      </c>
    </row>
    <row r="814" spans="13:14">
      <c r="M814">
        <v>0.899570808000001</v>
      </c>
      <c r="N814">
        <v>80.8</v>
      </c>
    </row>
    <row r="815" spans="13:14">
      <c r="M815">
        <v>0.90348014399999999</v>
      </c>
      <c r="N815">
        <v>80.900000000000006</v>
      </c>
    </row>
    <row r="816" spans="13:14">
      <c r="M816">
        <v>0.90687996000000004</v>
      </c>
      <c r="N816">
        <v>81</v>
      </c>
    </row>
    <row r="817" spans="13:14">
      <c r="M817">
        <v>0.91027977599999998</v>
      </c>
      <c r="N817">
        <v>81.099999999999994</v>
      </c>
    </row>
    <row r="818" spans="13:14">
      <c r="M818">
        <v>0.91412069600000001</v>
      </c>
      <c r="N818">
        <v>81.2</v>
      </c>
    </row>
    <row r="819" spans="13:14">
      <c r="M819">
        <v>0.91808930399999999</v>
      </c>
      <c r="N819">
        <v>81.3</v>
      </c>
    </row>
    <row r="820" spans="13:14">
      <c r="M820">
        <v>0.922821224</v>
      </c>
      <c r="N820">
        <v>81.400000000000006</v>
      </c>
    </row>
    <row r="821" spans="13:14">
      <c r="M821">
        <v>0.93019004000000005</v>
      </c>
      <c r="N821">
        <v>81.5</v>
      </c>
    </row>
    <row r="822" spans="13:14">
      <c r="M822">
        <v>0.937558856</v>
      </c>
      <c r="N822">
        <v>81.599999999999994</v>
      </c>
    </row>
    <row r="823" spans="13:14">
      <c r="M823">
        <v>0.94313484800000003</v>
      </c>
      <c r="N823">
        <v>81.7</v>
      </c>
    </row>
    <row r="824" spans="13:14">
      <c r="M824">
        <v>0.94784159199999996</v>
      </c>
      <c r="N824">
        <v>81.8</v>
      </c>
    </row>
    <row r="825" spans="13:14">
      <c r="M825">
        <v>0.95236286400000003</v>
      </c>
      <c r="N825">
        <v>81.900000000000006</v>
      </c>
    </row>
    <row r="826" spans="13:14">
      <c r="M826">
        <v>0.95555491999999997</v>
      </c>
      <c r="N826">
        <v>82</v>
      </c>
    </row>
    <row r="827" spans="13:14">
      <c r="M827">
        <v>0.95874697600000003</v>
      </c>
      <c r="N827">
        <v>82.1</v>
      </c>
    </row>
    <row r="828" spans="13:14">
      <c r="M828">
        <v>0.96165029599999996</v>
      </c>
      <c r="N828">
        <v>82.2</v>
      </c>
    </row>
    <row r="829" spans="13:14">
      <c r="M829">
        <v>0.96433706399999997</v>
      </c>
      <c r="N829">
        <v>82.3</v>
      </c>
    </row>
    <row r="830" spans="13:14">
      <c r="M830">
        <v>0.967099288000001</v>
      </c>
      <c r="N830">
        <v>82.4</v>
      </c>
    </row>
    <row r="831" spans="13:14">
      <c r="M831">
        <v>0.973483400000001</v>
      </c>
      <c r="N831">
        <v>82.5</v>
      </c>
    </row>
    <row r="832" spans="13:14">
      <c r="M832">
        <v>0.979867512</v>
      </c>
      <c r="N832">
        <v>82.6</v>
      </c>
    </row>
    <row r="833" spans="13:14">
      <c r="M833">
        <v>0.98852273600000096</v>
      </c>
      <c r="N833">
        <v>82.7</v>
      </c>
    </row>
    <row r="834" spans="13:14">
      <c r="M834">
        <v>0.99974530400000094</v>
      </c>
      <c r="N834">
        <v>82.8</v>
      </c>
    </row>
    <row r="835" spans="13:14">
      <c r="M835">
        <v>1.0109678719999999</v>
      </c>
      <c r="N835">
        <v>82.9</v>
      </c>
    </row>
    <row r="836" spans="13:14">
      <c r="M836">
        <v>1.01308424</v>
      </c>
      <c r="N836">
        <v>83</v>
      </c>
    </row>
    <row r="837" spans="13:14">
      <c r="M837">
        <v>1.014391168</v>
      </c>
      <c r="N837">
        <v>83.1</v>
      </c>
    </row>
    <row r="838" spans="13:14">
      <c r="M838">
        <v>1.015974288</v>
      </c>
      <c r="N838">
        <v>83.2</v>
      </c>
    </row>
    <row r="839" spans="13:14">
      <c r="M839">
        <v>1.0180330719999999</v>
      </c>
      <c r="N839">
        <v>83.3</v>
      </c>
    </row>
    <row r="840" spans="13:14">
      <c r="M840">
        <v>1.0200918560000001</v>
      </c>
      <c r="N840">
        <v>83.4</v>
      </c>
    </row>
    <row r="841" spans="13:14">
      <c r="M841">
        <v>1.0237375200000001</v>
      </c>
      <c r="N841">
        <v>83.5</v>
      </c>
    </row>
    <row r="842" spans="13:14">
      <c r="M842">
        <v>1.027740232</v>
      </c>
      <c r="N842">
        <v>83.6</v>
      </c>
    </row>
    <row r="843" spans="13:14">
      <c r="M843">
        <v>1.0323352240000001</v>
      </c>
      <c r="N843">
        <v>83.7</v>
      </c>
    </row>
    <row r="844" spans="13:14">
      <c r="M844">
        <v>1.038570376</v>
      </c>
      <c r="N844">
        <v>83.8</v>
      </c>
    </row>
    <row r="845" spans="13:14">
      <c r="M845">
        <v>1.0448055279999999</v>
      </c>
      <c r="N845">
        <v>83.9</v>
      </c>
    </row>
    <row r="846" spans="13:14">
      <c r="M846">
        <v>1.0513134</v>
      </c>
      <c r="N846">
        <v>84</v>
      </c>
    </row>
    <row r="847" spans="13:14">
      <c r="M847">
        <v>1.0579303600000001</v>
      </c>
      <c r="N847">
        <v>84.1</v>
      </c>
    </row>
    <row r="848" spans="13:14">
      <c r="M848">
        <v>1.0639299120000001</v>
      </c>
      <c r="N848">
        <v>84.2</v>
      </c>
    </row>
    <row r="849" spans="13:14">
      <c r="M849">
        <v>1.0667652480000001</v>
      </c>
      <c r="N849">
        <v>84.3</v>
      </c>
    </row>
    <row r="850" spans="13:14">
      <c r="M850">
        <v>1.069600584</v>
      </c>
      <c r="N850">
        <v>84.4</v>
      </c>
    </row>
    <row r="851" spans="13:14">
      <c r="M851">
        <v>1.0877064000000001</v>
      </c>
      <c r="N851">
        <v>84.5</v>
      </c>
    </row>
    <row r="852" spans="13:14">
      <c r="M852">
        <v>1.11548352</v>
      </c>
      <c r="N852">
        <v>84.6</v>
      </c>
    </row>
    <row r="853" spans="13:14">
      <c r="M853">
        <v>1.1421047280000001</v>
      </c>
      <c r="N853">
        <v>84.7</v>
      </c>
    </row>
    <row r="854" spans="13:14">
      <c r="M854">
        <v>1.1510019520000001</v>
      </c>
      <c r="N854">
        <v>84.8</v>
      </c>
    </row>
    <row r="855" spans="13:14">
      <c r="M855">
        <v>1.1598991759999999</v>
      </c>
      <c r="N855">
        <v>84.9</v>
      </c>
    </row>
    <row r="856" spans="13:14">
      <c r="M856">
        <v>1.1679206</v>
      </c>
      <c r="N856">
        <v>85</v>
      </c>
    </row>
    <row r="857" spans="13:14">
      <c r="M857">
        <v>1.175101256</v>
      </c>
      <c r="N857">
        <v>85.1</v>
      </c>
    </row>
    <row r="858" spans="13:14">
      <c r="M858">
        <v>1.1822819120000001</v>
      </c>
      <c r="N858">
        <v>85.2</v>
      </c>
    </row>
    <row r="859" spans="13:14">
      <c r="M859">
        <v>1.1851280399999999</v>
      </c>
      <c r="N859">
        <v>85.3</v>
      </c>
    </row>
    <row r="860" spans="13:14">
      <c r="M860">
        <v>1.18778972</v>
      </c>
      <c r="N860">
        <v>85.4</v>
      </c>
    </row>
    <row r="861" spans="13:14">
      <c r="M861">
        <v>1.189365</v>
      </c>
      <c r="N861">
        <v>85.5</v>
      </c>
    </row>
    <row r="862" spans="13:14">
      <c r="M862">
        <v>1.189365</v>
      </c>
      <c r="N862">
        <v>85.6</v>
      </c>
    </row>
    <row r="863" spans="13:14">
      <c r="M863">
        <v>1.189365</v>
      </c>
      <c r="N863">
        <v>85.7</v>
      </c>
    </row>
    <row r="864" spans="13:14">
      <c r="M864">
        <v>1.1972892239999999</v>
      </c>
      <c r="N864">
        <v>85.8</v>
      </c>
    </row>
    <row r="865" spans="13:14">
      <c r="M865">
        <v>1.2065341519999999</v>
      </c>
      <c r="N865">
        <v>85.9</v>
      </c>
    </row>
    <row r="866" spans="13:14">
      <c r="M866">
        <v>1.2193158399999999</v>
      </c>
      <c r="N866">
        <v>86</v>
      </c>
    </row>
    <row r="867" spans="13:14">
      <c r="M867">
        <v>1.2401141840000001</v>
      </c>
      <c r="N867">
        <v>86.1</v>
      </c>
    </row>
    <row r="868" spans="13:14">
      <c r="M868">
        <v>1.260912528</v>
      </c>
      <c r="N868">
        <v>86.2</v>
      </c>
    </row>
    <row r="869" spans="13:14">
      <c r="M869">
        <v>1.269134424</v>
      </c>
      <c r="N869">
        <v>86.3</v>
      </c>
    </row>
    <row r="870" spans="13:14">
      <c r="M870">
        <v>1.273277472</v>
      </c>
      <c r="N870">
        <v>86.4</v>
      </c>
    </row>
    <row r="871" spans="13:14">
      <c r="M871">
        <v>1.2772029199999999</v>
      </c>
      <c r="N871">
        <v>86.5</v>
      </c>
    </row>
    <row r="872" spans="13:14">
      <c r="M872">
        <v>1.280279728</v>
      </c>
      <c r="N872">
        <v>86.6</v>
      </c>
    </row>
    <row r="873" spans="13:14">
      <c r="M873">
        <v>1.2833565360000001</v>
      </c>
      <c r="N873">
        <v>86.7</v>
      </c>
    </row>
    <row r="874" spans="13:14">
      <c r="M874">
        <v>1.286757696</v>
      </c>
      <c r="N874">
        <v>86.8</v>
      </c>
    </row>
    <row r="875" spans="13:14">
      <c r="M875">
        <v>1.290331168</v>
      </c>
      <c r="N875">
        <v>86.9</v>
      </c>
    </row>
    <row r="876" spans="13:14">
      <c r="M876">
        <v>1.2940646</v>
      </c>
      <c r="N876">
        <v>87</v>
      </c>
    </row>
    <row r="877" spans="13:14">
      <c r="M877">
        <v>1.29920568</v>
      </c>
      <c r="N877">
        <v>87.1</v>
      </c>
    </row>
    <row r="878" spans="13:14">
      <c r="M878">
        <v>1.30434676</v>
      </c>
      <c r="N878">
        <v>87.2</v>
      </c>
    </row>
    <row r="879" spans="13:14">
      <c r="M879">
        <v>1.3108082480000001</v>
      </c>
      <c r="N879">
        <v>87.3</v>
      </c>
    </row>
    <row r="880" spans="13:14">
      <c r="M880">
        <v>1.318345624</v>
      </c>
      <c r="N880">
        <v>87.4</v>
      </c>
    </row>
    <row r="881" spans="13:14">
      <c r="M881">
        <v>1.3258829999999999</v>
      </c>
      <c r="N881">
        <v>87.5</v>
      </c>
    </row>
    <row r="882" spans="13:14">
      <c r="M882">
        <v>1.3273776960000001</v>
      </c>
      <c r="N882">
        <v>87.6</v>
      </c>
    </row>
    <row r="883" spans="13:14">
      <c r="M883">
        <v>1.3288723920000001</v>
      </c>
      <c r="N883">
        <v>87.7</v>
      </c>
    </row>
    <row r="884" spans="13:14">
      <c r="M884">
        <v>1.330111536</v>
      </c>
      <c r="N884">
        <v>87.8</v>
      </c>
    </row>
    <row r="885" spans="13:14">
      <c r="M885">
        <v>1.331037048</v>
      </c>
      <c r="N885">
        <v>87.9</v>
      </c>
    </row>
    <row r="886" spans="13:14">
      <c r="M886">
        <v>1.33196256</v>
      </c>
      <c r="N886">
        <v>88</v>
      </c>
    </row>
    <row r="887" spans="13:14">
      <c r="M887">
        <v>1.348244424</v>
      </c>
      <c r="N887">
        <v>88.1</v>
      </c>
    </row>
    <row r="888" spans="13:14">
      <c r="M888">
        <v>1.3662713280000001</v>
      </c>
      <c r="N888">
        <v>88.2</v>
      </c>
    </row>
    <row r="889" spans="13:14">
      <c r="M889">
        <v>1.378621184</v>
      </c>
      <c r="N889">
        <v>88.3</v>
      </c>
    </row>
    <row r="890" spans="13:14">
      <c r="M890">
        <v>1.3802848320000001</v>
      </c>
      <c r="N890">
        <v>88.4</v>
      </c>
    </row>
    <row r="891" spans="13:14">
      <c r="M891">
        <v>1.3819484799999999</v>
      </c>
      <c r="N891">
        <v>88.5</v>
      </c>
    </row>
    <row r="892" spans="13:14">
      <c r="M892">
        <v>1.38245336</v>
      </c>
      <c r="N892">
        <v>88.6</v>
      </c>
    </row>
    <row r="893" spans="13:14">
      <c r="M893">
        <v>1.3826611200000001</v>
      </c>
      <c r="N893">
        <v>88.7</v>
      </c>
    </row>
    <row r="894" spans="13:14">
      <c r="M894">
        <v>1.3840674399999999</v>
      </c>
      <c r="N894">
        <v>88.8</v>
      </c>
    </row>
    <row r="895" spans="13:14">
      <c r="M895">
        <v>1.3891693199999999</v>
      </c>
      <c r="N895">
        <v>88.9</v>
      </c>
    </row>
    <row r="896" spans="13:14">
      <c r="M896">
        <v>1.3942711999999999</v>
      </c>
      <c r="N896">
        <v>89</v>
      </c>
    </row>
    <row r="897" spans="13:14">
      <c r="M897">
        <v>1.3975359919999999</v>
      </c>
      <c r="N897">
        <v>89.1</v>
      </c>
    </row>
    <row r="898" spans="13:14">
      <c r="M898">
        <v>1.3999903039999999</v>
      </c>
      <c r="N898">
        <v>89.2</v>
      </c>
    </row>
    <row r="899" spans="13:14">
      <c r="M899">
        <v>1.402550008</v>
      </c>
      <c r="N899">
        <v>89.3</v>
      </c>
    </row>
    <row r="900" spans="13:14">
      <c r="M900">
        <v>1.405742064</v>
      </c>
      <c r="N900">
        <v>89.4</v>
      </c>
    </row>
    <row r="901" spans="13:14">
      <c r="M901">
        <v>1.4089341200000001</v>
      </c>
      <c r="N901">
        <v>89.5</v>
      </c>
    </row>
    <row r="902" spans="13:14">
      <c r="M902">
        <v>1.410359728</v>
      </c>
      <c r="N902">
        <v>89.6</v>
      </c>
    </row>
    <row r="903" spans="13:14">
      <c r="M903">
        <v>1.4105670960000001</v>
      </c>
      <c r="N903">
        <v>89.7</v>
      </c>
    </row>
    <row r="904" spans="13:14">
      <c r="M904">
        <v>1.4108656159999999</v>
      </c>
      <c r="N904">
        <v>89.8</v>
      </c>
    </row>
    <row r="905" spans="13:14">
      <c r="M905">
        <v>1.4133062080000001</v>
      </c>
      <c r="N905">
        <v>89.9</v>
      </c>
    </row>
    <row r="906" spans="13:14">
      <c r="M906">
        <v>1.4157468</v>
      </c>
      <c r="N906">
        <v>90</v>
      </c>
    </row>
    <row r="907" spans="13:14">
      <c r="M907">
        <v>1.4171855360000001</v>
      </c>
      <c r="N907">
        <v>90.1</v>
      </c>
    </row>
    <row r="908" spans="13:14">
      <c r="M908">
        <v>1.4175806719999999</v>
      </c>
      <c r="N908">
        <v>90.2</v>
      </c>
    </row>
    <row r="909" spans="13:14">
      <c r="M909">
        <v>1.417975808</v>
      </c>
      <c r="N909">
        <v>90.3</v>
      </c>
    </row>
    <row r="910" spans="13:14">
      <c r="M910">
        <v>1.4190638879999999</v>
      </c>
      <c r="N910">
        <v>90.4</v>
      </c>
    </row>
    <row r="911" spans="13:14">
      <c r="M911">
        <v>1.4201971600000001</v>
      </c>
      <c r="N911">
        <v>90.5</v>
      </c>
    </row>
    <row r="912" spans="13:14">
      <c r="M912">
        <v>1.4216316959999999</v>
      </c>
      <c r="N912">
        <v>90.6</v>
      </c>
    </row>
    <row r="913" spans="13:14">
      <c r="M913">
        <v>1.4235419119999999</v>
      </c>
      <c r="N913">
        <v>90.7</v>
      </c>
    </row>
    <row r="914" spans="13:14">
      <c r="M914">
        <v>1.4254521280000001</v>
      </c>
      <c r="N914">
        <v>90.8</v>
      </c>
    </row>
    <row r="915" spans="13:14">
      <c r="M915">
        <v>1.425937512</v>
      </c>
      <c r="N915">
        <v>90.9</v>
      </c>
    </row>
    <row r="916" spans="13:14">
      <c r="M916">
        <v>1.4261448800000001</v>
      </c>
      <c r="N916">
        <v>91</v>
      </c>
    </row>
    <row r="917" spans="13:14">
      <c r="M917">
        <v>1.426649608</v>
      </c>
      <c r="N917">
        <v>91.1</v>
      </c>
    </row>
    <row r="918" spans="13:14">
      <c r="M918">
        <v>1.427897736</v>
      </c>
      <c r="N918">
        <v>91.2</v>
      </c>
    </row>
    <row r="919" spans="13:14">
      <c r="M919">
        <v>1.4291458640000001</v>
      </c>
      <c r="N919">
        <v>91.3</v>
      </c>
    </row>
    <row r="920" spans="13:14">
      <c r="M920">
        <v>1.431185704</v>
      </c>
      <c r="N920">
        <v>91.4</v>
      </c>
    </row>
    <row r="921" spans="13:14">
      <c r="M921">
        <v>1.43351144</v>
      </c>
      <c r="N921">
        <v>91.5</v>
      </c>
    </row>
    <row r="922" spans="13:14">
      <c r="M922">
        <v>1.4384294639999999</v>
      </c>
      <c r="N922">
        <v>91.6</v>
      </c>
    </row>
    <row r="923" spans="13:14">
      <c r="M923">
        <v>1.4548687680000001</v>
      </c>
      <c r="N923">
        <v>91.7</v>
      </c>
    </row>
    <row r="924" spans="13:14">
      <c r="M924">
        <v>1.471308072</v>
      </c>
      <c r="N924">
        <v>91.8</v>
      </c>
    </row>
    <row r="925" spans="13:14">
      <c r="M925">
        <v>1.4783139519999999</v>
      </c>
      <c r="N925">
        <v>91.9</v>
      </c>
    </row>
    <row r="926" spans="13:14">
      <c r="M926">
        <v>1.4798423599999999</v>
      </c>
      <c r="N926">
        <v>92</v>
      </c>
    </row>
    <row r="927" spans="13:14">
      <c r="M927">
        <v>1.482063664</v>
      </c>
      <c r="N927">
        <v>92.1</v>
      </c>
    </row>
    <row r="928" spans="13:14">
      <c r="M928">
        <v>1.492080048</v>
      </c>
      <c r="N928">
        <v>92.2</v>
      </c>
    </row>
    <row r="929" spans="13:14">
      <c r="M929">
        <v>1.5020964320000001</v>
      </c>
      <c r="N929">
        <v>92.3</v>
      </c>
    </row>
    <row r="930" spans="13:14">
      <c r="M930">
        <v>1.507399328</v>
      </c>
      <c r="N930">
        <v>92.4</v>
      </c>
    </row>
    <row r="931" spans="13:14">
      <c r="M931">
        <v>1.5085325999999999</v>
      </c>
      <c r="N931">
        <v>92.5</v>
      </c>
    </row>
    <row r="932" spans="13:14">
      <c r="M932">
        <v>1.509665872</v>
      </c>
      <c r="N932">
        <v>92.6</v>
      </c>
    </row>
    <row r="933" spans="13:14">
      <c r="M933">
        <v>1.5115602319999999</v>
      </c>
      <c r="N933">
        <v>92.7</v>
      </c>
    </row>
    <row r="934" spans="13:14">
      <c r="M934">
        <v>1.5134704480000001</v>
      </c>
      <c r="N934">
        <v>92.8</v>
      </c>
    </row>
    <row r="935" spans="13:14">
      <c r="M935">
        <v>1.516163208</v>
      </c>
      <c r="N935">
        <v>92.9</v>
      </c>
    </row>
    <row r="936" spans="13:14">
      <c r="M936">
        <v>1.5198993599999999</v>
      </c>
      <c r="N936">
        <v>93</v>
      </c>
    </row>
    <row r="937" spans="13:14">
      <c r="M937">
        <v>1.523635512</v>
      </c>
      <c r="N937">
        <v>93.1</v>
      </c>
    </row>
    <row r="938" spans="13:14">
      <c r="M938">
        <v>1.542832056</v>
      </c>
      <c r="N938">
        <v>93.2</v>
      </c>
    </row>
    <row r="939" spans="13:14">
      <c r="M939">
        <v>1.5641858639999999</v>
      </c>
      <c r="N939">
        <v>93.3</v>
      </c>
    </row>
    <row r="940" spans="13:14">
      <c r="M940">
        <v>1.5823495279999999</v>
      </c>
      <c r="N940">
        <v>93.4</v>
      </c>
    </row>
    <row r="941" spans="13:14">
      <c r="M941">
        <v>1.59393352</v>
      </c>
      <c r="N941">
        <v>93.5</v>
      </c>
    </row>
    <row r="942" spans="13:14">
      <c r="M942">
        <v>1.605517512</v>
      </c>
      <c r="N942">
        <v>93.6</v>
      </c>
    </row>
    <row r="943" spans="13:14">
      <c r="M943">
        <v>1.613245568</v>
      </c>
      <c r="N943">
        <v>93.7</v>
      </c>
    </row>
    <row r="944" spans="13:14">
      <c r="M944">
        <v>1.6198574320000001</v>
      </c>
      <c r="N944">
        <v>93.8</v>
      </c>
    </row>
    <row r="945" spans="13:14">
      <c r="M945">
        <v>1.6251127759999999</v>
      </c>
      <c r="N945">
        <v>93.9</v>
      </c>
    </row>
    <row r="946" spans="13:14">
      <c r="M946">
        <v>1.6256819600000001</v>
      </c>
      <c r="N946">
        <v>94</v>
      </c>
    </row>
    <row r="947" spans="13:14">
      <c r="M947">
        <v>1.626251144</v>
      </c>
      <c r="N947">
        <v>94.1</v>
      </c>
    </row>
    <row r="948" spans="13:14">
      <c r="M948">
        <v>1.6284468320000001</v>
      </c>
      <c r="N948">
        <v>94.2</v>
      </c>
    </row>
    <row r="949" spans="13:14">
      <c r="M949">
        <v>1.631431128</v>
      </c>
      <c r="N949">
        <v>94.3</v>
      </c>
    </row>
    <row r="950" spans="13:14">
      <c r="M950">
        <v>1.6374371679999999</v>
      </c>
      <c r="N950">
        <v>94.4</v>
      </c>
    </row>
    <row r="951" spans="13:14">
      <c r="M951">
        <v>1.6650990400000001</v>
      </c>
      <c r="N951">
        <v>94.5</v>
      </c>
    </row>
    <row r="952" spans="13:14">
      <c r="M952">
        <v>1.692760912</v>
      </c>
      <c r="N952">
        <v>94.6</v>
      </c>
    </row>
    <row r="953" spans="13:14">
      <c r="M953">
        <v>1.70968064</v>
      </c>
      <c r="N953">
        <v>94.7</v>
      </c>
    </row>
    <row r="954" spans="13:14">
      <c r="M954">
        <v>1.71854376</v>
      </c>
      <c r="N954">
        <v>94.8</v>
      </c>
    </row>
    <row r="955" spans="13:14">
      <c r="M955">
        <v>1.72768492</v>
      </c>
      <c r="N955">
        <v>94.9</v>
      </c>
    </row>
    <row r="956" spans="13:14">
      <c r="M956">
        <v>1.7501720000000001</v>
      </c>
      <c r="N956">
        <v>95</v>
      </c>
    </row>
    <row r="957" spans="13:14">
      <c r="M957">
        <v>1.7726590799999999</v>
      </c>
      <c r="N957">
        <v>95.1</v>
      </c>
    </row>
    <row r="958" spans="13:14">
      <c r="M958">
        <v>1.7860195759999999</v>
      </c>
      <c r="N958">
        <v>95.2</v>
      </c>
    </row>
    <row r="959" spans="13:14">
      <c r="M959">
        <v>1.789063064</v>
      </c>
      <c r="N959">
        <v>95.3</v>
      </c>
    </row>
    <row r="960" spans="13:14">
      <c r="M960">
        <v>1.7921065519999999</v>
      </c>
      <c r="N960">
        <v>95.4</v>
      </c>
    </row>
    <row r="961" spans="13:14">
      <c r="M961">
        <v>1.80972464</v>
      </c>
      <c r="N961">
        <v>95.5</v>
      </c>
    </row>
    <row r="962" spans="13:14">
      <c r="M962">
        <v>1.8286382480000001</v>
      </c>
      <c r="N962">
        <v>95.6</v>
      </c>
    </row>
    <row r="963" spans="13:14">
      <c r="M963">
        <v>1.841374544</v>
      </c>
      <c r="N963">
        <v>95.7</v>
      </c>
    </row>
    <row r="964" spans="13:14">
      <c r="M964">
        <v>1.8434721359999999</v>
      </c>
      <c r="N964">
        <v>95.8</v>
      </c>
    </row>
    <row r="965" spans="13:14">
      <c r="M965">
        <v>1.8455697280000001</v>
      </c>
      <c r="N965">
        <v>95.9</v>
      </c>
    </row>
    <row r="966" spans="13:14">
      <c r="M966">
        <v>1.84899372</v>
      </c>
      <c r="N966">
        <v>96</v>
      </c>
    </row>
    <row r="967" spans="13:14">
      <c r="M967">
        <v>1.8527161519999999</v>
      </c>
      <c r="N967">
        <v>96.1</v>
      </c>
    </row>
    <row r="968" spans="13:14">
      <c r="M968">
        <v>1.85615716</v>
      </c>
      <c r="N968">
        <v>96.2</v>
      </c>
    </row>
    <row r="969" spans="13:14">
      <c r="M969">
        <v>1.8588188400000001</v>
      </c>
      <c r="N969">
        <v>96.3</v>
      </c>
    </row>
    <row r="970" spans="13:14">
      <c r="M970">
        <v>1.86148052</v>
      </c>
      <c r="N970">
        <v>96.4</v>
      </c>
    </row>
    <row r="971" spans="13:14">
      <c r="M971">
        <v>1.8823962400000001</v>
      </c>
      <c r="N971">
        <v>96.5</v>
      </c>
    </row>
    <row r="972" spans="13:14">
      <c r="M972">
        <v>1.910613576</v>
      </c>
      <c r="N972">
        <v>96.6</v>
      </c>
    </row>
    <row r="973" spans="13:14">
      <c r="M973">
        <v>1.93669376</v>
      </c>
      <c r="N973">
        <v>96.7</v>
      </c>
    </row>
    <row r="974" spans="13:14">
      <c r="M974">
        <v>1.95182104</v>
      </c>
      <c r="N974">
        <v>96.8</v>
      </c>
    </row>
    <row r="975" spans="13:14">
      <c r="M975">
        <v>1.96694832</v>
      </c>
      <c r="N975">
        <v>96.9</v>
      </c>
    </row>
    <row r="976" spans="13:14">
      <c r="M976">
        <v>1.98691784</v>
      </c>
      <c r="N976">
        <v>97</v>
      </c>
    </row>
    <row r="977" spans="13:14">
      <c r="M977">
        <v>2.009954112</v>
      </c>
      <c r="N977">
        <v>97.1</v>
      </c>
    </row>
    <row r="978" spans="13:14">
      <c r="M978">
        <v>2.0316402880000002</v>
      </c>
      <c r="N978">
        <v>97.2</v>
      </c>
    </row>
    <row r="979" spans="13:14">
      <c r="M979">
        <v>2.0326249920000001</v>
      </c>
      <c r="N979">
        <v>97.3</v>
      </c>
    </row>
    <row r="980" spans="13:14">
      <c r="M980">
        <v>2.0336096960000001</v>
      </c>
      <c r="N980">
        <v>97.4</v>
      </c>
    </row>
    <row r="981" spans="13:14">
      <c r="M981">
        <v>2.0381217999999999</v>
      </c>
      <c r="N981">
        <v>97.5</v>
      </c>
    </row>
    <row r="982" spans="13:14">
      <c r="M982">
        <v>2.0460202079999998</v>
      </c>
      <c r="N982">
        <v>97.6</v>
      </c>
    </row>
    <row r="983" spans="13:14">
      <c r="M983">
        <v>2.0539186159999998</v>
      </c>
      <c r="N983">
        <v>97.7</v>
      </c>
    </row>
    <row r="984" spans="13:14">
      <c r="M984">
        <v>2.0542977759999999</v>
      </c>
      <c r="N984">
        <v>97.8</v>
      </c>
    </row>
    <row r="985" spans="13:14">
      <c r="M985">
        <v>2.054356968</v>
      </c>
      <c r="N985">
        <v>97.9</v>
      </c>
    </row>
    <row r="986" spans="13:14">
      <c r="M986">
        <v>2.0657054399999999</v>
      </c>
      <c r="N986">
        <v>98</v>
      </c>
    </row>
    <row r="987" spans="13:14">
      <c r="M987">
        <v>2.0934233679999998</v>
      </c>
      <c r="N987">
        <v>98.1</v>
      </c>
    </row>
    <row r="988" spans="13:14">
      <c r="M988">
        <v>2.1211412959999998</v>
      </c>
      <c r="N988">
        <v>98.2</v>
      </c>
    </row>
    <row r="989" spans="13:14">
      <c r="M989">
        <v>2.1272507279999999</v>
      </c>
      <c r="N989">
        <v>98.3</v>
      </c>
    </row>
    <row r="990" spans="13:14">
      <c r="M990">
        <v>2.1297587440000001</v>
      </c>
      <c r="N990">
        <v>98.4</v>
      </c>
    </row>
    <row r="991" spans="13:14">
      <c r="M991">
        <v>2.1343864400000001</v>
      </c>
      <c r="N991">
        <v>98.5</v>
      </c>
    </row>
    <row r="992" spans="13:14">
      <c r="M992">
        <v>2.1438187439999998</v>
      </c>
      <c r="N992">
        <v>98.6</v>
      </c>
    </row>
    <row r="993" spans="13:14">
      <c r="M993">
        <v>2.153251048</v>
      </c>
      <c r="N993">
        <v>98.7</v>
      </c>
    </row>
    <row r="994" spans="13:14">
      <c r="M994">
        <v>2.1712851120000001</v>
      </c>
      <c r="N994">
        <v>98.8</v>
      </c>
    </row>
    <row r="995" spans="13:14">
      <c r="M995">
        <v>2.1921089359999999</v>
      </c>
      <c r="N995">
        <v>98.9</v>
      </c>
    </row>
    <row r="996" spans="13:14">
      <c r="M996">
        <v>2.2091454800000001</v>
      </c>
      <c r="N996">
        <v>99</v>
      </c>
    </row>
    <row r="997" spans="13:14">
      <c r="M997">
        <v>2.2114116319999999</v>
      </c>
      <c r="N997">
        <v>99.1</v>
      </c>
    </row>
    <row r="998" spans="13:14">
      <c r="M998">
        <v>2.2136777840000001</v>
      </c>
      <c r="N998">
        <v>99.2</v>
      </c>
    </row>
    <row r="999" spans="13:14">
      <c r="M999">
        <v>2.220016384</v>
      </c>
      <c r="N999">
        <v>99.3</v>
      </c>
    </row>
    <row r="1000" spans="13:14">
      <c r="M1000">
        <v>2.2285184720000002</v>
      </c>
      <c r="N1000">
        <v>99.4</v>
      </c>
    </row>
    <row r="1001" spans="13:14">
      <c r="M1001">
        <v>2.2438118</v>
      </c>
      <c r="N1001">
        <v>99.5</v>
      </c>
    </row>
    <row r="1002" spans="13:14">
      <c r="M1002">
        <v>2.3188680399999999</v>
      </c>
      <c r="N1002">
        <v>99.6</v>
      </c>
    </row>
    <row r="1003" spans="13:14">
      <c r="M1003">
        <v>2.3939242799999998</v>
      </c>
      <c r="N1003">
        <v>99.7</v>
      </c>
    </row>
    <row r="1004" spans="13:14">
      <c r="M1004">
        <v>2.449603808</v>
      </c>
      <c r="N1004">
        <v>99.8</v>
      </c>
    </row>
    <row r="1005" spans="13:14">
      <c r="M1005">
        <v>2.4894949039999998</v>
      </c>
      <c r="N1005">
        <v>99.9</v>
      </c>
    </row>
    <row r="1006" spans="13:14">
      <c r="M1006">
        <v>2.5293860000000001</v>
      </c>
      <c r="N1006">
        <v>100</v>
      </c>
    </row>
  </sheetData>
  <mergeCells count="3">
    <mergeCell ref="I9:J9"/>
    <mergeCell ref="I5:J5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7" zoomScaleNormal="100" workbookViewId="0">
      <selection activeCell="C33" sqref="C33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SD_PERC_SEM!A42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11.1929334396948</v>
      </c>
      <c r="I6" s="10" t="s">
        <v>36</v>
      </c>
      <c r="J6">
        <v>19.473659932608999</v>
      </c>
      <c r="M6">
        <v>-2.5608870000000001</v>
      </c>
      <c r="N6">
        <v>0</v>
      </c>
    </row>
    <row r="7" spans="1:14">
      <c r="B7" t="s">
        <v>74</v>
      </c>
      <c r="C7">
        <v>-13.211326238644499</v>
      </c>
      <c r="M7">
        <v>-2.494277576</v>
      </c>
      <c r="N7">
        <v>0.1</v>
      </c>
    </row>
    <row r="8" spans="1:14">
      <c r="B8" t="s">
        <v>66</v>
      </c>
      <c r="C8">
        <v>0.23851235551191599</v>
      </c>
      <c r="I8" s="9"/>
      <c r="J8" s="9"/>
      <c r="M8">
        <v>-2.4276681519999999</v>
      </c>
      <c r="N8">
        <v>0.2</v>
      </c>
    </row>
    <row r="9" spans="1:14">
      <c r="H9" s="9" t="s">
        <v>34</v>
      </c>
      <c r="I9" s="56" t="s">
        <v>37</v>
      </c>
      <c r="J9" s="57"/>
      <c r="M9">
        <v>-2.3783523120000001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-2.3502604159999998</v>
      </c>
      <c r="N10">
        <v>0.4</v>
      </c>
    </row>
    <row r="11" spans="1:14">
      <c r="B11" s="29"/>
      <c r="C11" s="30"/>
      <c r="I11" s="14"/>
      <c r="J11" s="15"/>
      <c r="M11">
        <v>-2.32216852</v>
      </c>
      <c r="N11">
        <v>0.5</v>
      </c>
    </row>
    <row r="12" spans="1:14">
      <c r="B12" s="29"/>
      <c r="C12" s="30"/>
      <c r="I12" s="14"/>
      <c r="J12" s="15"/>
      <c r="M12">
        <v>-2.2893404639999999</v>
      </c>
      <c r="N12">
        <v>0.6</v>
      </c>
    </row>
    <row r="13" spans="1:14">
      <c r="B13" s="29"/>
      <c r="C13" s="30"/>
      <c r="I13" s="14"/>
      <c r="J13" s="15"/>
      <c r="M13">
        <v>-2.255974208</v>
      </c>
      <c r="N13">
        <v>0.7</v>
      </c>
    </row>
    <row r="14" spans="1:14">
      <c r="B14" s="29"/>
      <c r="C14" s="30"/>
      <c r="I14" s="14"/>
      <c r="J14" s="15"/>
      <c r="M14">
        <v>-2.2069538080000002</v>
      </c>
      <c r="N14">
        <v>0.8</v>
      </c>
    </row>
    <row r="15" spans="1:14">
      <c r="B15" s="29"/>
      <c r="C15" s="30"/>
      <c r="I15" s="14"/>
      <c r="J15" s="15"/>
      <c r="M15">
        <v>-2.128466784</v>
      </c>
      <c r="N15">
        <v>0.9</v>
      </c>
    </row>
    <row r="16" spans="1:14">
      <c r="B16" s="29"/>
      <c r="C16" s="30"/>
      <c r="I16" s="14"/>
      <c r="J16" s="15"/>
      <c r="M16">
        <v>-2.0499797599999998</v>
      </c>
      <c r="N16">
        <v>1</v>
      </c>
    </row>
    <row r="17" spans="1:14">
      <c r="B17" s="29"/>
      <c r="C17" s="30"/>
      <c r="I17" s="14"/>
      <c r="J17" s="15"/>
      <c r="M17">
        <v>-2.0222875839999999</v>
      </c>
      <c r="N17">
        <v>1.1000000000000001</v>
      </c>
    </row>
    <row r="18" spans="1:14">
      <c r="B18" s="29"/>
      <c r="C18" s="30"/>
      <c r="I18" s="14"/>
      <c r="J18" s="15"/>
      <c r="M18">
        <v>-2.0076197279999999</v>
      </c>
      <c r="N18">
        <v>1.2</v>
      </c>
    </row>
    <row r="19" spans="1:14">
      <c r="B19" s="29"/>
      <c r="C19" s="30"/>
      <c r="I19" s="14"/>
      <c r="J19" s="15"/>
      <c r="M19">
        <v>-1.996396544</v>
      </c>
      <c r="N19">
        <v>1.3</v>
      </c>
    </row>
    <row r="20" spans="1:14">
      <c r="B20" s="29"/>
      <c r="C20" s="30"/>
      <c r="I20" s="14"/>
      <c r="J20" s="15"/>
      <c r="M20">
        <v>-1.9957944320000001</v>
      </c>
      <c r="N20">
        <v>1.4</v>
      </c>
    </row>
    <row r="21" spans="1:14">
      <c r="B21" s="29"/>
      <c r="C21" s="30"/>
      <c r="I21" s="14"/>
      <c r="J21" s="15"/>
      <c r="M21">
        <v>-1.9951923199999999</v>
      </c>
      <c r="N21">
        <v>1.5</v>
      </c>
    </row>
    <row r="22" spans="1:14">
      <c r="B22" s="29"/>
      <c r="C22" s="30"/>
      <c r="I22" s="16"/>
      <c r="J22" s="17"/>
      <c r="M22">
        <v>-1.952282512</v>
      </c>
      <c r="N22">
        <v>1.6</v>
      </c>
    </row>
    <row r="23" spans="1:14">
      <c r="B23" s="29"/>
      <c r="C23" s="30"/>
      <c r="M23">
        <v>-1.8907075440000001</v>
      </c>
      <c r="N23">
        <v>1.7</v>
      </c>
    </row>
    <row r="24" spans="1:14">
      <c r="B24" s="31"/>
      <c r="C24" s="11"/>
      <c r="M24">
        <v>-1.8323741920000001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-1.793490536</v>
      </c>
      <c r="N25">
        <v>1.9</v>
      </c>
    </row>
    <row r="26" spans="1:14">
      <c r="I26" s="12" t="s">
        <v>1</v>
      </c>
      <c r="J26" s="13" t="s">
        <v>17</v>
      </c>
      <c r="M26">
        <v>-1.7546068800000001</v>
      </c>
      <c r="N26">
        <v>2</v>
      </c>
    </row>
    <row r="27" spans="1:14">
      <c r="A27" s="34">
        <v>4</v>
      </c>
      <c r="B27" s="2" t="s">
        <v>2</v>
      </c>
      <c r="C27" s="32">
        <f xml:space="preserve"> $C$6
  + $C$7 * LN('Normative data'!$C$6/100)
  + $C$8 * 'Normative data'!$C$8</f>
        <v>20.803765672469368</v>
      </c>
      <c r="M27">
        <v>-1.7306628639999999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-1.717022048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-1.70392872</v>
      </c>
      <c r="N29">
        <v>2.2999999999999998</v>
      </c>
    </row>
    <row r="30" spans="1:14">
      <c r="B30" s="2" t="s">
        <v>8</v>
      </c>
      <c r="M30">
        <v>-1.7037013599999999</v>
      </c>
      <c r="N30">
        <v>2.4</v>
      </c>
    </row>
    <row r="31" spans="1:14">
      <c r="I31" s="14"/>
      <c r="J31" s="15"/>
      <c r="M31">
        <v>-1.7034739999999999</v>
      </c>
      <c r="N31">
        <v>2.5</v>
      </c>
    </row>
    <row r="32" spans="1:14">
      <c r="I32" s="35"/>
      <c r="J32" s="17"/>
      <c r="M32">
        <v>-1.6905915359999999</v>
      </c>
      <c r="N32">
        <v>2.6</v>
      </c>
    </row>
    <row r="33" spans="2:14">
      <c r="B33" t="s">
        <v>9</v>
      </c>
      <c r="C33">
        <f>'Normative data'!C18-SEM!C27</f>
        <v>-19.803765672469368</v>
      </c>
      <c r="M33">
        <v>-1.664526672</v>
      </c>
      <c r="N33">
        <v>2.7</v>
      </c>
    </row>
    <row r="34" spans="2:14">
      <c r="B34" t="s">
        <v>12</v>
      </c>
      <c r="C34">
        <f>(C33/SD_PERC_SEM!I38)</f>
        <v>-4.4877017688084191</v>
      </c>
      <c r="I34" t="s">
        <v>41</v>
      </c>
      <c r="J34">
        <f>SD_PERC_SEM!I38</f>
        <v>4.4128970000000001</v>
      </c>
      <c r="M34">
        <v>-1.638461808</v>
      </c>
      <c r="N34">
        <v>2.8</v>
      </c>
    </row>
    <row r="35" spans="2:14">
      <c r="M35">
        <v>-1.6323598399999999</v>
      </c>
      <c r="N35">
        <v>2.9</v>
      </c>
    </row>
    <row r="36" spans="2:14">
      <c r="M36">
        <v>-1.6275598</v>
      </c>
      <c r="N36">
        <v>3</v>
      </c>
    </row>
    <row r="37" spans="2:14">
      <c r="M37">
        <v>-1.620619904</v>
      </c>
      <c r="N37">
        <v>3.1</v>
      </c>
    </row>
    <row r="38" spans="2:14">
      <c r="M38">
        <v>-1.6103012880000001</v>
      </c>
      <c r="N38">
        <v>3.2</v>
      </c>
    </row>
    <row r="39" spans="2:14">
      <c r="M39">
        <v>-1.5999826720000001</v>
      </c>
      <c r="N39">
        <v>3.3</v>
      </c>
    </row>
    <row r="40" spans="2:14">
      <c r="M40">
        <v>-1.5913607999999999</v>
      </c>
      <c r="N40">
        <v>3.4</v>
      </c>
    </row>
    <row r="41" spans="2:14">
      <c r="M41">
        <v>-1.58307</v>
      </c>
      <c r="N41">
        <v>3.5</v>
      </c>
    </row>
    <row r="42" spans="2:14">
      <c r="M42">
        <v>-1.5743004</v>
      </c>
      <c r="N42">
        <v>3.6</v>
      </c>
    </row>
    <row r="43" spans="2:14">
      <c r="M43">
        <v>-1.5643338</v>
      </c>
      <c r="N43">
        <v>3.7</v>
      </c>
    </row>
    <row r="44" spans="2:14">
      <c r="M44">
        <v>-1.5543671999999999</v>
      </c>
      <c r="N44">
        <v>3.8</v>
      </c>
    </row>
    <row r="45" spans="2:14">
      <c r="M45">
        <v>-1.5465715440000001</v>
      </c>
      <c r="N45">
        <v>3.9</v>
      </c>
    </row>
    <row r="46" spans="2:14">
      <c r="M46">
        <v>-1.5395598399999999</v>
      </c>
      <c r="N46">
        <v>4</v>
      </c>
    </row>
    <row r="47" spans="2:14">
      <c r="M47">
        <v>-1.530882128</v>
      </c>
      <c r="N47">
        <v>4.0999999999999996</v>
      </c>
    </row>
    <row r="48" spans="2:14">
      <c r="M48">
        <v>-1.514799936</v>
      </c>
      <c r="N48">
        <v>4.2</v>
      </c>
    </row>
    <row r="49" spans="13:14">
      <c r="M49">
        <v>-1.4987177439999999</v>
      </c>
      <c r="N49">
        <v>4.3</v>
      </c>
    </row>
    <row r="50" spans="13:14">
      <c r="M50">
        <v>-1.4900487680000001</v>
      </c>
      <c r="N50">
        <v>4.4000000000000004</v>
      </c>
    </row>
    <row r="51" spans="13:14">
      <c r="M51">
        <v>-1.4856842400000001</v>
      </c>
      <c r="N51">
        <v>4.5</v>
      </c>
    </row>
    <row r="52" spans="13:14">
      <c r="M52">
        <v>-1.480919616</v>
      </c>
      <c r="N52">
        <v>4.5999999999999996</v>
      </c>
    </row>
    <row r="53" spans="13:14">
      <c r="M53">
        <v>-1.4716539120000001</v>
      </c>
      <c r="N53">
        <v>4.7</v>
      </c>
    </row>
    <row r="54" spans="13:14">
      <c r="M54">
        <v>-1.4623882079999999</v>
      </c>
      <c r="N54">
        <v>4.8</v>
      </c>
    </row>
    <row r="55" spans="13:14">
      <c r="M55">
        <v>-1.455881416</v>
      </c>
      <c r="N55">
        <v>4.9000000000000004</v>
      </c>
    </row>
    <row r="56" spans="13:14">
      <c r="M56">
        <v>-1.4518152</v>
      </c>
      <c r="N56">
        <v>5</v>
      </c>
    </row>
    <row r="57" spans="13:14">
      <c r="M57">
        <v>-1.447748984</v>
      </c>
      <c r="N57">
        <v>5.0999999999999996</v>
      </c>
    </row>
    <row r="58" spans="13:14">
      <c r="M58">
        <v>-1.434303568</v>
      </c>
      <c r="N58">
        <v>5.2</v>
      </c>
    </row>
    <row r="59" spans="13:14">
      <c r="M59">
        <v>-1.4206627519999999</v>
      </c>
      <c r="N59">
        <v>5.3</v>
      </c>
    </row>
    <row r="60" spans="13:14">
      <c r="M60">
        <v>-1.411758528</v>
      </c>
      <c r="N60">
        <v>5.4</v>
      </c>
    </row>
    <row r="61" spans="13:14">
      <c r="M61">
        <v>-1.4091697599999999</v>
      </c>
      <c r="N61">
        <v>5.5</v>
      </c>
    </row>
    <row r="62" spans="13:14">
      <c r="M62">
        <v>-1.4065809920000001</v>
      </c>
      <c r="N62">
        <v>5.6</v>
      </c>
    </row>
    <row r="63" spans="13:14">
      <c r="M63">
        <v>-1.4026378960000001</v>
      </c>
      <c r="N63">
        <v>5.7</v>
      </c>
    </row>
    <row r="64" spans="13:14">
      <c r="M64">
        <v>-1.3985058239999999</v>
      </c>
      <c r="N64">
        <v>5.8</v>
      </c>
    </row>
    <row r="65" spans="13:14">
      <c r="M65">
        <v>-1.395723</v>
      </c>
      <c r="N65">
        <v>5.9</v>
      </c>
    </row>
    <row r="66" spans="13:14">
      <c r="M66">
        <v>-1.395723</v>
      </c>
      <c r="N66">
        <v>6</v>
      </c>
    </row>
    <row r="67" spans="13:14">
      <c r="M67">
        <v>-1.395723</v>
      </c>
      <c r="N67">
        <v>6.1</v>
      </c>
    </row>
    <row r="68" spans="13:14">
      <c r="M68">
        <v>-1.3837292880000001</v>
      </c>
      <c r="N68">
        <v>6.2</v>
      </c>
    </row>
    <row r="69" spans="13:14">
      <c r="M69">
        <v>-1.3682637120000001</v>
      </c>
      <c r="N69">
        <v>6.3</v>
      </c>
    </row>
    <row r="70" spans="13:14">
      <c r="M70">
        <v>-1.3553537440000001</v>
      </c>
      <c r="N70">
        <v>6.4</v>
      </c>
    </row>
    <row r="71" spans="13:14">
      <c r="M71">
        <v>-1.3512722399999999</v>
      </c>
      <c r="N71">
        <v>6.5</v>
      </c>
    </row>
    <row r="72" spans="13:14">
      <c r="M72">
        <v>-1.3471907359999999</v>
      </c>
      <c r="N72">
        <v>6.6</v>
      </c>
    </row>
    <row r="73" spans="13:14">
      <c r="M73">
        <v>-1.3377597999999999</v>
      </c>
      <c r="N73">
        <v>6.7</v>
      </c>
    </row>
    <row r="74" spans="13:14">
      <c r="M74">
        <v>-1.3257352</v>
      </c>
      <c r="N74">
        <v>6.8</v>
      </c>
    </row>
    <row r="75" spans="13:14">
      <c r="M75">
        <v>-1.314801112</v>
      </c>
      <c r="N75">
        <v>6.9</v>
      </c>
    </row>
    <row r="76" spans="13:14">
      <c r="M76">
        <v>-1.31168236</v>
      </c>
      <c r="N76">
        <v>7</v>
      </c>
    </row>
    <row r="77" spans="13:14">
      <c r="M77">
        <v>-1.308563608</v>
      </c>
      <c r="N77">
        <v>7.1</v>
      </c>
    </row>
    <row r="78" spans="13:14">
      <c r="M78">
        <v>-1.2986840879999999</v>
      </c>
      <c r="N78">
        <v>7.2</v>
      </c>
    </row>
    <row r="79" spans="13:14">
      <c r="M79">
        <v>-1.2837339919999999</v>
      </c>
      <c r="N79">
        <v>7.3</v>
      </c>
    </row>
    <row r="80" spans="13:14">
      <c r="M80">
        <v>-1.269070688</v>
      </c>
      <c r="N80">
        <v>7.4</v>
      </c>
    </row>
    <row r="81" spans="13:14">
      <c r="M81">
        <v>-1.2681734</v>
      </c>
      <c r="N81">
        <v>7.5</v>
      </c>
    </row>
    <row r="82" spans="13:14">
      <c r="M82">
        <v>-1.267276112</v>
      </c>
      <c r="N82">
        <v>7.6</v>
      </c>
    </row>
    <row r="83" spans="13:14">
      <c r="M83">
        <v>-1.266425192</v>
      </c>
      <c r="N83">
        <v>7.7</v>
      </c>
    </row>
    <row r="84" spans="13:14">
      <c r="M84">
        <v>-1.265626688</v>
      </c>
      <c r="N84">
        <v>7.8</v>
      </c>
    </row>
    <row r="85" spans="13:14">
      <c r="M85">
        <v>-1.264828184</v>
      </c>
      <c r="N85">
        <v>7.9</v>
      </c>
    </row>
    <row r="86" spans="13:14">
      <c r="M86">
        <v>-1.25802236</v>
      </c>
      <c r="N86">
        <v>8</v>
      </c>
    </row>
    <row r="87" spans="13:14">
      <c r="M87">
        <v>-1.250682552</v>
      </c>
      <c r="N87">
        <v>8.1</v>
      </c>
    </row>
    <row r="88" spans="13:14">
      <c r="M88">
        <v>-1.243935448</v>
      </c>
      <c r="N88">
        <v>8.1999999999999993</v>
      </c>
    </row>
    <row r="89" spans="13:14">
      <c r="M89">
        <v>-1.2382091120000001</v>
      </c>
      <c r="N89">
        <v>8.3000000000000007</v>
      </c>
    </row>
    <row r="90" spans="13:14">
      <c r="M90">
        <v>-1.2324827759999999</v>
      </c>
      <c r="N90">
        <v>8.4</v>
      </c>
    </row>
    <row r="91" spans="13:14">
      <c r="M91">
        <v>-1.2285942000000001</v>
      </c>
      <c r="N91">
        <v>8.5</v>
      </c>
    </row>
    <row r="92" spans="13:14">
      <c r="M92">
        <v>-1.22511912</v>
      </c>
      <c r="N92">
        <v>8.6</v>
      </c>
    </row>
    <row r="93" spans="13:14">
      <c r="M93">
        <v>-1.222409064</v>
      </c>
      <c r="N93">
        <v>8.6999999999999993</v>
      </c>
    </row>
    <row r="94" spans="13:14">
      <c r="M94">
        <v>-1.2218175360000001</v>
      </c>
      <c r="N94">
        <v>8.8000000000000007</v>
      </c>
    </row>
    <row r="95" spans="13:14">
      <c r="M95">
        <v>-1.2212260079999999</v>
      </c>
      <c r="N95">
        <v>8.9</v>
      </c>
    </row>
    <row r="96" spans="13:14">
      <c r="M96">
        <v>-1.2154463600000001</v>
      </c>
      <c r="N96">
        <v>9</v>
      </c>
    </row>
    <row r="97" spans="13:14">
      <c r="M97">
        <v>-1.2075914640000001</v>
      </c>
      <c r="N97">
        <v>9.1</v>
      </c>
    </row>
    <row r="98" spans="13:14">
      <c r="M98">
        <v>-1.2007100079999999</v>
      </c>
      <c r="N98">
        <v>9.1999999999999993</v>
      </c>
    </row>
    <row r="99" spans="13:14">
      <c r="M99">
        <v>-1.198817432</v>
      </c>
      <c r="N99">
        <v>9.3000000000000007</v>
      </c>
    </row>
    <row r="100" spans="13:14">
      <c r="M100">
        <v>-1.1969248560000001</v>
      </c>
      <c r="N100">
        <v>9.4</v>
      </c>
    </row>
    <row r="101" spans="13:14">
      <c r="M101">
        <v>-1.1943194800000001</v>
      </c>
      <c r="N101">
        <v>9.5</v>
      </c>
    </row>
    <row r="102" spans="13:14">
      <c r="M102">
        <v>-1.1912626639999999</v>
      </c>
      <c r="N102">
        <v>9.6</v>
      </c>
    </row>
    <row r="103" spans="13:14">
      <c r="M103">
        <v>-1.188279144</v>
      </c>
      <c r="N103">
        <v>9.6999999999999993</v>
      </c>
    </row>
    <row r="104" spans="13:14">
      <c r="M104">
        <v>-1.1864194960000001</v>
      </c>
      <c r="N104">
        <v>9.8000000000000007</v>
      </c>
    </row>
    <row r="105" spans="13:14">
      <c r="M105">
        <v>-1.1845598479999999</v>
      </c>
      <c r="N105">
        <v>9.9</v>
      </c>
    </row>
    <row r="106" spans="13:14">
      <c r="M106">
        <v>-1.1825152000000001</v>
      </c>
      <c r="N106">
        <v>10</v>
      </c>
    </row>
    <row r="107" spans="13:14">
      <c r="M107">
        <v>-1.1802929520000001</v>
      </c>
      <c r="N107">
        <v>10.1</v>
      </c>
    </row>
    <row r="108" spans="13:14">
      <c r="M108">
        <v>-1.178070704</v>
      </c>
      <c r="N108">
        <v>10.199999999999999</v>
      </c>
    </row>
    <row r="109" spans="13:14">
      <c r="M109">
        <v>-1.17798</v>
      </c>
      <c r="N109">
        <v>10.3</v>
      </c>
    </row>
    <row r="110" spans="13:14">
      <c r="M110">
        <v>-1.17798</v>
      </c>
      <c r="N110">
        <v>10.4</v>
      </c>
    </row>
    <row r="111" spans="13:14">
      <c r="M111">
        <v>-1.1769278400000001</v>
      </c>
      <c r="N111">
        <v>10.5</v>
      </c>
    </row>
    <row r="112" spans="13:14">
      <c r="M112">
        <v>-1.174350048</v>
      </c>
      <c r="N112">
        <v>10.6</v>
      </c>
    </row>
    <row r="113" spans="13:14">
      <c r="M113">
        <v>-1.1717722559999999</v>
      </c>
      <c r="N113">
        <v>10.7</v>
      </c>
    </row>
    <row r="114" spans="13:14">
      <c r="M114">
        <v>-1.1714039999999999</v>
      </c>
      <c r="N114">
        <v>10.8</v>
      </c>
    </row>
    <row r="115" spans="13:14">
      <c r="M115">
        <v>-1.1714039999999999</v>
      </c>
      <c r="N115">
        <v>10.9</v>
      </c>
    </row>
    <row r="116" spans="13:14">
      <c r="M116">
        <v>-1.17015756</v>
      </c>
      <c r="N116">
        <v>11</v>
      </c>
    </row>
    <row r="117" spans="13:14">
      <c r="M117">
        <v>-1.166085856</v>
      </c>
      <c r="N117">
        <v>11.1</v>
      </c>
    </row>
    <row r="118" spans="13:14">
      <c r="M118">
        <v>-1.162014152</v>
      </c>
      <c r="N118">
        <v>11.2</v>
      </c>
    </row>
    <row r="119" spans="13:14">
      <c r="M119">
        <v>-1.1596326079999999</v>
      </c>
      <c r="N119">
        <v>11.3</v>
      </c>
    </row>
    <row r="120" spans="13:14">
      <c r="M120">
        <v>-1.1577992239999999</v>
      </c>
      <c r="N120">
        <v>11.4</v>
      </c>
    </row>
    <row r="121" spans="13:14">
      <c r="M121">
        <v>-1.1560620800000001</v>
      </c>
      <c r="N121">
        <v>11.5</v>
      </c>
    </row>
    <row r="122" spans="13:14">
      <c r="M122">
        <v>-1.1547002719999999</v>
      </c>
      <c r="N122">
        <v>11.6</v>
      </c>
    </row>
    <row r="123" spans="13:14">
      <c r="M123">
        <v>-1.153338464</v>
      </c>
      <c r="N123">
        <v>11.7</v>
      </c>
    </row>
    <row r="124" spans="13:14">
      <c r="M124">
        <v>-1.1505934879999999</v>
      </c>
      <c r="N124">
        <v>11.8</v>
      </c>
    </row>
    <row r="125" spans="13:14">
      <c r="M125">
        <v>-1.1471137039999999</v>
      </c>
      <c r="N125">
        <v>11.9</v>
      </c>
    </row>
    <row r="126" spans="13:14">
      <c r="M126">
        <v>-1.1439889999999999</v>
      </c>
      <c r="N126">
        <v>12</v>
      </c>
    </row>
    <row r="127" spans="13:14">
      <c r="M127">
        <v>-1.1439889999999999</v>
      </c>
      <c r="N127">
        <v>12.1</v>
      </c>
    </row>
    <row r="128" spans="13:14">
      <c r="M128">
        <v>-1.1439889999999999</v>
      </c>
      <c r="N128">
        <v>12.2</v>
      </c>
    </row>
    <row r="129" spans="13:14">
      <c r="M129">
        <v>-1.139922152</v>
      </c>
      <c r="N129">
        <v>12.3</v>
      </c>
    </row>
    <row r="130" spans="13:14">
      <c r="M130">
        <v>-1.1325415759999999</v>
      </c>
      <c r="N130">
        <v>12.4</v>
      </c>
    </row>
    <row r="131" spans="13:14">
      <c r="M131">
        <v>-1.1251610000000001</v>
      </c>
      <c r="N131">
        <v>12.5</v>
      </c>
    </row>
    <row r="132" spans="13:14">
      <c r="M132">
        <v>-1.1246788400000001</v>
      </c>
      <c r="N132">
        <v>12.6</v>
      </c>
    </row>
    <row r="133" spans="13:14">
      <c r="M133">
        <v>-1.1241966800000001</v>
      </c>
      <c r="N133">
        <v>12.7</v>
      </c>
    </row>
    <row r="134" spans="13:14">
      <c r="M134">
        <v>-1.1231069680000001</v>
      </c>
      <c r="N134">
        <v>12.8</v>
      </c>
    </row>
    <row r="135" spans="13:14">
      <c r="M135">
        <v>-1.121271624</v>
      </c>
      <c r="N135">
        <v>12.9</v>
      </c>
    </row>
    <row r="136" spans="13:14">
      <c r="M136">
        <v>-1.11943628</v>
      </c>
      <c r="N136">
        <v>13</v>
      </c>
    </row>
    <row r="137" spans="13:14">
      <c r="M137">
        <v>-1.1192489999999999</v>
      </c>
      <c r="N137">
        <v>13.1</v>
      </c>
    </row>
    <row r="138" spans="13:14">
      <c r="M138">
        <v>-1.1192489999999999</v>
      </c>
      <c r="N138">
        <v>13.2</v>
      </c>
    </row>
    <row r="139" spans="13:14">
      <c r="M139">
        <v>-1.1175752480000001</v>
      </c>
      <c r="N139">
        <v>13.3</v>
      </c>
    </row>
    <row r="140" spans="13:14">
      <c r="M140">
        <v>-1.1127509040000001</v>
      </c>
      <c r="N140">
        <v>13.4</v>
      </c>
    </row>
    <row r="141" spans="13:14">
      <c r="M141">
        <v>-1.1079265599999999</v>
      </c>
      <c r="N141">
        <v>13.5</v>
      </c>
    </row>
    <row r="142" spans="13:14">
      <c r="M142">
        <v>-1.1048862319999999</v>
      </c>
      <c r="N142">
        <v>13.6</v>
      </c>
    </row>
    <row r="143" spans="13:14">
      <c r="M143">
        <v>-1.1023033440000001</v>
      </c>
      <c r="N143">
        <v>13.7</v>
      </c>
    </row>
    <row r="144" spans="13:14">
      <c r="M144">
        <v>-1.1003529999999999</v>
      </c>
      <c r="N144">
        <v>13.8</v>
      </c>
    </row>
    <row r="145" spans="13:14">
      <c r="M145">
        <v>-1.1003529999999999</v>
      </c>
      <c r="N145">
        <v>13.9</v>
      </c>
    </row>
    <row r="146" spans="13:14">
      <c r="M146">
        <v>-1.1003529999999999</v>
      </c>
      <c r="N146">
        <v>14</v>
      </c>
    </row>
    <row r="147" spans="13:14">
      <c r="M147">
        <v>-1.0985276079999999</v>
      </c>
      <c r="N147">
        <v>14.1</v>
      </c>
    </row>
    <row r="148" spans="13:14">
      <c r="M148">
        <v>-1.095896896</v>
      </c>
      <c r="N148">
        <v>14.2</v>
      </c>
    </row>
    <row r="149" spans="13:14">
      <c r="M149">
        <v>-1.092912712</v>
      </c>
      <c r="N149">
        <v>14.3</v>
      </c>
    </row>
    <row r="150" spans="13:14">
      <c r="M150">
        <v>-1.087807696</v>
      </c>
      <c r="N150">
        <v>14.4</v>
      </c>
    </row>
    <row r="151" spans="13:14">
      <c r="M151">
        <v>-1.0827026799999999</v>
      </c>
      <c r="N151">
        <v>14.5</v>
      </c>
    </row>
    <row r="152" spans="13:14">
      <c r="M152">
        <v>-1.0789625199999999</v>
      </c>
      <c r="N152">
        <v>14.6</v>
      </c>
    </row>
    <row r="153" spans="13:14">
      <c r="M153">
        <v>-1.0761636400000001</v>
      </c>
      <c r="N153">
        <v>14.7</v>
      </c>
    </row>
    <row r="154" spans="13:14">
      <c r="M154">
        <v>-1.072983448</v>
      </c>
      <c r="N154">
        <v>14.8</v>
      </c>
    </row>
    <row r="155" spans="13:14">
      <c r="M155">
        <v>-1.0608424240000001</v>
      </c>
      <c r="N155">
        <v>14.9</v>
      </c>
    </row>
    <row r="156" spans="13:14">
      <c r="M156">
        <v>-1.0487013999999999</v>
      </c>
      <c r="N156">
        <v>15</v>
      </c>
    </row>
    <row r="157" spans="13:14">
      <c r="M157">
        <v>-1.041671416</v>
      </c>
      <c r="N157">
        <v>15.1</v>
      </c>
    </row>
    <row r="158" spans="13:14">
      <c r="M158">
        <v>-1.039965432</v>
      </c>
      <c r="N158">
        <v>15.2</v>
      </c>
    </row>
    <row r="159" spans="13:14">
      <c r="M159">
        <v>-1.038259448</v>
      </c>
      <c r="N159">
        <v>15.3</v>
      </c>
    </row>
    <row r="160" spans="13:14">
      <c r="M160">
        <v>-1.0258884559999999</v>
      </c>
      <c r="N160">
        <v>15.4</v>
      </c>
    </row>
    <row r="161" spans="13:14">
      <c r="M161">
        <v>-1.0128219199999999</v>
      </c>
      <c r="N161">
        <v>15.5</v>
      </c>
    </row>
    <row r="162" spans="13:14">
      <c r="M162">
        <v>-1.00351708</v>
      </c>
      <c r="N162">
        <v>15.6</v>
      </c>
    </row>
    <row r="163" spans="13:14">
      <c r="M163">
        <v>-1.0001517600000001</v>
      </c>
      <c r="N163">
        <v>15.7</v>
      </c>
    </row>
    <row r="164" spans="13:14">
      <c r="M164">
        <v>-0.99678644000000005</v>
      </c>
      <c r="N164">
        <v>15.8</v>
      </c>
    </row>
    <row r="165" spans="13:14">
      <c r="M165">
        <v>-0.99292583999999995</v>
      </c>
      <c r="N165">
        <v>15.9</v>
      </c>
    </row>
    <row r="166" spans="13:14">
      <c r="M166">
        <v>-0.98896859999999998</v>
      </c>
      <c r="N166">
        <v>16</v>
      </c>
    </row>
    <row r="167" spans="13:14">
      <c r="M167">
        <v>-0.98607502400000002</v>
      </c>
      <c r="N167">
        <v>16.100000000000001</v>
      </c>
    </row>
    <row r="168" spans="13:14">
      <c r="M168">
        <v>-0.98584060799999995</v>
      </c>
      <c r="N168">
        <v>16.2</v>
      </c>
    </row>
    <row r="169" spans="13:14">
      <c r="M169">
        <v>-0.98560619199999999</v>
      </c>
      <c r="N169">
        <v>16.3</v>
      </c>
    </row>
    <row r="170" spans="13:14">
      <c r="M170">
        <v>-0.98179337600000005</v>
      </c>
      <c r="N170">
        <v>16.399999999999999</v>
      </c>
    </row>
    <row r="171" spans="13:14">
      <c r="M171">
        <v>-0.97668836000000003</v>
      </c>
      <c r="N171">
        <v>16.5</v>
      </c>
    </row>
    <row r="172" spans="13:14">
      <c r="M172">
        <v>-0.97216899199999995</v>
      </c>
      <c r="N172">
        <v>16.600000000000001</v>
      </c>
    </row>
    <row r="173" spans="13:14">
      <c r="M173">
        <v>-0.97025250399999996</v>
      </c>
      <c r="N173">
        <v>16.7</v>
      </c>
    </row>
    <row r="174" spans="13:14">
      <c r="M174">
        <v>-0.96833601599999997</v>
      </c>
      <c r="N174">
        <v>16.8</v>
      </c>
    </row>
    <row r="175" spans="13:14">
      <c r="M175">
        <v>-0.96441568799999999</v>
      </c>
      <c r="N175">
        <v>16.899999999999999</v>
      </c>
    </row>
    <row r="176" spans="13:14">
      <c r="M176">
        <v>-0.95933184000000005</v>
      </c>
      <c r="N176">
        <v>17</v>
      </c>
    </row>
    <row r="177" spans="13:14">
      <c r="M177">
        <v>-0.95455768799999996</v>
      </c>
      <c r="N177">
        <v>17.100000000000001</v>
      </c>
    </row>
    <row r="178" spans="13:14">
      <c r="M178">
        <v>-0.95326761599999998</v>
      </c>
      <c r="N178">
        <v>17.2</v>
      </c>
    </row>
    <row r="179" spans="13:14">
      <c r="M179">
        <v>-0.95197754400000001</v>
      </c>
      <c r="N179">
        <v>17.3</v>
      </c>
    </row>
    <row r="180" spans="13:14">
      <c r="M180">
        <v>-0.95124990399999998</v>
      </c>
      <c r="N180">
        <v>17.399999999999999</v>
      </c>
    </row>
    <row r="181" spans="13:14">
      <c r="M181">
        <v>-0.95101979999999997</v>
      </c>
      <c r="N181">
        <v>17.5</v>
      </c>
    </row>
    <row r="182" spans="13:14">
      <c r="M182">
        <v>-0.95078969599999996</v>
      </c>
      <c r="N182">
        <v>17.600000000000001</v>
      </c>
    </row>
    <row r="183" spans="13:14">
      <c r="M183">
        <v>-0.94848522400000002</v>
      </c>
      <c r="N183">
        <v>17.7</v>
      </c>
    </row>
    <row r="184" spans="13:14">
      <c r="M184">
        <v>-0.94613753599999995</v>
      </c>
      <c r="N184">
        <v>17.8</v>
      </c>
    </row>
    <row r="185" spans="13:14">
      <c r="M185">
        <v>-0.94260864</v>
      </c>
      <c r="N185">
        <v>17.899999999999999</v>
      </c>
    </row>
    <row r="186" spans="13:14">
      <c r="M186">
        <v>-0.93750480000000003</v>
      </c>
      <c r="N186">
        <v>18</v>
      </c>
    </row>
    <row r="187" spans="13:14">
      <c r="M187">
        <v>-0.93240095999999995</v>
      </c>
      <c r="N187">
        <v>18.100000000000001</v>
      </c>
    </row>
    <row r="188" spans="13:14">
      <c r="M188">
        <v>-0.931184664</v>
      </c>
      <c r="N188">
        <v>18.2</v>
      </c>
    </row>
    <row r="189" spans="13:14">
      <c r="M189">
        <v>-0.93051081599999996</v>
      </c>
      <c r="N189">
        <v>18.3</v>
      </c>
    </row>
    <row r="190" spans="13:14">
      <c r="M190">
        <v>-0.92884368799999995</v>
      </c>
      <c r="N190">
        <v>18.399999999999999</v>
      </c>
    </row>
    <row r="191" spans="13:14">
      <c r="M191">
        <v>-0.92512791999999999</v>
      </c>
      <c r="N191">
        <v>18.5</v>
      </c>
    </row>
    <row r="192" spans="13:14">
      <c r="M192">
        <v>-0.92141215200000004</v>
      </c>
      <c r="N192">
        <v>18.600000000000001</v>
      </c>
    </row>
    <row r="193" spans="13:14">
      <c r="M193">
        <v>-0.91993777600000004</v>
      </c>
      <c r="N193">
        <v>18.7</v>
      </c>
    </row>
    <row r="194" spans="13:14">
      <c r="M194">
        <v>-0.91911222400000003</v>
      </c>
      <c r="N194">
        <v>18.8</v>
      </c>
    </row>
    <row r="195" spans="13:14">
      <c r="M195">
        <v>-0.91837590400000002</v>
      </c>
      <c r="N195">
        <v>18.899999999999999</v>
      </c>
    </row>
    <row r="196" spans="13:14">
      <c r="M196">
        <v>-0.91794783999999996</v>
      </c>
      <c r="N196">
        <v>19</v>
      </c>
    </row>
    <row r="197" spans="13:14">
      <c r="M197">
        <v>-0.91751977600000001</v>
      </c>
      <c r="N197">
        <v>19.100000000000001</v>
      </c>
    </row>
    <row r="198" spans="13:14">
      <c r="M198">
        <v>-0.91646919999999998</v>
      </c>
      <c r="N198">
        <v>19.2</v>
      </c>
    </row>
    <row r="199" spans="13:14">
      <c r="M199">
        <v>-0.91511679999999995</v>
      </c>
      <c r="N199">
        <v>19.3</v>
      </c>
    </row>
    <row r="200" spans="13:14">
      <c r="M200">
        <v>-0.913790608</v>
      </c>
      <c r="N200">
        <v>19.399999999999999</v>
      </c>
    </row>
    <row r="201" spans="13:14">
      <c r="M201">
        <v>-0.91265224</v>
      </c>
      <c r="N201">
        <v>19.5</v>
      </c>
    </row>
    <row r="202" spans="13:14">
      <c r="M202">
        <v>-0.911513872</v>
      </c>
      <c r="N202">
        <v>19.600000000000001</v>
      </c>
    </row>
    <row r="203" spans="13:14">
      <c r="M203">
        <v>-0.90876225600000005</v>
      </c>
      <c r="N203">
        <v>19.7</v>
      </c>
    </row>
    <row r="204" spans="13:14">
      <c r="M204">
        <v>-0.90480070400000001</v>
      </c>
      <c r="N204">
        <v>19.8</v>
      </c>
    </row>
    <row r="205" spans="13:14">
      <c r="M205">
        <v>-0.90086951199999998</v>
      </c>
      <c r="N205">
        <v>19.899999999999999</v>
      </c>
    </row>
    <row r="206" spans="13:14">
      <c r="M206">
        <v>-0.89839559999999996</v>
      </c>
      <c r="N206">
        <v>20</v>
      </c>
    </row>
    <row r="207" spans="13:14">
      <c r="M207">
        <v>-0.89592168800000005</v>
      </c>
      <c r="N207">
        <v>20.100000000000001</v>
      </c>
    </row>
    <row r="208" spans="13:14">
      <c r="M208">
        <v>-0.89198239999999995</v>
      </c>
      <c r="N208">
        <v>20.2</v>
      </c>
    </row>
    <row r="209" spans="13:14">
      <c r="M209">
        <v>-0.88638660000000002</v>
      </c>
      <c r="N209">
        <v>20.3</v>
      </c>
    </row>
    <row r="210" spans="13:14">
      <c r="M210">
        <v>-0.88079079999999998</v>
      </c>
      <c r="N210">
        <v>20.399999999999999</v>
      </c>
    </row>
    <row r="211" spans="13:14">
      <c r="M211">
        <v>-0.88033399999999995</v>
      </c>
      <c r="N211">
        <v>20.5</v>
      </c>
    </row>
    <row r="212" spans="13:14">
      <c r="M212">
        <v>-0.88033399999999995</v>
      </c>
      <c r="N212">
        <v>20.6</v>
      </c>
    </row>
    <row r="213" spans="13:14">
      <c r="M213">
        <v>-0.87768900800000005</v>
      </c>
      <c r="N213">
        <v>20.7</v>
      </c>
    </row>
    <row r="214" spans="13:14">
      <c r="M214">
        <v>-0.87048875199999998</v>
      </c>
      <c r="N214">
        <v>20.8</v>
      </c>
    </row>
    <row r="215" spans="13:14">
      <c r="M215">
        <v>-0.86328849600000002</v>
      </c>
      <c r="N215">
        <v>20.9</v>
      </c>
    </row>
    <row r="216" spans="13:14">
      <c r="M216">
        <v>-0.86181207999999998</v>
      </c>
      <c r="N216">
        <v>21</v>
      </c>
    </row>
    <row r="217" spans="13:14">
      <c r="M217">
        <v>-0.86162352799999997</v>
      </c>
      <c r="N217">
        <v>21.1</v>
      </c>
    </row>
    <row r="218" spans="13:14">
      <c r="M218">
        <v>-0.86092662399999997</v>
      </c>
      <c r="N218">
        <v>21.2</v>
      </c>
    </row>
    <row r="219" spans="13:14">
      <c r="M219">
        <v>-0.85882197599999999</v>
      </c>
      <c r="N219">
        <v>21.3</v>
      </c>
    </row>
    <row r="220" spans="13:14">
      <c r="M220">
        <v>-0.856717328</v>
      </c>
      <c r="N220">
        <v>21.4</v>
      </c>
    </row>
    <row r="221" spans="13:14">
      <c r="M221">
        <v>-0.85576348000000002</v>
      </c>
      <c r="N221">
        <v>21.5</v>
      </c>
    </row>
    <row r="222" spans="13:14">
      <c r="M222">
        <v>-0.855269952</v>
      </c>
      <c r="N222">
        <v>21.6</v>
      </c>
    </row>
    <row r="223" spans="13:14">
      <c r="M223">
        <v>-0.85478211999999998</v>
      </c>
      <c r="N223">
        <v>21.7</v>
      </c>
    </row>
    <row r="224" spans="13:14">
      <c r="M224">
        <v>-0.85432348000000002</v>
      </c>
      <c r="N224">
        <v>21.8</v>
      </c>
    </row>
    <row r="225" spans="13:14">
      <c r="M225">
        <v>-0.85386483999999996</v>
      </c>
      <c r="N225">
        <v>21.9</v>
      </c>
    </row>
    <row r="226" spans="13:14">
      <c r="M226">
        <v>-0.85254819999999998</v>
      </c>
      <c r="N226">
        <v>22</v>
      </c>
    </row>
    <row r="227" spans="13:14">
      <c r="M227">
        <v>-0.85068816000000003</v>
      </c>
      <c r="N227">
        <v>22.1</v>
      </c>
    </row>
    <row r="228" spans="13:14">
      <c r="M228">
        <v>-0.84856450400000005</v>
      </c>
      <c r="N228">
        <v>22.2</v>
      </c>
    </row>
    <row r="229" spans="13:14">
      <c r="M229">
        <v>-0.84239873600000004</v>
      </c>
      <c r="N229">
        <v>22.3</v>
      </c>
    </row>
    <row r="230" spans="13:14">
      <c r="M230">
        <v>-0.83623296800000002</v>
      </c>
      <c r="N230">
        <v>22.4</v>
      </c>
    </row>
    <row r="231" spans="13:14">
      <c r="M231">
        <v>-0.82948599999999995</v>
      </c>
      <c r="N231">
        <v>22.5</v>
      </c>
    </row>
    <row r="232" spans="13:14">
      <c r="M232">
        <v>-0.82218108000000001</v>
      </c>
      <c r="N232">
        <v>22.6</v>
      </c>
    </row>
    <row r="233" spans="13:14">
      <c r="M233">
        <v>-0.81487615999999996</v>
      </c>
      <c r="N233">
        <v>22.7</v>
      </c>
    </row>
    <row r="234" spans="13:14">
      <c r="M234">
        <v>-0.81258670399999999</v>
      </c>
      <c r="N234">
        <v>22.8</v>
      </c>
    </row>
    <row r="235" spans="13:14">
      <c r="M235">
        <v>-0.81051067200000004</v>
      </c>
      <c r="N235">
        <v>22.9</v>
      </c>
    </row>
    <row r="236" spans="13:14">
      <c r="M236">
        <v>-0.80846328000000001</v>
      </c>
      <c r="N236">
        <v>23</v>
      </c>
    </row>
    <row r="237" spans="13:14">
      <c r="M237">
        <v>-0.80645741599999998</v>
      </c>
      <c r="N237">
        <v>23.1</v>
      </c>
    </row>
    <row r="238" spans="13:14">
      <c r="M238">
        <v>-0.80445155199999996</v>
      </c>
      <c r="N238">
        <v>23.2</v>
      </c>
    </row>
    <row r="239" spans="13:14">
      <c r="M239">
        <v>-0.80107077599999998</v>
      </c>
      <c r="N239">
        <v>23.3</v>
      </c>
    </row>
    <row r="240" spans="13:14">
      <c r="M240">
        <v>-0.79746084800000006</v>
      </c>
      <c r="N240">
        <v>23.4</v>
      </c>
    </row>
    <row r="241" spans="13:14">
      <c r="M241">
        <v>-0.79369900000000004</v>
      </c>
      <c r="N241">
        <v>23.5</v>
      </c>
    </row>
    <row r="242" spans="13:14">
      <c r="M242">
        <v>-0.78959279999999998</v>
      </c>
      <c r="N242">
        <v>23.6</v>
      </c>
    </row>
    <row r="243" spans="13:14">
      <c r="M243">
        <v>-0.78548660000000003</v>
      </c>
      <c r="N243">
        <v>23.7</v>
      </c>
    </row>
    <row r="244" spans="13:14">
      <c r="M244">
        <v>-0.77955526399999997</v>
      </c>
      <c r="N244">
        <v>23.8</v>
      </c>
    </row>
    <row r="245" spans="13:14">
      <c r="M245">
        <v>-0.77303199199999995</v>
      </c>
      <c r="N245">
        <v>23.9</v>
      </c>
    </row>
    <row r="246" spans="13:14">
      <c r="M246">
        <v>-0.76783999999999997</v>
      </c>
      <c r="N246">
        <v>24</v>
      </c>
    </row>
    <row r="247" spans="13:14">
      <c r="M247">
        <v>-0.76783999999999997</v>
      </c>
      <c r="N247">
        <v>24.1</v>
      </c>
    </row>
    <row r="248" spans="13:14">
      <c r="M248">
        <v>-0.76783999999999997</v>
      </c>
      <c r="N248">
        <v>24.2</v>
      </c>
    </row>
    <row r="249" spans="13:14">
      <c r="M249">
        <v>-0.76556057600000005</v>
      </c>
      <c r="N249">
        <v>24.3</v>
      </c>
    </row>
    <row r="250" spans="13:14">
      <c r="M250">
        <v>-0.76207020800000003</v>
      </c>
      <c r="N250">
        <v>24.4</v>
      </c>
    </row>
    <row r="251" spans="13:14">
      <c r="M251">
        <v>-0.75849931999999998</v>
      </c>
      <c r="N251">
        <v>24.5</v>
      </c>
    </row>
    <row r="252" spans="13:14">
      <c r="M252">
        <v>-0.75421985599999997</v>
      </c>
      <c r="N252">
        <v>24.6</v>
      </c>
    </row>
    <row r="253" spans="13:14">
      <c r="M253">
        <v>-0.74994039199999996</v>
      </c>
      <c r="N253">
        <v>24.7</v>
      </c>
    </row>
    <row r="254" spans="13:14">
      <c r="M254">
        <v>-0.74801899999999999</v>
      </c>
      <c r="N254">
        <v>24.8</v>
      </c>
    </row>
    <row r="255" spans="13:14">
      <c r="M255">
        <v>-0.74801899999999999</v>
      </c>
      <c r="N255">
        <v>24.9</v>
      </c>
    </row>
    <row r="256" spans="13:14">
      <c r="M256">
        <v>-0.74801899999999999</v>
      </c>
      <c r="N256">
        <v>25</v>
      </c>
    </row>
    <row r="257" spans="13:14">
      <c r="M257">
        <v>-0.74133108800000003</v>
      </c>
      <c r="N257">
        <v>25.1</v>
      </c>
    </row>
    <row r="258" spans="13:14">
      <c r="M258">
        <v>-0.73464317599999995</v>
      </c>
      <c r="N258">
        <v>25.2</v>
      </c>
    </row>
    <row r="259" spans="13:14">
      <c r="M259">
        <v>-0.72388526399999997</v>
      </c>
      <c r="N259">
        <v>25.3</v>
      </c>
    </row>
    <row r="260" spans="13:14">
      <c r="M260">
        <v>-0.70813235200000002</v>
      </c>
      <c r="N260">
        <v>25.4</v>
      </c>
    </row>
    <row r="261" spans="13:14">
      <c r="M261">
        <v>-0.69237943999999996</v>
      </c>
      <c r="N261">
        <v>25.5</v>
      </c>
    </row>
    <row r="262" spans="13:14">
      <c r="M262">
        <v>-0.687054528</v>
      </c>
      <c r="N262">
        <v>25.6</v>
      </c>
    </row>
    <row r="263" spans="13:14">
      <c r="M263">
        <v>-0.68291461600000003</v>
      </c>
      <c r="N263">
        <v>25.7</v>
      </c>
    </row>
    <row r="264" spans="13:14">
      <c r="M264">
        <v>-0.67865230399999998</v>
      </c>
      <c r="N264">
        <v>25.8</v>
      </c>
    </row>
    <row r="265" spans="13:14">
      <c r="M265">
        <v>-0.67415959199999997</v>
      </c>
      <c r="N265">
        <v>25.9</v>
      </c>
    </row>
    <row r="266" spans="13:14">
      <c r="M266">
        <v>-0.66966687999999996</v>
      </c>
      <c r="N266">
        <v>26</v>
      </c>
    </row>
    <row r="267" spans="13:14">
      <c r="M267">
        <v>-0.66593108000000001</v>
      </c>
      <c r="N267">
        <v>26.1</v>
      </c>
    </row>
    <row r="268" spans="13:14">
      <c r="M268">
        <v>-0.66238936000000004</v>
      </c>
      <c r="N268">
        <v>26.2</v>
      </c>
    </row>
    <row r="269" spans="13:14">
      <c r="M269">
        <v>-0.65872466399999996</v>
      </c>
      <c r="N269">
        <v>26.3</v>
      </c>
    </row>
    <row r="270" spans="13:14">
      <c r="M270">
        <v>-0.65468079199999996</v>
      </c>
      <c r="N270">
        <v>26.4</v>
      </c>
    </row>
    <row r="271" spans="13:14">
      <c r="M271">
        <v>-0.65063691999999995</v>
      </c>
      <c r="N271">
        <v>26.5</v>
      </c>
    </row>
    <row r="272" spans="13:14">
      <c r="M272">
        <v>-0.64491807199999995</v>
      </c>
      <c r="N272">
        <v>26.6</v>
      </c>
    </row>
    <row r="273" spans="13:14">
      <c r="M273">
        <v>-0.638460264</v>
      </c>
      <c r="N273">
        <v>26.7</v>
      </c>
    </row>
    <row r="274" spans="13:14">
      <c r="M274">
        <v>-0.63288137600000005</v>
      </c>
      <c r="N274">
        <v>26.8</v>
      </c>
    </row>
    <row r="275" spans="13:14">
      <c r="M275">
        <v>-0.63257600800000002</v>
      </c>
      <c r="N275">
        <v>26.9</v>
      </c>
    </row>
    <row r="276" spans="13:14">
      <c r="M276">
        <v>-0.63227063999999999</v>
      </c>
      <c r="N276">
        <v>27</v>
      </c>
    </row>
    <row r="277" spans="13:14">
      <c r="M277">
        <v>-0.62745379999999995</v>
      </c>
      <c r="N277">
        <v>27.1</v>
      </c>
    </row>
    <row r="278" spans="13:14">
      <c r="M278">
        <v>-0.61952560000000001</v>
      </c>
      <c r="N278">
        <v>27.2</v>
      </c>
    </row>
    <row r="279" spans="13:14">
      <c r="M279">
        <v>-0.61185711200000004</v>
      </c>
      <c r="N279">
        <v>27.3</v>
      </c>
    </row>
    <row r="280" spans="13:14">
      <c r="M280">
        <v>-0.61029185600000002</v>
      </c>
      <c r="N280">
        <v>27.4</v>
      </c>
    </row>
    <row r="281" spans="13:14">
      <c r="M281">
        <v>-0.60872660000000001</v>
      </c>
      <c r="N281">
        <v>27.5</v>
      </c>
    </row>
    <row r="282" spans="13:14">
      <c r="M282">
        <v>-0.60784236800000002</v>
      </c>
      <c r="N282">
        <v>27.6</v>
      </c>
    </row>
    <row r="283" spans="13:14">
      <c r="M283">
        <v>-0.60766753600000001</v>
      </c>
      <c r="N283">
        <v>27.7</v>
      </c>
    </row>
    <row r="284" spans="13:14">
      <c r="M284">
        <v>-0.60749270399999999</v>
      </c>
      <c r="N284">
        <v>27.8</v>
      </c>
    </row>
    <row r="285" spans="13:14">
      <c r="M285">
        <v>-0.606809296</v>
      </c>
      <c r="N285">
        <v>27.9</v>
      </c>
    </row>
    <row r="286" spans="13:14">
      <c r="M286">
        <v>-0.60609272000000003</v>
      </c>
      <c r="N286">
        <v>28</v>
      </c>
    </row>
    <row r="287" spans="13:14">
      <c r="M287">
        <v>-0.60264713599999997</v>
      </c>
      <c r="N287">
        <v>28.1</v>
      </c>
    </row>
    <row r="288" spans="13:14">
      <c r="M288">
        <v>-0.594892592</v>
      </c>
      <c r="N288">
        <v>28.2</v>
      </c>
    </row>
    <row r="289" spans="13:14">
      <c r="M289">
        <v>-0.58713804800000002</v>
      </c>
      <c r="N289">
        <v>28.3</v>
      </c>
    </row>
    <row r="290" spans="13:14">
      <c r="M290">
        <v>-0.58482305599999995</v>
      </c>
      <c r="N290">
        <v>28.4</v>
      </c>
    </row>
    <row r="291" spans="13:14">
      <c r="M291">
        <v>-0.58356943999999999</v>
      </c>
      <c r="N291">
        <v>28.5</v>
      </c>
    </row>
    <row r="292" spans="13:14">
      <c r="M292">
        <v>-0.58199662399999996</v>
      </c>
      <c r="N292">
        <v>28.6</v>
      </c>
    </row>
    <row r="293" spans="13:14">
      <c r="M293">
        <v>-0.57962580799999996</v>
      </c>
      <c r="N293">
        <v>28.7</v>
      </c>
    </row>
    <row r="294" spans="13:14">
      <c r="M294">
        <v>-0.57725499199999997</v>
      </c>
      <c r="N294">
        <v>28.8</v>
      </c>
    </row>
    <row r="295" spans="13:14">
      <c r="M295">
        <v>-0.57662599999999997</v>
      </c>
      <c r="N295">
        <v>28.9</v>
      </c>
    </row>
    <row r="296" spans="13:14">
      <c r="M296">
        <v>-0.57662599999999997</v>
      </c>
      <c r="N296">
        <v>29</v>
      </c>
    </row>
    <row r="297" spans="13:14">
      <c r="M297">
        <v>-0.57561728000000001</v>
      </c>
      <c r="N297">
        <v>29.1</v>
      </c>
    </row>
    <row r="298" spans="13:14">
      <c r="M298">
        <v>-0.57012536000000003</v>
      </c>
      <c r="N298">
        <v>29.2</v>
      </c>
    </row>
    <row r="299" spans="13:14">
      <c r="M299">
        <v>-0.56463344000000004</v>
      </c>
      <c r="N299">
        <v>29.3</v>
      </c>
    </row>
    <row r="300" spans="13:14">
      <c r="M300">
        <v>-0.562616</v>
      </c>
      <c r="N300">
        <v>29.4</v>
      </c>
    </row>
    <row r="301" spans="13:14">
      <c r="M301">
        <v>-0.562616</v>
      </c>
      <c r="N301">
        <v>29.5</v>
      </c>
    </row>
    <row r="302" spans="13:14">
      <c r="M302">
        <v>-0.56246419199999997</v>
      </c>
      <c r="N302">
        <v>29.6</v>
      </c>
    </row>
    <row r="303" spans="13:14">
      <c r="M303">
        <v>-0.56060454400000004</v>
      </c>
      <c r="N303">
        <v>29.7</v>
      </c>
    </row>
    <row r="304" spans="13:14">
      <c r="M304">
        <v>-0.55874489599999999</v>
      </c>
      <c r="N304">
        <v>29.8</v>
      </c>
    </row>
    <row r="305" spans="13:14">
      <c r="M305">
        <v>-0.55612043200000005</v>
      </c>
      <c r="N305">
        <v>29.9</v>
      </c>
    </row>
    <row r="306" spans="13:14">
      <c r="M306">
        <v>-0.55281939999999996</v>
      </c>
      <c r="N306">
        <v>30</v>
      </c>
    </row>
    <row r="307" spans="13:14">
      <c r="M307">
        <v>-0.54951836799999998</v>
      </c>
      <c r="N307">
        <v>30.1</v>
      </c>
    </row>
    <row r="308" spans="13:14">
      <c r="M308">
        <v>-0.54629490400000003</v>
      </c>
      <c r="N308">
        <v>30.2</v>
      </c>
    </row>
    <row r="309" spans="13:14">
      <c r="M309">
        <v>-0.543073056</v>
      </c>
      <c r="N309">
        <v>30.3</v>
      </c>
    </row>
    <row r="310" spans="13:14">
      <c r="M310">
        <v>-0.54099596000000005</v>
      </c>
      <c r="N310">
        <v>30.4</v>
      </c>
    </row>
    <row r="311" spans="13:14">
      <c r="M311">
        <v>-0.54044519999999996</v>
      </c>
      <c r="N311">
        <v>30.5</v>
      </c>
    </row>
    <row r="312" spans="13:14">
      <c r="M312">
        <v>-0.53989443999999998</v>
      </c>
      <c r="N312">
        <v>30.6</v>
      </c>
    </row>
    <row r="313" spans="13:14">
      <c r="M313">
        <v>-0.53892021599999995</v>
      </c>
      <c r="N313">
        <v>30.7</v>
      </c>
    </row>
    <row r="314" spans="13:14">
      <c r="M314">
        <v>-0.53788690400000005</v>
      </c>
      <c r="N314">
        <v>30.8</v>
      </c>
    </row>
    <row r="315" spans="13:14">
      <c r="M315">
        <v>-0.53684156000000005</v>
      </c>
      <c r="N315">
        <v>30.9</v>
      </c>
    </row>
    <row r="316" spans="13:14">
      <c r="M316">
        <v>-0.53577140000000001</v>
      </c>
      <c r="N316">
        <v>31</v>
      </c>
    </row>
    <row r="317" spans="13:14">
      <c r="M317">
        <v>-0.53470123999999997</v>
      </c>
      <c r="N317">
        <v>31.1</v>
      </c>
    </row>
    <row r="318" spans="13:14">
      <c r="M318">
        <v>-0.53381226400000004</v>
      </c>
      <c r="N318">
        <v>31.2</v>
      </c>
    </row>
    <row r="319" spans="13:14">
      <c r="M319">
        <v>-0.53297573600000003</v>
      </c>
      <c r="N319">
        <v>31.3</v>
      </c>
    </row>
    <row r="320" spans="13:14">
      <c r="M320">
        <v>-0.53220036800000003</v>
      </c>
      <c r="N320">
        <v>31.4</v>
      </c>
    </row>
    <row r="321" spans="13:14">
      <c r="M321">
        <v>-0.53163627999999996</v>
      </c>
      <c r="N321">
        <v>31.5</v>
      </c>
    </row>
    <row r="322" spans="13:14">
      <c r="M322">
        <v>-0.531072192</v>
      </c>
      <c r="N322">
        <v>31.6</v>
      </c>
    </row>
    <row r="323" spans="13:14">
      <c r="M323">
        <v>-0.53049332000000005</v>
      </c>
      <c r="N323">
        <v>31.7</v>
      </c>
    </row>
    <row r="324" spans="13:14">
      <c r="M324">
        <v>-0.52990727999999998</v>
      </c>
      <c r="N324">
        <v>31.8</v>
      </c>
    </row>
    <row r="325" spans="13:14">
      <c r="M325">
        <v>-0.52926272799999996</v>
      </c>
      <c r="N325">
        <v>31.9</v>
      </c>
    </row>
    <row r="326" spans="13:14">
      <c r="M326">
        <v>-0.52819883999999995</v>
      </c>
      <c r="N326">
        <v>32</v>
      </c>
    </row>
    <row r="327" spans="13:14">
      <c r="M327">
        <v>-0.52713495200000005</v>
      </c>
      <c r="N327">
        <v>32.1</v>
      </c>
    </row>
    <row r="328" spans="13:14">
      <c r="M328">
        <v>-0.52495442400000003</v>
      </c>
      <c r="N328">
        <v>32.200000000000003</v>
      </c>
    </row>
    <row r="329" spans="13:14">
      <c r="M329">
        <v>-0.52193641599999996</v>
      </c>
      <c r="N329">
        <v>32.299999999999997</v>
      </c>
    </row>
    <row r="330" spans="13:14">
      <c r="M330">
        <v>-0.51886295199999999</v>
      </c>
      <c r="N330">
        <v>32.4</v>
      </c>
    </row>
    <row r="331" spans="13:14">
      <c r="M331">
        <v>-0.51312760000000002</v>
      </c>
      <c r="N331">
        <v>32.5</v>
      </c>
    </row>
    <row r="332" spans="13:14">
      <c r="M332">
        <v>-0.50739224800000005</v>
      </c>
      <c r="N332">
        <v>32.6</v>
      </c>
    </row>
    <row r="333" spans="13:14">
      <c r="M333">
        <v>-0.50434900000000005</v>
      </c>
      <c r="N333">
        <v>32.700000000000003</v>
      </c>
    </row>
    <row r="334" spans="13:14">
      <c r="M334">
        <v>-0.50434900000000005</v>
      </c>
      <c r="N334">
        <v>32.799999999999997</v>
      </c>
    </row>
    <row r="335" spans="13:14">
      <c r="M335">
        <v>-0.50434900000000005</v>
      </c>
      <c r="N335">
        <v>32.9</v>
      </c>
    </row>
    <row r="336" spans="13:14">
      <c r="M336">
        <v>-0.49766344000000001</v>
      </c>
      <c r="N336">
        <v>33</v>
      </c>
    </row>
    <row r="337" spans="13:14">
      <c r="M337">
        <v>-0.49038360800000003</v>
      </c>
      <c r="N337">
        <v>33.1</v>
      </c>
    </row>
    <row r="338" spans="13:14">
      <c r="M338">
        <v>-0.48294465600000003</v>
      </c>
      <c r="N338">
        <v>33.200000000000003</v>
      </c>
    </row>
    <row r="339" spans="13:14">
      <c r="M339">
        <v>-0.475231664</v>
      </c>
      <c r="N339">
        <v>33.299999999999997</v>
      </c>
    </row>
    <row r="340" spans="13:14">
      <c r="M340">
        <v>-0.46751867200000002</v>
      </c>
      <c r="N340">
        <v>33.4</v>
      </c>
    </row>
    <row r="341" spans="13:14">
      <c r="M341">
        <v>-0.46276983999999999</v>
      </c>
      <c r="N341">
        <v>33.5</v>
      </c>
    </row>
    <row r="342" spans="13:14">
      <c r="M342">
        <v>-0.45868794400000001</v>
      </c>
      <c r="N342">
        <v>33.6</v>
      </c>
    </row>
    <row r="343" spans="13:14">
      <c r="M343">
        <v>-0.455080288</v>
      </c>
      <c r="N343">
        <v>33.700000000000003</v>
      </c>
    </row>
    <row r="344" spans="13:14">
      <c r="M344">
        <v>-0.45278591200000001</v>
      </c>
      <c r="N344">
        <v>33.799999999999997</v>
      </c>
    </row>
    <row r="345" spans="13:14">
      <c r="M345">
        <v>-0.45049153600000003</v>
      </c>
      <c r="N345">
        <v>33.9</v>
      </c>
    </row>
    <row r="346" spans="13:14">
      <c r="M346">
        <v>-0.4480944</v>
      </c>
      <c r="N346">
        <v>34</v>
      </c>
    </row>
    <row r="347" spans="13:14">
      <c r="M347">
        <v>-0.44565616000000002</v>
      </c>
      <c r="N347">
        <v>34.1</v>
      </c>
    </row>
    <row r="348" spans="13:14">
      <c r="M348">
        <v>-0.44294515200000001</v>
      </c>
      <c r="N348">
        <v>34.200000000000003</v>
      </c>
    </row>
    <row r="349" spans="13:14">
      <c r="M349">
        <v>-0.43883620800000001</v>
      </c>
      <c r="N349">
        <v>34.299999999999997</v>
      </c>
    </row>
    <row r="350" spans="13:14">
      <c r="M350">
        <v>-0.434727264</v>
      </c>
      <c r="N350">
        <v>34.4</v>
      </c>
    </row>
    <row r="351" spans="13:14">
      <c r="M351">
        <v>-0.42928031999999999</v>
      </c>
      <c r="N351">
        <v>34.5</v>
      </c>
    </row>
    <row r="352" spans="13:14">
      <c r="M352">
        <v>-0.42298597599999999</v>
      </c>
      <c r="N352">
        <v>34.6</v>
      </c>
    </row>
    <row r="353" spans="13:14">
      <c r="M353">
        <v>-0.41670651199999997</v>
      </c>
      <c r="N353">
        <v>34.700000000000003</v>
      </c>
    </row>
    <row r="354" spans="13:14">
      <c r="M354">
        <v>-0.41065520799999999</v>
      </c>
      <c r="N354">
        <v>34.799999999999997</v>
      </c>
    </row>
    <row r="355" spans="13:14">
      <c r="M355">
        <v>-0.40460390400000001</v>
      </c>
      <c r="N355">
        <v>34.9</v>
      </c>
    </row>
    <row r="356" spans="13:14">
      <c r="M356">
        <v>-0.40056219999999998</v>
      </c>
      <c r="N356">
        <v>35</v>
      </c>
    </row>
    <row r="357" spans="13:14">
      <c r="M357">
        <v>-0.39844971200000001</v>
      </c>
      <c r="N357">
        <v>35.1</v>
      </c>
    </row>
    <row r="358" spans="13:14">
      <c r="M358">
        <v>-0.39633722399999999</v>
      </c>
      <c r="N358">
        <v>35.200000000000003</v>
      </c>
    </row>
    <row r="359" spans="13:14">
      <c r="M359">
        <v>-0.39605322399999998</v>
      </c>
      <c r="N359">
        <v>35.299999999999997</v>
      </c>
    </row>
    <row r="360" spans="13:14">
      <c r="M360">
        <v>-0.39584703199999999</v>
      </c>
      <c r="N360">
        <v>35.4</v>
      </c>
    </row>
    <row r="361" spans="13:14">
      <c r="M361">
        <v>-0.39539363999999999</v>
      </c>
      <c r="N361">
        <v>35.5</v>
      </c>
    </row>
    <row r="362" spans="13:14">
      <c r="M362">
        <v>-0.39458180799999998</v>
      </c>
      <c r="N362">
        <v>35.6</v>
      </c>
    </row>
    <row r="363" spans="13:14">
      <c r="M363">
        <v>-0.39376997600000002</v>
      </c>
      <c r="N363">
        <v>35.700000000000003</v>
      </c>
    </row>
    <row r="364" spans="13:14">
      <c r="M364">
        <v>-0.39224448000000001</v>
      </c>
      <c r="N364">
        <v>35.799999999999997</v>
      </c>
    </row>
    <row r="365" spans="13:14">
      <c r="M365">
        <v>-0.39060003999999998</v>
      </c>
      <c r="N365">
        <v>35.9</v>
      </c>
    </row>
    <row r="366" spans="13:14">
      <c r="M366">
        <v>-0.38848231999999999</v>
      </c>
      <c r="N366">
        <v>36</v>
      </c>
    </row>
    <row r="367" spans="13:14">
      <c r="M367">
        <v>-0.385291832</v>
      </c>
      <c r="N367">
        <v>36.1</v>
      </c>
    </row>
    <row r="368" spans="13:14">
      <c r="M368">
        <v>-0.38210134400000001</v>
      </c>
      <c r="N368">
        <v>36.200000000000003</v>
      </c>
    </row>
    <row r="369" spans="13:14">
      <c r="M369">
        <v>-0.38118798399999998</v>
      </c>
      <c r="N369">
        <v>36.299999999999997</v>
      </c>
    </row>
    <row r="370" spans="13:14">
      <c r="M370">
        <v>-0.38101315200000002</v>
      </c>
      <c r="N370">
        <v>36.4</v>
      </c>
    </row>
    <row r="371" spans="13:14">
      <c r="M371">
        <v>-0.38080375999999999</v>
      </c>
      <c r="N371">
        <v>36.5</v>
      </c>
    </row>
    <row r="372" spans="13:14">
      <c r="M372">
        <v>-0.38045958400000002</v>
      </c>
      <c r="N372">
        <v>36.6</v>
      </c>
    </row>
    <row r="373" spans="13:14">
      <c r="M373">
        <v>-0.38011540799999999</v>
      </c>
      <c r="N373">
        <v>36.700000000000003</v>
      </c>
    </row>
    <row r="374" spans="13:14">
      <c r="M374">
        <v>-0.37938748799999999</v>
      </c>
      <c r="N374">
        <v>36.799999999999997</v>
      </c>
    </row>
    <row r="375" spans="13:14">
      <c r="M375">
        <v>-0.378455704</v>
      </c>
      <c r="N375">
        <v>36.9</v>
      </c>
    </row>
    <row r="376" spans="13:14">
      <c r="M376">
        <v>-0.37702044000000001</v>
      </c>
      <c r="N376">
        <v>37</v>
      </c>
    </row>
    <row r="377" spans="13:14">
      <c r="M377">
        <v>-0.37115455200000003</v>
      </c>
      <c r="N377">
        <v>37.1</v>
      </c>
    </row>
    <row r="378" spans="13:14">
      <c r="M378">
        <v>-0.36528866399999999</v>
      </c>
      <c r="N378">
        <v>37.200000000000003</v>
      </c>
    </row>
    <row r="379" spans="13:14">
      <c r="M379">
        <v>-0.36265500000000001</v>
      </c>
      <c r="N379">
        <v>37.299999999999997</v>
      </c>
    </row>
    <row r="380" spans="13:14">
      <c r="M380">
        <v>-0.36265500000000001</v>
      </c>
      <c r="N380">
        <v>37.4</v>
      </c>
    </row>
    <row r="381" spans="13:14">
      <c r="M381">
        <v>-0.36265500000000001</v>
      </c>
      <c r="N381">
        <v>37.5</v>
      </c>
    </row>
    <row r="382" spans="13:14">
      <c r="M382">
        <v>-0.36095920799999998</v>
      </c>
      <c r="N382">
        <v>37.6</v>
      </c>
    </row>
    <row r="383" spans="13:14">
      <c r="M383">
        <v>-0.359263416</v>
      </c>
      <c r="N383">
        <v>37.700000000000003</v>
      </c>
    </row>
    <row r="384" spans="13:14">
      <c r="M384">
        <v>-0.35827179999999997</v>
      </c>
      <c r="N384">
        <v>37.799999999999997</v>
      </c>
    </row>
    <row r="385" spans="13:14">
      <c r="M385">
        <v>-0.35814439999999997</v>
      </c>
      <c r="N385">
        <v>37.9</v>
      </c>
    </row>
    <row r="386" spans="13:14">
      <c r="M386">
        <v>-0.35801699999999997</v>
      </c>
      <c r="N386">
        <v>38</v>
      </c>
    </row>
    <row r="387" spans="13:14">
      <c r="M387">
        <v>-0.35152755200000002</v>
      </c>
      <c r="N387">
        <v>38.1</v>
      </c>
    </row>
    <row r="388" spans="13:14">
      <c r="M388">
        <v>-0.34431514400000002</v>
      </c>
      <c r="N388">
        <v>38.200000000000003</v>
      </c>
    </row>
    <row r="389" spans="13:14">
      <c r="M389">
        <v>-0.33911580800000002</v>
      </c>
      <c r="N389">
        <v>38.299999999999997</v>
      </c>
    </row>
    <row r="390" spans="13:14">
      <c r="M390">
        <v>-0.33770578400000001</v>
      </c>
      <c r="N390">
        <v>38.4</v>
      </c>
    </row>
    <row r="391" spans="13:14">
      <c r="M391">
        <v>-0.33629576</v>
      </c>
      <c r="N391">
        <v>38.5</v>
      </c>
    </row>
    <row r="392" spans="13:14">
      <c r="M392">
        <v>-0.33328205599999999</v>
      </c>
      <c r="N392">
        <v>38.6</v>
      </c>
    </row>
    <row r="393" spans="13:14">
      <c r="M393">
        <v>-0.32985715199999999</v>
      </c>
      <c r="N393">
        <v>38.700000000000003</v>
      </c>
    </row>
    <row r="394" spans="13:14">
      <c r="M394">
        <v>-0.32705269599999998</v>
      </c>
      <c r="N394">
        <v>38.799999999999997</v>
      </c>
    </row>
    <row r="395" spans="13:14">
      <c r="M395">
        <v>-0.32616128799999999</v>
      </c>
      <c r="N395">
        <v>38.9</v>
      </c>
    </row>
    <row r="396" spans="13:14">
      <c r="M396">
        <v>-0.32526988000000001</v>
      </c>
      <c r="N396">
        <v>39</v>
      </c>
    </row>
    <row r="397" spans="13:14">
      <c r="M397">
        <v>-0.32478810400000002</v>
      </c>
      <c r="N397">
        <v>39.1</v>
      </c>
    </row>
    <row r="398" spans="13:14">
      <c r="M398">
        <v>-0.324487048</v>
      </c>
      <c r="N398">
        <v>39.200000000000003</v>
      </c>
    </row>
    <row r="399" spans="13:14">
      <c r="M399">
        <v>-0.32379124799999998</v>
      </c>
      <c r="N399">
        <v>39.299999999999997</v>
      </c>
    </row>
    <row r="400" spans="13:14">
      <c r="M400">
        <v>-0.32072698399999999</v>
      </c>
      <c r="N400">
        <v>39.4</v>
      </c>
    </row>
    <row r="401" spans="13:14">
      <c r="M401">
        <v>-0.31766272000000001</v>
      </c>
      <c r="N401">
        <v>39.5</v>
      </c>
    </row>
    <row r="402" spans="13:14">
      <c r="M402">
        <v>-0.316208304</v>
      </c>
      <c r="N402">
        <v>39.6</v>
      </c>
    </row>
    <row r="403" spans="13:14">
      <c r="M403">
        <v>-0.31586412800000002</v>
      </c>
      <c r="N403">
        <v>39.700000000000003</v>
      </c>
    </row>
    <row r="404" spans="13:14">
      <c r="M404">
        <v>-0.315496944</v>
      </c>
      <c r="N404">
        <v>39.799999999999997</v>
      </c>
    </row>
    <row r="405" spans="13:14">
      <c r="M405">
        <v>-0.31458907200000003</v>
      </c>
      <c r="N405">
        <v>39.9</v>
      </c>
    </row>
    <row r="406" spans="13:14">
      <c r="M406">
        <v>-0.31368119999999999</v>
      </c>
      <c r="N406">
        <v>40</v>
      </c>
    </row>
    <row r="407" spans="13:14">
      <c r="M407">
        <v>-0.31163956799999998</v>
      </c>
      <c r="N407">
        <v>40.1</v>
      </c>
    </row>
    <row r="408" spans="13:14">
      <c r="M408">
        <v>-0.30841693599999997</v>
      </c>
      <c r="N408">
        <v>40.200000000000003</v>
      </c>
    </row>
    <row r="409" spans="13:14">
      <c r="M409">
        <v>-0.30519430400000003</v>
      </c>
      <c r="N409">
        <v>40.299999999999997</v>
      </c>
    </row>
    <row r="410" spans="13:14">
      <c r="M410">
        <v>-0.30499700000000002</v>
      </c>
      <c r="N410">
        <v>40.4</v>
      </c>
    </row>
    <row r="411" spans="13:14">
      <c r="M411">
        <v>-0.30499700000000002</v>
      </c>
      <c r="N411">
        <v>40.5</v>
      </c>
    </row>
    <row r="412" spans="13:14">
      <c r="M412">
        <v>-0.30344736</v>
      </c>
      <c r="N412">
        <v>40.6</v>
      </c>
    </row>
    <row r="413" spans="13:14">
      <c r="M413">
        <v>-0.29945092000000001</v>
      </c>
      <c r="N413">
        <v>40.700000000000003</v>
      </c>
    </row>
    <row r="414" spans="13:14">
      <c r="M414">
        <v>-0.29545448000000002</v>
      </c>
      <c r="N414">
        <v>40.799999999999997</v>
      </c>
    </row>
    <row r="415" spans="13:14">
      <c r="M415">
        <v>-0.29438871999999999</v>
      </c>
      <c r="N415">
        <v>40.9</v>
      </c>
    </row>
    <row r="416" spans="13:14">
      <c r="M416">
        <v>-0.29389480000000001</v>
      </c>
      <c r="N416">
        <v>41</v>
      </c>
    </row>
    <row r="417" spans="13:14">
      <c r="M417">
        <v>-0.29332494399999998</v>
      </c>
      <c r="N417">
        <v>41.1</v>
      </c>
    </row>
    <row r="418" spans="13:14">
      <c r="M418">
        <v>-0.292565248</v>
      </c>
      <c r="N418">
        <v>41.2</v>
      </c>
    </row>
    <row r="419" spans="13:14">
      <c r="M419">
        <v>-0.29180555200000002</v>
      </c>
      <c r="N419">
        <v>41.3</v>
      </c>
    </row>
    <row r="420" spans="13:14">
      <c r="M420">
        <v>-0.29160399999999997</v>
      </c>
      <c r="N420">
        <v>41.4</v>
      </c>
    </row>
    <row r="421" spans="13:14">
      <c r="M421">
        <v>-0.29160399999999997</v>
      </c>
      <c r="N421">
        <v>41.5</v>
      </c>
    </row>
    <row r="422" spans="13:14">
      <c r="M422">
        <v>-0.29133054400000002</v>
      </c>
      <c r="N422">
        <v>41.6</v>
      </c>
    </row>
    <row r="423" spans="13:14">
      <c r="M423">
        <v>-0.28984172800000002</v>
      </c>
      <c r="N423">
        <v>41.7</v>
      </c>
    </row>
    <row r="424" spans="13:14">
      <c r="M424">
        <v>-0.28835291200000002</v>
      </c>
      <c r="N424">
        <v>41.8</v>
      </c>
    </row>
    <row r="425" spans="13:14">
      <c r="M425">
        <v>-0.287248</v>
      </c>
      <c r="N425">
        <v>41.9</v>
      </c>
    </row>
    <row r="426" spans="13:14">
      <c r="M426">
        <v>-0.28636600000000001</v>
      </c>
      <c r="N426">
        <v>42</v>
      </c>
    </row>
    <row r="427" spans="13:14">
      <c r="M427">
        <v>-0.285212992</v>
      </c>
      <c r="N427">
        <v>42.1</v>
      </c>
    </row>
    <row r="428" spans="13:14">
      <c r="M428">
        <v>-0.28101114399999999</v>
      </c>
      <c r="N428">
        <v>42.2</v>
      </c>
    </row>
    <row r="429" spans="13:14">
      <c r="M429">
        <v>-0.27680929599999998</v>
      </c>
      <c r="N429">
        <v>42.3</v>
      </c>
    </row>
    <row r="430" spans="13:14">
      <c r="M430">
        <v>-0.274349864</v>
      </c>
      <c r="N430">
        <v>42.4</v>
      </c>
    </row>
    <row r="431" spans="13:14">
      <c r="M431">
        <v>-0.2734318</v>
      </c>
      <c r="N431">
        <v>42.5</v>
      </c>
    </row>
    <row r="432" spans="13:14">
      <c r="M432">
        <v>-0.27251373600000001</v>
      </c>
      <c r="N432">
        <v>42.6</v>
      </c>
    </row>
    <row r="433" spans="13:14">
      <c r="M433">
        <v>-0.27190095199999997</v>
      </c>
      <c r="N433">
        <v>42.7</v>
      </c>
    </row>
    <row r="434" spans="13:14">
      <c r="M434">
        <v>-0.27129452799999998</v>
      </c>
      <c r="N434">
        <v>42.8</v>
      </c>
    </row>
    <row r="435" spans="13:14">
      <c r="M435">
        <v>-0.26994369600000001</v>
      </c>
      <c r="N435">
        <v>42.9</v>
      </c>
    </row>
    <row r="436" spans="13:14">
      <c r="M436">
        <v>-0.26760032</v>
      </c>
      <c r="N436">
        <v>43</v>
      </c>
    </row>
    <row r="437" spans="13:14">
      <c r="M437">
        <v>-0.26525694399999999</v>
      </c>
      <c r="N437">
        <v>43.1</v>
      </c>
    </row>
    <row r="438" spans="13:14">
      <c r="M438">
        <v>-0.26297445600000002</v>
      </c>
      <c r="N438">
        <v>43.2</v>
      </c>
    </row>
    <row r="439" spans="13:14">
      <c r="M439">
        <v>-0.26070046400000002</v>
      </c>
      <c r="N439">
        <v>43.3</v>
      </c>
    </row>
    <row r="440" spans="13:14">
      <c r="M440">
        <v>-0.25824496800000002</v>
      </c>
      <c r="N440">
        <v>43.4</v>
      </c>
    </row>
    <row r="441" spans="13:14">
      <c r="M441">
        <v>-0.25541512</v>
      </c>
      <c r="N441">
        <v>43.5</v>
      </c>
    </row>
    <row r="442" spans="13:14">
      <c r="M442">
        <v>-0.25258527200000003</v>
      </c>
      <c r="N442">
        <v>43.6</v>
      </c>
    </row>
    <row r="443" spans="13:14">
      <c r="M443">
        <v>-0.25017798400000002</v>
      </c>
      <c r="N443">
        <v>43.7</v>
      </c>
    </row>
    <row r="444" spans="13:14">
      <c r="M444">
        <v>-0.24789301599999999</v>
      </c>
      <c r="N444">
        <v>43.8</v>
      </c>
    </row>
    <row r="445" spans="13:14">
      <c r="M445">
        <v>-0.24506350399999999</v>
      </c>
      <c r="N445">
        <v>43.9</v>
      </c>
    </row>
    <row r="446" spans="13:14">
      <c r="M446">
        <v>-0.24035284000000001</v>
      </c>
      <c r="N446">
        <v>44</v>
      </c>
    </row>
    <row r="447" spans="13:14">
      <c r="M447">
        <v>-0.23564217600000001</v>
      </c>
      <c r="N447">
        <v>44.1</v>
      </c>
    </row>
    <row r="448" spans="13:14">
      <c r="M448">
        <v>-0.233669192</v>
      </c>
      <c r="N448">
        <v>44.2</v>
      </c>
    </row>
    <row r="449" spans="13:14">
      <c r="M449">
        <v>-0.23302356799999999</v>
      </c>
      <c r="N449">
        <v>44.3</v>
      </c>
    </row>
    <row r="450" spans="13:14">
      <c r="M450">
        <v>-0.232294904</v>
      </c>
      <c r="N450">
        <v>44.4</v>
      </c>
    </row>
    <row r="451" spans="13:14">
      <c r="M451">
        <v>-0.23097112</v>
      </c>
      <c r="N451">
        <v>44.5</v>
      </c>
    </row>
    <row r="452" spans="13:14">
      <c r="M452">
        <v>-0.22964733600000001</v>
      </c>
      <c r="N452">
        <v>44.6</v>
      </c>
    </row>
    <row r="453" spans="13:14">
      <c r="M453">
        <v>-0.22636019199999999</v>
      </c>
      <c r="N453">
        <v>44.7</v>
      </c>
    </row>
    <row r="454" spans="13:14">
      <c r="M454">
        <v>-0.22160052799999999</v>
      </c>
      <c r="N454">
        <v>44.8</v>
      </c>
    </row>
    <row r="455" spans="13:14">
      <c r="M455">
        <v>-0.21692676</v>
      </c>
      <c r="N455">
        <v>44.9</v>
      </c>
    </row>
    <row r="456" spans="13:14">
      <c r="M456">
        <v>-0.21637600000000001</v>
      </c>
      <c r="N456">
        <v>45</v>
      </c>
    </row>
    <row r="457" spans="13:14">
      <c r="M457">
        <v>-0.21582524</v>
      </c>
      <c r="N457">
        <v>45.1</v>
      </c>
    </row>
    <row r="458" spans="13:14">
      <c r="M458">
        <v>-0.21503288800000001</v>
      </c>
      <c r="N458">
        <v>45.2</v>
      </c>
    </row>
    <row r="459" spans="13:14">
      <c r="M459">
        <v>-0.21396743200000001</v>
      </c>
      <c r="N459">
        <v>45.3</v>
      </c>
    </row>
    <row r="460" spans="13:14">
      <c r="M460">
        <v>-0.21290197599999999</v>
      </c>
      <c r="N460">
        <v>45.4</v>
      </c>
    </row>
    <row r="461" spans="13:14">
      <c r="M461">
        <v>-0.20359648</v>
      </c>
      <c r="N461">
        <v>45.5</v>
      </c>
    </row>
    <row r="462" spans="13:14">
      <c r="M462">
        <v>-0.193558536</v>
      </c>
      <c r="N462">
        <v>45.6</v>
      </c>
    </row>
    <row r="463" spans="13:14">
      <c r="M463">
        <v>-0.18647820800000001</v>
      </c>
      <c r="N463">
        <v>45.7</v>
      </c>
    </row>
    <row r="464" spans="13:14">
      <c r="M464">
        <v>-0.184491552</v>
      </c>
      <c r="N464">
        <v>45.8</v>
      </c>
    </row>
    <row r="465" spans="13:14">
      <c r="M465">
        <v>-0.182504896</v>
      </c>
      <c r="N465">
        <v>45.9</v>
      </c>
    </row>
    <row r="466" spans="13:14">
      <c r="M466">
        <v>-0.18198607999999999</v>
      </c>
      <c r="N466">
        <v>46</v>
      </c>
    </row>
    <row r="467" spans="13:14">
      <c r="M467">
        <v>-0.18179752800000001</v>
      </c>
      <c r="N467">
        <v>46.1</v>
      </c>
    </row>
    <row r="468" spans="13:14">
      <c r="M468">
        <v>-0.18096968799999999</v>
      </c>
      <c r="N468">
        <v>46.2</v>
      </c>
    </row>
    <row r="469" spans="13:14">
      <c r="M469">
        <v>-0.17837151200000001</v>
      </c>
      <c r="N469">
        <v>46.3</v>
      </c>
    </row>
    <row r="470" spans="13:14">
      <c r="M470">
        <v>-0.175773336</v>
      </c>
      <c r="N470">
        <v>46.4</v>
      </c>
    </row>
    <row r="471" spans="13:14">
      <c r="M471">
        <v>-0.17470340000000001</v>
      </c>
      <c r="N471">
        <v>46.5</v>
      </c>
    </row>
    <row r="472" spans="13:14">
      <c r="M472">
        <v>-0.17424476</v>
      </c>
      <c r="N472">
        <v>46.6</v>
      </c>
    </row>
    <row r="473" spans="13:14">
      <c r="M473">
        <v>-0.17380237600000001</v>
      </c>
      <c r="N473">
        <v>46.7</v>
      </c>
    </row>
    <row r="474" spans="13:14">
      <c r="M474">
        <v>-0.17344330399999999</v>
      </c>
      <c r="N474">
        <v>46.8</v>
      </c>
    </row>
    <row r="475" spans="13:14">
      <c r="M475">
        <v>-0.173084232</v>
      </c>
      <c r="N475">
        <v>46.9</v>
      </c>
    </row>
    <row r="476" spans="13:14">
      <c r="M476">
        <v>-0.17019435999999999</v>
      </c>
      <c r="N476">
        <v>47</v>
      </c>
    </row>
    <row r="477" spans="13:14">
      <c r="M477">
        <v>-0.16570164800000001</v>
      </c>
      <c r="N477">
        <v>47.1</v>
      </c>
    </row>
    <row r="478" spans="13:14">
      <c r="M478">
        <v>-0.16131074400000001</v>
      </c>
      <c r="N478">
        <v>47.2</v>
      </c>
    </row>
    <row r="479" spans="13:14">
      <c r="M479">
        <v>-0.15848089600000001</v>
      </c>
      <c r="N479">
        <v>47.3</v>
      </c>
    </row>
    <row r="480" spans="13:14">
      <c r="M480">
        <v>-0.15565104799999999</v>
      </c>
      <c r="N480">
        <v>47.4</v>
      </c>
    </row>
    <row r="481" spans="13:14">
      <c r="M481">
        <v>-0.15062139999999999</v>
      </c>
      <c r="N481">
        <v>47.5</v>
      </c>
    </row>
    <row r="482" spans="13:14">
      <c r="M482">
        <v>-0.143479944</v>
      </c>
      <c r="N482">
        <v>47.6</v>
      </c>
    </row>
    <row r="483" spans="13:14">
      <c r="M483">
        <v>-0.13633848800000001</v>
      </c>
      <c r="N483">
        <v>47.7</v>
      </c>
    </row>
    <row r="484" spans="13:14">
      <c r="M484">
        <v>-0.13556008</v>
      </c>
      <c r="N484">
        <v>47.8</v>
      </c>
    </row>
    <row r="485" spans="13:14">
      <c r="M485">
        <v>-0.13505244</v>
      </c>
      <c r="N485">
        <v>47.9</v>
      </c>
    </row>
    <row r="486" spans="13:14">
      <c r="M486">
        <v>-0.13449712</v>
      </c>
      <c r="N486">
        <v>48</v>
      </c>
    </row>
    <row r="487" spans="13:14">
      <c r="M487">
        <v>-0.133872664</v>
      </c>
      <c r="N487">
        <v>48.1</v>
      </c>
    </row>
    <row r="488" spans="13:14">
      <c r="M488">
        <v>-0.13324820800000001</v>
      </c>
      <c r="N488">
        <v>48.2</v>
      </c>
    </row>
    <row r="489" spans="13:14">
      <c r="M489">
        <v>-0.13298965600000001</v>
      </c>
      <c r="N489">
        <v>48.3</v>
      </c>
    </row>
    <row r="490" spans="13:14">
      <c r="M490">
        <v>-0.132792088</v>
      </c>
      <c r="N490">
        <v>48.4</v>
      </c>
    </row>
    <row r="491" spans="13:14">
      <c r="M491">
        <v>-0.1325038</v>
      </c>
      <c r="N491">
        <v>48.5</v>
      </c>
    </row>
    <row r="492" spans="13:14">
      <c r="M492">
        <v>-0.13200988</v>
      </c>
      <c r="N492">
        <v>48.6</v>
      </c>
    </row>
    <row r="493" spans="13:14">
      <c r="M493">
        <v>-0.13151595999999999</v>
      </c>
      <c r="N493">
        <v>48.7</v>
      </c>
    </row>
    <row r="494" spans="13:14">
      <c r="M494">
        <v>-0.12716308800000001</v>
      </c>
      <c r="N494">
        <v>48.8</v>
      </c>
    </row>
    <row r="495" spans="13:14">
      <c r="M495">
        <v>-0.121558664</v>
      </c>
      <c r="N495">
        <v>48.9</v>
      </c>
    </row>
    <row r="496" spans="13:14">
      <c r="M496">
        <v>-0.11560432</v>
      </c>
      <c r="N496">
        <v>49</v>
      </c>
    </row>
    <row r="497" spans="13:14">
      <c r="M497">
        <v>-0.10828528799999999</v>
      </c>
      <c r="N497">
        <v>49.1</v>
      </c>
    </row>
    <row r="498" spans="13:14">
      <c r="M498">
        <v>-0.100966256</v>
      </c>
      <c r="N498">
        <v>49.2</v>
      </c>
    </row>
    <row r="499" spans="13:14">
      <c r="M499">
        <v>-9.8417015999999996E-2</v>
      </c>
      <c r="N499">
        <v>49.3</v>
      </c>
    </row>
    <row r="500" spans="13:14">
      <c r="M500">
        <v>-9.8401727999999994E-2</v>
      </c>
      <c r="N500">
        <v>49.4</v>
      </c>
    </row>
    <row r="501" spans="13:14">
      <c r="M501">
        <v>-9.8388000000000003E-2</v>
      </c>
      <c r="N501">
        <v>49.5</v>
      </c>
    </row>
    <row r="502" spans="13:14">
      <c r="M502">
        <v>-9.8388000000000003E-2</v>
      </c>
      <c r="N502">
        <v>49.6</v>
      </c>
    </row>
    <row r="503" spans="13:14">
      <c r="M503">
        <v>-9.8388000000000003E-2</v>
      </c>
      <c r="N503">
        <v>49.7</v>
      </c>
    </row>
    <row r="504" spans="13:14">
      <c r="M504">
        <v>-9.6533639999999907E-2</v>
      </c>
      <c r="N504">
        <v>49.8</v>
      </c>
    </row>
    <row r="505" spans="13:14">
      <c r="M505">
        <v>-9.3168319999999999E-2</v>
      </c>
      <c r="N505">
        <v>49.9</v>
      </c>
    </row>
    <row r="506" spans="13:14">
      <c r="M506">
        <v>-8.9802999999999994E-2</v>
      </c>
      <c r="N506">
        <v>50</v>
      </c>
    </row>
    <row r="507" spans="13:14">
      <c r="M507">
        <v>-8.1342856000000102E-2</v>
      </c>
      <c r="N507">
        <v>50.1</v>
      </c>
    </row>
    <row r="508" spans="13:14">
      <c r="M508">
        <v>-7.2882712000000197E-2</v>
      </c>
      <c r="N508">
        <v>50.2</v>
      </c>
    </row>
    <row r="509" spans="13:14">
      <c r="M509">
        <v>-6.6984952000000098E-2</v>
      </c>
      <c r="N509">
        <v>50.3</v>
      </c>
    </row>
    <row r="510" spans="13:14">
      <c r="M510">
        <v>-6.4231935999999906E-2</v>
      </c>
      <c r="N510">
        <v>50.4</v>
      </c>
    </row>
    <row r="511" spans="13:14">
      <c r="M511">
        <v>-6.1478919999999902E-2</v>
      </c>
      <c r="N511">
        <v>50.5</v>
      </c>
    </row>
    <row r="512" spans="13:14">
      <c r="M512">
        <v>-6.0405647999999999E-2</v>
      </c>
      <c r="N512">
        <v>50.6</v>
      </c>
    </row>
    <row r="513" spans="13:14">
      <c r="M513">
        <v>-5.9523255999999997E-2</v>
      </c>
      <c r="N513">
        <v>50.7</v>
      </c>
    </row>
    <row r="514" spans="13:14">
      <c r="M514">
        <v>-5.8167719999999999E-2</v>
      </c>
      <c r="N514">
        <v>50.8</v>
      </c>
    </row>
    <row r="515" spans="13:14">
      <c r="M515">
        <v>-5.5921560000000099E-2</v>
      </c>
      <c r="N515">
        <v>50.9</v>
      </c>
    </row>
    <row r="516" spans="13:14">
      <c r="M516">
        <v>-5.3675399999999901E-2</v>
      </c>
      <c r="N516">
        <v>51</v>
      </c>
    </row>
    <row r="517" spans="13:14">
      <c r="M517">
        <v>-5.1660743999999897E-2</v>
      </c>
      <c r="N517">
        <v>51.1</v>
      </c>
    </row>
    <row r="518" spans="13:14">
      <c r="M518">
        <v>-4.9705447999999999E-2</v>
      </c>
      <c r="N518">
        <v>51.2</v>
      </c>
    </row>
    <row r="519" spans="13:14">
      <c r="M519">
        <v>-4.7913063999999998E-2</v>
      </c>
      <c r="N519">
        <v>51.3</v>
      </c>
    </row>
    <row r="520" spans="13:14">
      <c r="M520">
        <v>-4.6622992000000002E-2</v>
      </c>
      <c r="N520">
        <v>51.4</v>
      </c>
    </row>
    <row r="521" spans="13:14">
      <c r="M521">
        <v>-4.5332919999999999E-2</v>
      </c>
      <c r="N521">
        <v>51.5</v>
      </c>
    </row>
    <row r="522" spans="13:14">
      <c r="M522">
        <v>-4.3149328000000098E-2</v>
      </c>
      <c r="N522">
        <v>51.6</v>
      </c>
    </row>
    <row r="523" spans="13:14">
      <c r="M523">
        <v>-4.0571535999999901E-2</v>
      </c>
      <c r="N523">
        <v>51.7</v>
      </c>
    </row>
    <row r="524" spans="13:14">
      <c r="M524">
        <v>-3.8119687999999999E-2</v>
      </c>
      <c r="N524">
        <v>51.8</v>
      </c>
    </row>
    <row r="525" spans="13:14">
      <c r="M525">
        <v>-3.6423504000000002E-2</v>
      </c>
      <c r="N525">
        <v>51.9</v>
      </c>
    </row>
    <row r="526" spans="13:14">
      <c r="M526">
        <v>-3.4727319999999999E-2</v>
      </c>
      <c r="N526">
        <v>52</v>
      </c>
    </row>
    <row r="527" spans="13:14">
      <c r="M527">
        <v>-3.2018223999999998E-2</v>
      </c>
      <c r="N527">
        <v>52.1</v>
      </c>
    </row>
    <row r="528" spans="13:14">
      <c r="M528">
        <v>-2.8610567999999999E-2</v>
      </c>
      <c r="N528">
        <v>52.2</v>
      </c>
    </row>
    <row r="529" spans="13:14">
      <c r="M529">
        <v>-2.5342E-2</v>
      </c>
      <c r="N529">
        <v>52.3</v>
      </c>
    </row>
    <row r="530" spans="13:14">
      <c r="M530">
        <v>-2.5342E-2</v>
      </c>
      <c r="N530">
        <v>52.4</v>
      </c>
    </row>
    <row r="531" spans="13:14">
      <c r="M531">
        <v>-2.5342E-2</v>
      </c>
      <c r="N531">
        <v>52.5</v>
      </c>
    </row>
    <row r="532" spans="13:14">
      <c r="M532">
        <v>-2.5173424E-2</v>
      </c>
      <c r="N532">
        <v>52.6</v>
      </c>
    </row>
    <row r="533" spans="13:14">
      <c r="M533">
        <v>-2.4829248000000002E-2</v>
      </c>
      <c r="N533">
        <v>52.7</v>
      </c>
    </row>
    <row r="534" spans="13:14">
      <c r="M534">
        <v>-2.4485072E-2</v>
      </c>
      <c r="N534">
        <v>52.8</v>
      </c>
    </row>
    <row r="535" spans="13:14">
      <c r="M535">
        <v>-2.4154512E-2</v>
      </c>
      <c r="N535">
        <v>52.9</v>
      </c>
    </row>
    <row r="536" spans="13:14">
      <c r="M536">
        <v>-2.382484E-2</v>
      </c>
      <c r="N536">
        <v>53</v>
      </c>
    </row>
    <row r="537" spans="13:14">
      <c r="M537">
        <v>-2.3623000000000002E-2</v>
      </c>
      <c r="N537">
        <v>53.1</v>
      </c>
    </row>
    <row r="538" spans="13:14">
      <c r="M538">
        <v>-2.3623000000000002E-2</v>
      </c>
      <c r="N538">
        <v>53.2</v>
      </c>
    </row>
    <row r="539" spans="13:14">
      <c r="M539">
        <v>-2.3623000000000002E-2</v>
      </c>
      <c r="N539">
        <v>53.3</v>
      </c>
    </row>
    <row r="540" spans="13:14">
      <c r="M540">
        <v>-1.8333344000000001E-2</v>
      </c>
      <c r="N540">
        <v>53.4</v>
      </c>
    </row>
    <row r="541" spans="13:14">
      <c r="M541">
        <v>-1.2011559999999999E-2</v>
      </c>
      <c r="N541">
        <v>53.5</v>
      </c>
    </row>
    <row r="542" spans="13:14">
      <c r="M542">
        <v>-6.2708319999997498E-3</v>
      </c>
      <c r="N542">
        <v>53.6</v>
      </c>
    </row>
    <row r="543" spans="13:14">
      <c r="M543">
        <v>-1.9827439999997899E-3</v>
      </c>
      <c r="N543">
        <v>53.7</v>
      </c>
    </row>
    <row r="544" spans="13:14">
      <c r="M544">
        <v>2.30534400000016E-3</v>
      </c>
      <c r="N544">
        <v>53.8</v>
      </c>
    </row>
    <row r="545" spans="13:14">
      <c r="M545">
        <v>5.2366640000000696E-3</v>
      </c>
      <c r="N545">
        <v>53.9</v>
      </c>
    </row>
    <row r="546" spans="13:14">
      <c r="M546">
        <v>7.6780400000000396E-3</v>
      </c>
      <c r="N546">
        <v>54</v>
      </c>
    </row>
    <row r="547" spans="13:14">
      <c r="M547">
        <v>1.0143464E-2</v>
      </c>
      <c r="N547">
        <v>54.1</v>
      </c>
    </row>
    <row r="548" spans="13:14">
      <c r="M548">
        <v>1.27157680000002E-2</v>
      </c>
      <c r="N548">
        <v>54.2</v>
      </c>
    </row>
    <row r="549" spans="13:14">
      <c r="M549">
        <v>1.5288072000000199E-2</v>
      </c>
      <c r="N549">
        <v>54.3</v>
      </c>
    </row>
    <row r="550" spans="13:14">
      <c r="M550">
        <v>2.3838416000000601E-2</v>
      </c>
      <c r="N550">
        <v>54.4</v>
      </c>
    </row>
    <row r="551" spans="13:14">
      <c r="M551">
        <v>3.5859880000000503E-2</v>
      </c>
      <c r="N551">
        <v>54.5</v>
      </c>
    </row>
    <row r="552" spans="13:14">
      <c r="M552">
        <v>4.6981792000000001E-2</v>
      </c>
      <c r="N552">
        <v>54.6</v>
      </c>
    </row>
    <row r="553" spans="13:14">
      <c r="M553">
        <v>4.7983744000000002E-2</v>
      </c>
      <c r="N553">
        <v>54.7</v>
      </c>
    </row>
    <row r="554" spans="13:14">
      <c r="M554">
        <v>4.8985696000000099E-2</v>
      </c>
      <c r="N554">
        <v>54.8</v>
      </c>
    </row>
    <row r="555" spans="13:14">
      <c r="M555">
        <v>5.1360656000000199E-2</v>
      </c>
      <c r="N555">
        <v>54.9</v>
      </c>
    </row>
    <row r="556" spans="13:14">
      <c r="M556">
        <v>5.4950200000000199E-2</v>
      </c>
      <c r="N556">
        <v>55</v>
      </c>
    </row>
    <row r="557" spans="13:14">
      <c r="M557">
        <v>5.8539744000000199E-2</v>
      </c>
      <c r="N557">
        <v>55.1</v>
      </c>
    </row>
    <row r="558" spans="13:14">
      <c r="M558">
        <v>6.3714056000000199E-2</v>
      </c>
      <c r="N558">
        <v>55.2</v>
      </c>
    </row>
    <row r="559" spans="13:14">
      <c r="M559">
        <v>6.8921384000000099E-2</v>
      </c>
      <c r="N559">
        <v>55.3</v>
      </c>
    </row>
    <row r="560" spans="13:14">
      <c r="M560">
        <v>7.3375064000000101E-2</v>
      </c>
      <c r="N560">
        <v>55.4</v>
      </c>
    </row>
    <row r="561" spans="13:14">
      <c r="M561">
        <v>7.6823880000000302E-2</v>
      </c>
      <c r="N561">
        <v>55.5</v>
      </c>
    </row>
    <row r="562" spans="13:14">
      <c r="M562">
        <v>8.0272696000000199E-2</v>
      </c>
      <c r="N562">
        <v>55.6</v>
      </c>
    </row>
    <row r="563" spans="13:14">
      <c r="M563">
        <v>8.5577392000000294E-2</v>
      </c>
      <c r="N563">
        <v>55.7</v>
      </c>
    </row>
    <row r="564" spans="13:14">
      <c r="M564">
        <v>9.1141048000000294E-2</v>
      </c>
      <c r="N564">
        <v>55.8</v>
      </c>
    </row>
    <row r="565" spans="13:14">
      <c r="M565">
        <v>9.5177791999999997E-2</v>
      </c>
      <c r="N565">
        <v>55.9</v>
      </c>
    </row>
    <row r="566" spans="13:14">
      <c r="M566">
        <v>9.6065280000000003E-2</v>
      </c>
      <c r="N566">
        <v>56</v>
      </c>
    </row>
    <row r="567" spans="13:14">
      <c r="M567">
        <v>9.6952768000000106E-2</v>
      </c>
      <c r="N567">
        <v>56.1</v>
      </c>
    </row>
    <row r="568" spans="13:14">
      <c r="M568">
        <v>9.7152000000000002E-2</v>
      </c>
      <c r="N568">
        <v>56.2</v>
      </c>
    </row>
    <row r="569" spans="13:14">
      <c r="M569">
        <v>9.7152000000000002E-2</v>
      </c>
      <c r="N569">
        <v>56.3</v>
      </c>
    </row>
    <row r="570" spans="13:14">
      <c r="M570">
        <v>9.7806016000000204E-2</v>
      </c>
      <c r="N570">
        <v>56.4</v>
      </c>
    </row>
    <row r="571" spans="13:14">
      <c r="M571">
        <v>0.10071935999999999</v>
      </c>
      <c r="N571">
        <v>56.5</v>
      </c>
    </row>
    <row r="572" spans="13:14">
      <c r="M572">
        <v>0.10363270400000001</v>
      </c>
      <c r="N572">
        <v>56.6</v>
      </c>
    </row>
    <row r="573" spans="13:14">
      <c r="M573">
        <v>0.105082432</v>
      </c>
      <c r="N573">
        <v>56.7</v>
      </c>
    </row>
    <row r="574" spans="13:14">
      <c r="M574">
        <v>0.105822528</v>
      </c>
      <c r="N574">
        <v>56.8</v>
      </c>
    </row>
    <row r="575" spans="13:14">
      <c r="M575">
        <v>0.106712288</v>
      </c>
      <c r="N575">
        <v>56.9</v>
      </c>
    </row>
    <row r="576" spans="13:14">
      <c r="M576">
        <v>0.10867464</v>
      </c>
      <c r="N576">
        <v>57</v>
      </c>
    </row>
    <row r="577" spans="13:14">
      <c r="M577">
        <v>0.110636992</v>
      </c>
      <c r="N577">
        <v>57.1</v>
      </c>
    </row>
    <row r="578" spans="13:14">
      <c r="M578">
        <v>0.112761744</v>
      </c>
      <c r="N578">
        <v>57.2</v>
      </c>
    </row>
    <row r="579" spans="13:14">
      <c r="M579">
        <v>0.115008296</v>
      </c>
      <c r="N579">
        <v>57.3</v>
      </c>
    </row>
    <row r="580" spans="13:14">
      <c r="M580">
        <v>0.117242744</v>
      </c>
      <c r="N580">
        <v>57.4</v>
      </c>
    </row>
    <row r="581" spans="13:14">
      <c r="M581">
        <v>0.11889619999999999</v>
      </c>
      <c r="N581">
        <v>57.5</v>
      </c>
    </row>
    <row r="582" spans="13:14">
      <c r="M582">
        <v>0.12054965600000001</v>
      </c>
      <c r="N582">
        <v>57.6</v>
      </c>
    </row>
    <row r="583" spans="13:14">
      <c r="M583">
        <v>0.12173023199999999</v>
      </c>
      <c r="N583">
        <v>57.7</v>
      </c>
    </row>
    <row r="584" spans="13:14">
      <c r="M584">
        <v>0.12237624800000001</v>
      </c>
      <c r="N584">
        <v>57.8</v>
      </c>
    </row>
    <row r="585" spans="13:14">
      <c r="M585">
        <v>0.12302226400000001</v>
      </c>
      <c r="N585">
        <v>57.9</v>
      </c>
    </row>
    <row r="586" spans="13:14">
      <c r="M586">
        <v>0.12524147999999999</v>
      </c>
      <c r="N586">
        <v>58</v>
      </c>
    </row>
    <row r="587" spans="13:14">
      <c r="M587">
        <v>0.12760053599999999</v>
      </c>
      <c r="N587">
        <v>58.1</v>
      </c>
    </row>
    <row r="588" spans="13:14">
      <c r="M588">
        <v>0.13066346400000001</v>
      </c>
      <c r="N588">
        <v>58.2</v>
      </c>
    </row>
    <row r="589" spans="13:14">
      <c r="M589">
        <v>0.13493861600000001</v>
      </c>
      <c r="N589">
        <v>58.3</v>
      </c>
    </row>
    <row r="590" spans="13:14">
      <c r="M590">
        <v>0.13921376799999999</v>
      </c>
      <c r="N590">
        <v>58.4</v>
      </c>
    </row>
    <row r="591" spans="13:14">
      <c r="M591">
        <v>0.14262971999999999</v>
      </c>
      <c r="N591">
        <v>58.5</v>
      </c>
    </row>
    <row r="592" spans="13:14">
      <c r="M592">
        <v>0.14585235199999999</v>
      </c>
      <c r="N592">
        <v>58.6</v>
      </c>
    </row>
    <row r="593" spans="13:14">
      <c r="M593">
        <v>0.14829456799999999</v>
      </c>
      <c r="N593">
        <v>58.7</v>
      </c>
    </row>
    <row r="594" spans="13:14">
      <c r="M594">
        <v>0.14857563200000001</v>
      </c>
      <c r="N594">
        <v>58.8</v>
      </c>
    </row>
    <row r="595" spans="13:14">
      <c r="M595">
        <v>0.14885669600000001</v>
      </c>
      <c r="N595">
        <v>58.9</v>
      </c>
    </row>
    <row r="596" spans="13:14">
      <c r="M596">
        <v>0.15578439999999999</v>
      </c>
      <c r="N596">
        <v>59</v>
      </c>
    </row>
    <row r="597" spans="13:14">
      <c r="M597">
        <v>0.16537076000000001</v>
      </c>
      <c r="N597">
        <v>59.1</v>
      </c>
    </row>
    <row r="598" spans="13:14">
      <c r="M598">
        <v>0.173555072</v>
      </c>
      <c r="N598">
        <v>59.2</v>
      </c>
    </row>
    <row r="599" spans="13:14">
      <c r="M599">
        <v>0.17455388799999999</v>
      </c>
      <c r="N599">
        <v>59.3</v>
      </c>
    </row>
    <row r="600" spans="13:14">
      <c r="M600">
        <v>0.175552704</v>
      </c>
      <c r="N600">
        <v>59.4</v>
      </c>
    </row>
    <row r="601" spans="13:14">
      <c r="M601">
        <v>0.1765256</v>
      </c>
      <c r="N601">
        <v>59.5</v>
      </c>
    </row>
    <row r="602" spans="13:14">
      <c r="M602">
        <v>0.17748207999999999</v>
      </c>
      <c r="N602">
        <v>59.6</v>
      </c>
    </row>
    <row r="603" spans="13:14">
      <c r="M603">
        <v>0.17842946400000001</v>
      </c>
      <c r="N603">
        <v>59.7</v>
      </c>
    </row>
    <row r="604" spans="13:14">
      <c r="M604">
        <v>0.179237376</v>
      </c>
      <c r="N604">
        <v>59.8</v>
      </c>
    </row>
    <row r="605" spans="13:14">
      <c r="M605">
        <v>0.180045288</v>
      </c>
      <c r="N605">
        <v>59.9</v>
      </c>
    </row>
    <row r="606" spans="13:14">
      <c r="M606">
        <v>0.18068699999999999</v>
      </c>
      <c r="N606">
        <v>60</v>
      </c>
    </row>
    <row r="607" spans="13:14">
      <c r="M607">
        <v>0.18116916</v>
      </c>
      <c r="N607">
        <v>60.1</v>
      </c>
    </row>
    <row r="608" spans="13:14">
      <c r="M608">
        <v>0.18165132000000001</v>
      </c>
      <c r="N608">
        <v>60.2</v>
      </c>
    </row>
    <row r="609" spans="13:14">
      <c r="M609">
        <v>0.18903909599999999</v>
      </c>
      <c r="N609">
        <v>60.3</v>
      </c>
    </row>
    <row r="610" spans="13:14">
      <c r="M610">
        <v>0.19672072800000001</v>
      </c>
      <c r="N610">
        <v>60.4</v>
      </c>
    </row>
    <row r="611" spans="13:14">
      <c r="M611">
        <v>0.20131180000000001</v>
      </c>
      <c r="N611">
        <v>60.5</v>
      </c>
    </row>
    <row r="612" spans="13:14">
      <c r="M612">
        <v>0.20142156</v>
      </c>
      <c r="N612">
        <v>60.6</v>
      </c>
    </row>
    <row r="613" spans="13:14">
      <c r="M613">
        <v>0.20153132000000001</v>
      </c>
      <c r="N613">
        <v>60.7</v>
      </c>
    </row>
    <row r="614" spans="13:14">
      <c r="M614">
        <v>0.202030504</v>
      </c>
      <c r="N614">
        <v>60.8</v>
      </c>
    </row>
    <row r="615" spans="13:14">
      <c r="M615">
        <v>0.20259459199999999</v>
      </c>
      <c r="N615">
        <v>60.9</v>
      </c>
    </row>
    <row r="616" spans="13:14">
      <c r="M616">
        <v>0.20573627999999999</v>
      </c>
      <c r="N616">
        <v>61</v>
      </c>
    </row>
    <row r="617" spans="13:14">
      <c r="M617">
        <v>0.21472052799999999</v>
      </c>
      <c r="N617">
        <v>61.1</v>
      </c>
    </row>
    <row r="618" spans="13:14">
      <c r="M618">
        <v>0.22370477599999999</v>
      </c>
      <c r="N618">
        <v>61.2</v>
      </c>
    </row>
    <row r="619" spans="13:14">
      <c r="M619">
        <v>0.22939158400000001</v>
      </c>
      <c r="N619">
        <v>61.3</v>
      </c>
    </row>
    <row r="620" spans="13:14">
      <c r="M620">
        <v>0.23400895199999999</v>
      </c>
      <c r="N620">
        <v>61.4</v>
      </c>
    </row>
    <row r="621" spans="13:14">
      <c r="M621">
        <v>0.23799608</v>
      </c>
      <c r="N621">
        <v>61.5</v>
      </c>
    </row>
    <row r="622" spans="13:14">
      <c r="M622">
        <v>0.23952527200000001</v>
      </c>
      <c r="N622">
        <v>61.6</v>
      </c>
    </row>
    <row r="623" spans="13:14">
      <c r="M623">
        <v>0.241054464</v>
      </c>
      <c r="N623">
        <v>61.7</v>
      </c>
    </row>
    <row r="624" spans="13:14">
      <c r="M624">
        <v>0.24501872799999999</v>
      </c>
      <c r="N624">
        <v>61.8</v>
      </c>
    </row>
    <row r="625" spans="13:14">
      <c r="M625">
        <v>0.250276624</v>
      </c>
      <c r="N625">
        <v>61.9</v>
      </c>
    </row>
    <row r="626" spans="13:14">
      <c r="M626">
        <v>0.254998</v>
      </c>
      <c r="N626">
        <v>62</v>
      </c>
    </row>
    <row r="627" spans="13:14">
      <c r="M627">
        <v>0.254998</v>
      </c>
      <c r="N627">
        <v>62.1</v>
      </c>
    </row>
    <row r="628" spans="13:14">
      <c r="M628">
        <v>0.254998</v>
      </c>
      <c r="N628">
        <v>62.2</v>
      </c>
    </row>
    <row r="629" spans="13:14">
      <c r="M629">
        <v>0.255437992</v>
      </c>
      <c r="N629">
        <v>62.3</v>
      </c>
    </row>
    <row r="630" spans="13:14">
      <c r="M630">
        <v>0.25623649599999998</v>
      </c>
      <c r="N630">
        <v>62.4</v>
      </c>
    </row>
    <row r="631" spans="13:14">
      <c r="M631">
        <v>0.25703500000000001</v>
      </c>
      <c r="N631">
        <v>62.5</v>
      </c>
    </row>
    <row r="632" spans="13:14">
      <c r="M632">
        <v>0.25792209599999999</v>
      </c>
      <c r="N632">
        <v>62.6</v>
      </c>
    </row>
    <row r="633" spans="13:14">
      <c r="M633">
        <v>0.25880919200000002</v>
      </c>
      <c r="N633">
        <v>62.7</v>
      </c>
    </row>
    <row r="634" spans="13:14">
      <c r="M634">
        <v>0.25929799999999997</v>
      </c>
      <c r="N634">
        <v>62.8</v>
      </c>
    </row>
    <row r="635" spans="13:14">
      <c r="M635">
        <v>0.25929799999999997</v>
      </c>
      <c r="N635">
        <v>62.9</v>
      </c>
    </row>
    <row r="636" spans="13:14">
      <c r="M636">
        <v>0.25929799999999997</v>
      </c>
      <c r="N636">
        <v>63</v>
      </c>
    </row>
    <row r="637" spans="13:14">
      <c r="M637">
        <v>0.26166027200000003</v>
      </c>
      <c r="N637">
        <v>63.1</v>
      </c>
    </row>
    <row r="638" spans="13:14">
      <c r="M638">
        <v>0.26429098400000001</v>
      </c>
      <c r="N638">
        <v>63.2</v>
      </c>
    </row>
    <row r="639" spans="13:14">
      <c r="M639">
        <v>0.267665072</v>
      </c>
      <c r="N639">
        <v>63.3</v>
      </c>
    </row>
    <row r="640" spans="13:14">
      <c r="M640">
        <v>0.272438456</v>
      </c>
      <c r="N640">
        <v>63.4</v>
      </c>
    </row>
    <row r="641" spans="13:14">
      <c r="M641">
        <v>0.27721183999999999</v>
      </c>
      <c r="N641">
        <v>63.5</v>
      </c>
    </row>
    <row r="642" spans="13:14">
      <c r="M642">
        <v>0.27855104000000003</v>
      </c>
      <c r="N642">
        <v>63.6</v>
      </c>
    </row>
    <row r="643" spans="13:14">
      <c r="M643">
        <v>0.27900967999999998</v>
      </c>
      <c r="N643">
        <v>63.7</v>
      </c>
    </row>
    <row r="644" spans="13:14">
      <c r="M644">
        <v>0.27981142399999998</v>
      </c>
      <c r="N644">
        <v>63.8</v>
      </c>
    </row>
    <row r="645" spans="13:14">
      <c r="M645">
        <v>0.28167107200000002</v>
      </c>
      <c r="N645">
        <v>63.9</v>
      </c>
    </row>
    <row r="646" spans="13:14">
      <c r="M646">
        <v>0.28353072000000001</v>
      </c>
      <c r="N646">
        <v>64</v>
      </c>
    </row>
    <row r="647" spans="13:14">
      <c r="M647">
        <v>0.28580462400000001</v>
      </c>
      <c r="N647">
        <v>64.099999999999994</v>
      </c>
    </row>
    <row r="648" spans="13:14">
      <c r="M648">
        <v>0.288261288</v>
      </c>
      <c r="N648">
        <v>64.2</v>
      </c>
    </row>
    <row r="649" spans="13:14">
      <c r="M649">
        <v>0.29036699999999999</v>
      </c>
      <c r="N649">
        <v>64.3</v>
      </c>
    </row>
    <row r="650" spans="13:14">
      <c r="M650">
        <v>0.29036699999999999</v>
      </c>
      <c r="N650">
        <v>64.400000000000006</v>
      </c>
    </row>
    <row r="651" spans="13:14">
      <c r="M651">
        <v>0.29036699999999999</v>
      </c>
      <c r="N651">
        <v>64.5</v>
      </c>
    </row>
    <row r="652" spans="13:14">
      <c r="M652">
        <v>0.29131448799999998</v>
      </c>
      <c r="N652">
        <v>64.599999999999994</v>
      </c>
    </row>
    <row r="653" spans="13:14">
      <c r="M653">
        <v>0.29291541599999998</v>
      </c>
      <c r="N653">
        <v>64.7</v>
      </c>
    </row>
    <row r="654" spans="13:14">
      <c r="M654">
        <v>0.29485114400000101</v>
      </c>
      <c r="N654">
        <v>64.8</v>
      </c>
    </row>
    <row r="655" spans="13:14">
      <c r="M655">
        <v>0.30465467200000002</v>
      </c>
      <c r="N655">
        <v>64.900000000000006</v>
      </c>
    </row>
    <row r="656" spans="13:14">
      <c r="M656">
        <v>0.31445820000000002</v>
      </c>
      <c r="N656">
        <v>65</v>
      </c>
    </row>
    <row r="657" spans="13:14">
      <c r="M657">
        <v>0.319851104</v>
      </c>
      <c r="N657">
        <v>65.099999999999994</v>
      </c>
    </row>
    <row r="658" spans="13:14">
      <c r="M658">
        <v>0.32064960799999997</v>
      </c>
      <c r="N658">
        <v>65.2</v>
      </c>
    </row>
    <row r="659" spans="13:14">
      <c r="M659">
        <v>0.32144811200000001</v>
      </c>
      <c r="N659">
        <v>65.3</v>
      </c>
    </row>
    <row r="660" spans="13:14">
      <c r="M660">
        <v>0.32232978400000001</v>
      </c>
      <c r="N660">
        <v>65.400000000000006</v>
      </c>
    </row>
    <row r="661" spans="13:14">
      <c r="M661">
        <v>0.32321687999999998</v>
      </c>
      <c r="N661">
        <v>65.5</v>
      </c>
    </row>
    <row r="662" spans="13:14">
      <c r="M662">
        <v>0.32488966400000002</v>
      </c>
      <c r="N662">
        <v>65.599999999999994</v>
      </c>
    </row>
    <row r="663" spans="13:14">
      <c r="M663">
        <v>0.32780300800000001</v>
      </c>
      <c r="N663">
        <v>65.7</v>
      </c>
    </row>
    <row r="664" spans="13:14">
      <c r="M664">
        <v>0.33071635199999999</v>
      </c>
      <c r="N664">
        <v>65.8</v>
      </c>
    </row>
    <row r="665" spans="13:14">
      <c r="M665">
        <v>0.33345355999999998</v>
      </c>
      <c r="N665">
        <v>65.900000000000006</v>
      </c>
    </row>
    <row r="666" spans="13:14">
      <c r="M666">
        <v>0.33615640000000002</v>
      </c>
      <c r="N666">
        <v>66</v>
      </c>
    </row>
    <row r="667" spans="13:14">
      <c r="M667">
        <v>0.33808700000000003</v>
      </c>
      <c r="N667">
        <v>66.099999999999994</v>
      </c>
    </row>
    <row r="668" spans="13:14">
      <c r="M668">
        <v>0.33808700000000003</v>
      </c>
      <c r="N668">
        <v>66.2</v>
      </c>
    </row>
    <row r="669" spans="13:14">
      <c r="M669">
        <v>0.33808700000000003</v>
      </c>
      <c r="N669">
        <v>66.3</v>
      </c>
    </row>
    <row r="670" spans="13:14">
      <c r="M670">
        <v>0.34110380000000001</v>
      </c>
      <c r="N670">
        <v>66.400000000000006</v>
      </c>
    </row>
    <row r="671" spans="13:14">
      <c r="M671">
        <v>0.34521000000000002</v>
      </c>
      <c r="N671">
        <v>66.5</v>
      </c>
    </row>
    <row r="672" spans="13:14">
      <c r="M672">
        <v>0.34901322400000001</v>
      </c>
      <c r="N672">
        <v>66.599999999999994</v>
      </c>
    </row>
    <row r="673" spans="13:14">
      <c r="M673">
        <v>0.35146988800000001</v>
      </c>
      <c r="N673">
        <v>66.7</v>
      </c>
    </row>
    <row r="674" spans="13:14">
      <c r="M674">
        <v>0.35392655200000001</v>
      </c>
      <c r="N674">
        <v>66.8</v>
      </c>
    </row>
    <row r="675" spans="13:14">
      <c r="M675">
        <v>0.356446704</v>
      </c>
      <c r="N675">
        <v>66.900000000000006</v>
      </c>
    </row>
    <row r="676" spans="13:14">
      <c r="M676">
        <v>0.35900372000000003</v>
      </c>
      <c r="N676">
        <v>67</v>
      </c>
    </row>
    <row r="677" spans="13:14">
      <c r="M677">
        <v>0.36141798400000003</v>
      </c>
      <c r="N677">
        <v>67.099999999999994</v>
      </c>
    </row>
    <row r="678" spans="13:14">
      <c r="M678">
        <v>0.36222628800000001</v>
      </c>
      <c r="N678">
        <v>67.2</v>
      </c>
    </row>
    <row r="679" spans="13:14">
      <c r="M679">
        <v>0.36303459199999999</v>
      </c>
      <c r="N679">
        <v>67.3</v>
      </c>
    </row>
    <row r="680" spans="13:14">
      <c r="M680">
        <v>0.36347224</v>
      </c>
      <c r="N680">
        <v>67.400000000000006</v>
      </c>
    </row>
    <row r="681" spans="13:14">
      <c r="M681">
        <v>0.36358200000000002</v>
      </c>
      <c r="N681">
        <v>67.5</v>
      </c>
    </row>
    <row r="682" spans="13:14">
      <c r="M682">
        <v>0.36369175999999998</v>
      </c>
      <c r="N682">
        <v>67.599999999999994</v>
      </c>
    </row>
    <row r="683" spans="13:14">
      <c r="M683">
        <v>0.36769259199999998</v>
      </c>
      <c r="N683">
        <v>67.7</v>
      </c>
    </row>
    <row r="684" spans="13:14">
      <c r="M684">
        <v>0.37177448800000001</v>
      </c>
      <c r="N684">
        <v>67.8</v>
      </c>
    </row>
    <row r="685" spans="13:14">
      <c r="M685">
        <v>0.38064505599999998</v>
      </c>
      <c r="N685">
        <v>67.900000000000006</v>
      </c>
    </row>
    <row r="686" spans="13:14">
      <c r="M686">
        <v>0.39590051999999998</v>
      </c>
      <c r="N686">
        <v>68</v>
      </c>
    </row>
    <row r="687" spans="13:14">
      <c r="M687">
        <v>0.41115598399999997</v>
      </c>
      <c r="N687">
        <v>68.099999999999994</v>
      </c>
    </row>
    <row r="688" spans="13:14">
      <c r="M688">
        <v>0.41365386399999998</v>
      </c>
      <c r="N688">
        <v>68.2</v>
      </c>
    </row>
    <row r="689" spans="13:14">
      <c r="M689">
        <v>0.414371616</v>
      </c>
      <c r="N689">
        <v>68.3</v>
      </c>
    </row>
    <row r="690" spans="13:14">
      <c r="M690">
        <v>0.41726780000000102</v>
      </c>
      <c r="N690">
        <v>68.400000000000006</v>
      </c>
    </row>
    <row r="691" spans="13:14">
      <c r="M691">
        <v>0.42465700000000101</v>
      </c>
      <c r="N691">
        <v>68.5</v>
      </c>
    </row>
    <row r="692" spans="13:14">
      <c r="M692">
        <v>0.43204620000000099</v>
      </c>
      <c r="N692">
        <v>68.599999999999994</v>
      </c>
    </row>
    <row r="693" spans="13:14">
      <c r="M693">
        <v>0.43540284000000001</v>
      </c>
      <c r="N693">
        <v>68.7</v>
      </c>
    </row>
    <row r="694" spans="13:14">
      <c r="M694">
        <v>0.43759216000000001</v>
      </c>
      <c r="N694">
        <v>68.8</v>
      </c>
    </row>
    <row r="695" spans="13:14">
      <c r="M695">
        <v>0.43955232799999999</v>
      </c>
      <c r="N695">
        <v>68.900000000000006</v>
      </c>
    </row>
    <row r="696" spans="13:14">
      <c r="M696">
        <v>0.44072087999999998</v>
      </c>
      <c r="N696">
        <v>69</v>
      </c>
    </row>
    <row r="697" spans="13:14">
      <c r="M697">
        <v>0.44188943200000003</v>
      </c>
      <c r="N697">
        <v>69.099999999999994</v>
      </c>
    </row>
    <row r="698" spans="13:14">
      <c r="M698">
        <v>0.44318180000000001</v>
      </c>
      <c r="N698">
        <v>69.2</v>
      </c>
    </row>
    <row r="699" spans="13:14">
      <c r="M699">
        <v>0.44453419999999999</v>
      </c>
      <c r="N699">
        <v>69.3</v>
      </c>
    </row>
    <row r="700" spans="13:14">
      <c r="M700">
        <v>0.44745874400000002</v>
      </c>
      <c r="N700">
        <v>69.400000000000006</v>
      </c>
    </row>
    <row r="701" spans="13:14">
      <c r="M701">
        <v>0.46165032</v>
      </c>
      <c r="N701">
        <v>69.5</v>
      </c>
    </row>
    <row r="702" spans="13:14">
      <c r="M702">
        <v>0.47584189600000198</v>
      </c>
      <c r="N702">
        <v>69.599999999999994</v>
      </c>
    </row>
    <row r="703" spans="13:14">
      <c r="M703">
        <v>0.48212067199999997</v>
      </c>
      <c r="N703">
        <v>69.7</v>
      </c>
    </row>
    <row r="704" spans="13:14">
      <c r="M704">
        <v>0.482464848</v>
      </c>
      <c r="N704">
        <v>69.8</v>
      </c>
    </row>
    <row r="705" spans="13:14">
      <c r="M705">
        <v>0.48290140799999998</v>
      </c>
      <c r="N705">
        <v>69.900000000000006</v>
      </c>
    </row>
    <row r="706" spans="13:14">
      <c r="M706">
        <v>0.48777239999999999</v>
      </c>
      <c r="N706">
        <v>70</v>
      </c>
    </row>
    <row r="707" spans="13:14">
      <c r="M707">
        <v>0.49264339200000001</v>
      </c>
      <c r="N707">
        <v>70.099999999999994</v>
      </c>
    </row>
    <row r="708" spans="13:14">
      <c r="M708">
        <v>0.49576859200000001</v>
      </c>
      <c r="N708">
        <v>70.2</v>
      </c>
    </row>
    <row r="709" spans="13:14">
      <c r="M709">
        <v>0.49692028799999999</v>
      </c>
      <c r="N709">
        <v>70.3</v>
      </c>
    </row>
    <row r="710" spans="13:14">
      <c r="M710">
        <v>0.49807198400000002</v>
      </c>
      <c r="N710">
        <v>70.400000000000006</v>
      </c>
    </row>
    <row r="711" spans="13:14">
      <c r="M711">
        <v>0.498166</v>
      </c>
      <c r="N711">
        <v>70.5</v>
      </c>
    </row>
    <row r="712" spans="13:14">
      <c r="M712">
        <v>0.498166</v>
      </c>
      <c r="N712">
        <v>70.599999999999994</v>
      </c>
    </row>
    <row r="713" spans="13:14">
      <c r="M713">
        <v>0.49928891199999997</v>
      </c>
      <c r="N713">
        <v>70.7</v>
      </c>
    </row>
    <row r="714" spans="13:14">
      <c r="M714">
        <v>0.50234572799999999</v>
      </c>
      <c r="N714">
        <v>70.8</v>
      </c>
    </row>
    <row r="715" spans="13:14">
      <c r="M715">
        <v>0.50540254399999995</v>
      </c>
      <c r="N715">
        <v>70.900000000000006</v>
      </c>
    </row>
    <row r="716" spans="13:14">
      <c r="M716">
        <v>0.50596399999999997</v>
      </c>
      <c r="N716">
        <v>71</v>
      </c>
    </row>
    <row r="717" spans="13:14">
      <c r="M717">
        <v>0.50596399999999997</v>
      </c>
      <c r="N717">
        <v>71.099999999999994</v>
      </c>
    </row>
    <row r="718" spans="13:14">
      <c r="M718">
        <v>0.506672864</v>
      </c>
      <c r="N718">
        <v>71.2</v>
      </c>
    </row>
    <row r="719" spans="13:14">
      <c r="M719">
        <v>0.50934473599999996</v>
      </c>
      <c r="N719">
        <v>71.3</v>
      </c>
    </row>
    <row r="720" spans="13:14">
      <c r="M720">
        <v>0.51201660800000004</v>
      </c>
      <c r="N720">
        <v>71.400000000000006</v>
      </c>
    </row>
    <row r="721" spans="13:14">
      <c r="M721">
        <v>0.51725272</v>
      </c>
      <c r="N721">
        <v>71.5</v>
      </c>
    </row>
    <row r="722" spans="13:14">
      <c r="M722">
        <v>0.52351452799999998</v>
      </c>
      <c r="N722">
        <v>71.599999999999994</v>
      </c>
    </row>
    <row r="723" spans="13:14">
      <c r="M723">
        <v>0.53001326399999904</v>
      </c>
      <c r="N723">
        <v>71.7</v>
      </c>
    </row>
    <row r="724" spans="13:14">
      <c r="M724">
        <v>0.53772625600000001</v>
      </c>
      <c r="N724">
        <v>71.8</v>
      </c>
    </row>
    <row r="725" spans="13:14">
      <c r="M725">
        <v>0.54543924799999999</v>
      </c>
      <c r="N725">
        <v>71.900000000000006</v>
      </c>
    </row>
    <row r="726" spans="13:14">
      <c r="M726">
        <v>0.55791743999999999</v>
      </c>
      <c r="N726">
        <v>72</v>
      </c>
    </row>
    <row r="727" spans="13:14">
      <c r="M727">
        <v>0.57341359199999997</v>
      </c>
      <c r="N727">
        <v>72.099999999999994</v>
      </c>
    </row>
    <row r="728" spans="13:14">
      <c r="M728">
        <v>0.58801718400000003</v>
      </c>
      <c r="N728">
        <v>72.2</v>
      </c>
    </row>
    <row r="729" spans="13:14">
      <c r="M729">
        <v>0.58893485599999995</v>
      </c>
      <c r="N729">
        <v>72.3</v>
      </c>
    </row>
    <row r="730" spans="13:14">
      <c r="M730">
        <v>0.58985252799999999</v>
      </c>
      <c r="N730">
        <v>72.400000000000006</v>
      </c>
    </row>
    <row r="731" spans="13:14">
      <c r="M731">
        <v>0.59088479999999999</v>
      </c>
      <c r="N731">
        <v>72.5</v>
      </c>
    </row>
    <row r="732" spans="13:14">
      <c r="M732">
        <v>0.59202708800000003</v>
      </c>
      <c r="N732">
        <v>72.599999999999994</v>
      </c>
    </row>
    <row r="733" spans="13:14">
      <c r="M733">
        <v>0.59316937599999997</v>
      </c>
      <c r="N733">
        <v>72.7</v>
      </c>
    </row>
    <row r="734" spans="13:14">
      <c r="M734">
        <v>0.59581077599999999</v>
      </c>
      <c r="N734">
        <v>72.8</v>
      </c>
    </row>
    <row r="735" spans="13:14">
      <c r="M735">
        <v>0.59851596799999995</v>
      </c>
      <c r="N735">
        <v>72.900000000000006</v>
      </c>
    </row>
    <row r="736" spans="13:14">
      <c r="M736">
        <v>0.60032819999999998</v>
      </c>
      <c r="N736">
        <v>73</v>
      </c>
    </row>
    <row r="737" spans="13:14">
      <c r="M737">
        <v>0.60084563999999996</v>
      </c>
      <c r="N737">
        <v>73.099999999999994</v>
      </c>
    </row>
    <row r="738" spans="13:14">
      <c r="M738">
        <v>0.60136308000000005</v>
      </c>
      <c r="N738">
        <v>73.2</v>
      </c>
    </row>
    <row r="739" spans="13:14">
      <c r="M739">
        <v>0.60377455199999996</v>
      </c>
      <c r="N739">
        <v>73.3</v>
      </c>
    </row>
    <row r="740" spans="13:14">
      <c r="M740">
        <v>0.60650169600000003</v>
      </c>
      <c r="N740">
        <v>73.400000000000006</v>
      </c>
    </row>
    <row r="741" spans="13:14">
      <c r="M741">
        <v>0.60916632000000004</v>
      </c>
      <c r="N741">
        <v>73.5</v>
      </c>
    </row>
    <row r="742" spans="13:14">
      <c r="M742">
        <v>0.61168923200000003</v>
      </c>
      <c r="N742">
        <v>73.599999999999994</v>
      </c>
    </row>
    <row r="743" spans="13:14">
      <c r="M743">
        <v>0.61421214400000002</v>
      </c>
      <c r="N743">
        <v>73.7</v>
      </c>
    </row>
    <row r="744" spans="13:14">
      <c r="M744">
        <v>0.618316584</v>
      </c>
      <c r="N744">
        <v>73.8</v>
      </c>
    </row>
    <row r="745" spans="13:14">
      <c r="M745">
        <v>0.62293395200000001</v>
      </c>
      <c r="N745">
        <v>73.900000000000006</v>
      </c>
    </row>
    <row r="746" spans="13:14">
      <c r="M746">
        <v>0.62765084000000004</v>
      </c>
      <c r="N746">
        <v>74</v>
      </c>
    </row>
    <row r="747" spans="13:14">
      <c r="M747">
        <v>0.63275585599999995</v>
      </c>
      <c r="N747">
        <v>74.099999999999994</v>
      </c>
    </row>
    <row r="748" spans="13:14">
      <c r="M748">
        <v>0.63786087199999997</v>
      </c>
      <c r="N748">
        <v>74.2</v>
      </c>
    </row>
    <row r="749" spans="13:14">
      <c r="M749">
        <v>0.643434112</v>
      </c>
      <c r="N749">
        <v>74.3</v>
      </c>
    </row>
    <row r="750" spans="13:14">
      <c r="M750">
        <v>0.649256096</v>
      </c>
      <c r="N750">
        <v>74.400000000000006</v>
      </c>
    </row>
    <row r="751" spans="13:14">
      <c r="M751">
        <v>0.65501611999999998</v>
      </c>
      <c r="N751">
        <v>74.5</v>
      </c>
    </row>
    <row r="752" spans="13:14">
      <c r="M752">
        <v>0.66023089599999996</v>
      </c>
      <c r="N752">
        <v>74.599999999999994</v>
      </c>
    </row>
    <row r="753" spans="13:14">
      <c r="M753">
        <v>0.66544567200000004</v>
      </c>
      <c r="N753">
        <v>74.7</v>
      </c>
    </row>
    <row r="754" spans="13:14">
      <c r="M754">
        <v>0.66958131200000004</v>
      </c>
      <c r="N754">
        <v>74.8</v>
      </c>
    </row>
    <row r="755" spans="13:14">
      <c r="M755">
        <v>0.67283765600000001</v>
      </c>
      <c r="N755">
        <v>74.900000000000006</v>
      </c>
    </row>
    <row r="756" spans="13:14">
      <c r="M756">
        <v>0.67609399999999997</v>
      </c>
      <c r="N756">
        <v>75</v>
      </c>
    </row>
    <row r="757" spans="13:14">
      <c r="M757">
        <v>0.68112845600000005</v>
      </c>
      <c r="N757">
        <v>75.099999999999994</v>
      </c>
    </row>
    <row r="758" spans="13:14">
      <c r="M758">
        <v>0.68616291200000001</v>
      </c>
      <c r="N758">
        <v>75.2</v>
      </c>
    </row>
    <row r="759" spans="13:14">
      <c r="M759">
        <v>0.68903538399999997</v>
      </c>
      <c r="N759">
        <v>75.3</v>
      </c>
    </row>
    <row r="760" spans="13:14">
      <c r="M760">
        <v>0.68925451199999999</v>
      </c>
      <c r="N760">
        <v>75.400000000000006</v>
      </c>
    </row>
    <row r="761" spans="13:14">
      <c r="M761">
        <v>0.68947364</v>
      </c>
      <c r="N761">
        <v>75.5</v>
      </c>
    </row>
    <row r="762" spans="13:14">
      <c r="M762">
        <v>0.69096911999999999</v>
      </c>
      <c r="N762">
        <v>75.599999999999994</v>
      </c>
    </row>
    <row r="763" spans="13:14">
      <c r="M763">
        <v>0.69260964000000003</v>
      </c>
      <c r="N763">
        <v>75.7</v>
      </c>
    </row>
    <row r="764" spans="13:14">
      <c r="M764">
        <v>0.69442097599999997</v>
      </c>
      <c r="N764">
        <v>75.8</v>
      </c>
    </row>
    <row r="765" spans="13:14">
      <c r="M765">
        <v>0.69655384799999998</v>
      </c>
      <c r="N765">
        <v>75.900000000000006</v>
      </c>
    </row>
    <row r="766" spans="13:14">
      <c r="M766">
        <v>0.69868671999999998</v>
      </c>
      <c r="N766">
        <v>76</v>
      </c>
    </row>
    <row r="767" spans="13:14">
      <c r="M767">
        <v>0.70330061600000005</v>
      </c>
      <c r="N767">
        <v>76.099999999999994</v>
      </c>
    </row>
    <row r="768" spans="13:14">
      <c r="M768">
        <v>0.70855067199999999</v>
      </c>
      <c r="N768">
        <v>76.2</v>
      </c>
    </row>
    <row r="769" spans="13:14">
      <c r="M769">
        <v>0.71351464799999997</v>
      </c>
      <c r="N769">
        <v>76.3</v>
      </c>
    </row>
    <row r="770" spans="13:14">
      <c r="M770">
        <v>0.71759654399999995</v>
      </c>
      <c r="N770">
        <v>76.400000000000006</v>
      </c>
    </row>
    <row r="771" spans="13:14">
      <c r="M771">
        <v>0.72167844000000003</v>
      </c>
      <c r="N771">
        <v>76.5</v>
      </c>
    </row>
    <row r="772" spans="13:14">
      <c r="M772">
        <v>0.72555144000000005</v>
      </c>
      <c r="N772">
        <v>76.599999999999994</v>
      </c>
    </row>
    <row r="773" spans="13:14">
      <c r="M773">
        <v>0.72933228000000005</v>
      </c>
      <c r="N773">
        <v>76.7</v>
      </c>
    </row>
    <row r="774" spans="13:14">
      <c r="M774">
        <v>0.73269250399999997</v>
      </c>
      <c r="N774">
        <v>76.8</v>
      </c>
    </row>
    <row r="775" spans="13:14">
      <c r="M775">
        <v>0.73352903199999997</v>
      </c>
      <c r="N775">
        <v>76.900000000000006</v>
      </c>
    </row>
    <row r="776" spans="13:14">
      <c r="M776">
        <v>0.73436555999999997</v>
      </c>
      <c r="N776">
        <v>77</v>
      </c>
    </row>
    <row r="777" spans="13:14">
      <c r="M777">
        <v>0.73519048799999998</v>
      </c>
      <c r="N777">
        <v>77.099999999999994</v>
      </c>
    </row>
    <row r="778" spans="13:14">
      <c r="M778">
        <v>0.73600741599999997</v>
      </c>
      <c r="N778">
        <v>77.2</v>
      </c>
    </row>
    <row r="779" spans="13:14">
      <c r="M779">
        <v>0.73679099999999997</v>
      </c>
      <c r="N779">
        <v>77.3</v>
      </c>
    </row>
    <row r="780" spans="13:14">
      <c r="M780">
        <v>0.73679099999999997</v>
      </c>
      <c r="N780">
        <v>77.400000000000006</v>
      </c>
    </row>
    <row r="781" spans="13:14">
      <c r="M781">
        <v>0.73679099999999997</v>
      </c>
      <c r="N781">
        <v>77.5</v>
      </c>
    </row>
    <row r="782" spans="13:14">
      <c r="M782">
        <v>0.73798043999999996</v>
      </c>
      <c r="N782">
        <v>77.599999999999994</v>
      </c>
    </row>
    <row r="783" spans="13:14">
      <c r="M783">
        <v>0.74040888000000005</v>
      </c>
      <c r="N783">
        <v>77.7</v>
      </c>
    </row>
    <row r="784" spans="13:14">
      <c r="M784">
        <v>0.74283732000000002</v>
      </c>
      <c r="N784">
        <v>77.8</v>
      </c>
    </row>
    <row r="785" spans="13:14">
      <c r="M785">
        <v>0.74298600000000004</v>
      </c>
      <c r="N785">
        <v>77.900000000000006</v>
      </c>
    </row>
    <row r="786" spans="13:14">
      <c r="M786">
        <v>0.74298600000000004</v>
      </c>
      <c r="N786">
        <v>78</v>
      </c>
    </row>
    <row r="787" spans="13:14">
      <c r="M787">
        <v>0.74715095200000003</v>
      </c>
      <c r="N787">
        <v>78.099999999999994</v>
      </c>
    </row>
    <row r="788" spans="13:14">
      <c r="M788">
        <v>0.75789214399999905</v>
      </c>
      <c r="N788">
        <v>78.2</v>
      </c>
    </row>
    <row r="789" spans="13:14">
      <c r="M789">
        <v>0.76863333600000106</v>
      </c>
      <c r="N789">
        <v>78.3</v>
      </c>
    </row>
    <row r="790" spans="13:14">
      <c r="M790">
        <v>0.77113812000000004</v>
      </c>
      <c r="N790">
        <v>78.400000000000006</v>
      </c>
    </row>
    <row r="791" spans="13:14">
      <c r="M791">
        <v>0.77203580000000005</v>
      </c>
      <c r="N791">
        <v>78.5</v>
      </c>
    </row>
    <row r="792" spans="13:14">
      <c r="M792">
        <v>0.77476322399999997</v>
      </c>
      <c r="N792">
        <v>78.599999999999994</v>
      </c>
    </row>
    <row r="793" spans="13:14">
      <c r="M793">
        <v>0.78206500800000001</v>
      </c>
      <c r="N793">
        <v>78.7</v>
      </c>
    </row>
    <row r="794" spans="13:14">
      <c r="M794">
        <v>0.78936679200000004</v>
      </c>
      <c r="N794">
        <v>78.8</v>
      </c>
    </row>
    <row r="795" spans="13:14">
      <c r="M795">
        <v>0.79447516799999995</v>
      </c>
      <c r="N795">
        <v>78.900000000000006</v>
      </c>
    </row>
    <row r="796" spans="13:14">
      <c r="M796">
        <v>0.79879148</v>
      </c>
      <c r="N796">
        <v>79</v>
      </c>
    </row>
    <row r="797" spans="13:14">
      <c r="M797">
        <v>0.80347455999999995</v>
      </c>
      <c r="N797">
        <v>79.099999999999994</v>
      </c>
    </row>
    <row r="798" spans="13:14">
      <c r="M798">
        <v>0.80978771999999999</v>
      </c>
      <c r="N798">
        <v>79.2</v>
      </c>
    </row>
    <row r="799" spans="13:14">
      <c r="M799">
        <v>0.81610088000000003</v>
      </c>
      <c r="N799">
        <v>79.3</v>
      </c>
    </row>
    <row r="800" spans="13:14">
      <c r="M800">
        <v>0.82333560800000005</v>
      </c>
      <c r="N800">
        <v>79.400000000000006</v>
      </c>
    </row>
    <row r="801" spans="13:14">
      <c r="M801">
        <v>0.83110544000000097</v>
      </c>
      <c r="N801">
        <v>79.5</v>
      </c>
    </row>
    <row r="802" spans="13:14">
      <c r="M802">
        <v>0.83872023200000101</v>
      </c>
      <c r="N802">
        <v>79.599999999999994</v>
      </c>
    </row>
    <row r="803" spans="13:14">
      <c r="M803">
        <v>0.84459082400000096</v>
      </c>
      <c r="N803">
        <v>79.7</v>
      </c>
    </row>
    <row r="804" spans="13:14">
      <c r="M804">
        <v>0.85046141600000003</v>
      </c>
      <c r="N804">
        <v>79.8</v>
      </c>
    </row>
    <row r="805" spans="13:14">
      <c r="M805">
        <v>0.85901500000000097</v>
      </c>
      <c r="N805">
        <v>79.900000000000006</v>
      </c>
    </row>
    <row r="806" spans="13:14">
      <c r="M806">
        <v>0.86994200000000099</v>
      </c>
      <c r="N806">
        <v>80</v>
      </c>
    </row>
    <row r="807" spans="13:14">
      <c r="M807">
        <v>0.88086900000000001</v>
      </c>
      <c r="N807">
        <v>80.099999999999994</v>
      </c>
    </row>
    <row r="808" spans="13:14">
      <c r="M808">
        <v>0.88142915200000005</v>
      </c>
      <c r="N808">
        <v>80.2</v>
      </c>
    </row>
    <row r="809" spans="13:14">
      <c r="M809">
        <v>0.88177332799999997</v>
      </c>
      <c r="N809">
        <v>80.3</v>
      </c>
    </row>
    <row r="810" spans="13:14">
      <c r="M810">
        <v>0.88839717600000001</v>
      </c>
      <c r="N810">
        <v>80.400000000000006</v>
      </c>
    </row>
    <row r="811" spans="13:14">
      <c r="M811">
        <v>0.90339391999999996</v>
      </c>
      <c r="N811">
        <v>80.5</v>
      </c>
    </row>
    <row r="812" spans="13:14">
      <c r="M812">
        <v>0.91839066400000002</v>
      </c>
      <c r="N812">
        <v>80.599999999999994</v>
      </c>
    </row>
    <row r="813" spans="13:14">
      <c r="M813">
        <v>0.92022700000000002</v>
      </c>
      <c r="N813">
        <v>80.7</v>
      </c>
    </row>
    <row r="814" spans="13:14">
      <c r="M814">
        <v>0.92022700000000002</v>
      </c>
      <c r="N814">
        <v>80.8</v>
      </c>
    </row>
    <row r="815" spans="13:14">
      <c r="M815">
        <v>0.92084843999999999</v>
      </c>
      <c r="N815">
        <v>80.900000000000006</v>
      </c>
    </row>
    <row r="816" spans="13:14">
      <c r="M816">
        <v>0.92275160000000001</v>
      </c>
      <c r="N816">
        <v>81</v>
      </c>
    </row>
    <row r="817" spans="13:14">
      <c r="M817">
        <v>0.92465476000000002</v>
      </c>
      <c r="N817">
        <v>81.099999999999994</v>
      </c>
    </row>
    <row r="818" spans="13:14">
      <c r="M818">
        <v>0.92840684799999995</v>
      </c>
      <c r="N818">
        <v>81.2</v>
      </c>
    </row>
    <row r="819" spans="13:14">
      <c r="M819">
        <v>0.93269415200000005</v>
      </c>
      <c r="N819">
        <v>81.3</v>
      </c>
    </row>
    <row r="820" spans="13:14">
      <c r="M820">
        <v>0.93609300799999995</v>
      </c>
      <c r="N820">
        <v>81.400000000000006</v>
      </c>
    </row>
    <row r="821" spans="13:14">
      <c r="M821">
        <v>0.93642267999999995</v>
      </c>
      <c r="N821">
        <v>81.5</v>
      </c>
    </row>
    <row r="822" spans="13:14">
      <c r="M822">
        <v>0.93675235199999995</v>
      </c>
      <c r="N822">
        <v>81.599999999999994</v>
      </c>
    </row>
    <row r="823" spans="13:14">
      <c r="M823">
        <v>0.93922913600000002</v>
      </c>
      <c r="N823">
        <v>81.7</v>
      </c>
    </row>
    <row r="824" spans="13:14">
      <c r="M824">
        <v>0.94274694400000003</v>
      </c>
      <c r="N824">
        <v>81.8</v>
      </c>
    </row>
    <row r="825" spans="13:14">
      <c r="M825">
        <v>0.94585823999999996</v>
      </c>
      <c r="N825">
        <v>81.900000000000006</v>
      </c>
    </row>
    <row r="826" spans="13:14">
      <c r="M826">
        <v>0.94605620000000001</v>
      </c>
      <c r="N826">
        <v>82</v>
      </c>
    </row>
    <row r="827" spans="13:14">
      <c r="M827">
        <v>0.94625415999999996</v>
      </c>
      <c r="N827">
        <v>82.1</v>
      </c>
    </row>
    <row r="828" spans="13:14">
      <c r="M828">
        <v>0.94867151199999999</v>
      </c>
      <c r="N828">
        <v>82.2</v>
      </c>
    </row>
    <row r="829" spans="13:14">
      <c r="M829">
        <v>0.95275340799999997</v>
      </c>
      <c r="N829">
        <v>82.3</v>
      </c>
    </row>
    <row r="830" spans="13:14">
      <c r="M830">
        <v>0.95675373600000002</v>
      </c>
      <c r="N830">
        <v>82.4</v>
      </c>
    </row>
    <row r="831" spans="13:14">
      <c r="M831">
        <v>0.95683879999999999</v>
      </c>
      <c r="N831">
        <v>82.5</v>
      </c>
    </row>
    <row r="832" spans="13:14">
      <c r="M832">
        <v>0.95692386399999996</v>
      </c>
      <c r="N832">
        <v>82.6</v>
      </c>
    </row>
    <row r="833" spans="13:14">
      <c r="M833">
        <v>0.95823767999999998</v>
      </c>
      <c r="N833">
        <v>82.7</v>
      </c>
    </row>
    <row r="834" spans="13:14">
      <c r="M834">
        <v>0.96094051999999996</v>
      </c>
      <c r="N834">
        <v>82.8</v>
      </c>
    </row>
    <row r="835" spans="13:14">
      <c r="M835">
        <v>0.96364335999999995</v>
      </c>
      <c r="N835">
        <v>82.9</v>
      </c>
    </row>
    <row r="836" spans="13:14">
      <c r="M836">
        <v>0.96761231999999997</v>
      </c>
      <c r="N836">
        <v>83</v>
      </c>
    </row>
    <row r="837" spans="13:14">
      <c r="M837">
        <v>0.97169382400000004</v>
      </c>
      <c r="N837">
        <v>83.1</v>
      </c>
    </row>
    <row r="838" spans="13:14">
      <c r="M838">
        <v>0.97492414400000005</v>
      </c>
      <c r="N838">
        <v>83.2</v>
      </c>
    </row>
    <row r="839" spans="13:14">
      <c r="M839">
        <v>0.97668853600000005</v>
      </c>
      <c r="N839">
        <v>83.3</v>
      </c>
    </row>
    <row r="840" spans="13:14">
      <c r="M840">
        <v>0.97845292800000006</v>
      </c>
      <c r="N840">
        <v>83.4</v>
      </c>
    </row>
    <row r="841" spans="13:14">
      <c r="M841">
        <v>0.98144964000000001</v>
      </c>
      <c r="N841">
        <v>83.5</v>
      </c>
    </row>
    <row r="842" spans="13:14">
      <c r="M842">
        <v>0.98472362400000002</v>
      </c>
      <c r="N842">
        <v>83.6</v>
      </c>
    </row>
    <row r="843" spans="13:14">
      <c r="M843">
        <v>0.98738015999999995</v>
      </c>
      <c r="N843">
        <v>83.7</v>
      </c>
    </row>
    <row r="844" spans="13:14">
      <c r="M844">
        <v>0.98832684000000004</v>
      </c>
      <c r="N844">
        <v>83.8</v>
      </c>
    </row>
    <row r="845" spans="13:14">
      <c r="M845">
        <v>0.98927352000000002</v>
      </c>
      <c r="N845">
        <v>83.9</v>
      </c>
    </row>
    <row r="846" spans="13:14">
      <c r="M846">
        <v>0.99225355999999998</v>
      </c>
      <c r="N846">
        <v>84</v>
      </c>
    </row>
    <row r="847" spans="13:14">
      <c r="M847">
        <v>0.99604694400000005</v>
      </c>
      <c r="N847">
        <v>84.1</v>
      </c>
    </row>
    <row r="848" spans="13:14">
      <c r="M848">
        <v>1.000417224</v>
      </c>
      <c r="N848">
        <v>84.2</v>
      </c>
    </row>
    <row r="849" spans="13:14">
      <c r="M849">
        <v>1.0077440959999999</v>
      </c>
      <c r="N849">
        <v>84.3</v>
      </c>
    </row>
    <row r="850" spans="13:14">
      <c r="M850">
        <v>1.0150709680000001</v>
      </c>
      <c r="N850">
        <v>84.4</v>
      </c>
    </row>
    <row r="851" spans="13:14">
      <c r="M851">
        <v>1.0203</v>
      </c>
      <c r="N851">
        <v>84.5</v>
      </c>
    </row>
    <row r="852" spans="13:14">
      <c r="M852">
        <v>1.0242004</v>
      </c>
      <c r="N852">
        <v>84.6</v>
      </c>
    </row>
    <row r="853" spans="13:14">
      <c r="M853">
        <v>1.0282377680000001</v>
      </c>
      <c r="N853">
        <v>84.7</v>
      </c>
    </row>
    <row r="854" spans="13:14">
      <c r="M854">
        <v>1.0343753120000001</v>
      </c>
      <c r="N854">
        <v>84.8</v>
      </c>
    </row>
    <row r="855" spans="13:14">
      <c r="M855">
        <v>1.0405128560000001</v>
      </c>
      <c r="N855">
        <v>84.9</v>
      </c>
    </row>
    <row r="856" spans="13:14">
      <c r="M856">
        <v>1.045482</v>
      </c>
      <c r="N856">
        <v>85</v>
      </c>
    </row>
    <row r="857" spans="13:14">
      <c r="M857">
        <v>1.0493294799999999</v>
      </c>
      <c r="N857">
        <v>85.1</v>
      </c>
    </row>
    <row r="858" spans="13:14">
      <c r="M858">
        <v>1.0531769600000001</v>
      </c>
      <c r="N858">
        <v>85.2</v>
      </c>
    </row>
    <row r="859" spans="13:14">
      <c r="M859">
        <v>1.0584558719999999</v>
      </c>
      <c r="N859">
        <v>85.3</v>
      </c>
    </row>
    <row r="860" spans="13:14">
      <c r="M860">
        <v>1.0637956959999999</v>
      </c>
      <c r="N860">
        <v>85.4</v>
      </c>
    </row>
    <row r="861" spans="13:14">
      <c r="M861">
        <v>1.0671305600000001</v>
      </c>
      <c r="N861">
        <v>85.5</v>
      </c>
    </row>
    <row r="862" spans="13:14">
      <c r="M862">
        <v>1.0675582320000001</v>
      </c>
      <c r="N862">
        <v>85.6</v>
      </c>
    </row>
    <row r="863" spans="13:14">
      <c r="M863">
        <v>1.0679859039999999</v>
      </c>
      <c r="N863">
        <v>85.7</v>
      </c>
    </row>
    <row r="864" spans="13:14">
      <c r="M864">
        <v>1.0784495599999999</v>
      </c>
      <c r="N864">
        <v>85.8</v>
      </c>
    </row>
    <row r="865" spans="13:14">
      <c r="M865">
        <v>1.0905858799999999</v>
      </c>
      <c r="N865">
        <v>85.9</v>
      </c>
    </row>
    <row r="866" spans="13:14">
      <c r="M866">
        <v>1.0990154000000001</v>
      </c>
      <c r="N866">
        <v>86</v>
      </c>
    </row>
    <row r="867" spans="13:14">
      <c r="M867">
        <v>1.0990428400000001</v>
      </c>
      <c r="N867">
        <v>86.1</v>
      </c>
    </row>
    <row r="868" spans="13:14">
      <c r="M868">
        <v>1.0990702800000001</v>
      </c>
      <c r="N868">
        <v>86.2</v>
      </c>
    </row>
    <row r="869" spans="13:14">
      <c r="M869">
        <v>1.0991524800000001</v>
      </c>
      <c r="N869">
        <v>86.3</v>
      </c>
    </row>
    <row r="870" spans="13:14">
      <c r="M870">
        <v>1.0992524400000001</v>
      </c>
      <c r="N870">
        <v>86.4</v>
      </c>
    </row>
    <row r="871" spans="13:14">
      <c r="M871">
        <v>1.10000152</v>
      </c>
      <c r="N871">
        <v>86.5</v>
      </c>
    </row>
    <row r="872" spans="13:14">
      <c r="M872">
        <v>1.103282168</v>
      </c>
      <c r="N872">
        <v>86.6</v>
      </c>
    </row>
    <row r="873" spans="13:14">
      <c r="M873">
        <v>1.1065628160000001</v>
      </c>
      <c r="N873">
        <v>86.7</v>
      </c>
    </row>
    <row r="874" spans="13:14">
      <c r="M874">
        <v>1.1122695760000001</v>
      </c>
      <c r="N874">
        <v>86.8</v>
      </c>
    </row>
    <row r="875" spans="13:14">
      <c r="M875">
        <v>1.1192652080000001</v>
      </c>
      <c r="N875">
        <v>86.9</v>
      </c>
    </row>
    <row r="876" spans="13:14">
      <c r="M876">
        <v>1.12640104</v>
      </c>
      <c r="N876">
        <v>87</v>
      </c>
    </row>
    <row r="877" spans="13:14">
      <c r="M877">
        <v>1.1347706319999999</v>
      </c>
      <c r="N877">
        <v>87.1</v>
      </c>
    </row>
    <row r="878" spans="13:14">
      <c r="M878">
        <v>1.1431402239999999</v>
      </c>
      <c r="N878">
        <v>87.2</v>
      </c>
    </row>
    <row r="879" spans="13:14">
      <c r="M879">
        <v>1.14954292</v>
      </c>
      <c r="N879">
        <v>87.3</v>
      </c>
    </row>
    <row r="880" spans="13:14">
      <c r="M880">
        <v>1.1543429599999999</v>
      </c>
      <c r="N880">
        <v>87.4</v>
      </c>
    </row>
    <row r="881" spans="13:14">
      <c r="M881">
        <v>1.159143</v>
      </c>
      <c r="N881">
        <v>87.5</v>
      </c>
    </row>
    <row r="882" spans="13:14">
      <c r="M882">
        <v>1.160040288</v>
      </c>
      <c r="N882">
        <v>87.6</v>
      </c>
    </row>
    <row r="883" spans="13:14">
      <c r="M883">
        <v>1.160937576</v>
      </c>
      <c r="N883">
        <v>87.7</v>
      </c>
    </row>
    <row r="884" spans="13:14">
      <c r="M884">
        <v>1.1617905120000001</v>
      </c>
      <c r="N884">
        <v>87.8</v>
      </c>
    </row>
    <row r="885" spans="13:14">
      <c r="M885">
        <v>1.1625890160000001</v>
      </c>
      <c r="N885">
        <v>87.9</v>
      </c>
    </row>
    <row r="886" spans="13:14">
      <c r="M886">
        <v>1.1633875199999999</v>
      </c>
      <c r="N886">
        <v>88</v>
      </c>
    </row>
    <row r="887" spans="13:14">
      <c r="M887">
        <v>1.168581096</v>
      </c>
      <c r="N887">
        <v>88.1</v>
      </c>
    </row>
    <row r="888" spans="13:14">
      <c r="M888">
        <v>1.174274112</v>
      </c>
      <c r="N888">
        <v>88.2</v>
      </c>
    </row>
    <row r="889" spans="13:14">
      <c r="M889">
        <v>1.179008464</v>
      </c>
      <c r="N889">
        <v>88.3</v>
      </c>
    </row>
    <row r="890" spans="13:14">
      <c r="M890">
        <v>1.181938272</v>
      </c>
      <c r="N890">
        <v>88.4</v>
      </c>
    </row>
    <row r="891" spans="13:14">
      <c r="M891">
        <v>1.18486808</v>
      </c>
      <c r="N891">
        <v>88.5</v>
      </c>
    </row>
    <row r="892" spans="13:14">
      <c r="M892">
        <v>1.1868831040000001</v>
      </c>
      <c r="N892">
        <v>88.6</v>
      </c>
    </row>
    <row r="893" spans="13:14">
      <c r="M893">
        <v>1.1886635679999999</v>
      </c>
      <c r="N893">
        <v>88.7</v>
      </c>
    </row>
    <row r="894" spans="13:14">
      <c r="M894">
        <v>1.193679808</v>
      </c>
      <c r="N894">
        <v>88.8</v>
      </c>
    </row>
    <row r="895" spans="13:14">
      <c r="M895">
        <v>1.2086730240000001</v>
      </c>
      <c r="N895">
        <v>88.9</v>
      </c>
    </row>
    <row r="896" spans="13:14">
      <c r="M896">
        <v>1.22366624</v>
      </c>
      <c r="N896">
        <v>89</v>
      </c>
    </row>
    <row r="897" spans="13:14">
      <c r="M897">
        <v>1.23268008</v>
      </c>
      <c r="N897">
        <v>89.1</v>
      </c>
    </row>
    <row r="898" spans="13:14">
      <c r="M898">
        <v>1.23905596</v>
      </c>
      <c r="N898">
        <v>89.2</v>
      </c>
    </row>
    <row r="899" spans="13:14">
      <c r="M899">
        <v>1.24611812</v>
      </c>
      <c r="N899">
        <v>89.3</v>
      </c>
    </row>
    <row r="900" spans="13:14">
      <c r="M900">
        <v>1.25729796</v>
      </c>
      <c r="N900">
        <v>89.4</v>
      </c>
    </row>
    <row r="901" spans="13:14">
      <c r="M901">
        <v>1.2684778000000001</v>
      </c>
      <c r="N901">
        <v>89.5</v>
      </c>
    </row>
    <row r="902" spans="13:14">
      <c r="M902">
        <v>1.2732240480000001</v>
      </c>
      <c r="N902">
        <v>89.6</v>
      </c>
    </row>
    <row r="903" spans="13:14">
      <c r="M903">
        <v>1.2735333360000001</v>
      </c>
      <c r="N903">
        <v>89.7</v>
      </c>
    </row>
    <row r="904" spans="13:14">
      <c r="M904">
        <v>1.2742258399999999</v>
      </c>
      <c r="N904">
        <v>89.8</v>
      </c>
    </row>
    <row r="905" spans="13:14">
      <c r="M905">
        <v>1.2839239200000001</v>
      </c>
      <c r="N905">
        <v>89.9</v>
      </c>
    </row>
    <row r="906" spans="13:14">
      <c r="M906">
        <v>1.293622</v>
      </c>
      <c r="N906">
        <v>90</v>
      </c>
    </row>
    <row r="907" spans="13:14">
      <c r="M907">
        <v>1.300480208</v>
      </c>
      <c r="N907">
        <v>90.1</v>
      </c>
    </row>
    <row r="908" spans="13:14">
      <c r="M908">
        <v>1.304380216</v>
      </c>
      <c r="N908">
        <v>90.2</v>
      </c>
    </row>
    <row r="909" spans="13:14">
      <c r="M909">
        <v>1.308280224</v>
      </c>
      <c r="N909">
        <v>90.3</v>
      </c>
    </row>
    <row r="910" spans="13:14">
      <c r="M910">
        <v>1.3107983919999999</v>
      </c>
      <c r="N910">
        <v>90.4</v>
      </c>
    </row>
    <row r="911" spans="13:14">
      <c r="M911">
        <v>1.31322644</v>
      </c>
      <c r="N911">
        <v>90.5</v>
      </c>
    </row>
    <row r="912" spans="13:14">
      <c r="M912">
        <v>1.3230135679999999</v>
      </c>
      <c r="N912">
        <v>90.6</v>
      </c>
    </row>
    <row r="913" spans="13:14">
      <c r="M913">
        <v>1.344420296</v>
      </c>
      <c r="N913">
        <v>90.7</v>
      </c>
    </row>
    <row r="914" spans="13:14">
      <c r="M914">
        <v>1.3658270239999999</v>
      </c>
      <c r="N914">
        <v>90.8</v>
      </c>
    </row>
    <row r="915" spans="13:14">
      <c r="M915">
        <v>1.371062368</v>
      </c>
      <c r="N915">
        <v>90.9</v>
      </c>
    </row>
    <row r="916" spans="13:14">
      <c r="M916">
        <v>1.3731423199999999</v>
      </c>
      <c r="N916">
        <v>91</v>
      </c>
    </row>
    <row r="917" spans="13:14">
      <c r="M917">
        <v>1.37703712</v>
      </c>
      <c r="N917">
        <v>91.1</v>
      </c>
    </row>
    <row r="918" spans="13:14">
      <c r="M918">
        <v>1.38546904</v>
      </c>
      <c r="N918">
        <v>91.2</v>
      </c>
    </row>
    <row r="919" spans="13:14">
      <c r="M919">
        <v>1.3939009600000001</v>
      </c>
      <c r="N919">
        <v>91.3</v>
      </c>
    </row>
    <row r="920" spans="13:14">
      <c r="M920">
        <v>1.4088699039999999</v>
      </c>
      <c r="N920">
        <v>91.4</v>
      </c>
    </row>
    <row r="921" spans="13:14">
      <c r="M921">
        <v>1.42619944</v>
      </c>
      <c r="N921">
        <v>91.5</v>
      </c>
    </row>
    <row r="922" spans="13:14">
      <c r="M922">
        <v>1.4446202800000001</v>
      </c>
      <c r="N922">
        <v>91.6</v>
      </c>
    </row>
    <row r="923" spans="13:14">
      <c r="M923">
        <v>1.4678913600000001</v>
      </c>
      <c r="N923">
        <v>91.7</v>
      </c>
    </row>
    <row r="924" spans="13:14">
      <c r="M924">
        <v>1.4911624400000001</v>
      </c>
      <c r="N924">
        <v>91.8</v>
      </c>
    </row>
    <row r="925" spans="13:14">
      <c r="M925">
        <v>1.5075964079999999</v>
      </c>
      <c r="N925">
        <v>91.9</v>
      </c>
    </row>
    <row r="926" spans="13:14">
      <c r="M926">
        <v>1.52006044</v>
      </c>
      <c r="N926">
        <v>92</v>
      </c>
    </row>
    <row r="927" spans="13:14">
      <c r="M927">
        <v>1.5318210800000001</v>
      </c>
      <c r="N927">
        <v>92.1</v>
      </c>
    </row>
    <row r="928" spans="13:14">
      <c r="M928">
        <v>1.53566856</v>
      </c>
      <c r="N928">
        <v>92.2</v>
      </c>
    </row>
    <row r="929" spans="13:14">
      <c r="M929">
        <v>1.5395160400000001</v>
      </c>
      <c r="N929">
        <v>92.3</v>
      </c>
    </row>
    <row r="930" spans="13:14">
      <c r="M930">
        <v>1.5455805920000001</v>
      </c>
      <c r="N930">
        <v>92.4</v>
      </c>
    </row>
    <row r="931" spans="13:14">
      <c r="M931">
        <v>1.5536064000000001</v>
      </c>
      <c r="N931">
        <v>92.5</v>
      </c>
    </row>
    <row r="932" spans="13:14">
      <c r="M932">
        <v>1.561632208</v>
      </c>
      <c r="N932">
        <v>92.6</v>
      </c>
    </row>
    <row r="933" spans="13:14">
      <c r="M933">
        <v>1.5863197760000001</v>
      </c>
      <c r="N933">
        <v>92.7</v>
      </c>
    </row>
    <row r="934" spans="13:14">
      <c r="M934">
        <v>1.6113544639999999</v>
      </c>
      <c r="N934">
        <v>92.8</v>
      </c>
    </row>
    <row r="935" spans="13:14">
      <c r="M935">
        <v>1.631452304</v>
      </c>
      <c r="N935">
        <v>92.9</v>
      </c>
    </row>
    <row r="936" spans="13:14">
      <c r="M936">
        <v>1.6449676799999999</v>
      </c>
      <c r="N936">
        <v>93</v>
      </c>
    </row>
    <row r="937" spans="13:14">
      <c r="M937">
        <v>1.6584830559999999</v>
      </c>
      <c r="N937">
        <v>93.1</v>
      </c>
    </row>
    <row r="938" spans="13:14">
      <c r="M938">
        <v>1.6658769520000001</v>
      </c>
      <c r="N938">
        <v>93.2</v>
      </c>
    </row>
    <row r="939" spans="13:14">
      <c r="M939">
        <v>1.672416688</v>
      </c>
      <c r="N939">
        <v>93.3</v>
      </c>
    </row>
    <row r="940" spans="13:14">
      <c r="M940">
        <v>1.679498376</v>
      </c>
      <c r="N940">
        <v>93.4</v>
      </c>
    </row>
    <row r="941" spans="13:14">
      <c r="M941">
        <v>1.68769784</v>
      </c>
      <c r="N941">
        <v>93.5</v>
      </c>
    </row>
    <row r="942" spans="13:14">
      <c r="M942">
        <v>1.695897304</v>
      </c>
      <c r="N942">
        <v>93.6</v>
      </c>
    </row>
    <row r="943" spans="13:14">
      <c r="M943">
        <v>1.6995732480000001</v>
      </c>
      <c r="N943">
        <v>93.7</v>
      </c>
    </row>
    <row r="944" spans="13:14">
      <c r="M944">
        <v>1.7019397519999999</v>
      </c>
      <c r="N944">
        <v>93.8</v>
      </c>
    </row>
    <row r="945" spans="13:14">
      <c r="M945">
        <v>1.7063608800000001</v>
      </c>
      <c r="N945">
        <v>93.9</v>
      </c>
    </row>
    <row r="946" spans="13:14">
      <c r="M946">
        <v>1.7178798</v>
      </c>
      <c r="N946">
        <v>94</v>
      </c>
    </row>
    <row r="947" spans="13:14">
      <c r="M947">
        <v>1.7293987200000001</v>
      </c>
      <c r="N947">
        <v>94.1</v>
      </c>
    </row>
    <row r="948" spans="13:14">
      <c r="M948">
        <v>1.733317872</v>
      </c>
      <c r="N948">
        <v>94.2</v>
      </c>
    </row>
    <row r="949" spans="13:14">
      <c r="M949">
        <v>1.7335522880000001</v>
      </c>
      <c r="N949">
        <v>94.3</v>
      </c>
    </row>
    <row r="950" spans="13:14">
      <c r="M950">
        <v>1.735356208</v>
      </c>
      <c r="N950">
        <v>94.4</v>
      </c>
    </row>
    <row r="951" spans="13:14">
      <c r="M951">
        <v>1.7484082400000001</v>
      </c>
      <c r="N951">
        <v>94.5</v>
      </c>
    </row>
    <row r="952" spans="13:14">
      <c r="M952">
        <v>1.7614602720000001</v>
      </c>
      <c r="N952">
        <v>94.6</v>
      </c>
    </row>
    <row r="953" spans="13:14">
      <c r="M953">
        <v>1.767384176</v>
      </c>
      <c r="N953">
        <v>94.7</v>
      </c>
    </row>
    <row r="954" spans="13:14">
      <c r="M954">
        <v>1.767961984</v>
      </c>
      <c r="N954">
        <v>94.8</v>
      </c>
    </row>
    <row r="955" spans="13:14">
      <c r="M955">
        <v>1.7688528720000001</v>
      </c>
      <c r="N955">
        <v>94.9</v>
      </c>
    </row>
    <row r="956" spans="13:14">
      <c r="M956">
        <v>1.7847716</v>
      </c>
      <c r="N956">
        <v>95</v>
      </c>
    </row>
    <row r="957" spans="13:14">
      <c r="M957">
        <v>1.800690328</v>
      </c>
      <c r="N957">
        <v>95.1</v>
      </c>
    </row>
    <row r="958" spans="13:14">
      <c r="M958">
        <v>1.8123614159999999</v>
      </c>
      <c r="N958">
        <v>95.2</v>
      </c>
    </row>
    <row r="959" spans="13:14">
      <c r="M959">
        <v>1.8192308239999999</v>
      </c>
      <c r="N959">
        <v>95.3</v>
      </c>
    </row>
    <row r="960" spans="13:14">
      <c r="M960">
        <v>1.8261002319999999</v>
      </c>
      <c r="N960">
        <v>95.4</v>
      </c>
    </row>
    <row r="961" spans="13:14">
      <c r="M961">
        <v>1.8283825199999999</v>
      </c>
      <c r="N961">
        <v>95.5</v>
      </c>
    </row>
    <row r="962" spans="13:14">
      <c r="M962">
        <v>1.830257064</v>
      </c>
      <c r="N962">
        <v>95.6</v>
      </c>
    </row>
    <row r="963" spans="13:14">
      <c r="M963">
        <v>1.8321972719999999</v>
      </c>
      <c r="N963">
        <v>95.7</v>
      </c>
    </row>
    <row r="964" spans="13:14">
      <c r="M964">
        <v>1.8342505680000001</v>
      </c>
      <c r="N964">
        <v>95.8</v>
      </c>
    </row>
    <row r="965" spans="13:14">
      <c r="M965">
        <v>1.836303864</v>
      </c>
      <c r="N965">
        <v>95.9</v>
      </c>
    </row>
    <row r="966" spans="13:14">
      <c r="M966">
        <v>1.8395216400000001</v>
      </c>
      <c r="N966">
        <v>96</v>
      </c>
    </row>
    <row r="967" spans="13:14">
      <c r="M967">
        <v>1.8430014240000001</v>
      </c>
      <c r="N967">
        <v>96.1</v>
      </c>
    </row>
    <row r="968" spans="13:14">
      <c r="M968">
        <v>1.8535472799999999</v>
      </c>
      <c r="N968">
        <v>96.2</v>
      </c>
    </row>
    <row r="969" spans="13:14">
      <c r="M969">
        <v>1.88366072</v>
      </c>
      <c r="N969">
        <v>96.3</v>
      </c>
    </row>
    <row r="970" spans="13:14">
      <c r="M970">
        <v>1.91377416</v>
      </c>
      <c r="N970">
        <v>96.4</v>
      </c>
    </row>
    <row r="971" spans="13:14">
      <c r="M971">
        <v>1.92361224</v>
      </c>
      <c r="N971">
        <v>96.5</v>
      </c>
    </row>
    <row r="972" spans="13:14">
      <c r="M972">
        <v>1.925340176</v>
      </c>
      <c r="N972">
        <v>96.6</v>
      </c>
    </row>
    <row r="973" spans="13:14">
      <c r="M973">
        <v>1.92830696</v>
      </c>
      <c r="N973">
        <v>96.7</v>
      </c>
    </row>
    <row r="974" spans="13:14">
      <c r="M974">
        <v>1.93762284</v>
      </c>
      <c r="N974">
        <v>96.8</v>
      </c>
    </row>
    <row r="975" spans="13:14">
      <c r="M975">
        <v>1.9469387199999999</v>
      </c>
      <c r="N975">
        <v>96.9</v>
      </c>
    </row>
    <row r="976" spans="13:14">
      <c r="M976">
        <v>1.95075284</v>
      </c>
      <c r="N976">
        <v>97</v>
      </c>
    </row>
    <row r="977" spans="13:14">
      <c r="M977">
        <v>1.9510825119999999</v>
      </c>
      <c r="N977">
        <v>97.1</v>
      </c>
    </row>
    <row r="978" spans="13:14">
      <c r="M978">
        <v>1.9519461360000001</v>
      </c>
      <c r="N978">
        <v>97.2</v>
      </c>
    </row>
    <row r="979" spans="13:14">
      <c r="M979">
        <v>1.9609970240000001</v>
      </c>
      <c r="N979">
        <v>97.3</v>
      </c>
    </row>
    <row r="980" spans="13:14">
      <c r="M980">
        <v>1.9700479120000001</v>
      </c>
      <c r="N980">
        <v>97.4</v>
      </c>
    </row>
    <row r="981" spans="13:14">
      <c r="M981">
        <v>1.9873394</v>
      </c>
      <c r="N981">
        <v>97.5</v>
      </c>
    </row>
    <row r="982" spans="13:14">
      <c r="M982">
        <v>2.0125418640000001</v>
      </c>
      <c r="N982">
        <v>97.6</v>
      </c>
    </row>
    <row r="983" spans="13:14">
      <c r="M983">
        <v>2.037744328</v>
      </c>
      <c r="N983">
        <v>97.7</v>
      </c>
    </row>
    <row r="984" spans="13:14">
      <c r="M984">
        <v>2.043201904</v>
      </c>
      <c r="N984">
        <v>97.8</v>
      </c>
    </row>
    <row r="985" spans="13:14">
      <c r="M985">
        <v>2.0478192719999999</v>
      </c>
      <c r="N985">
        <v>97.9</v>
      </c>
    </row>
    <row r="986" spans="13:14">
      <c r="M986">
        <v>2.0844403199999899</v>
      </c>
      <c r="N986">
        <v>98</v>
      </c>
    </row>
    <row r="987" spans="13:14">
      <c r="M987">
        <v>2.1674667040000002</v>
      </c>
      <c r="N987">
        <v>98.1</v>
      </c>
    </row>
    <row r="988" spans="13:14">
      <c r="M988">
        <v>2.2504930879999998</v>
      </c>
      <c r="N988">
        <v>98.2</v>
      </c>
    </row>
    <row r="989" spans="13:14">
      <c r="M989">
        <v>2.2805873760000002</v>
      </c>
      <c r="N989">
        <v>98.3</v>
      </c>
    </row>
    <row r="990" spans="13:14">
      <c r="M990">
        <v>2.3018596480000002</v>
      </c>
      <c r="N990">
        <v>98.4</v>
      </c>
    </row>
    <row r="991" spans="13:14">
      <c r="M991">
        <v>2.32221404</v>
      </c>
      <c r="N991">
        <v>98.5</v>
      </c>
    </row>
    <row r="992" spans="13:14">
      <c r="M992">
        <v>2.3404879040000002</v>
      </c>
      <c r="N992">
        <v>98.6</v>
      </c>
    </row>
    <row r="993" spans="13:14">
      <c r="M993">
        <v>2.3587617679999999</v>
      </c>
      <c r="N993">
        <v>98.7</v>
      </c>
    </row>
    <row r="994" spans="13:14">
      <c r="M994">
        <v>2.3755118240000002</v>
      </c>
      <c r="N994">
        <v>98.8</v>
      </c>
    </row>
    <row r="995" spans="13:14">
      <c r="M995">
        <v>2.3917676719999998</v>
      </c>
      <c r="N995">
        <v>98.9</v>
      </c>
    </row>
    <row r="996" spans="13:14">
      <c r="M996">
        <v>2.41086928</v>
      </c>
      <c r="N996">
        <v>99</v>
      </c>
    </row>
    <row r="997" spans="13:14">
      <c r="M997">
        <v>2.441069352</v>
      </c>
      <c r="N997">
        <v>99.1</v>
      </c>
    </row>
    <row r="998" spans="13:14">
      <c r="M998">
        <v>2.4712694239999999</v>
      </c>
      <c r="N998">
        <v>99.2</v>
      </c>
    </row>
    <row r="999" spans="13:14">
      <c r="M999">
        <v>2.4847624239999999</v>
      </c>
      <c r="N999">
        <v>99.3</v>
      </c>
    </row>
    <row r="1000" spans="13:14">
      <c r="M1000">
        <v>2.4893797919999998</v>
      </c>
      <c r="N1000">
        <v>99.4</v>
      </c>
    </row>
    <row r="1001" spans="13:14">
      <c r="M1001">
        <v>2.5079468000000098</v>
      </c>
      <c r="N1001">
        <v>99.5</v>
      </c>
    </row>
    <row r="1002" spans="13:14">
      <c r="M1002">
        <v>2.6492706400000099</v>
      </c>
      <c r="N1002">
        <v>99.6</v>
      </c>
    </row>
    <row r="1003" spans="13:14">
      <c r="M1003">
        <v>2.7905944800000002</v>
      </c>
      <c r="N1003">
        <v>99.7</v>
      </c>
    </row>
    <row r="1004" spans="13:14">
      <c r="M1004">
        <v>3.0430220240000101</v>
      </c>
      <c r="N1004">
        <v>99.8</v>
      </c>
    </row>
    <row r="1005" spans="13:14">
      <c r="M1005">
        <v>3.3859785119999999</v>
      </c>
      <c r="N1005">
        <v>99.9</v>
      </c>
    </row>
    <row r="1006" spans="13:14">
      <c r="M1006">
        <v>3.7289349999999999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workbookViewId="0">
      <selection activeCell="L11" sqref="L11"/>
    </sheetView>
  </sheetViews>
  <sheetFormatPr baseColWidth="10" defaultRowHeight="15.5"/>
  <cols>
    <col min="1" max="1" width="10.6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SQRT(SEM!J6)</f>
        <v>4.4128970000000001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SEM!M6</f>
        <v>-2.5608870000000001</v>
      </c>
      <c r="M5">
        <f>SEM!N6</f>
        <v>0</v>
      </c>
      <c r="O5">
        <f>ABS(L5-SEM!$C$34)</f>
        <v>1.926814768808419</v>
      </c>
      <c r="P5">
        <f>M5</f>
        <v>0</v>
      </c>
      <c r="R5" t="s">
        <v>15</v>
      </c>
      <c r="T5">
        <f>MIN(O5:O1006)</f>
        <v>1.926814768808419</v>
      </c>
    </row>
    <row r="6" spans="1:20">
      <c r="A6" s="2" t="s">
        <v>28</v>
      </c>
      <c r="J6" s="5"/>
      <c r="L6">
        <f>SEM!M7</f>
        <v>-2.494277576</v>
      </c>
      <c r="M6">
        <f>SEM!N7</f>
        <v>0.1</v>
      </c>
      <c r="O6">
        <f>ABS(L6-SEM!$C$34)</f>
        <v>1.9934241928084191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J7" s="5"/>
      <c r="L7">
        <f>SEM!M8</f>
        <v>-2.4276681519999999</v>
      </c>
      <c r="M7">
        <f>SEM!N8</f>
        <v>0.2</v>
      </c>
      <c r="O7">
        <f>ABS(L7-SEM!$C$34)</f>
        <v>2.0600336168084192</v>
      </c>
      <c r="P7">
        <f t="shared" si="0"/>
        <v>0.2</v>
      </c>
    </row>
    <row r="8" spans="1:20">
      <c r="A8" t="s">
        <v>16</v>
      </c>
      <c r="B8">
        <f>SEM!C27</f>
        <v>20.803765672469368</v>
      </c>
      <c r="J8" s="5"/>
    </row>
    <row r="9" spans="1:20">
      <c r="J9" s="5"/>
      <c r="L9">
        <f>SEM!M9</f>
        <v>-2.3783523120000001</v>
      </c>
      <c r="M9">
        <f>SEM!N9</f>
        <v>0.3</v>
      </c>
      <c r="O9">
        <f>ABS(L9-SEM!$C$34)</f>
        <v>2.109349456808419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SEM!M10</f>
        <v>-2.3502604159999998</v>
      </c>
      <c r="M10">
        <f>SEM!N10</f>
        <v>0.4</v>
      </c>
      <c r="O10">
        <f>ABS(L10-SEM!$C$34)</f>
        <v>2.1374413528084193</v>
      </c>
      <c r="P10">
        <f t="shared" si="0"/>
        <v>0.4</v>
      </c>
    </row>
    <row r="11" spans="1:20">
      <c r="B11">
        <f>SEM!J11</f>
        <v>0</v>
      </c>
      <c r="C11">
        <f>SEM!I11</f>
        <v>0</v>
      </c>
      <c r="J11" s="5"/>
      <c r="L11">
        <f>SEM!M11</f>
        <v>-2.32216852</v>
      </c>
      <c r="M11">
        <f>SEM!N11</f>
        <v>0.5</v>
      </c>
      <c r="O11">
        <f>ABS(L11-SEM!$C$34)</f>
        <v>2.1655332488084191</v>
      </c>
      <c r="P11">
        <f t="shared" si="0"/>
        <v>0.5</v>
      </c>
    </row>
    <row r="12" spans="1:20">
      <c r="B12">
        <f>SEM!J12</f>
        <v>0</v>
      </c>
      <c r="C12">
        <f>SEM!I12</f>
        <v>0</v>
      </c>
      <c r="J12" s="5"/>
      <c r="L12">
        <f>SEM!M12</f>
        <v>-2.2893404639999999</v>
      </c>
      <c r="M12">
        <f>SEM!N12</f>
        <v>0.6</v>
      </c>
      <c r="O12">
        <f>ABS(L12-SEM!$C$34)</f>
        <v>2.1983613048084192</v>
      </c>
      <c r="P12">
        <f t="shared" si="0"/>
        <v>0.6</v>
      </c>
    </row>
    <row r="13" spans="1:20">
      <c r="B13">
        <f>SEM!J13</f>
        <v>0</v>
      </c>
      <c r="C13">
        <f>SEM!I13</f>
        <v>0</v>
      </c>
      <c r="J13" s="5"/>
      <c r="L13">
        <f>SEM!M13</f>
        <v>-2.255974208</v>
      </c>
      <c r="M13">
        <f>SEM!N13</f>
        <v>0.7</v>
      </c>
      <c r="O13">
        <f>ABS(L13-SEM!$C$34)</f>
        <v>2.2317275608084191</v>
      </c>
      <c r="P13">
        <f t="shared" si="0"/>
        <v>0.7</v>
      </c>
    </row>
    <row r="14" spans="1:20">
      <c r="B14">
        <f>SEM!J14</f>
        <v>0</v>
      </c>
      <c r="C14">
        <f>SEM!I14</f>
        <v>0</v>
      </c>
      <c r="J14" s="5"/>
      <c r="L14">
        <f>SEM!M14</f>
        <v>-2.2069538080000002</v>
      </c>
      <c r="M14">
        <f>SEM!N14</f>
        <v>0.8</v>
      </c>
      <c r="O14">
        <f>ABS(L14-SEM!$C$34)</f>
        <v>2.2807479608084189</v>
      </c>
      <c r="P14">
        <f t="shared" si="0"/>
        <v>0.8</v>
      </c>
    </row>
    <row r="15" spans="1:20">
      <c r="B15">
        <f>SEM!J15</f>
        <v>0</v>
      </c>
      <c r="C15">
        <f>SEM!I15</f>
        <v>0</v>
      </c>
      <c r="J15" s="5"/>
      <c r="L15">
        <f>SEM!M15</f>
        <v>-2.128466784</v>
      </c>
      <c r="M15">
        <f>SEM!N15</f>
        <v>0.9</v>
      </c>
      <c r="O15">
        <f>ABS(L15-SEM!$C$34)</f>
        <v>2.3592349848084191</v>
      </c>
      <c r="P15">
        <f t="shared" si="0"/>
        <v>0.9</v>
      </c>
    </row>
    <row r="16" spans="1:20">
      <c r="B16">
        <f>SEM!J16</f>
        <v>0</v>
      </c>
      <c r="C16">
        <f>SEM!I16</f>
        <v>0</v>
      </c>
      <c r="J16" s="5"/>
      <c r="L16">
        <f>SEM!M16</f>
        <v>-2.0499797599999998</v>
      </c>
      <c r="M16">
        <f>SEM!N16</f>
        <v>1</v>
      </c>
      <c r="O16">
        <f>ABS(L16-SEM!$C$34)</f>
        <v>2.4377220088084193</v>
      </c>
      <c r="P16">
        <f t="shared" si="0"/>
        <v>1</v>
      </c>
    </row>
    <row r="17" spans="1:16">
      <c r="B17">
        <f>SEM!J17</f>
        <v>0</v>
      </c>
      <c r="C17">
        <f>SEM!I17</f>
        <v>0</v>
      </c>
      <c r="J17" s="5"/>
      <c r="L17">
        <f>SEM!M17</f>
        <v>-2.0222875839999999</v>
      </c>
      <c r="M17">
        <f>SEM!N17</f>
        <v>1.1000000000000001</v>
      </c>
      <c r="O17">
        <f>ABS(L17-SEM!$C$34)</f>
        <v>2.4654141848084192</v>
      </c>
      <c r="P17">
        <f t="shared" si="0"/>
        <v>1.1000000000000001</v>
      </c>
    </row>
    <row r="18" spans="1:16">
      <c r="B18">
        <f>SEM!J18</f>
        <v>0</v>
      </c>
      <c r="C18">
        <f>SEM!I18</f>
        <v>0</v>
      </c>
      <c r="J18" s="5"/>
      <c r="L18">
        <f>SEM!M18</f>
        <v>-2.0076197279999999</v>
      </c>
      <c r="M18">
        <f>SEM!N18</f>
        <v>1.2</v>
      </c>
      <c r="O18">
        <f>ABS(L18-SEM!$C$34)</f>
        <v>2.4800820408084192</v>
      </c>
      <c r="P18">
        <f t="shared" si="0"/>
        <v>1.2</v>
      </c>
    </row>
    <row r="19" spans="1:16">
      <c r="B19">
        <f>SEM!J19</f>
        <v>0</v>
      </c>
      <c r="C19">
        <f>SEM!I19</f>
        <v>0</v>
      </c>
      <c r="J19" s="5"/>
      <c r="L19">
        <f>SEM!M19</f>
        <v>-1.996396544</v>
      </c>
      <c r="M19">
        <f>SEM!N19</f>
        <v>1.3</v>
      </c>
      <c r="O19">
        <f>ABS(L19-SEM!$C$34)</f>
        <v>2.4913052248084191</v>
      </c>
      <c r="P19">
        <f t="shared" si="0"/>
        <v>1.3</v>
      </c>
    </row>
    <row r="20" spans="1:16">
      <c r="B20">
        <f>SEM!J20</f>
        <v>0</v>
      </c>
      <c r="C20">
        <f>SEM!I20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SEM!M20</f>
        <v>-1.9957944320000001</v>
      </c>
      <c r="M20">
        <f>SEM!N20</f>
        <v>1.4</v>
      </c>
      <c r="O20">
        <f>ABS(L20-SEM!$C$34)</f>
        <v>2.4919073368084188</v>
      </c>
      <c r="P20">
        <f t="shared" si="0"/>
        <v>1.4</v>
      </c>
    </row>
    <row r="21" spans="1:16">
      <c r="B21">
        <f>SEM!J21</f>
        <v>0</v>
      </c>
      <c r="C21">
        <f>SEM!I21</f>
        <v>0</v>
      </c>
      <c r="E21" t="s">
        <v>38</v>
      </c>
      <c r="G21" s="21">
        <f>SQRT(G20)</f>
        <v>0</v>
      </c>
      <c r="J21" s="5"/>
      <c r="L21">
        <f>SEM!M21</f>
        <v>-1.9951923199999999</v>
      </c>
      <c r="M21">
        <f>SEM!N21</f>
        <v>1.5</v>
      </c>
      <c r="O21">
        <f>ABS(L21-SEM!$C$34)</f>
        <v>2.492509448808419</v>
      </c>
      <c r="P21">
        <f t="shared" si="0"/>
        <v>1.5</v>
      </c>
    </row>
    <row r="22" spans="1:16">
      <c r="B22">
        <f>SEM!J22</f>
        <v>0</v>
      </c>
      <c r="C22">
        <f>SEM!I22</f>
        <v>0</v>
      </c>
      <c r="J22" s="5"/>
      <c r="L22">
        <f>SEM!M22</f>
        <v>-1.952282512</v>
      </c>
      <c r="M22">
        <f>SEM!N22</f>
        <v>1.6</v>
      </c>
      <c r="O22">
        <f>ABS(L22-SEM!$C$34)</f>
        <v>2.5354192568084191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SEM!M23</f>
        <v>-1.8907075440000001</v>
      </c>
      <c r="M23">
        <f>SEM!N23</f>
        <v>1.7</v>
      </c>
      <c r="O23">
        <f>ABS(L23-SEM!$C$34)</f>
        <v>2.596994224808419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SEM!M24</f>
        <v>-1.8323741920000001</v>
      </c>
      <c r="M24">
        <f>SEM!N24</f>
        <v>1.8</v>
      </c>
      <c r="O24">
        <f>ABS(L24-SEM!$C$34)</f>
        <v>2.655327576808419</v>
      </c>
      <c r="P24">
        <f t="shared" si="0"/>
        <v>1.8</v>
      </c>
    </row>
    <row r="25" spans="1:16">
      <c r="A25" s="2" t="s">
        <v>27</v>
      </c>
      <c r="J25" s="5"/>
      <c r="L25">
        <f>SEM!M25</f>
        <v>-1.793490536</v>
      </c>
      <c r="M25">
        <f>SEM!N25</f>
        <v>1.9</v>
      </c>
      <c r="O25">
        <f>ABS(L25-SEM!$C$34)</f>
        <v>2.6942112328084189</v>
      </c>
      <c r="P25">
        <f t="shared" si="0"/>
        <v>1.9</v>
      </c>
    </row>
    <row r="26" spans="1:16">
      <c r="H26" s="1"/>
      <c r="J26" s="5"/>
      <c r="L26">
        <f>SEM!M26</f>
        <v>-1.7546068800000001</v>
      </c>
      <c r="M26">
        <f>SEM!N26</f>
        <v>2</v>
      </c>
      <c r="O26">
        <f>ABS(L26-SEM!$C$34)</f>
        <v>2.7330948888084192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SEM!M27</f>
        <v>-1.7306628639999999</v>
      </c>
      <c r="M27">
        <f>SEM!N27</f>
        <v>2.1</v>
      </c>
      <c r="O27">
        <f>ABS(L27-SEM!$C$34)</f>
        <v>2.757038904808419</v>
      </c>
      <c r="P27">
        <f t="shared" si="0"/>
        <v>2.1</v>
      </c>
    </row>
    <row r="28" spans="1:16">
      <c r="A28">
        <f>SEM!I27</f>
        <v>0</v>
      </c>
      <c r="B28">
        <f>SEM!J27</f>
        <v>0</v>
      </c>
      <c r="C28">
        <v>1</v>
      </c>
      <c r="D28">
        <f>B28*C28</f>
        <v>0</v>
      </c>
      <c r="J28" s="5"/>
      <c r="L28">
        <f>SEM!M28</f>
        <v>-1.717022048</v>
      </c>
      <c r="M28">
        <f>SEM!N28</f>
        <v>2.2000000000000002</v>
      </c>
      <c r="O28">
        <f>ABS(L28-SEM!$C$34)</f>
        <v>2.7706797208084191</v>
      </c>
      <c r="P28">
        <f t="shared" si="0"/>
        <v>2.2000000000000002</v>
      </c>
    </row>
    <row r="29" spans="1:16">
      <c r="A29">
        <f>SEM!I28</f>
        <v>0</v>
      </c>
      <c r="B29">
        <f>SEM!J28</f>
        <v>0</v>
      </c>
      <c r="C29">
        <f>B8</f>
        <v>20.803765672469368</v>
      </c>
      <c r="D29">
        <f t="shared" ref="D29:D33" si="1">B29*C29</f>
        <v>0</v>
      </c>
      <c r="J29" s="5"/>
      <c r="L29">
        <f>SEM!M29</f>
        <v>-1.70392872</v>
      </c>
      <c r="M29">
        <f>SEM!N29</f>
        <v>2.2999999999999998</v>
      </c>
      <c r="O29">
        <f>ABS(L29-SEM!$C$34)</f>
        <v>2.7837730488084191</v>
      </c>
      <c r="P29">
        <f t="shared" si="0"/>
        <v>2.2999999999999998</v>
      </c>
    </row>
    <row r="30" spans="1:16">
      <c r="A30">
        <f>SEM!I29</f>
        <v>0</v>
      </c>
      <c r="B30">
        <f>SEM!J29</f>
        <v>0</v>
      </c>
      <c r="C30">
        <f>B8^2</f>
        <v>432.79666615501486</v>
      </c>
      <c r="D30">
        <f t="shared" si="1"/>
        <v>0</v>
      </c>
      <c r="J30" s="5"/>
      <c r="L30">
        <f>SEM!M30</f>
        <v>-1.7037013599999999</v>
      </c>
      <c r="M30">
        <f>SEM!N30</f>
        <v>2.4</v>
      </c>
      <c r="O30">
        <f>ABS(L30-SEM!$C$34)</f>
        <v>2.7840004088084189</v>
      </c>
      <c r="P30">
        <f t="shared" si="0"/>
        <v>2.4</v>
      </c>
    </row>
    <row r="31" spans="1:16">
      <c r="A31">
        <f>SEM!I30</f>
        <v>0</v>
      </c>
      <c r="B31">
        <f>SEM!J30</f>
        <v>0</v>
      </c>
      <c r="C31">
        <f>B8^3</f>
        <v>9003.8004265148829</v>
      </c>
      <c r="D31">
        <f t="shared" si="1"/>
        <v>0</v>
      </c>
      <c r="J31" s="5"/>
      <c r="L31">
        <f>SEM!M31</f>
        <v>-1.7034739999999999</v>
      </c>
      <c r="M31">
        <f>SEM!N31</f>
        <v>2.5</v>
      </c>
      <c r="O31">
        <f>ABS(L31-SEM!$C$34)</f>
        <v>2.7842277688084192</v>
      </c>
      <c r="P31">
        <f t="shared" si="0"/>
        <v>2.5</v>
      </c>
    </row>
    <row r="32" spans="1:16">
      <c r="A32">
        <f>SEM!I31</f>
        <v>0</v>
      </c>
      <c r="B32">
        <f>SEM!J31</f>
        <v>0</v>
      </c>
      <c r="C32">
        <f>B8^4</f>
        <v>187312.95423489538</v>
      </c>
      <c r="D32">
        <f t="shared" si="1"/>
        <v>0</v>
      </c>
      <c r="J32" s="5"/>
      <c r="L32">
        <f>SEM!M32</f>
        <v>-1.6905915359999999</v>
      </c>
      <c r="M32">
        <f>SEM!N32</f>
        <v>2.6</v>
      </c>
      <c r="O32">
        <f>ABS(L32-SEM!$C$34)</f>
        <v>2.7971102328084192</v>
      </c>
      <c r="P32">
        <f t="shared" si="0"/>
        <v>2.6</v>
      </c>
    </row>
    <row r="33" spans="1:16">
      <c r="A33">
        <f>SEM!I32</f>
        <v>0</v>
      </c>
      <c r="B33">
        <f>SEM!J32</f>
        <v>0</v>
      </c>
      <c r="C33">
        <f>B8^5</f>
        <v>3896814.8073207424</v>
      </c>
      <c r="D33">
        <f t="shared" si="1"/>
        <v>0</v>
      </c>
      <c r="J33" s="5"/>
      <c r="L33">
        <f>SEM!M33</f>
        <v>-1.664526672</v>
      </c>
      <c r="M33">
        <f>SEM!N33</f>
        <v>2.7</v>
      </c>
      <c r="O33">
        <f>ABS(L33-SEM!$C$34)</f>
        <v>2.823175096808419</v>
      </c>
      <c r="P33">
        <f t="shared" si="0"/>
        <v>2.7</v>
      </c>
    </row>
    <row r="34" spans="1:16">
      <c r="G34" s="21">
        <f>SQRT(D35)</f>
        <v>0</v>
      </c>
      <c r="J34" s="5"/>
      <c r="L34">
        <f>SEM!M34</f>
        <v>-1.638461808</v>
      </c>
      <c r="M34">
        <f>SEM!N34</f>
        <v>2.8</v>
      </c>
      <c r="O34">
        <f>ABS(L34-SEM!$C$34)</f>
        <v>2.8492399608084193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SEM!M35</f>
        <v>-1.6323598399999999</v>
      </c>
      <c r="M35">
        <f>SEM!N35</f>
        <v>2.9</v>
      </c>
      <c r="O35">
        <f>ABS(L35-SEM!$C$34)</f>
        <v>2.8553419288084192</v>
      </c>
      <c r="P35">
        <f t="shared" si="0"/>
        <v>2.9</v>
      </c>
    </row>
    <row r="36" spans="1:16">
      <c r="J36" s="5"/>
      <c r="L36">
        <f>SEM!M36</f>
        <v>-1.6275598</v>
      </c>
      <c r="M36">
        <f>SEM!N36</f>
        <v>3</v>
      </c>
      <c r="O36">
        <f>ABS(L36-SEM!$C$34)</f>
        <v>2.8601419688084189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SEM!M37</f>
        <v>-1.620619904</v>
      </c>
      <c r="M37">
        <f>SEM!N37</f>
        <v>3.1</v>
      </c>
      <c r="O37">
        <f>ABS(L37-SEM!$C$34)</f>
        <v>2.8670818648084193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4.4128970000000001</v>
      </c>
      <c r="J38" s="5"/>
      <c r="L38">
        <f>SEM!M38</f>
        <v>-1.6103012880000001</v>
      </c>
      <c r="M38">
        <f>SEM!N38</f>
        <v>3.2</v>
      </c>
      <c r="O38">
        <f>ABS(L38-SEM!$C$34)</f>
        <v>2.877400480808419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SEM!M39</f>
        <v>-1.5999826720000001</v>
      </c>
      <c r="M39">
        <f>SEM!N39</f>
        <v>3.3</v>
      </c>
      <c r="O39">
        <f>ABS(L39-SEM!$C$34)</f>
        <v>2.8877190968084188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SEM!M40</f>
        <v>-1.5913607999999999</v>
      </c>
      <c r="M40">
        <f>SEM!N40</f>
        <v>3.4</v>
      </c>
      <c r="O40">
        <f>ABS(L40-SEM!$C$34)</f>
        <v>2.8963409688084192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SEM!M41</f>
        <v>-1.58307</v>
      </c>
      <c r="M41">
        <f>SEM!N41</f>
        <v>3.5</v>
      </c>
      <c r="O41">
        <f>ABS(L41-SEM!$C$34)</f>
        <v>2.9046317688084189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SEM!M42</f>
        <v>-1.5743004</v>
      </c>
      <c r="M42">
        <f>SEM!N42</f>
        <v>3.6</v>
      </c>
      <c r="O42">
        <f>ABS(L42-SEM!$C$34)</f>
        <v>2.9134013688084188</v>
      </c>
      <c r="P42">
        <f t="shared" si="0"/>
        <v>3.6</v>
      </c>
    </row>
    <row r="43" spans="1:16">
      <c r="A43" s="22"/>
      <c r="J43" s="5"/>
      <c r="L43">
        <f>SEM!M43</f>
        <v>-1.5643338</v>
      </c>
      <c r="M43">
        <f>SEM!N43</f>
        <v>3.7</v>
      </c>
      <c r="O43">
        <f>ABS(L43-SEM!$C$34)</f>
        <v>2.9233679688084191</v>
      </c>
      <c r="P43">
        <f t="shared" si="0"/>
        <v>3.7</v>
      </c>
    </row>
    <row r="44" spans="1:16">
      <c r="J44" s="5"/>
      <c r="L44">
        <f>SEM!M44</f>
        <v>-1.5543671999999999</v>
      </c>
      <c r="M44">
        <f>SEM!N44</f>
        <v>3.8</v>
      </c>
      <c r="O44">
        <f>ABS(L44-SEM!$C$34)</f>
        <v>2.9333345688084194</v>
      </c>
      <c r="P44">
        <f t="shared" si="0"/>
        <v>3.8</v>
      </c>
    </row>
    <row r="45" spans="1:16">
      <c r="J45" s="5"/>
      <c r="L45">
        <f>SEM!M45</f>
        <v>-1.5465715440000001</v>
      </c>
      <c r="M45">
        <f>SEM!N45</f>
        <v>3.9</v>
      </c>
      <c r="O45">
        <f>ABS(L45-SEM!$C$34)</f>
        <v>2.9411302248084192</v>
      </c>
      <c r="P45">
        <f t="shared" si="0"/>
        <v>3.9</v>
      </c>
    </row>
    <row r="46" spans="1:16">
      <c r="J46" s="5"/>
      <c r="L46">
        <f>SEM!M46</f>
        <v>-1.5395598399999999</v>
      </c>
      <c r="M46">
        <f>SEM!N46</f>
        <v>4</v>
      </c>
      <c r="O46">
        <f>ABS(L46-SEM!$C$34)</f>
        <v>2.9481419288084192</v>
      </c>
      <c r="P46">
        <f t="shared" si="0"/>
        <v>4</v>
      </c>
    </row>
    <row r="47" spans="1:16">
      <c r="J47" s="5"/>
      <c r="L47">
        <f>SEM!M47</f>
        <v>-1.530882128</v>
      </c>
      <c r="M47">
        <f>SEM!N47</f>
        <v>4.0999999999999996</v>
      </c>
      <c r="O47">
        <f>ABS(L47-SEM!$C$34)</f>
        <v>2.9568196408084191</v>
      </c>
      <c r="P47">
        <f t="shared" si="0"/>
        <v>4.0999999999999996</v>
      </c>
    </row>
    <row r="48" spans="1:16">
      <c r="J48" s="5"/>
      <c r="L48">
        <f>SEM!M48</f>
        <v>-1.514799936</v>
      </c>
      <c r="M48">
        <f>SEM!N48</f>
        <v>4.2</v>
      </c>
      <c r="O48">
        <f>ABS(L48-SEM!$C$34)</f>
        <v>2.9729018328084189</v>
      </c>
      <c r="P48">
        <f t="shared" si="0"/>
        <v>4.2</v>
      </c>
    </row>
    <row r="49" spans="10:16">
      <c r="J49" s="5"/>
      <c r="L49">
        <f>SEM!M49</f>
        <v>-1.4987177439999999</v>
      </c>
      <c r="M49">
        <f>SEM!N49</f>
        <v>4.3</v>
      </c>
      <c r="O49">
        <f>ABS(L49-SEM!$C$34)</f>
        <v>2.9889840248084192</v>
      </c>
      <c r="P49">
        <f t="shared" si="0"/>
        <v>4.3</v>
      </c>
    </row>
    <row r="50" spans="10:16">
      <c r="J50" s="5"/>
      <c r="L50">
        <f>SEM!M50</f>
        <v>-1.4900487680000001</v>
      </c>
      <c r="M50">
        <f>SEM!N50</f>
        <v>4.4000000000000004</v>
      </c>
      <c r="O50">
        <f>ABS(L50-SEM!$C$34)</f>
        <v>2.9976530008084188</v>
      </c>
      <c r="P50">
        <f t="shared" si="0"/>
        <v>4.4000000000000004</v>
      </c>
    </row>
    <row r="51" spans="10:16">
      <c r="J51" s="5"/>
      <c r="L51">
        <f>SEM!M51</f>
        <v>-1.4856842400000001</v>
      </c>
      <c r="M51">
        <f>SEM!N51</f>
        <v>4.5</v>
      </c>
      <c r="O51">
        <f>ABS(L51-SEM!$C$34)</f>
        <v>3.0020175288084188</v>
      </c>
      <c r="P51">
        <f t="shared" si="0"/>
        <v>4.5</v>
      </c>
    </row>
    <row r="52" spans="10:16">
      <c r="J52" s="5"/>
      <c r="L52">
        <f>SEM!M52</f>
        <v>-1.480919616</v>
      </c>
      <c r="M52">
        <f>SEM!N52</f>
        <v>4.5999999999999996</v>
      </c>
      <c r="O52">
        <f>ABS(L52-SEM!$C$34)</f>
        <v>3.0067821528084191</v>
      </c>
      <c r="P52">
        <f t="shared" si="0"/>
        <v>4.5999999999999996</v>
      </c>
    </row>
    <row r="53" spans="10:16">
      <c r="J53" s="5"/>
      <c r="L53">
        <f>SEM!M53</f>
        <v>-1.4716539120000001</v>
      </c>
      <c r="M53">
        <f>SEM!N53</f>
        <v>4.7</v>
      </c>
      <c r="O53">
        <f>ABS(L53-SEM!$C$34)</f>
        <v>3.0160478568084192</v>
      </c>
      <c r="P53">
        <f t="shared" si="0"/>
        <v>4.7</v>
      </c>
    </row>
    <row r="54" spans="10:16">
      <c r="J54" s="5"/>
      <c r="L54">
        <f>SEM!M54</f>
        <v>-1.4623882079999999</v>
      </c>
      <c r="M54">
        <f>SEM!N54</f>
        <v>4.8</v>
      </c>
      <c r="O54">
        <f>ABS(L54-SEM!$C$34)</f>
        <v>3.025313560808419</v>
      </c>
      <c r="P54">
        <f t="shared" si="0"/>
        <v>4.8</v>
      </c>
    </row>
    <row r="55" spans="10:16">
      <c r="J55" s="5"/>
      <c r="L55">
        <f>SEM!M55</f>
        <v>-1.455881416</v>
      </c>
      <c r="M55">
        <f>SEM!N55</f>
        <v>4.9000000000000004</v>
      </c>
      <c r="O55">
        <f>ABS(L55-SEM!$C$34)</f>
        <v>3.0318203528084191</v>
      </c>
      <c r="P55">
        <f t="shared" si="0"/>
        <v>4.9000000000000004</v>
      </c>
    </row>
    <row r="56" spans="10:16">
      <c r="J56" s="5"/>
      <c r="L56">
        <f>SEM!M56</f>
        <v>-1.4518152</v>
      </c>
      <c r="M56">
        <f>SEM!N56</f>
        <v>5</v>
      </c>
      <c r="O56">
        <f>ABS(L56-SEM!$C$34)</f>
        <v>3.0358865688084191</v>
      </c>
      <c r="P56">
        <f t="shared" si="0"/>
        <v>5</v>
      </c>
    </row>
    <row r="57" spans="10:16">
      <c r="J57" s="5"/>
      <c r="L57">
        <f>SEM!M57</f>
        <v>-1.447748984</v>
      </c>
      <c r="M57">
        <f>SEM!N57</f>
        <v>5.0999999999999996</v>
      </c>
      <c r="O57">
        <f>ABS(L57-SEM!$C$34)</f>
        <v>3.0399527848084191</v>
      </c>
      <c r="P57">
        <f t="shared" si="0"/>
        <v>5.0999999999999996</v>
      </c>
    </row>
    <row r="58" spans="10:16">
      <c r="J58" s="5"/>
      <c r="L58">
        <f>SEM!M58</f>
        <v>-1.434303568</v>
      </c>
      <c r="M58">
        <f>SEM!N58</f>
        <v>5.2</v>
      </c>
      <c r="O58">
        <f>ABS(L58-SEM!$C$34)</f>
        <v>3.0533982008084193</v>
      </c>
      <c r="P58">
        <f t="shared" si="0"/>
        <v>5.2</v>
      </c>
    </row>
    <row r="59" spans="10:16">
      <c r="J59" s="5"/>
      <c r="L59">
        <f>SEM!M59</f>
        <v>-1.4206627519999999</v>
      </c>
      <c r="M59">
        <f>SEM!N59</f>
        <v>5.3</v>
      </c>
      <c r="O59">
        <f>ABS(L59-SEM!$C$34)</f>
        <v>3.0670390168084189</v>
      </c>
      <c r="P59">
        <f t="shared" si="0"/>
        <v>5.3</v>
      </c>
    </row>
    <row r="60" spans="10:16">
      <c r="J60" s="5"/>
      <c r="L60">
        <f>SEM!M60</f>
        <v>-1.411758528</v>
      </c>
      <c r="M60">
        <f>SEM!N60</f>
        <v>5.4</v>
      </c>
      <c r="O60">
        <f>ABS(L60-SEM!$C$34)</f>
        <v>3.0759432408084191</v>
      </c>
      <c r="P60">
        <f t="shared" si="0"/>
        <v>5.4</v>
      </c>
    </row>
    <row r="61" spans="10:16">
      <c r="J61" s="5"/>
      <c r="L61">
        <f>SEM!M61</f>
        <v>-1.4091697599999999</v>
      </c>
      <c r="M61">
        <f>SEM!N61</f>
        <v>5.5</v>
      </c>
      <c r="O61">
        <f>ABS(L61-SEM!$C$34)</f>
        <v>3.0785320088084189</v>
      </c>
      <c r="P61">
        <f t="shared" si="0"/>
        <v>5.5</v>
      </c>
    </row>
    <row r="62" spans="10:16">
      <c r="J62" s="5"/>
      <c r="L62">
        <f>SEM!M62</f>
        <v>-1.4065809920000001</v>
      </c>
      <c r="M62">
        <f>SEM!N62</f>
        <v>5.6</v>
      </c>
      <c r="O62">
        <f>ABS(L62-SEM!$C$34)</f>
        <v>3.0811207768084188</v>
      </c>
      <c r="P62">
        <f t="shared" si="0"/>
        <v>5.6</v>
      </c>
    </row>
    <row r="63" spans="10:16">
      <c r="J63" s="5"/>
      <c r="L63">
        <f>SEM!M63</f>
        <v>-1.4026378960000001</v>
      </c>
      <c r="M63">
        <f>SEM!N63</f>
        <v>5.7</v>
      </c>
      <c r="O63">
        <f>ABS(L63-SEM!$C$34)</f>
        <v>3.0850638728084192</v>
      </c>
      <c r="P63">
        <f t="shared" si="0"/>
        <v>5.7</v>
      </c>
    </row>
    <row r="64" spans="10:16">
      <c r="J64" s="5"/>
      <c r="L64">
        <f>SEM!M64</f>
        <v>-1.3985058239999999</v>
      </c>
      <c r="M64">
        <f>SEM!N64</f>
        <v>5.8</v>
      </c>
      <c r="O64">
        <f>ABS(L64-SEM!$C$34)</f>
        <v>3.0891959448084192</v>
      </c>
      <c r="P64">
        <f t="shared" si="0"/>
        <v>5.8</v>
      </c>
    </row>
    <row r="65" spans="10:16">
      <c r="J65" s="5"/>
      <c r="L65">
        <f>SEM!M65</f>
        <v>-1.395723</v>
      </c>
      <c r="M65">
        <f>SEM!N65</f>
        <v>5.9</v>
      </c>
      <c r="O65">
        <f>ABS(L65-SEM!$C$34)</f>
        <v>3.0919787688084188</v>
      </c>
      <c r="P65">
        <f t="shared" si="0"/>
        <v>5.9</v>
      </c>
    </row>
    <row r="66" spans="10:16">
      <c r="J66" s="5"/>
      <c r="L66">
        <f>SEM!M66</f>
        <v>-1.395723</v>
      </c>
      <c r="M66">
        <f>SEM!N66</f>
        <v>6</v>
      </c>
      <c r="O66">
        <f>ABS(L66-SEM!$C$34)</f>
        <v>3.0919787688084188</v>
      </c>
      <c r="P66">
        <f t="shared" si="0"/>
        <v>6</v>
      </c>
    </row>
    <row r="67" spans="10:16">
      <c r="J67" s="5"/>
      <c r="L67">
        <f>SEM!M67</f>
        <v>-1.395723</v>
      </c>
      <c r="M67">
        <f>SEM!N67</f>
        <v>6.1</v>
      </c>
      <c r="O67">
        <f>ABS(L67-SEM!$C$34)</f>
        <v>3.0919787688084188</v>
      </c>
      <c r="P67">
        <f t="shared" si="0"/>
        <v>6.1</v>
      </c>
    </row>
    <row r="68" spans="10:16">
      <c r="J68" s="5"/>
      <c r="L68">
        <f>SEM!M68</f>
        <v>-1.3837292880000001</v>
      </c>
      <c r="M68">
        <f>SEM!N68</f>
        <v>6.2</v>
      </c>
      <c r="O68">
        <f>ABS(L68-SEM!$C$34)</f>
        <v>3.103972480808419</v>
      </c>
      <c r="P68">
        <f t="shared" si="0"/>
        <v>6.2</v>
      </c>
    </row>
    <row r="69" spans="10:16">
      <c r="J69" s="5"/>
      <c r="L69">
        <f>SEM!M69</f>
        <v>-1.3682637120000001</v>
      </c>
      <c r="M69">
        <f>SEM!N69</f>
        <v>6.3</v>
      </c>
      <c r="O69">
        <f>ABS(L69-SEM!$C$34)</f>
        <v>3.119438056808419</v>
      </c>
      <c r="P69">
        <f t="shared" si="0"/>
        <v>6.3</v>
      </c>
    </row>
    <row r="70" spans="10:16">
      <c r="J70" s="5"/>
      <c r="L70">
        <f>SEM!M70</f>
        <v>-1.3553537440000001</v>
      </c>
      <c r="M70">
        <f>SEM!N70</f>
        <v>6.4</v>
      </c>
      <c r="O70">
        <f>ABS(L70-SEM!$C$34)</f>
        <v>3.1323480248084188</v>
      </c>
      <c r="P70">
        <f t="shared" si="0"/>
        <v>6.4</v>
      </c>
    </row>
    <row r="71" spans="10:16">
      <c r="J71" s="5"/>
      <c r="L71">
        <f>SEM!M71</f>
        <v>-1.3512722399999999</v>
      </c>
      <c r="M71">
        <f>SEM!N71</f>
        <v>6.5</v>
      </c>
      <c r="O71">
        <f>ABS(L71-SEM!$C$34)</f>
        <v>3.136429528808419</v>
      </c>
      <c r="P71">
        <f t="shared" ref="P71:P134" si="2">M71</f>
        <v>6.5</v>
      </c>
    </row>
    <row r="72" spans="10:16">
      <c r="J72" s="5"/>
      <c r="L72">
        <f>SEM!M72</f>
        <v>-1.3471907359999999</v>
      </c>
      <c r="M72">
        <f>SEM!N72</f>
        <v>6.6</v>
      </c>
      <c r="O72">
        <f>ABS(L72-SEM!$C$34)</f>
        <v>3.1405110328084191</v>
      </c>
      <c r="P72">
        <f t="shared" si="2"/>
        <v>6.6</v>
      </c>
    </row>
    <row r="73" spans="10:16">
      <c r="J73" s="5"/>
      <c r="L73">
        <f>SEM!M73</f>
        <v>-1.3377597999999999</v>
      </c>
      <c r="M73">
        <f>SEM!N73</f>
        <v>6.7</v>
      </c>
      <c r="O73">
        <f>ABS(L73-SEM!$C$34)</f>
        <v>3.1499419688084194</v>
      </c>
      <c r="P73">
        <f t="shared" si="2"/>
        <v>6.7</v>
      </c>
    </row>
    <row r="74" spans="10:16">
      <c r="J74" s="5"/>
      <c r="L74">
        <f>SEM!M74</f>
        <v>-1.3257352</v>
      </c>
      <c r="M74">
        <f>SEM!N74</f>
        <v>6.8</v>
      </c>
      <c r="O74">
        <f>ABS(L74-SEM!$C$34)</f>
        <v>3.1619665688084191</v>
      </c>
      <c r="P74">
        <f t="shared" si="2"/>
        <v>6.8</v>
      </c>
    </row>
    <row r="75" spans="10:16">
      <c r="J75" s="5"/>
      <c r="L75">
        <f>SEM!M75</f>
        <v>-1.314801112</v>
      </c>
      <c r="M75">
        <f>SEM!N75</f>
        <v>6.9</v>
      </c>
      <c r="O75">
        <f>ABS(L75-SEM!$C$34)</f>
        <v>3.172900656808419</v>
      </c>
      <c r="P75">
        <f t="shared" si="2"/>
        <v>6.9</v>
      </c>
    </row>
    <row r="76" spans="10:16">
      <c r="J76" s="5"/>
      <c r="L76">
        <f>SEM!M76</f>
        <v>-1.31168236</v>
      </c>
      <c r="M76">
        <f>SEM!N76</f>
        <v>7</v>
      </c>
      <c r="O76">
        <f>ABS(L76-SEM!$C$34)</f>
        <v>3.1760194088084193</v>
      </c>
      <c r="P76">
        <f t="shared" si="2"/>
        <v>7</v>
      </c>
    </row>
    <row r="77" spans="10:16">
      <c r="J77" s="5"/>
      <c r="L77">
        <f>SEM!M77</f>
        <v>-1.308563608</v>
      </c>
      <c r="M77">
        <f>SEM!N77</f>
        <v>7.1</v>
      </c>
      <c r="O77">
        <f>ABS(L77-SEM!$C$34)</f>
        <v>3.179138160808419</v>
      </c>
      <c r="P77">
        <f t="shared" si="2"/>
        <v>7.1</v>
      </c>
    </row>
    <row r="78" spans="10:16">
      <c r="J78" s="5"/>
      <c r="L78">
        <f>SEM!M78</f>
        <v>-1.2986840879999999</v>
      </c>
      <c r="M78">
        <f>SEM!N78</f>
        <v>7.2</v>
      </c>
      <c r="O78">
        <f>ABS(L78-SEM!$C$34)</f>
        <v>3.1890176808084192</v>
      </c>
      <c r="P78">
        <f t="shared" si="2"/>
        <v>7.2</v>
      </c>
    </row>
    <row r="79" spans="10:16">
      <c r="J79" s="5"/>
      <c r="L79">
        <f>SEM!M79</f>
        <v>-1.2837339919999999</v>
      </c>
      <c r="M79">
        <f>SEM!N79</f>
        <v>7.3</v>
      </c>
      <c r="O79">
        <f>ABS(L79-SEM!$C$34)</f>
        <v>3.2039677768084189</v>
      </c>
      <c r="P79">
        <f t="shared" si="2"/>
        <v>7.3</v>
      </c>
    </row>
    <row r="80" spans="10:16">
      <c r="J80" s="5"/>
      <c r="L80">
        <f>SEM!M80</f>
        <v>-1.269070688</v>
      </c>
      <c r="M80">
        <f>SEM!N80</f>
        <v>7.4</v>
      </c>
      <c r="O80">
        <f>ABS(L80-SEM!$C$34)</f>
        <v>3.2186310808084189</v>
      </c>
      <c r="P80">
        <f t="shared" si="2"/>
        <v>7.4</v>
      </c>
    </row>
    <row r="81" spans="10:16">
      <c r="J81" s="5"/>
      <c r="L81">
        <f>SEM!M81</f>
        <v>-1.2681734</v>
      </c>
      <c r="M81">
        <f>SEM!N81</f>
        <v>7.5</v>
      </c>
      <c r="O81">
        <f>ABS(L81-SEM!$C$34)</f>
        <v>3.2195283688084189</v>
      </c>
      <c r="P81">
        <f t="shared" si="2"/>
        <v>7.5</v>
      </c>
    </row>
    <row r="82" spans="10:16">
      <c r="J82" s="5"/>
      <c r="L82">
        <f>SEM!M82</f>
        <v>-1.267276112</v>
      </c>
      <c r="M82">
        <f>SEM!N82</f>
        <v>7.6</v>
      </c>
      <c r="O82">
        <f>ABS(L82-SEM!$C$34)</f>
        <v>3.2204256568084189</v>
      </c>
      <c r="P82">
        <f t="shared" si="2"/>
        <v>7.6</v>
      </c>
    </row>
    <row r="83" spans="10:16">
      <c r="J83" s="5"/>
      <c r="L83">
        <f>SEM!M83</f>
        <v>-1.266425192</v>
      </c>
      <c r="M83">
        <f>SEM!N83</f>
        <v>7.7</v>
      </c>
      <c r="O83">
        <f>ABS(L83-SEM!$C$34)</f>
        <v>3.2212765768084193</v>
      </c>
      <c r="P83">
        <f t="shared" si="2"/>
        <v>7.7</v>
      </c>
    </row>
    <row r="84" spans="10:16">
      <c r="J84" s="5"/>
      <c r="L84">
        <f>SEM!M84</f>
        <v>-1.265626688</v>
      </c>
      <c r="M84">
        <f>SEM!N84</f>
        <v>7.8</v>
      </c>
      <c r="O84">
        <f>ABS(L84-SEM!$C$34)</f>
        <v>3.2220750808084189</v>
      </c>
      <c r="P84">
        <f t="shared" si="2"/>
        <v>7.8</v>
      </c>
    </row>
    <row r="85" spans="10:16">
      <c r="J85" s="5"/>
      <c r="L85">
        <f>SEM!M85</f>
        <v>-1.264828184</v>
      </c>
      <c r="M85">
        <f>SEM!N85</f>
        <v>7.9</v>
      </c>
      <c r="O85">
        <f>ABS(L85-SEM!$C$34)</f>
        <v>3.2228735848084193</v>
      </c>
      <c r="P85">
        <f t="shared" si="2"/>
        <v>7.9</v>
      </c>
    </row>
    <row r="86" spans="10:16">
      <c r="J86" s="5"/>
      <c r="L86">
        <f>SEM!M86</f>
        <v>-1.25802236</v>
      </c>
      <c r="M86">
        <f>SEM!N86</f>
        <v>8</v>
      </c>
      <c r="O86">
        <f>ABS(L86-SEM!$C$34)</f>
        <v>3.2296794088084191</v>
      </c>
      <c r="P86">
        <f t="shared" si="2"/>
        <v>8</v>
      </c>
    </row>
    <row r="87" spans="10:16">
      <c r="J87" s="5"/>
      <c r="L87">
        <f>SEM!M87</f>
        <v>-1.250682552</v>
      </c>
      <c r="M87">
        <f>SEM!N87</f>
        <v>8.1</v>
      </c>
      <c r="O87">
        <f>ABS(L87-SEM!$C$34)</f>
        <v>3.2370192168084193</v>
      </c>
      <c r="P87">
        <f t="shared" si="2"/>
        <v>8.1</v>
      </c>
    </row>
    <row r="88" spans="10:16">
      <c r="J88" s="5"/>
      <c r="L88">
        <f>SEM!M88</f>
        <v>-1.243935448</v>
      </c>
      <c r="M88">
        <f>SEM!N88</f>
        <v>8.1999999999999993</v>
      </c>
      <c r="O88">
        <f>ABS(L88-SEM!$C$34)</f>
        <v>3.2437663208084189</v>
      </c>
      <c r="P88">
        <f t="shared" si="2"/>
        <v>8.1999999999999993</v>
      </c>
    </row>
    <row r="89" spans="10:16">
      <c r="J89" s="5"/>
      <c r="L89">
        <f>SEM!M89</f>
        <v>-1.2382091120000001</v>
      </c>
      <c r="M89">
        <f>SEM!N89</f>
        <v>8.3000000000000007</v>
      </c>
      <c r="O89">
        <f>ABS(L89-SEM!$C$34)</f>
        <v>3.2494926568084193</v>
      </c>
      <c r="P89">
        <f t="shared" si="2"/>
        <v>8.3000000000000007</v>
      </c>
    </row>
    <row r="90" spans="10:16">
      <c r="J90" s="5"/>
      <c r="L90">
        <f>SEM!M90</f>
        <v>-1.2324827759999999</v>
      </c>
      <c r="M90">
        <f>SEM!N90</f>
        <v>8.4</v>
      </c>
      <c r="O90">
        <f>ABS(L90-SEM!$C$34)</f>
        <v>3.2552189928084192</v>
      </c>
      <c r="P90">
        <f t="shared" si="2"/>
        <v>8.4</v>
      </c>
    </row>
    <row r="91" spans="10:16">
      <c r="J91" s="5"/>
      <c r="L91">
        <f>SEM!M91</f>
        <v>-1.2285942000000001</v>
      </c>
      <c r="M91">
        <f>SEM!N91</f>
        <v>8.5</v>
      </c>
      <c r="O91">
        <f>ABS(L91-SEM!$C$34)</f>
        <v>3.2591075688084192</v>
      </c>
      <c r="P91">
        <f t="shared" si="2"/>
        <v>8.5</v>
      </c>
    </row>
    <row r="92" spans="10:16">
      <c r="J92" s="5"/>
      <c r="L92">
        <f>SEM!M92</f>
        <v>-1.22511912</v>
      </c>
      <c r="M92">
        <f>SEM!N92</f>
        <v>8.6</v>
      </c>
      <c r="O92">
        <f>ABS(L92-SEM!$C$34)</f>
        <v>3.2625826488084191</v>
      </c>
      <c r="P92">
        <f t="shared" si="2"/>
        <v>8.6</v>
      </c>
    </row>
    <row r="93" spans="10:16">
      <c r="J93" s="5"/>
      <c r="L93">
        <f>SEM!M93</f>
        <v>-1.222409064</v>
      </c>
      <c r="M93">
        <f>SEM!N93</f>
        <v>8.6999999999999993</v>
      </c>
      <c r="O93">
        <f>ABS(L93-SEM!$C$34)</f>
        <v>3.2652927048084193</v>
      </c>
      <c r="P93">
        <f t="shared" si="2"/>
        <v>8.6999999999999993</v>
      </c>
    </row>
    <row r="94" spans="10:16">
      <c r="J94" s="5"/>
      <c r="L94">
        <f>SEM!M94</f>
        <v>-1.2218175360000001</v>
      </c>
      <c r="M94">
        <f>SEM!N94</f>
        <v>8.8000000000000007</v>
      </c>
      <c r="O94">
        <f>ABS(L94-SEM!$C$34)</f>
        <v>3.265884232808419</v>
      </c>
      <c r="P94">
        <f t="shared" si="2"/>
        <v>8.8000000000000007</v>
      </c>
    </row>
    <row r="95" spans="10:16">
      <c r="J95" s="5"/>
      <c r="L95">
        <f>SEM!M95</f>
        <v>-1.2212260079999999</v>
      </c>
      <c r="M95">
        <f>SEM!N95</f>
        <v>8.9</v>
      </c>
      <c r="O95">
        <f>ABS(L95-SEM!$C$34)</f>
        <v>3.2664757608084192</v>
      </c>
      <c r="P95">
        <f t="shared" si="2"/>
        <v>8.9</v>
      </c>
    </row>
    <row r="96" spans="10:16">
      <c r="J96" s="5"/>
      <c r="L96">
        <f>SEM!M96</f>
        <v>-1.2154463600000001</v>
      </c>
      <c r="M96">
        <f>SEM!N96</f>
        <v>9</v>
      </c>
      <c r="O96">
        <f>ABS(L96-SEM!$C$34)</f>
        <v>3.272255408808419</v>
      </c>
      <c r="P96">
        <f t="shared" si="2"/>
        <v>9</v>
      </c>
    </row>
    <row r="97" spans="10:16">
      <c r="J97" s="5"/>
      <c r="L97">
        <f>SEM!M97</f>
        <v>-1.2075914640000001</v>
      </c>
      <c r="M97">
        <f>SEM!N97</f>
        <v>9.1</v>
      </c>
      <c r="O97">
        <f>ABS(L97-SEM!$C$34)</f>
        <v>3.280110304808419</v>
      </c>
      <c r="P97">
        <f t="shared" si="2"/>
        <v>9.1</v>
      </c>
    </row>
    <row r="98" spans="10:16">
      <c r="J98" s="5"/>
      <c r="L98">
        <f>SEM!M98</f>
        <v>-1.2007100079999999</v>
      </c>
      <c r="M98">
        <f>SEM!N98</f>
        <v>9.1999999999999993</v>
      </c>
      <c r="O98">
        <f>ABS(L98-SEM!$C$34)</f>
        <v>3.2869917608084194</v>
      </c>
      <c r="P98">
        <f t="shared" si="2"/>
        <v>9.1999999999999993</v>
      </c>
    </row>
    <row r="99" spans="10:16">
      <c r="J99" s="5"/>
      <c r="L99">
        <f>SEM!M99</f>
        <v>-1.198817432</v>
      </c>
      <c r="M99">
        <f>SEM!N99</f>
        <v>9.3000000000000007</v>
      </c>
      <c r="O99">
        <f>ABS(L99-SEM!$C$34)</f>
        <v>3.2888843368084189</v>
      </c>
      <c r="P99">
        <f t="shared" si="2"/>
        <v>9.3000000000000007</v>
      </c>
    </row>
    <row r="100" spans="10:16">
      <c r="J100" s="5"/>
      <c r="L100">
        <f>SEM!M100</f>
        <v>-1.1969248560000001</v>
      </c>
      <c r="M100">
        <f>SEM!N100</f>
        <v>9.4</v>
      </c>
      <c r="O100">
        <f>ABS(L100-SEM!$C$34)</f>
        <v>3.2907769128084192</v>
      </c>
      <c r="P100">
        <f t="shared" si="2"/>
        <v>9.4</v>
      </c>
    </row>
    <row r="101" spans="10:16">
      <c r="J101" s="5"/>
      <c r="L101">
        <f>SEM!M101</f>
        <v>-1.1943194800000001</v>
      </c>
      <c r="M101">
        <f>SEM!N101</f>
        <v>9.5</v>
      </c>
      <c r="O101">
        <f>ABS(L101-SEM!$C$34)</f>
        <v>3.2933822888084192</v>
      </c>
      <c r="P101">
        <f t="shared" si="2"/>
        <v>9.5</v>
      </c>
    </row>
    <row r="102" spans="10:16">
      <c r="J102" s="5"/>
      <c r="L102">
        <f>SEM!M102</f>
        <v>-1.1912626639999999</v>
      </c>
      <c r="M102">
        <f>SEM!N102</f>
        <v>9.6</v>
      </c>
      <c r="O102">
        <f>ABS(L102-SEM!$C$34)</f>
        <v>3.2964391048084192</v>
      </c>
      <c r="P102">
        <f t="shared" si="2"/>
        <v>9.6</v>
      </c>
    </row>
    <row r="103" spans="10:16">
      <c r="J103" s="5"/>
      <c r="L103">
        <f>SEM!M103</f>
        <v>-1.188279144</v>
      </c>
      <c r="M103">
        <f>SEM!N103</f>
        <v>9.6999999999999993</v>
      </c>
      <c r="O103">
        <f>ABS(L103-SEM!$C$34)</f>
        <v>3.2994226248084191</v>
      </c>
      <c r="P103">
        <f t="shared" si="2"/>
        <v>9.6999999999999993</v>
      </c>
    </row>
    <row r="104" spans="10:16">
      <c r="J104" s="5"/>
      <c r="L104">
        <f>SEM!M104</f>
        <v>-1.1864194960000001</v>
      </c>
      <c r="M104">
        <f>SEM!N104</f>
        <v>9.8000000000000007</v>
      </c>
      <c r="O104">
        <f>ABS(L104-SEM!$C$34)</f>
        <v>3.301282272808419</v>
      </c>
      <c r="P104">
        <f t="shared" si="2"/>
        <v>9.8000000000000007</v>
      </c>
    </row>
    <row r="105" spans="10:16">
      <c r="J105" s="5"/>
      <c r="L105">
        <f>SEM!M105</f>
        <v>-1.1845598479999999</v>
      </c>
      <c r="M105">
        <f>SEM!N105</f>
        <v>9.9</v>
      </c>
      <c r="O105">
        <f>ABS(L105-SEM!$C$34)</f>
        <v>3.303141920808419</v>
      </c>
      <c r="P105">
        <f t="shared" si="2"/>
        <v>9.9</v>
      </c>
    </row>
    <row r="106" spans="10:16">
      <c r="J106" s="5"/>
      <c r="L106">
        <f>SEM!M106</f>
        <v>-1.1825152000000001</v>
      </c>
      <c r="M106">
        <f>SEM!N106</f>
        <v>10</v>
      </c>
      <c r="O106">
        <f>ABS(L106-SEM!$C$34)</f>
        <v>3.305186568808419</v>
      </c>
      <c r="P106">
        <f t="shared" si="2"/>
        <v>10</v>
      </c>
    </row>
    <row r="107" spans="10:16">
      <c r="J107" s="5"/>
      <c r="L107">
        <f>SEM!M107</f>
        <v>-1.1802929520000001</v>
      </c>
      <c r="M107">
        <f>SEM!N107</f>
        <v>10.1</v>
      </c>
      <c r="O107">
        <f>ABS(L107-SEM!$C$34)</f>
        <v>3.3074088168084188</v>
      </c>
      <c r="P107">
        <f t="shared" si="2"/>
        <v>10.1</v>
      </c>
    </row>
    <row r="108" spans="10:16">
      <c r="J108" s="5"/>
      <c r="L108">
        <f>SEM!M108</f>
        <v>-1.178070704</v>
      </c>
      <c r="M108">
        <f>SEM!N108</f>
        <v>10.199999999999999</v>
      </c>
      <c r="O108">
        <f>ABS(L108-SEM!$C$34)</f>
        <v>3.3096310648084191</v>
      </c>
      <c r="P108">
        <f t="shared" si="2"/>
        <v>10.199999999999999</v>
      </c>
    </row>
    <row r="109" spans="10:16">
      <c r="J109" s="5"/>
      <c r="L109">
        <f>SEM!M109</f>
        <v>-1.17798</v>
      </c>
      <c r="M109">
        <f>SEM!N109</f>
        <v>10.3</v>
      </c>
      <c r="O109">
        <f>ABS(L109-SEM!$C$34)</f>
        <v>3.3097217688084193</v>
      </c>
      <c r="P109">
        <f t="shared" si="2"/>
        <v>10.3</v>
      </c>
    </row>
    <row r="110" spans="10:16">
      <c r="J110" s="5"/>
      <c r="L110">
        <f>SEM!M110</f>
        <v>-1.17798</v>
      </c>
      <c r="M110">
        <f>SEM!N110</f>
        <v>10.4</v>
      </c>
      <c r="O110">
        <f>ABS(L110-SEM!$C$34)</f>
        <v>3.3097217688084193</v>
      </c>
      <c r="P110">
        <f t="shared" si="2"/>
        <v>10.4</v>
      </c>
    </row>
    <row r="111" spans="10:16">
      <c r="J111" s="5"/>
      <c r="L111">
        <f>SEM!M111</f>
        <v>-1.1769278400000001</v>
      </c>
      <c r="M111">
        <f>SEM!N111</f>
        <v>10.5</v>
      </c>
      <c r="O111">
        <f>ABS(L111-SEM!$C$34)</f>
        <v>3.3107739288084188</v>
      </c>
      <c r="P111">
        <f t="shared" si="2"/>
        <v>10.5</v>
      </c>
    </row>
    <row r="112" spans="10:16">
      <c r="J112" s="5"/>
      <c r="L112">
        <f>SEM!M112</f>
        <v>-1.174350048</v>
      </c>
      <c r="M112">
        <f>SEM!N112</f>
        <v>10.6</v>
      </c>
      <c r="O112">
        <f>ABS(L112-SEM!$C$34)</f>
        <v>3.3133517208084191</v>
      </c>
      <c r="P112">
        <f t="shared" si="2"/>
        <v>10.6</v>
      </c>
    </row>
    <row r="113" spans="10:16">
      <c r="J113" s="5"/>
      <c r="L113">
        <f>SEM!M113</f>
        <v>-1.1717722559999999</v>
      </c>
      <c r="M113">
        <f>SEM!N113</f>
        <v>10.7</v>
      </c>
      <c r="O113">
        <f>ABS(L113-SEM!$C$34)</f>
        <v>3.3159295128084194</v>
      </c>
      <c r="P113">
        <f t="shared" si="2"/>
        <v>10.7</v>
      </c>
    </row>
    <row r="114" spans="10:16">
      <c r="J114" s="5"/>
      <c r="L114">
        <f>SEM!M114</f>
        <v>-1.1714039999999999</v>
      </c>
      <c r="M114">
        <f>SEM!N114</f>
        <v>10.8</v>
      </c>
      <c r="O114">
        <f>ABS(L114-SEM!$C$34)</f>
        <v>3.3162977688084192</v>
      </c>
      <c r="P114">
        <f t="shared" si="2"/>
        <v>10.8</v>
      </c>
    </row>
    <row r="115" spans="10:16">
      <c r="J115" s="5"/>
      <c r="L115">
        <f>SEM!M115</f>
        <v>-1.1714039999999999</v>
      </c>
      <c r="M115">
        <f>SEM!N115</f>
        <v>10.9</v>
      </c>
      <c r="O115">
        <f>ABS(L115-SEM!$C$34)</f>
        <v>3.3162977688084192</v>
      </c>
      <c r="P115">
        <f t="shared" si="2"/>
        <v>10.9</v>
      </c>
    </row>
    <row r="116" spans="10:16">
      <c r="J116" s="5"/>
      <c r="L116">
        <f>SEM!M116</f>
        <v>-1.17015756</v>
      </c>
      <c r="M116">
        <f>SEM!N116</f>
        <v>11</v>
      </c>
      <c r="O116">
        <f>ABS(L116-SEM!$C$34)</f>
        <v>3.3175442088084193</v>
      </c>
      <c r="P116">
        <f t="shared" si="2"/>
        <v>11</v>
      </c>
    </row>
    <row r="117" spans="10:16">
      <c r="J117" s="5"/>
      <c r="L117">
        <f>SEM!M117</f>
        <v>-1.166085856</v>
      </c>
      <c r="M117">
        <f>SEM!N117</f>
        <v>11.1</v>
      </c>
      <c r="O117">
        <f>ABS(L117-SEM!$C$34)</f>
        <v>3.3216159128084191</v>
      </c>
      <c r="P117">
        <f t="shared" si="2"/>
        <v>11.1</v>
      </c>
    </row>
    <row r="118" spans="10:16">
      <c r="J118" s="5"/>
      <c r="L118">
        <f>SEM!M118</f>
        <v>-1.162014152</v>
      </c>
      <c r="M118">
        <f>SEM!N118</f>
        <v>11.2</v>
      </c>
      <c r="O118">
        <f>ABS(L118-SEM!$C$34)</f>
        <v>3.3256876168084188</v>
      </c>
      <c r="P118">
        <f t="shared" si="2"/>
        <v>11.2</v>
      </c>
    </row>
    <row r="119" spans="10:16">
      <c r="J119" s="5"/>
      <c r="L119">
        <f>SEM!M119</f>
        <v>-1.1596326079999999</v>
      </c>
      <c r="M119">
        <f>SEM!N119</f>
        <v>11.3</v>
      </c>
      <c r="O119">
        <f>ABS(L119-SEM!$C$34)</f>
        <v>3.3280691608084192</v>
      </c>
      <c r="P119">
        <f t="shared" si="2"/>
        <v>11.3</v>
      </c>
    </row>
    <row r="120" spans="10:16">
      <c r="J120" s="5"/>
      <c r="L120">
        <f>SEM!M120</f>
        <v>-1.1577992239999999</v>
      </c>
      <c r="M120">
        <f>SEM!N120</f>
        <v>11.4</v>
      </c>
      <c r="O120">
        <f>ABS(L120-SEM!$C$34)</f>
        <v>3.3299025448084194</v>
      </c>
      <c r="P120">
        <f t="shared" si="2"/>
        <v>11.4</v>
      </c>
    </row>
    <row r="121" spans="10:16">
      <c r="J121" s="5"/>
      <c r="L121">
        <f>SEM!M121</f>
        <v>-1.1560620800000001</v>
      </c>
      <c r="M121">
        <f>SEM!N121</f>
        <v>11.5</v>
      </c>
      <c r="O121">
        <f>ABS(L121-SEM!$C$34)</f>
        <v>3.3316396888084192</v>
      </c>
      <c r="P121">
        <f t="shared" si="2"/>
        <v>11.5</v>
      </c>
    </row>
    <row r="122" spans="10:16">
      <c r="J122" s="5"/>
      <c r="L122">
        <f>SEM!M122</f>
        <v>-1.1547002719999999</v>
      </c>
      <c r="M122">
        <f>SEM!N122</f>
        <v>11.6</v>
      </c>
      <c r="O122">
        <f>ABS(L122-SEM!$C$34)</f>
        <v>3.3330014968084192</v>
      </c>
      <c r="P122">
        <f t="shared" si="2"/>
        <v>11.6</v>
      </c>
    </row>
    <row r="123" spans="10:16">
      <c r="J123" s="5"/>
      <c r="L123">
        <f>SEM!M123</f>
        <v>-1.153338464</v>
      </c>
      <c r="M123">
        <f>SEM!N123</f>
        <v>11.7</v>
      </c>
      <c r="O123">
        <f>ABS(L123-SEM!$C$34)</f>
        <v>3.3343633048084191</v>
      </c>
      <c r="P123">
        <f t="shared" si="2"/>
        <v>11.7</v>
      </c>
    </row>
    <row r="124" spans="10:16">
      <c r="J124" s="5"/>
      <c r="L124">
        <f>SEM!M124</f>
        <v>-1.1505934879999999</v>
      </c>
      <c r="M124">
        <f>SEM!N124</f>
        <v>11.8</v>
      </c>
      <c r="O124">
        <f>ABS(L124-SEM!$C$34)</f>
        <v>3.3371082808084189</v>
      </c>
      <c r="P124">
        <f t="shared" si="2"/>
        <v>11.8</v>
      </c>
    </row>
    <row r="125" spans="10:16">
      <c r="J125" s="5"/>
      <c r="L125">
        <f>SEM!M125</f>
        <v>-1.1471137039999999</v>
      </c>
      <c r="M125">
        <f>SEM!N125</f>
        <v>11.9</v>
      </c>
      <c r="O125">
        <f>ABS(L125-SEM!$C$34)</f>
        <v>3.3405880648084194</v>
      </c>
      <c r="P125">
        <f t="shared" si="2"/>
        <v>11.9</v>
      </c>
    </row>
    <row r="126" spans="10:16">
      <c r="J126" s="5"/>
      <c r="L126">
        <f>SEM!M126</f>
        <v>-1.1439889999999999</v>
      </c>
      <c r="M126">
        <f>SEM!N126</f>
        <v>12</v>
      </c>
      <c r="O126">
        <f>ABS(L126-SEM!$C$34)</f>
        <v>3.3437127688084192</v>
      </c>
      <c r="P126">
        <f t="shared" si="2"/>
        <v>12</v>
      </c>
    </row>
    <row r="127" spans="10:16">
      <c r="J127" s="5"/>
      <c r="L127">
        <f>SEM!M127</f>
        <v>-1.1439889999999999</v>
      </c>
      <c r="M127">
        <f>SEM!N127</f>
        <v>12.1</v>
      </c>
      <c r="O127">
        <f>ABS(L127-SEM!$C$34)</f>
        <v>3.3437127688084192</v>
      </c>
      <c r="P127">
        <f t="shared" si="2"/>
        <v>12.1</v>
      </c>
    </row>
    <row r="128" spans="10:16">
      <c r="J128" s="5"/>
      <c r="L128">
        <f>SEM!M128</f>
        <v>-1.1439889999999999</v>
      </c>
      <c r="M128">
        <f>SEM!N128</f>
        <v>12.2</v>
      </c>
      <c r="O128">
        <f>ABS(L128-SEM!$C$34)</f>
        <v>3.3437127688084192</v>
      </c>
      <c r="P128">
        <f t="shared" si="2"/>
        <v>12.2</v>
      </c>
    </row>
    <row r="129" spans="10:16">
      <c r="J129" s="5"/>
      <c r="L129">
        <f>SEM!M129</f>
        <v>-1.139922152</v>
      </c>
      <c r="M129">
        <f>SEM!N129</f>
        <v>12.3</v>
      </c>
      <c r="O129">
        <f>ABS(L129-SEM!$C$34)</f>
        <v>3.3477796168084191</v>
      </c>
      <c r="P129">
        <f t="shared" si="2"/>
        <v>12.3</v>
      </c>
    </row>
    <row r="130" spans="10:16">
      <c r="J130" s="5"/>
      <c r="L130">
        <f>SEM!M130</f>
        <v>-1.1325415759999999</v>
      </c>
      <c r="M130">
        <f>SEM!N130</f>
        <v>12.4</v>
      </c>
      <c r="O130">
        <f>ABS(L130-SEM!$C$34)</f>
        <v>3.3551601928084192</v>
      </c>
      <c r="P130">
        <f t="shared" si="2"/>
        <v>12.4</v>
      </c>
    </row>
    <row r="131" spans="10:16">
      <c r="J131" s="5"/>
      <c r="L131">
        <f>SEM!M131</f>
        <v>-1.1251610000000001</v>
      </c>
      <c r="M131">
        <f>SEM!N131</f>
        <v>12.5</v>
      </c>
      <c r="O131">
        <f>ABS(L131-SEM!$C$34)</f>
        <v>3.3625407688084188</v>
      </c>
      <c r="P131">
        <f t="shared" si="2"/>
        <v>12.5</v>
      </c>
    </row>
    <row r="132" spans="10:16">
      <c r="J132" s="5"/>
      <c r="L132">
        <f>SEM!M132</f>
        <v>-1.1246788400000001</v>
      </c>
      <c r="M132">
        <f>SEM!N132</f>
        <v>12.6</v>
      </c>
      <c r="O132">
        <f>ABS(L132-SEM!$C$34)</f>
        <v>3.363022928808419</v>
      </c>
      <c r="P132">
        <f t="shared" si="2"/>
        <v>12.6</v>
      </c>
    </row>
    <row r="133" spans="10:16">
      <c r="J133" s="5"/>
      <c r="L133">
        <f>SEM!M133</f>
        <v>-1.1241966800000001</v>
      </c>
      <c r="M133">
        <f>SEM!N133</f>
        <v>12.7</v>
      </c>
      <c r="O133">
        <f>ABS(L133-SEM!$C$34)</f>
        <v>3.3635050888084193</v>
      </c>
      <c r="P133">
        <f t="shared" si="2"/>
        <v>12.7</v>
      </c>
    </row>
    <row r="134" spans="10:16">
      <c r="J134" s="5"/>
      <c r="L134">
        <f>SEM!M134</f>
        <v>-1.1231069680000001</v>
      </c>
      <c r="M134">
        <f>SEM!N134</f>
        <v>12.8</v>
      </c>
      <c r="O134">
        <f>ABS(L134-SEM!$C$34)</f>
        <v>3.364594800808419</v>
      </c>
      <c r="P134">
        <f t="shared" si="2"/>
        <v>12.8</v>
      </c>
    </row>
    <row r="135" spans="10:16">
      <c r="J135" s="5"/>
      <c r="L135">
        <f>SEM!M135</f>
        <v>-1.121271624</v>
      </c>
      <c r="M135">
        <f>SEM!N135</f>
        <v>12.9</v>
      </c>
      <c r="O135">
        <f>ABS(L135-SEM!$C$34)</f>
        <v>3.3664301448084188</v>
      </c>
      <c r="P135">
        <f t="shared" ref="P135:P198" si="3">M135</f>
        <v>12.9</v>
      </c>
    </row>
    <row r="136" spans="10:16">
      <c r="J136" s="5"/>
      <c r="L136">
        <f>SEM!M136</f>
        <v>-1.11943628</v>
      </c>
      <c r="M136">
        <f>SEM!N136</f>
        <v>13</v>
      </c>
      <c r="O136">
        <f>ABS(L136-SEM!$C$34)</f>
        <v>3.3682654888084191</v>
      </c>
      <c r="P136">
        <f t="shared" si="3"/>
        <v>13</v>
      </c>
    </row>
    <row r="137" spans="10:16">
      <c r="J137" s="5"/>
      <c r="L137">
        <f>SEM!M137</f>
        <v>-1.1192489999999999</v>
      </c>
      <c r="M137">
        <f>SEM!N137</f>
        <v>13.1</v>
      </c>
      <c r="O137">
        <f>ABS(L137-SEM!$C$34)</f>
        <v>3.3684527688084192</v>
      </c>
      <c r="P137">
        <f t="shared" si="3"/>
        <v>13.1</v>
      </c>
    </row>
    <row r="138" spans="10:16">
      <c r="J138" s="5"/>
      <c r="L138">
        <f>SEM!M138</f>
        <v>-1.1192489999999999</v>
      </c>
      <c r="M138">
        <f>SEM!N138</f>
        <v>13.2</v>
      </c>
      <c r="O138">
        <f>ABS(L138-SEM!$C$34)</f>
        <v>3.3684527688084192</v>
      </c>
      <c r="P138">
        <f t="shared" si="3"/>
        <v>13.2</v>
      </c>
    </row>
    <row r="139" spans="10:16">
      <c r="J139" s="5"/>
      <c r="L139">
        <f>SEM!M139</f>
        <v>-1.1175752480000001</v>
      </c>
      <c r="M139">
        <f>SEM!N139</f>
        <v>13.3</v>
      </c>
      <c r="O139">
        <f>ABS(L139-SEM!$C$34)</f>
        <v>3.370126520808419</v>
      </c>
      <c r="P139">
        <f t="shared" si="3"/>
        <v>13.3</v>
      </c>
    </row>
    <row r="140" spans="10:16">
      <c r="J140" s="5"/>
      <c r="L140">
        <f>SEM!M140</f>
        <v>-1.1127509040000001</v>
      </c>
      <c r="M140">
        <f>SEM!N140</f>
        <v>13.4</v>
      </c>
      <c r="O140">
        <f>ABS(L140-SEM!$C$34)</f>
        <v>3.3749508648084188</v>
      </c>
      <c r="P140">
        <f t="shared" si="3"/>
        <v>13.4</v>
      </c>
    </row>
    <row r="141" spans="10:16">
      <c r="J141" s="5"/>
      <c r="L141">
        <f>SEM!M141</f>
        <v>-1.1079265599999999</v>
      </c>
      <c r="M141">
        <f>SEM!N141</f>
        <v>13.5</v>
      </c>
      <c r="O141">
        <f>ABS(L141-SEM!$C$34)</f>
        <v>3.379775208808419</v>
      </c>
      <c r="P141">
        <f t="shared" si="3"/>
        <v>13.5</v>
      </c>
    </row>
    <row r="142" spans="10:16">
      <c r="J142" s="5"/>
      <c r="L142">
        <f>SEM!M142</f>
        <v>-1.1048862319999999</v>
      </c>
      <c r="M142">
        <f>SEM!N142</f>
        <v>13.6</v>
      </c>
      <c r="O142">
        <f>ABS(L142-SEM!$C$34)</f>
        <v>3.382815536808419</v>
      </c>
      <c r="P142">
        <f t="shared" si="3"/>
        <v>13.6</v>
      </c>
    </row>
    <row r="143" spans="10:16">
      <c r="J143" s="5"/>
      <c r="L143">
        <f>SEM!M143</f>
        <v>-1.1023033440000001</v>
      </c>
      <c r="M143">
        <f>SEM!N143</f>
        <v>13.7</v>
      </c>
      <c r="O143">
        <f>ABS(L143-SEM!$C$34)</f>
        <v>3.385398424808419</v>
      </c>
      <c r="P143">
        <f t="shared" si="3"/>
        <v>13.7</v>
      </c>
    </row>
    <row r="144" spans="10:16">
      <c r="J144" s="5"/>
      <c r="L144">
        <f>SEM!M144</f>
        <v>-1.1003529999999999</v>
      </c>
      <c r="M144">
        <f>SEM!N144</f>
        <v>13.8</v>
      </c>
      <c r="O144">
        <f>ABS(L144-SEM!$C$34)</f>
        <v>3.387348768808419</v>
      </c>
      <c r="P144">
        <f t="shared" si="3"/>
        <v>13.8</v>
      </c>
    </row>
    <row r="145" spans="10:16">
      <c r="J145" s="5"/>
      <c r="L145">
        <f>SEM!M145</f>
        <v>-1.1003529999999999</v>
      </c>
      <c r="M145">
        <f>SEM!N145</f>
        <v>13.9</v>
      </c>
      <c r="O145">
        <f>ABS(L145-SEM!$C$34)</f>
        <v>3.387348768808419</v>
      </c>
      <c r="P145">
        <f t="shared" si="3"/>
        <v>13.9</v>
      </c>
    </row>
    <row r="146" spans="10:16">
      <c r="J146" s="5"/>
      <c r="L146">
        <f>SEM!M146</f>
        <v>-1.1003529999999999</v>
      </c>
      <c r="M146">
        <f>SEM!N146</f>
        <v>14</v>
      </c>
      <c r="O146">
        <f>ABS(L146-SEM!$C$34)</f>
        <v>3.387348768808419</v>
      </c>
      <c r="P146">
        <f t="shared" si="3"/>
        <v>14</v>
      </c>
    </row>
    <row r="147" spans="10:16">
      <c r="J147" s="5"/>
      <c r="L147">
        <f>SEM!M147</f>
        <v>-1.0985276079999999</v>
      </c>
      <c r="M147">
        <f>SEM!N147</f>
        <v>14.1</v>
      </c>
      <c r="O147">
        <f>ABS(L147-SEM!$C$34)</f>
        <v>3.3891741608084192</v>
      </c>
      <c r="P147">
        <f t="shared" si="3"/>
        <v>14.1</v>
      </c>
    </row>
    <row r="148" spans="10:16">
      <c r="J148" s="5"/>
      <c r="L148">
        <f>SEM!M148</f>
        <v>-1.095896896</v>
      </c>
      <c r="M148">
        <f>SEM!N148</f>
        <v>14.2</v>
      </c>
      <c r="O148">
        <f>ABS(L148-SEM!$C$34)</f>
        <v>3.3918048728084189</v>
      </c>
      <c r="P148">
        <f t="shared" si="3"/>
        <v>14.2</v>
      </c>
    </row>
    <row r="149" spans="10:16">
      <c r="J149" s="5"/>
      <c r="L149">
        <f>SEM!M149</f>
        <v>-1.092912712</v>
      </c>
      <c r="M149">
        <f>SEM!N149</f>
        <v>14.3</v>
      </c>
      <c r="O149">
        <f>ABS(L149-SEM!$C$34)</f>
        <v>3.3947890568084191</v>
      </c>
      <c r="P149">
        <f t="shared" si="3"/>
        <v>14.3</v>
      </c>
    </row>
    <row r="150" spans="10:16">
      <c r="J150" s="5"/>
      <c r="L150">
        <f>SEM!M150</f>
        <v>-1.087807696</v>
      </c>
      <c r="M150">
        <f>SEM!N150</f>
        <v>14.4</v>
      </c>
      <c r="O150">
        <f>ABS(L150-SEM!$C$34)</f>
        <v>3.399894072808419</v>
      </c>
      <c r="P150">
        <f t="shared" si="3"/>
        <v>14.4</v>
      </c>
    </row>
    <row r="151" spans="10:16">
      <c r="J151" s="5"/>
      <c r="L151">
        <f>SEM!M151</f>
        <v>-1.0827026799999999</v>
      </c>
      <c r="M151">
        <f>SEM!N151</f>
        <v>14.5</v>
      </c>
      <c r="O151">
        <f>ABS(L151-SEM!$C$34)</f>
        <v>3.4049990888084194</v>
      </c>
      <c r="P151">
        <f t="shared" si="3"/>
        <v>14.5</v>
      </c>
    </row>
    <row r="152" spans="10:16">
      <c r="J152" s="5"/>
      <c r="L152">
        <f>SEM!M152</f>
        <v>-1.0789625199999999</v>
      </c>
      <c r="M152">
        <f>SEM!N152</f>
        <v>14.6</v>
      </c>
      <c r="O152">
        <f>ABS(L152-SEM!$C$34)</f>
        <v>3.4087392488084189</v>
      </c>
      <c r="P152">
        <f t="shared" si="3"/>
        <v>14.6</v>
      </c>
    </row>
    <row r="153" spans="10:16">
      <c r="J153" s="5"/>
      <c r="L153">
        <f>SEM!M153</f>
        <v>-1.0761636400000001</v>
      </c>
      <c r="M153">
        <f>SEM!N153</f>
        <v>14.7</v>
      </c>
      <c r="O153">
        <f>ABS(L153-SEM!$C$34)</f>
        <v>3.4115381288084192</v>
      </c>
      <c r="P153">
        <f t="shared" si="3"/>
        <v>14.7</v>
      </c>
    </row>
    <row r="154" spans="10:16">
      <c r="J154" s="5"/>
      <c r="L154">
        <f>SEM!M154</f>
        <v>-1.072983448</v>
      </c>
      <c r="M154">
        <f>SEM!N154</f>
        <v>14.8</v>
      </c>
      <c r="O154">
        <f>ABS(L154-SEM!$C$34)</f>
        <v>3.4147183208084191</v>
      </c>
      <c r="P154">
        <f t="shared" si="3"/>
        <v>14.8</v>
      </c>
    </row>
    <row r="155" spans="10:16">
      <c r="J155" s="5"/>
      <c r="L155">
        <f>SEM!M155</f>
        <v>-1.0608424240000001</v>
      </c>
      <c r="M155">
        <f>SEM!N155</f>
        <v>14.9</v>
      </c>
      <c r="O155">
        <f>ABS(L155-SEM!$C$34)</f>
        <v>3.426859344808419</v>
      </c>
      <c r="P155">
        <f t="shared" si="3"/>
        <v>14.9</v>
      </c>
    </row>
    <row r="156" spans="10:16">
      <c r="J156" s="5"/>
      <c r="L156">
        <f>SEM!M156</f>
        <v>-1.0487013999999999</v>
      </c>
      <c r="M156">
        <f>SEM!N156</f>
        <v>15</v>
      </c>
      <c r="O156">
        <f>ABS(L156-SEM!$C$34)</f>
        <v>3.4390003688084194</v>
      </c>
      <c r="P156">
        <f t="shared" si="3"/>
        <v>15</v>
      </c>
    </row>
    <row r="157" spans="10:16">
      <c r="J157" s="5"/>
      <c r="L157">
        <f>SEM!M157</f>
        <v>-1.041671416</v>
      </c>
      <c r="M157">
        <f>SEM!N157</f>
        <v>15.1</v>
      </c>
      <c r="O157">
        <f>ABS(L157-SEM!$C$34)</f>
        <v>3.4460303528084193</v>
      </c>
      <c r="P157">
        <f t="shared" si="3"/>
        <v>15.1</v>
      </c>
    </row>
    <row r="158" spans="10:16">
      <c r="J158" s="5"/>
      <c r="L158">
        <f>SEM!M158</f>
        <v>-1.039965432</v>
      </c>
      <c r="M158">
        <f>SEM!N158</f>
        <v>15.2</v>
      </c>
      <c r="O158">
        <f>ABS(L158-SEM!$C$34)</f>
        <v>3.4477363368084193</v>
      </c>
      <c r="P158">
        <f t="shared" si="3"/>
        <v>15.2</v>
      </c>
    </row>
    <row r="159" spans="10:16">
      <c r="J159" s="5"/>
      <c r="L159">
        <f>SEM!M159</f>
        <v>-1.038259448</v>
      </c>
      <c r="M159">
        <f>SEM!N159</f>
        <v>15.3</v>
      </c>
      <c r="O159">
        <f>ABS(L159-SEM!$C$34)</f>
        <v>3.4494423208084193</v>
      </c>
      <c r="P159">
        <f t="shared" si="3"/>
        <v>15.3</v>
      </c>
    </row>
    <row r="160" spans="10:16">
      <c r="J160" s="5"/>
      <c r="L160">
        <f>SEM!M160</f>
        <v>-1.0258884559999999</v>
      </c>
      <c r="M160">
        <f>SEM!N160</f>
        <v>15.4</v>
      </c>
      <c r="O160">
        <f>ABS(L160-SEM!$C$34)</f>
        <v>3.4618133128084194</v>
      </c>
      <c r="P160">
        <f t="shared" si="3"/>
        <v>15.4</v>
      </c>
    </row>
    <row r="161" spans="10:16">
      <c r="J161" s="5"/>
      <c r="L161">
        <f>SEM!M161</f>
        <v>-1.0128219199999999</v>
      </c>
      <c r="M161">
        <f>SEM!N161</f>
        <v>15.5</v>
      </c>
      <c r="O161">
        <f>ABS(L161-SEM!$C$34)</f>
        <v>3.4748798488084192</v>
      </c>
      <c r="P161">
        <f t="shared" si="3"/>
        <v>15.5</v>
      </c>
    </row>
    <row r="162" spans="10:16">
      <c r="J162" s="5"/>
      <c r="L162">
        <f>SEM!M162</f>
        <v>-1.00351708</v>
      </c>
      <c r="M162">
        <f>SEM!N162</f>
        <v>15.6</v>
      </c>
      <c r="O162">
        <f>ABS(L162-SEM!$C$34)</f>
        <v>3.4841846888084191</v>
      </c>
      <c r="P162">
        <f t="shared" si="3"/>
        <v>15.6</v>
      </c>
    </row>
    <row r="163" spans="10:16">
      <c r="J163" s="5"/>
      <c r="L163">
        <f>SEM!M163</f>
        <v>-1.0001517600000001</v>
      </c>
      <c r="M163">
        <f>SEM!N163</f>
        <v>15.7</v>
      </c>
      <c r="O163">
        <f>ABS(L163-SEM!$C$34)</f>
        <v>3.487550008808419</v>
      </c>
      <c r="P163">
        <f t="shared" si="3"/>
        <v>15.7</v>
      </c>
    </row>
    <row r="164" spans="10:16">
      <c r="J164" s="5"/>
      <c r="L164">
        <f>SEM!M164</f>
        <v>-0.99678644000000005</v>
      </c>
      <c r="M164">
        <f>SEM!N164</f>
        <v>15.8</v>
      </c>
      <c r="O164">
        <f>ABS(L164-SEM!$C$34)</f>
        <v>3.4909153288084189</v>
      </c>
      <c r="P164">
        <f t="shared" si="3"/>
        <v>15.8</v>
      </c>
    </row>
    <row r="165" spans="10:16">
      <c r="J165" s="5"/>
      <c r="L165">
        <f>SEM!M165</f>
        <v>-0.99292583999999995</v>
      </c>
      <c r="M165">
        <f>SEM!N165</f>
        <v>15.9</v>
      </c>
      <c r="O165">
        <f>ABS(L165-SEM!$C$34)</f>
        <v>3.4947759288084193</v>
      </c>
      <c r="P165">
        <f t="shared" si="3"/>
        <v>15.9</v>
      </c>
    </row>
    <row r="166" spans="10:16">
      <c r="J166" s="5"/>
      <c r="L166">
        <f>SEM!M166</f>
        <v>-0.98896859999999998</v>
      </c>
      <c r="M166">
        <f>SEM!N166</f>
        <v>16</v>
      </c>
      <c r="O166">
        <f>ABS(L166-SEM!$C$34)</f>
        <v>3.4987331688084193</v>
      </c>
      <c r="P166">
        <f t="shared" si="3"/>
        <v>16</v>
      </c>
    </row>
    <row r="167" spans="10:16">
      <c r="J167" s="5"/>
      <c r="L167">
        <f>SEM!M167</f>
        <v>-0.98607502400000002</v>
      </c>
      <c r="M167">
        <f>SEM!N167</f>
        <v>16.100000000000001</v>
      </c>
      <c r="O167">
        <f>ABS(L167-SEM!$C$34)</f>
        <v>3.5016267448084193</v>
      </c>
      <c r="P167">
        <f t="shared" si="3"/>
        <v>16.100000000000001</v>
      </c>
    </row>
    <row r="168" spans="10:16">
      <c r="J168" s="5"/>
      <c r="L168">
        <f>SEM!M168</f>
        <v>-0.98584060799999995</v>
      </c>
      <c r="M168">
        <f>SEM!N168</f>
        <v>16.2</v>
      </c>
      <c r="O168">
        <f>ABS(L168-SEM!$C$34)</f>
        <v>3.5018611608084189</v>
      </c>
      <c r="P168">
        <f t="shared" si="3"/>
        <v>16.2</v>
      </c>
    </row>
    <row r="169" spans="10:16">
      <c r="J169" s="5"/>
      <c r="L169">
        <f>SEM!M169</f>
        <v>-0.98560619199999999</v>
      </c>
      <c r="M169">
        <f>SEM!N169</f>
        <v>16.3</v>
      </c>
      <c r="O169">
        <f>ABS(L169-SEM!$C$34)</f>
        <v>3.502095576808419</v>
      </c>
      <c r="P169">
        <f t="shared" si="3"/>
        <v>16.3</v>
      </c>
    </row>
    <row r="170" spans="10:16">
      <c r="J170" s="5"/>
      <c r="L170">
        <f>SEM!M170</f>
        <v>-0.98179337600000005</v>
      </c>
      <c r="M170">
        <f>SEM!N170</f>
        <v>16.399999999999999</v>
      </c>
      <c r="O170">
        <f>ABS(L170-SEM!$C$34)</f>
        <v>3.5059083928084189</v>
      </c>
      <c r="P170">
        <f t="shared" si="3"/>
        <v>16.399999999999999</v>
      </c>
    </row>
    <row r="171" spans="10:16">
      <c r="J171" s="5"/>
      <c r="L171">
        <f>SEM!M171</f>
        <v>-0.97668836000000003</v>
      </c>
      <c r="M171">
        <f>SEM!N171</f>
        <v>16.5</v>
      </c>
      <c r="O171">
        <f>ABS(L171-SEM!$C$34)</f>
        <v>3.5110134088084193</v>
      </c>
      <c r="P171">
        <f t="shared" si="3"/>
        <v>16.5</v>
      </c>
    </row>
    <row r="172" spans="10:16">
      <c r="J172" s="5"/>
      <c r="L172">
        <f>SEM!M172</f>
        <v>-0.97216899199999995</v>
      </c>
      <c r="M172">
        <f>SEM!N172</f>
        <v>16.600000000000001</v>
      </c>
      <c r="O172">
        <f>ABS(L172-SEM!$C$34)</f>
        <v>3.5155327768084192</v>
      </c>
      <c r="P172">
        <f t="shared" si="3"/>
        <v>16.600000000000001</v>
      </c>
    </row>
    <row r="173" spans="10:16">
      <c r="J173" s="5"/>
      <c r="L173">
        <f>SEM!M173</f>
        <v>-0.97025250399999996</v>
      </c>
      <c r="M173">
        <f>SEM!N173</f>
        <v>16.7</v>
      </c>
      <c r="O173">
        <f>ABS(L173-SEM!$C$34)</f>
        <v>3.5174492648084192</v>
      </c>
      <c r="P173">
        <f t="shared" si="3"/>
        <v>16.7</v>
      </c>
    </row>
    <row r="174" spans="10:16">
      <c r="J174" s="5"/>
      <c r="L174">
        <f>SEM!M174</f>
        <v>-0.96833601599999997</v>
      </c>
      <c r="M174">
        <f>SEM!N174</f>
        <v>16.8</v>
      </c>
      <c r="O174">
        <f>ABS(L174-SEM!$C$34)</f>
        <v>3.5193657528084192</v>
      </c>
      <c r="P174">
        <f t="shared" si="3"/>
        <v>16.8</v>
      </c>
    </row>
    <row r="175" spans="10:16">
      <c r="J175" s="5"/>
      <c r="L175">
        <f>SEM!M175</f>
        <v>-0.96441568799999999</v>
      </c>
      <c r="M175">
        <f>SEM!N175</f>
        <v>16.899999999999999</v>
      </c>
      <c r="O175">
        <f>ABS(L175-SEM!$C$34)</f>
        <v>3.5232860808084192</v>
      </c>
      <c r="P175">
        <f t="shared" si="3"/>
        <v>16.899999999999999</v>
      </c>
    </row>
    <row r="176" spans="10:16">
      <c r="J176" s="5"/>
      <c r="L176">
        <f>SEM!M176</f>
        <v>-0.95933184000000005</v>
      </c>
      <c r="M176">
        <f>SEM!N176</f>
        <v>17</v>
      </c>
      <c r="O176">
        <f>ABS(L176-SEM!$C$34)</f>
        <v>3.5283699288084192</v>
      </c>
      <c r="P176">
        <f t="shared" si="3"/>
        <v>17</v>
      </c>
    </row>
    <row r="177" spans="10:16">
      <c r="J177" s="5"/>
      <c r="L177">
        <f>SEM!M177</f>
        <v>-0.95455768799999996</v>
      </c>
      <c r="M177">
        <f>SEM!N177</f>
        <v>17.100000000000001</v>
      </c>
      <c r="O177">
        <f>ABS(L177-SEM!$C$34)</f>
        <v>3.5331440808084191</v>
      </c>
      <c r="P177">
        <f t="shared" si="3"/>
        <v>17.100000000000001</v>
      </c>
    </row>
    <row r="178" spans="10:16">
      <c r="J178" s="5"/>
      <c r="L178">
        <f>SEM!M178</f>
        <v>-0.95326761599999998</v>
      </c>
      <c r="M178">
        <f>SEM!N178</f>
        <v>17.2</v>
      </c>
      <c r="O178">
        <f>ABS(L178-SEM!$C$34)</f>
        <v>3.5344341528084193</v>
      </c>
      <c r="P178">
        <f t="shared" si="3"/>
        <v>17.2</v>
      </c>
    </row>
    <row r="179" spans="10:16">
      <c r="J179" s="5"/>
      <c r="L179">
        <f>SEM!M179</f>
        <v>-0.95197754400000001</v>
      </c>
      <c r="M179">
        <f>SEM!N179</f>
        <v>17.3</v>
      </c>
      <c r="O179">
        <f>ABS(L179-SEM!$C$34)</f>
        <v>3.5357242248084191</v>
      </c>
      <c r="P179">
        <f t="shared" si="3"/>
        <v>17.3</v>
      </c>
    </row>
    <row r="180" spans="10:16">
      <c r="J180" s="5"/>
      <c r="L180">
        <f>SEM!M180</f>
        <v>-0.95124990399999998</v>
      </c>
      <c r="M180">
        <f>SEM!N180</f>
        <v>17.399999999999999</v>
      </c>
      <c r="O180">
        <f>ABS(L180-SEM!$C$34)</f>
        <v>3.5364518648084191</v>
      </c>
      <c r="P180">
        <f t="shared" si="3"/>
        <v>17.399999999999999</v>
      </c>
    </row>
    <row r="181" spans="10:16">
      <c r="J181" s="5"/>
      <c r="L181">
        <f>SEM!M181</f>
        <v>-0.95101979999999997</v>
      </c>
      <c r="M181">
        <f>SEM!N181</f>
        <v>17.5</v>
      </c>
      <c r="O181">
        <f>ABS(L181-SEM!$C$34)</f>
        <v>3.536681968808419</v>
      </c>
      <c r="P181">
        <f t="shared" si="3"/>
        <v>17.5</v>
      </c>
    </row>
    <row r="182" spans="10:16">
      <c r="J182" s="5"/>
      <c r="L182">
        <f>SEM!M182</f>
        <v>-0.95078969599999996</v>
      </c>
      <c r="M182">
        <f>SEM!N182</f>
        <v>17.600000000000001</v>
      </c>
      <c r="O182">
        <f>ABS(L182-SEM!$C$34)</f>
        <v>3.5369120728084189</v>
      </c>
      <c r="P182">
        <f t="shared" si="3"/>
        <v>17.600000000000001</v>
      </c>
    </row>
    <row r="183" spans="10:16">
      <c r="J183" s="5"/>
      <c r="L183">
        <f>SEM!M183</f>
        <v>-0.94848522400000002</v>
      </c>
      <c r="M183">
        <f>SEM!N183</f>
        <v>17.7</v>
      </c>
      <c r="O183">
        <f>ABS(L183-SEM!$C$34)</f>
        <v>3.539216544808419</v>
      </c>
      <c r="P183">
        <f t="shared" si="3"/>
        <v>17.7</v>
      </c>
    </row>
    <row r="184" spans="10:16">
      <c r="J184" s="5"/>
      <c r="L184">
        <f>SEM!M184</f>
        <v>-0.94613753599999995</v>
      </c>
      <c r="M184">
        <f>SEM!N184</f>
        <v>17.8</v>
      </c>
      <c r="O184">
        <f>ABS(L184-SEM!$C$34)</f>
        <v>3.5415642328084189</v>
      </c>
      <c r="P184">
        <f t="shared" si="3"/>
        <v>17.8</v>
      </c>
    </row>
    <row r="185" spans="10:16">
      <c r="J185" s="5"/>
      <c r="L185">
        <f>SEM!M185</f>
        <v>-0.94260864</v>
      </c>
      <c r="M185">
        <f>SEM!N185</f>
        <v>17.899999999999999</v>
      </c>
      <c r="O185">
        <f>ABS(L185-SEM!$C$34)</f>
        <v>3.5450931288084191</v>
      </c>
      <c r="P185">
        <f t="shared" si="3"/>
        <v>17.899999999999999</v>
      </c>
    </row>
    <row r="186" spans="10:16">
      <c r="J186" s="5"/>
      <c r="L186">
        <f>SEM!M186</f>
        <v>-0.93750480000000003</v>
      </c>
      <c r="M186">
        <f>SEM!N186</f>
        <v>18</v>
      </c>
      <c r="O186">
        <f>ABS(L186-SEM!$C$34)</f>
        <v>3.550196968808419</v>
      </c>
      <c r="P186">
        <f t="shared" si="3"/>
        <v>18</v>
      </c>
    </row>
    <row r="187" spans="10:16">
      <c r="J187" s="5"/>
      <c r="L187">
        <f>SEM!M187</f>
        <v>-0.93240095999999995</v>
      </c>
      <c r="M187">
        <f>SEM!N187</f>
        <v>18.100000000000001</v>
      </c>
      <c r="O187">
        <f>ABS(L187-SEM!$C$34)</f>
        <v>3.5553008088084193</v>
      </c>
      <c r="P187">
        <f t="shared" si="3"/>
        <v>18.100000000000001</v>
      </c>
    </row>
    <row r="188" spans="10:16">
      <c r="J188" s="5"/>
      <c r="L188">
        <f>SEM!M188</f>
        <v>-0.931184664</v>
      </c>
      <c r="M188">
        <f>SEM!N188</f>
        <v>18.2</v>
      </c>
      <c r="O188">
        <f>ABS(L188-SEM!$C$34)</f>
        <v>3.5565171048084192</v>
      </c>
      <c r="P188">
        <f t="shared" si="3"/>
        <v>18.2</v>
      </c>
    </row>
    <row r="189" spans="10:16">
      <c r="J189" s="5"/>
      <c r="L189">
        <f>SEM!M189</f>
        <v>-0.93051081599999996</v>
      </c>
      <c r="M189">
        <f>SEM!N189</f>
        <v>18.3</v>
      </c>
      <c r="O189">
        <f>ABS(L189-SEM!$C$34)</f>
        <v>3.5571909528084191</v>
      </c>
      <c r="P189">
        <f t="shared" si="3"/>
        <v>18.3</v>
      </c>
    </row>
    <row r="190" spans="10:16">
      <c r="J190" s="5"/>
      <c r="L190">
        <f>SEM!M190</f>
        <v>-0.92884368799999995</v>
      </c>
      <c r="M190">
        <f>SEM!N190</f>
        <v>18.399999999999999</v>
      </c>
      <c r="O190">
        <f>ABS(L190-SEM!$C$34)</f>
        <v>3.5588580808084194</v>
      </c>
      <c r="P190">
        <f t="shared" si="3"/>
        <v>18.399999999999999</v>
      </c>
    </row>
    <row r="191" spans="10:16">
      <c r="J191" s="5"/>
      <c r="L191">
        <f>SEM!M191</f>
        <v>-0.92512791999999999</v>
      </c>
      <c r="M191">
        <f>SEM!N191</f>
        <v>18.5</v>
      </c>
      <c r="O191">
        <f>ABS(L191-SEM!$C$34)</f>
        <v>3.5625738488084191</v>
      </c>
      <c r="P191">
        <f t="shared" si="3"/>
        <v>18.5</v>
      </c>
    </row>
    <row r="192" spans="10:16">
      <c r="J192" s="5"/>
      <c r="L192">
        <f>SEM!M192</f>
        <v>-0.92141215200000004</v>
      </c>
      <c r="M192">
        <f>SEM!N192</f>
        <v>18.600000000000001</v>
      </c>
      <c r="O192">
        <f>ABS(L192-SEM!$C$34)</f>
        <v>3.5662896168084188</v>
      </c>
      <c r="P192">
        <f t="shared" si="3"/>
        <v>18.600000000000001</v>
      </c>
    </row>
    <row r="193" spans="10:16">
      <c r="J193" s="5"/>
      <c r="L193">
        <f>SEM!M193</f>
        <v>-0.91993777600000004</v>
      </c>
      <c r="M193">
        <f>SEM!N193</f>
        <v>18.7</v>
      </c>
      <c r="O193">
        <f>ABS(L193-SEM!$C$34)</f>
        <v>3.5677639928084188</v>
      </c>
      <c r="P193">
        <f t="shared" si="3"/>
        <v>18.7</v>
      </c>
    </row>
    <row r="194" spans="10:16">
      <c r="J194" s="5"/>
      <c r="L194">
        <f>SEM!M194</f>
        <v>-0.91911222400000003</v>
      </c>
      <c r="M194">
        <f>SEM!N194</f>
        <v>18.8</v>
      </c>
      <c r="O194">
        <f>ABS(L194-SEM!$C$34)</f>
        <v>3.5685895448084191</v>
      </c>
      <c r="P194">
        <f t="shared" si="3"/>
        <v>18.8</v>
      </c>
    </row>
    <row r="195" spans="10:16">
      <c r="J195" s="5"/>
      <c r="L195">
        <f>SEM!M195</f>
        <v>-0.91837590400000002</v>
      </c>
      <c r="M195">
        <f>SEM!N195</f>
        <v>18.899999999999999</v>
      </c>
      <c r="O195">
        <f>ABS(L195-SEM!$C$34)</f>
        <v>3.5693258648084192</v>
      </c>
      <c r="P195">
        <f t="shared" si="3"/>
        <v>18.899999999999999</v>
      </c>
    </row>
    <row r="196" spans="10:16">
      <c r="J196" s="5"/>
      <c r="L196">
        <f>SEM!M196</f>
        <v>-0.91794783999999996</v>
      </c>
      <c r="M196">
        <f>SEM!N196</f>
        <v>19</v>
      </c>
      <c r="O196">
        <f>ABS(L196-SEM!$C$34)</f>
        <v>3.569753928808419</v>
      </c>
      <c r="P196">
        <f t="shared" si="3"/>
        <v>19</v>
      </c>
    </row>
    <row r="197" spans="10:16">
      <c r="J197" s="5"/>
      <c r="L197">
        <f>SEM!M197</f>
        <v>-0.91751977600000001</v>
      </c>
      <c r="M197">
        <f>SEM!N197</f>
        <v>19.100000000000001</v>
      </c>
      <c r="O197">
        <f>ABS(L197-SEM!$C$34)</f>
        <v>3.5701819928084193</v>
      </c>
      <c r="P197">
        <f t="shared" si="3"/>
        <v>19.100000000000001</v>
      </c>
    </row>
    <row r="198" spans="10:16">
      <c r="J198" s="5"/>
      <c r="L198">
        <f>SEM!M198</f>
        <v>-0.91646919999999998</v>
      </c>
      <c r="M198">
        <f>SEM!N198</f>
        <v>19.2</v>
      </c>
      <c r="O198">
        <f>ABS(L198-SEM!$C$34)</f>
        <v>3.5712325688084192</v>
      </c>
      <c r="P198">
        <f t="shared" si="3"/>
        <v>19.2</v>
      </c>
    </row>
    <row r="199" spans="10:16">
      <c r="J199" s="5"/>
      <c r="L199">
        <f>SEM!M199</f>
        <v>-0.91511679999999995</v>
      </c>
      <c r="M199">
        <f>SEM!N199</f>
        <v>19.3</v>
      </c>
      <c r="O199">
        <f>ABS(L199-SEM!$C$34)</f>
        <v>3.5725849688084192</v>
      </c>
      <c r="P199">
        <f t="shared" ref="P199:P262" si="4">M199</f>
        <v>19.3</v>
      </c>
    </row>
    <row r="200" spans="10:16">
      <c r="J200" s="5"/>
      <c r="L200">
        <f>SEM!M200</f>
        <v>-0.913790608</v>
      </c>
      <c r="M200">
        <f>SEM!N200</f>
        <v>19.399999999999999</v>
      </c>
      <c r="O200">
        <f>ABS(L200-SEM!$C$34)</f>
        <v>3.5739111608084189</v>
      </c>
      <c r="P200">
        <f t="shared" si="4"/>
        <v>19.399999999999999</v>
      </c>
    </row>
    <row r="201" spans="10:16">
      <c r="J201" s="5"/>
      <c r="L201">
        <f>SEM!M201</f>
        <v>-0.91265224</v>
      </c>
      <c r="M201">
        <f>SEM!N201</f>
        <v>19.5</v>
      </c>
      <c r="O201">
        <f>ABS(L201-SEM!$C$34)</f>
        <v>3.5750495288084192</v>
      </c>
      <c r="P201">
        <f t="shared" si="4"/>
        <v>19.5</v>
      </c>
    </row>
    <row r="202" spans="10:16">
      <c r="J202" s="5"/>
      <c r="L202">
        <f>SEM!M202</f>
        <v>-0.911513872</v>
      </c>
      <c r="M202">
        <f>SEM!N202</f>
        <v>19.600000000000001</v>
      </c>
      <c r="O202">
        <f>ABS(L202-SEM!$C$34)</f>
        <v>3.5761878968084191</v>
      </c>
      <c r="P202">
        <f t="shared" si="4"/>
        <v>19.600000000000001</v>
      </c>
    </row>
    <row r="203" spans="10:16">
      <c r="J203" s="5"/>
      <c r="L203">
        <f>SEM!M203</f>
        <v>-0.90876225600000005</v>
      </c>
      <c r="M203">
        <f>SEM!N203</f>
        <v>19.7</v>
      </c>
      <c r="O203">
        <f>ABS(L203-SEM!$C$34)</f>
        <v>3.5789395128084189</v>
      </c>
      <c r="P203">
        <f t="shared" si="4"/>
        <v>19.7</v>
      </c>
    </row>
    <row r="204" spans="10:16">
      <c r="J204" s="5"/>
      <c r="L204">
        <f>SEM!M204</f>
        <v>-0.90480070400000001</v>
      </c>
      <c r="M204">
        <f>SEM!N204</f>
        <v>19.8</v>
      </c>
      <c r="O204">
        <f>ABS(L204-SEM!$C$34)</f>
        <v>3.5829010648084192</v>
      </c>
      <c r="P204">
        <f t="shared" si="4"/>
        <v>19.8</v>
      </c>
    </row>
    <row r="205" spans="10:16">
      <c r="J205" s="5"/>
      <c r="L205">
        <f>SEM!M205</f>
        <v>-0.90086951199999998</v>
      </c>
      <c r="M205">
        <f>SEM!N205</f>
        <v>19.899999999999999</v>
      </c>
      <c r="O205">
        <f>ABS(L205-SEM!$C$34)</f>
        <v>3.5868322568084192</v>
      </c>
      <c r="P205">
        <f t="shared" si="4"/>
        <v>19.899999999999999</v>
      </c>
    </row>
    <row r="206" spans="10:16">
      <c r="J206" s="5"/>
      <c r="L206">
        <f>SEM!M206</f>
        <v>-0.89839559999999996</v>
      </c>
      <c r="M206">
        <f>SEM!N206</f>
        <v>20</v>
      </c>
      <c r="O206">
        <f>ABS(L206-SEM!$C$34)</f>
        <v>3.5893061688084194</v>
      </c>
      <c r="P206">
        <f t="shared" si="4"/>
        <v>20</v>
      </c>
    </row>
    <row r="207" spans="10:16">
      <c r="J207" s="5"/>
      <c r="L207">
        <f>SEM!M207</f>
        <v>-0.89592168800000005</v>
      </c>
      <c r="M207">
        <f>SEM!N207</f>
        <v>20.100000000000001</v>
      </c>
      <c r="O207">
        <f>ABS(L207-SEM!$C$34)</f>
        <v>3.591780080808419</v>
      </c>
      <c r="P207">
        <f t="shared" si="4"/>
        <v>20.100000000000001</v>
      </c>
    </row>
    <row r="208" spans="10:16">
      <c r="J208" s="5"/>
      <c r="L208">
        <f>SEM!M208</f>
        <v>-0.89198239999999995</v>
      </c>
      <c r="M208">
        <f>SEM!N208</f>
        <v>20.2</v>
      </c>
      <c r="O208">
        <f>ABS(L208-SEM!$C$34)</f>
        <v>3.5957193688084192</v>
      </c>
      <c r="P208">
        <f t="shared" si="4"/>
        <v>20.2</v>
      </c>
    </row>
    <row r="209" spans="10:16">
      <c r="J209" s="5"/>
      <c r="L209">
        <f>SEM!M209</f>
        <v>-0.88638660000000002</v>
      </c>
      <c r="M209">
        <f>SEM!N209</f>
        <v>20.3</v>
      </c>
      <c r="O209">
        <f>ABS(L209-SEM!$C$34)</f>
        <v>3.6013151688084193</v>
      </c>
      <c r="P209">
        <f t="shared" si="4"/>
        <v>20.3</v>
      </c>
    </row>
    <row r="210" spans="10:16">
      <c r="J210" s="5"/>
      <c r="L210">
        <f>SEM!M210</f>
        <v>-0.88079079999999998</v>
      </c>
      <c r="M210">
        <f>SEM!N210</f>
        <v>20.399999999999999</v>
      </c>
      <c r="O210">
        <f>ABS(L210-SEM!$C$34)</f>
        <v>3.6069109688084193</v>
      </c>
      <c r="P210">
        <f t="shared" si="4"/>
        <v>20.399999999999999</v>
      </c>
    </row>
    <row r="211" spans="10:16">
      <c r="J211" s="5"/>
      <c r="L211">
        <f>SEM!M211</f>
        <v>-0.88033399999999995</v>
      </c>
      <c r="M211">
        <f>SEM!N211</f>
        <v>20.5</v>
      </c>
      <c r="O211">
        <f>ABS(L211-SEM!$C$34)</f>
        <v>3.6073677688084191</v>
      </c>
      <c r="P211">
        <f t="shared" si="4"/>
        <v>20.5</v>
      </c>
    </row>
    <row r="212" spans="10:16">
      <c r="J212" s="5"/>
      <c r="L212">
        <f>SEM!M212</f>
        <v>-0.88033399999999995</v>
      </c>
      <c r="M212">
        <f>SEM!N212</f>
        <v>20.6</v>
      </c>
      <c r="O212">
        <f>ABS(L212-SEM!$C$34)</f>
        <v>3.6073677688084191</v>
      </c>
      <c r="P212">
        <f t="shared" si="4"/>
        <v>20.6</v>
      </c>
    </row>
    <row r="213" spans="10:16">
      <c r="J213" s="5"/>
      <c r="L213">
        <f>SEM!M213</f>
        <v>-0.87768900800000005</v>
      </c>
      <c r="M213">
        <f>SEM!N213</f>
        <v>20.7</v>
      </c>
      <c r="O213">
        <f>ABS(L213-SEM!$C$34)</f>
        <v>3.6100127608084192</v>
      </c>
      <c r="P213">
        <f t="shared" si="4"/>
        <v>20.7</v>
      </c>
    </row>
    <row r="214" spans="10:16">
      <c r="J214" s="5"/>
      <c r="L214">
        <f>SEM!M214</f>
        <v>-0.87048875199999998</v>
      </c>
      <c r="M214">
        <f>SEM!N214</f>
        <v>20.8</v>
      </c>
      <c r="O214">
        <f>ABS(L214-SEM!$C$34)</f>
        <v>3.6172130168084191</v>
      </c>
      <c r="P214">
        <f t="shared" si="4"/>
        <v>20.8</v>
      </c>
    </row>
    <row r="215" spans="10:16">
      <c r="J215" s="5"/>
      <c r="L215">
        <f>SEM!M215</f>
        <v>-0.86328849600000002</v>
      </c>
      <c r="M215">
        <f>SEM!N215</f>
        <v>20.9</v>
      </c>
      <c r="O215">
        <f>ABS(L215-SEM!$C$34)</f>
        <v>3.6244132728084191</v>
      </c>
      <c r="P215">
        <f t="shared" si="4"/>
        <v>20.9</v>
      </c>
    </row>
    <row r="216" spans="10:16">
      <c r="J216" s="5"/>
      <c r="L216">
        <f>SEM!M216</f>
        <v>-0.86181207999999998</v>
      </c>
      <c r="M216">
        <f>SEM!N216</f>
        <v>21</v>
      </c>
      <c r="O216">
        <f>ABS(L216-SEM!$C$34)</f>
        <v>3.6258896888084191</v>
      </c>
      <c r="P216">
        <f t="shared" si="4"/>
        <v>21</v>
      </c>
    </row>
    <row r="217" spans="10:16">
      <c r="J217" s="5"/>
      <c r="L217">
        <f>SEM!M217</f>
        <v>-0.86162352799999997</v>
      </c>
      <c r="M217">
        <f>SEM!N217</f>
        <v>21.1</v>
      </c>
      <c r="O217">
        <f>ABS(L217-SEM!$C$34)</f>
        <v>3.6260782408084191</v>
      </c>
      <c r="P217">
        <f t="shared" si="4"/>
        <v>21.1</v>
      </c>
    </row>
    <row r="218" spans="10:16">
      <c r="J218" s="5"/>
      <c r="L218">
        <f>SEM!M218</f>
        <v>-0.86092662399999997</v>
      </c>
      <c r="M218">
        <f>SEM!N218</f>
        <v>21.2</v>
      </c>
      <c r="O218">
        <f>ABS(L218-SEM!$C$34)</f>
        <v>3.6267751448084189</v>
      </c>
      <c r="P218">
        <f t="shared" si="4"/>
        <v>21.2</v>
      </c>
    </row>
    <row r="219" spans="10:16">
      <c r="J219" s="5"/>
      <c r="L219">
        <f>SEM!M219</f>
        <v>-0.85882197599999999</v>
      </c>
      <c r="M219">
        <f>SEM!N219</f>
        <v>21.3</v>
      </c>
      <c r="O219">
        <f>ABS(L219-SEM!$C$34)</f>
        <v>3.6288797928084193</v>
      </c>
      <c r="P219">
        <f t="shared" si="4"/>
        <v>21.3</v>
      </c>
    </row>
    <row r="220" spans="10:16">
      <c r="J220" s="5"/>
      <c r="L220">
        <f>SEM!M220</f>
        <v>-0.856717328</v>
      </c>
      <c r="M220">
        <f>SEM!N220</f>
        <v>21.4</v>
      </c>
      <c r="O220">
        <f>ABS(L220-SEM!$C$34)</f>
        <v>3.6309844408084189</v>
      </c>
      <c r="P220">
        <f t="shared" si="4"/>
        <v>21.4</v>
      </c>
    </row>
    <row r="221" spans="10:16">
      <c r="J221" s="5"/>
      <c r="L221">
        <f>SEM!M221</f>
        <v>-0.85576348000000002</v>
      </c>
      <c r="M221">
        <f>SEM!N221</f>
        <v>21.5</v>
      </c>
      <c r="O221">
        <f>ABS(L221-SEM!$C$34)</f>
        <v>3.6319382888084188</v>
      </c>
      <c r="P221">
        <f t="shared" si="4"/>
        <v>21.5</v>
      </c>
    </row>
    <row r="222" spans="10:16">
      <c r="J222" s="5"/>
      <c r="L222">
        <f>SEM!M222</f>
        <v>-0.855269952</v>
      </c>
      <c r="M222">
        <f>SEM!N222</f>
        <v>21.6</v>
      </c>
      <c r="O222">
        <f>ABS(L222-SEM!$C$34)</f>
        <v>3.6324318168084191</v>
      </c>
      <c r="P222">
        <f t="shared" si="4"/>
        <v>21.6</v>
      </c>
    </row>
    <row r="223" spans="10:16">
      <c r="J223" s="5"/>
      <c r="L223">
        <f>SEM!M223</f>
        <v>-0.85478211999999998</v>
      </c>
      <c r="M223">
        <f>SEM!N223</f>
        <v>21.7</v>
      </c>
      <c r="O223">
        <f>ABS(L223-SEM!$C$34)</f>
        <v>3.6329196488084192</v>
      </c>
      <c r="P223">
        <f t="shared" si="4"/>
        <v>21.7</v>
      </c>
    </row>
    <row r="224" spans="10:16">
      <c r="J224" s="5"/>
      <c r="L224">
        <f>SEM!M224</f>
        <v>-0.85432348000000002</v>
      </c>
      <c r="M224">
        <f>SEM!N224</f>
        <v>21.8</v>
      </c>
      <c r="O224">
        <f>ABS(L224-SEM!$C$34)</f>
        <v>3.633378288808419</v>
      </c>
      <c r="P224">
        <f t="shared" si="4"/>
        <v>21.8</v>
      </c>
    </row>
    <row r="225" spans="10:16">
      <c r="J225" s="5"/>
      <c r="L225">
        <f>SEM!M225</f>
        <v>-0.85386483999999996</v>
      </c>
      <c r="M225">
        <f>SEM!N225</f>
        <v>21.9</v>
      </c>
      <c r="O225">
        <f>ABS(L225-SEM!$C$34)</f>
        <v>3.6338369288084191</v>
      </c>
      <c r="P225">
        <f t="shared" si="4"/>
        <v>21.9</v>
      </c>
    </row>
    <row r="226" spans="10:16">
      <c r="J226" s="5"/>
      <c r="L226">
        <f>SEM!M226</f>
        <v>-0.85254819999999998</v>
      </c>
      <c r="M226">
        <f>SEM!N226</f>
        <v>22</v>
      </c>
      <c r="O226">
        <f>ABS(L226-SEM!$C$34)</f>
        <v>3.6351535688084189</v>
      </c>
      <c r="P226">
        <f t="shared" si="4"/>
        <v>22</v>
      </c>
    </row>
    <row r="227" spans="10:16">
      <c r="J227" s="5"/>
      <c r="L227">
        <f>SEM!M227</f>
        <v>-0.85068816000000003</v>
      </c>
      <c r="M227">
        <f>SEM!N227</f>
        <v>22.1</v>
      </c>
      <c r="O227">
        <f>ABS(L227-SEM!$C$34)</f>
        <v>3.6370136088084193</v>
      </c>
      <c r="P227">
        <f t="shared" si="4"/>
        <v>22.1</v>
      </c>
    </row>
    <row r="228" spans="10:16">
      <c r="J228" s="5"/>
      <c r="L228">
        <f>SEM!M228</f>
        <v>-0.84856450400000005</v>
      </c>
      <c r="M228">
        <f>SEM!N228</f>
        <v>22.2</v>
      </c>
      <c r="O228">
        <f>ABS(L228-SEM!$C$34)</f>
        <v>3.639137264808419</v>
      </c>
      <c r="P228">
        <f t="shared" si="4"/>
        <v>22.2</v>
      </c>
    </row>
    <row r="229" spans="10:16">
      <c r="J229" s="5"/>
      <c r="L229">
        <f>SEM!M229</f>
        <v>-0.84239873600000004</v>
      </c>
      <c r="M229">
        <f>SEM!N229</f>
        <v>22.3</v>
      </c>
      <c r="O229">
        <f>ABS(L229-SEM!$C$34)</f>
        <v>3.6453030328084193</v>
      </c>
      <c r="P229">
        <f t="shared" si="4"/>
        <v>22.3</v>
      </c>
    </row>
    <row r="230" spans="10:16">
      <c r="J230" s="5"/>
      <c r="L230">
        <f>SEM!M230</f>
        <v>-0.83623296800000002</v>
      </c>
      <c r="M230">
        <f>SEM!N230</f>
        <v>22.4</v>
      </c>
      <c r="O230">
        <f>ABS(L230-SEM!$C$34)</f>
        <v>3.6514688008084191</v>
      </c>
      <c r="P230">
        <f t="shared" si="4"/>
        <v>22.4</v>
      </c>
    </row>
    <row r="231" spans="10:16">
      <c r="J231" s="5"/>
      <c r="L231">
        <f>SEM!M231</f>
        <v>-0.82948599999999995</v>
      </c>
      <c r="M231">
        <f>SEM!N231</f>
        <v>22.5</v>
      </c>
      <c r="O231">
        <f>ABS(L231-SEM!$C$34)</f>
        <v>3.6582157688084189</v>
      </c>
      <c r="P231">
        <f t="shared" si="4"/>
        <v>22.5</v>
      </c>
    </row>
    <row r="232" spans="10:16">
      <c r="J232" s="5"/>
      <c r="L232">
        <f>SEM!M232</f>
        <v>-0.82218108000000001</v>
      </c>
      <c r="M232">
        <f>SEM!N232</f>
        <v>22.6</v>
      </c>
      <c r="O232">
        <f>ABS(L232-SEM!$C$34)</f>
        <v>3.6655206888084191</v>
      </c>
      <c r="P232">
        <f t="shared" si="4"/>
        <v>22.6</v>
      </c>
    </row>
    <row r="233" spans="10:16">
      <c r="J233" s="5"/>
      <c r="L233">
        <f>SEM!M233</f>
        <v>-0.81487615999999996</v>
      </c>
      <c r="M233">
        <f>SEM!N233</f>
        <v>22.7</v>
      </c>
      <c r="O233">
        <f>ABS(L233-SEM!$C$34)</f>
        <v>3.6728256088084192</v>
      </c>
      <c r="P233">
        <f t="shared" si="4"/>
        <v>22.7</v>
      </c>
    </row>
    <row r="234" spans="10:16">
      <c r="J234" s="5"/>
      <c r="L234">
        <f>SEM!M234</f>
        <v>-0.81258670399999999</v>
      </c>
      <c r="M234">
        <f>SEM!N234</f>
        <v>22.8</v>
      </c>
      <c r="O234">
        <f>ABS(L234-SEM!$C$34)</f>
        <v>3.675115064808419</v>
      </c>
      <c r="P234">
        <f t="shared" si="4"/>
        <v>22.8</v>
      </c>
    </row>
    <row r="235" spans="10:16">
      <c r="J235" s="5"/>
      <c r="L235">
        <f>SEM!M235</f>
        <v>-0.81051067200000004</v>
      </c>
      <c r="M235">
        <f>SEM!N235</f>
        <v>22.9</v>
      </c>
      <c r="O235">
        <f>ABS(L235-SEM!$C$34)</f>
        <v>3.6771910968084192</v>
      </c>
      <c r="P235">
        <f t="shared" si="4"/>
        <v>22.9</v>
      </c>
    </row>
    <row r="236" spans="10:16">
      <c r="J236" s="5"/>
      <c r="L236">
        <f>SEM!M236</f>
        <v>-0.80846328000000001</v>
      </c>
      <c r="M236">
        <f>SEM!N236</f>
        <v>23</v>
      </c>
      <c r="O236">
        <f>ABS(L236-SEM!$C$34)</f>
        <v>3.6792384888084193</v>
      </c>
      <c r="P236">
        <f t="shared" si="4"/>
        <v>23</v>
      </c>
    </row>
    <row r="237" spans="10:16">
      <c r="J237" s="5"/>
      <c r="L237">
        <f>SEM!M237</f>
        <v>-0.80645741599999998</v>
      </c>
      <c r="M237">
        <f>SEM!N237</f>
        <v>23.1</v>
      </c>
      <c r="O237">
        <f>ABS(L237-SEM!$C$34)</f>
        <v>3.6812443528084193</v>
      </c>
      <c r="P237">
        <f t="shared" si="4"/>
        <v>23.1</v>
      </c>
    </row>
    <row r="238" spans="10:16">
      <c r="J238" s="5"/>
      <c r="L238">
        <f>SEM!M238</f>
        <v>-0.80445155199999996</v>
      </c>
      <c r="M238">
        <f>SEM!N238</f>
        <v>23.2</v>
      </c>
      <c r="O238">
        <f>ABS(L238-SEM!$C$34)</f>
        <v>3.6832502168084194</v>
      </c>
      <c r="P238">
        <f t="shared" si="4"/>
        <v>23.2</v>
      </c>
    </row>
    <row r="239" spans="10:16">
      <c r="J239" s="5"/>
      <c r="L239">
        <f>SEM!M239</f>
        <v>-0.80107077599999998</v>
      </c>
      <c r="M239">
        <f>SEM!N239</f>
        <v>23.3</v>
      </c>
      <c r="O239">
        <f>ABS(L239-SEM!$C$34)</f>
        <v>3.6866309928084191</v>
      </c>
      <c r="P239">
        <f t="shared" si="4"/>
        <v>23.3</v>
      </c>
    </row>
    <row r="240" spans="10:16">
      <c r="J240" s="5"/>
      <c r="L240">
        <f>SEM!M240</f>
        <v>-0.79746084800000006</v>
      </c>
      <c r="M240">
        <f>SEM!N240</f>
        <v>23.4</v>
      </c>
      <c r="O240">
        <f>ABS(L240-SEM!$C$34)</f>
        <v>3.690240920808419</v>
      </c>
      <c r="P240">
        <f t="shared" si="4"/>
        <v>23.4</v>
      </c>
    </row>
    <row r="241" spans="10:16">
      <c r="J241" s="5"/>
      <c r="L241">
        <f>SEM!M241</f>
        <v>-0.79369900000000004</v>
      </c>
      <c r="M241">
        <f>SEM!N241</f>
        <v>23.5</v>
      </c>
      <c r="O241">
        <f>ABS(L241-SEM!$C$34)</f>
        <v>3.6940027688084189</v>
      </c>
      <c r="P241">
        <f t="shared" si="4"/>
        <v>23.5</v>
      </c>
    </row>
    <row r="242" spans="10:16">
      <c r="J242" s="5"/>
      <c r="L242">
        <f>SEM!M242</f>
        <v>-0.78959279999999998</v>
      </c>
      <c r="M242">
        <f>SEM!N242</f>
        <v>23.6</v>
      </c>
      <c r="O242">
        <f>ABS(L242-SEM!$C$34)</f>
        <v>3.6981089688084192</v>
      </c>
      <c r="P242">
        <f t="shared" si="4"/>
        <v>23.6</v>
      </c>
    </row>
    <row r="243" spans="10:16">
      <c r="J243" s="5"/>
      <c r="L243">
        <f>SEM!M243</f>
        <v>-0.78548660000000003</v>
      </c>
      <c r="M243">
        <f>SEM!N243</f>
        <v>23.7</v>
      </c>
      <c r="O243">
        <f>ABS(L243-SEM!$C$34)</f>
        <v>3.7022151688084191</v>
      </c>
      <c r="P243">
        <f t="shared" si="4"/>
        <v>23.7</v>
      </c>
    </row>
    <row r="244" spans="10:16">
      <c r="J244" s="5"/>
      <c r="L244">
        <f>SEM!M244</f>
        <v>-0.77955526399999997</v>
      </c>
      <c r="M244">
        <f>SEM!N244</f>
        <v>23.8</v>
      </c>
      <c r="O244">
        <f>ABS(L244-SEM!$C$34)</f>
        <v>3.7081465048084192</v>
      </c>
      <c r="P244">
        <f t="shared" si="4"/>
        <v>23.8</v>
      </c>
    </row>
    <row r="245" spans="10:16">
      <c r="J245" s="5"/>
      <c r="L245">
        <f>SEM!M245</f>
        <v>-0.77303199199999995</v>
      </c>
      <c r="M245">
        <f>SEM!N245</f>
        <v>23.9</v>
      </c>
      <c r="O245">
        <f>ABS(L245-SEM!$C$34)</f>
        <v>3.7146697768084191</v>
      </c>
      <c r="P245">
        <f t="shared" si="4"/>
        <v>23.9</v>
      </c>
    </row>
    <row r="246" spans="10:16">
      <c r="J246" s="5"/>
      <c r="L246">
        <f>SEM!M246</f>
        <v>-0.76783999999999997</v>
      </c>
      <c r="M246">
        <f>SEM!N246</f>
        <v>24</v>
      </c>
      <c r="O246">
        <f>ABS(L246-SEM!$C$34)</f>
        <v>3.719861768808419</v>
      </c>
      <c r="P246">
        <f t="shared" si="4"/>
        <v>24</v>
      </c>
    </row>
    <row r="247" spans="10:16">
      <c r="J247" s="5"/>
      <c r="L247">
        <f>SEM!M247</f>
        <v>-0.76783999999999997</v>
      </c>
      <c r="M247">
        <f>SEM!N247</f>
        <v>24.1</v>
      </c>
      <c r="O247">
        <f>ABS(L247-SEM!$C$34)</f>
        <v>3.719861768808419</v>
      </c>
      <c r="P247">
        <f t="shared" si="4"/>
        <v>24.1</v>
      </c>
    </row>
    <row r="248" spans="10:16">
      <c r="J248" s="5"/>
      <c r="L248">
        <f>SEM!M248</f>
        <v>-0.76783999999999997</v>
      </c>
      <c r="M248">
        <f>SEM!N248</f>
        <v>24.2</v>
      </c>
      <c r="O248">
        <f>ABS(L248-SEM!$C$34)</f>
        <v>3.719861768808419</v>
      </c>
      <c r="P248">
        <f t="shared" si="4"/>
        <v>24.2</v>
      </c>
    </row>
    <row r="249" spans="10:16">
      <c r="J249" s="5"/>
      <c r="L249">
        <f>SEM!M249</f>
        <v>-0.76556057600000005</v>
      </c>
      <c r="M249">
        <f>SEM!N249</f>
        <v>24.3</v>
      </c>
      <c r="O249">
        <f>ABS(L249-SEM!$C$34)</f>
        <v>3.7221411928084192</v>
      </c>
      <c r="P249">
        <f t="shared" si="4"/>
        <v>24.3</v>
      </c>
    </row>
    <row r="250" spans="10:16">
      <c r="J250" s="5"/>
      <c r="L250">
        <f>SEM!M250</f>
        <v>-0.76207020800000003</v>
      </c>
      <c r="M250">
        <f>SEM!N250</f>
        <v>24.4</v>
      </c>
      <c r="O250">
        <f>ABS(L250-SEM!$C$34)</f>
        <v>3.7256315608084192</v>
      </c>
      <c r="P250">
        <f t="shared" si="4"/>
        <v>24.4</v>
      </c>
    </row>
    <row r="251" spans="10:16">
      <c r="J251" s="5"/>
      <c r="L251">
        <f>SEM!M251</f>
        <v>-0.75849931999999998</v>
      </c>
      <c r="M251">
        <f>SEM!N251</f>
        <v>24.5</v>
      </c>
      <c r="O251">
        <f>ABS(L251-SEM!$C$34)</f>
        <v>3.7292024488084192</v>
      </c>
      <c r="P251">
        <f t="shared" si="4"/>
        <v>24.5</v>
      </c>
    </row>
    <row r="252" spans="10:16">
      <c r="J252" s="5"/>
      <c r="L252">
        <f>SEM!M252</f>
        <v>-0.75421985599999997</v>
      </c>
      <c r="M252">
        <f>SEM!N252</f>
        <v>24.6</v>
      </c>
      <c r="O252">
        <f>ABS(L252-SEM!$C$34)</f>
        <v>3.7334819128084193</v>
      </c>
      <c r="P252">
        <f t="shared" si="4"/>
        <v>24.6</v>
      </c>
    </row>
    <row r="253" spans="10:16">
      <c r="J253" s="5"/>
      <c r="L253">
        <f>SEM!M253</f>
        <v>-0.74994039199999996</v>
      </c>
      <c r="M253">
        <f>SEM!N253</f>
        <v>24.7</v>
      </c>
      <c r="O253">
        <f>ABS(L253-SEM!$C$34)</f>
        <v>3.737761376808419</v>
      </c>
      <c r="P253">
        <f t="shared" si="4"/>
        <v>24.7</v>
      </c>
    </row>
    <row r="254" spans="10:16">
      <c r="J254" s="5"/>
      <c r="L254">
        <f>SEM!M254</f>
        <v>-0.74801899999999999</v>
      </c>
      <c r="M254">
        <f>SEM!N254</f>
        <v>24.8</v>
      </c>
      <c r="O254">
        <f>ABS(L254-SEM!$C$34)</f>
        <v>3.7396827688084189</v>
      </c>
      <c r="P254">
        <f t="shared" si="4"/>
        <v>24.8</v>
      </c>
    </row>
    <row r="255" spans="10:16">
      <c r="J255" s="5"/>
      <c r="L255">
        <f>SEM!M255</f>
        <v>-0.74801899999999999</v>
      </c>
      <c r="M255">
        <f>SEM!N255</f>
        <v>24.9</v>
      </c>
      <c r="O255">
        <f>ABS(L255-SEM!$C$34)</f>
        <v>3.7396827688084189</v>
      </c>
      <c r="P255">
        <f t="shared" si="4"/>
        <v>24.9</v>
      </c>
    </row>
    <row r="256" spans="10:16">
      <c r="J256" s="5"/>
      <c r="L256">
        <f>SEM!M256</f>
        <v>-0.74801899999999999</v>
      </c>
      <c r="M256">
        <f>SEM!N256</f>
        <v>25</v>
      </c>
      <c r="O256">
        <f>ABS(L256-SEM!$C$34)</f>
        <v>3.7396827688084189</v>
      </c>
      <c r="P256">
        <f t="shared" si="4"/>
        <v>25</v>
      </c>
    </row>
    <row r="257" spans="10:16">
      <c r="J257" s="5"/>
      <c r="L257">
        <f>SEM!M257</f>
        <v>-0.74133108800000003</v>
      </c>
      <c r="M257">
        <f>SEM!N257</f>
        <v>25.1</v>
      </c>
      <c r="O257">
        <f>ABS(L257-SEM!$C$34)</f>
        <v>3.7463706808084192</v>
      </c>
      <c r="P257">
        <f t="shared" si="4"/>
        <v>25.1</v>
      </c>
    </row>
    <row r="258" spans="10:16">
      <c r="J258" s="5"/>
      <c r="L258">
        <f>SEM!M258</f>
        <v>-0.73464317599999995</v>
      </c>
      <c r="M258">
        <f>SEM!N258</f>
        <v>25.2</v>
      </c>
      <c r="O258">
        <f>ABS(L258-SEM!$C$34)</f>
        <v>3.753058592808419</v>
      </c>
      <c r="P258">
        <f t="shared" si="4"/>
        <v>25.2</v>
      </c>
    </row>
    <row r="259" spans="10:16">
      <c r="J259" s="5"/>
      <c r="L259">
        <f>SEM!M259</f>
        <v>-0.72388526399999997</v>
      </c>
      <c r="M259">
        <f>SEM!N259</f>
        <v>25.3</v>
      </c>
      <c r="O259">
        <f>ABS(L259-SEM!$C$34)</f>
        <v>3.7638165048084193</v>
      </c>
      <c r="P259">
        <f t="shared" si="4"/>
        <v>25.3</v>
      </c>
    </row>
    <row r="260" spans="10:16">
      <c r="J260" s="5"/>
      <c r="L260">
        <f>SEM!M260</f>
        <v>-0.70813235200000002</v>
      </c>
      <c r="M260">
        <f>SEM!N260</f>
        <v>25.4</v>
      </c>
      <c r="O260">
        <f>ABS(L260-SEM!$C$34)</f>
        <v>3.7795694168084193</v>
      </c>
      <c r="P260">
        <f t="shared" si="4"/>
        <v>25.4</v>
      </c>
    </row>
    <row r="261" spans="10:16">
      <c r="J261" s="5"/>
      <c r="L261">
        <f>SEM!M261</f>
        <v>-0.69237943999999996</v>
      </c>
      <c r="M261">
        <f>SEM!N261</f>
        <v>25.5</v>
      </c>
      <c r="O261">
        <f>ABS(L261-SEM!$C$34)</f>
        <v>3.7953223288084192</v>
      </c>
      <c r="P261">
        <f t="shared" si="4"/>
        <v>25.5</v>
      </c>
    </row>
    <row r="262" spans="10:16">
      <c r="J262" s="5"/>
      <c r="L262">
        <f>SEM!M262</f>
        <v>-0.687054528</v>
      </c>
      <c r="M262">
        <f>SEM!N262</f>
        <v>25.6</v>
      </c>
      <c r="O262">
        <f>ABS(L262-SEM!$C$34)</f>
        <v>3.8006472408084191</v>
      </c>
      <c r="P262">
        <f t="shared" si="4"/>
        <v>25.6</v>
      </c>
    </row>
    <row r="263" spans="10:16">
      <c r="J263" s="5"/>
      <c r="L263">
        <f>SEM!M263</f>
        <v>-0.68291461600000003</v>
      </c>
      <c r="M263">
        <f>SEM!N263</f>
        <v>25.7</v>
      </c>
      <c r="O263">
        <f>ABS(L263-SEM!$C$34)</f>
        <v>3.8047871528084189</v>
      </c>
      <c r="P263">
        <f t="shared" ref="P263:P326" si="5">M263</f>
        <v>25.7</v>
      </c>
    </row>
    <row r="264" spans="10:16">
      <c r="J264" s="5"/>
      <c r="L264">
        <f>SEM!M264</f>
        <v>-0.67865230399999998</v>
      </c>
      <c r="M264">
        <f>SEM!N264</f>
        <v>25.8</v>
      </c>
      <c r="O264">
        <f>ABS(L264-SEM!$C$34)</f>
        <v>3.8090494648084192</v>
      </c>
      <c r="P264">
        <f t="shared" si="5"/>
        <v>25.8</v>
      </c>
    </row>
    <row r="265" spans="10:16">
      <c r="J265" s="5"/>
      <c r="L265">
        <f>SEM!M265</f>
        <v>-0.67415959199999997</v>
      </c>
      <c r="M265">
        <f>SEM!N265</f>
        <v>25.9</v>
      </c>
      <c r="O265">
        <f>ABS(L265-SEM!$C$34)</f>
        <v>3.813542176808419</v>
      </c>
      <c r="P265">
        <f t="shared" si="5"/>
        <v>25.9</v>
      </c>
    </row>
    <row r="266" spans="10:16">
      <c r="J266" s="5"/>
      <c r="L266">
        <f>SEM!M266</f>
        <v>-0.66966687999999996</v>
      </c>
      <c r="M266">
        <f>SEM!N266</f>
        <v>26</v>
      </c>
      <c r="O266">
        <f>ABS(L266-SEM!$C$34)</f>
        <v>3.8180348888084192</v>
      </c>
      <c r="P266">
        <f t="shared" si="5"/>
        <v>26</v>
      </c>
    </row>
    <row r="267" spans="10:16">
      <c r="J267" s="5"/>
      <c r="L267">
        <f>SEM!M267</f>
        <v>-0.66593108000000001</v>
      </c>
      <c r="M267">
        <f>SEM!N267</f>
        <v>26.1</v>
      </c>
      <c r="O267">
        <f>ABS(L267-SEM!$C$34)</f>
        <v>3.8217706888084191</v>
      </c>
      <c r="P267">
        <f t="shared" si="5"/>
        <v>26.1</v>
      </c>
    </row>
    <row r="268" spans="10:16">
      <c r="J268" s="5"/>
      <c r="L268">
        <f>SEM!M268</f>
        <v>-0.66238936000000004</v>
      </c>
      <c r="M268">
        <f>SEM!N268</f>
        <v>26.2</v>
      </c>
      <c r="O268">
        <f>ABS(L268-SEM!$C$34)</f>
        <v>3.8253124088084189</v>
      </c>
      <c r="P268">
        <f t="shared" si="5"/>
        <v>26.2</v>
      </c>
    </row>
    <row r="269" spans="10:16">
      <c r="J269" s="5"/>
      <c r="L269">
        <f>SEM!M269</f>
        <v>-0.65872466399999996</v>
      </c>
      <c r="M269">
        <f>SEM!N269</f>
        <v>26.3</v>
      </c>
      <c r="O269">
        <f>ABS(L269-SEM!$C$34)</f>
        <v>3.8289771048084189</v>
      </c>
      <c r="P269">
        <f t="shared" si="5"/>
        <v>26.3</v>
      </c>
    </row>
    <row r="270" spans="10:16">
      <c r="J270" s="5"/>
      <c r="L270">
        <f>SEM!M270</f>
        <v>-0.65468079199999996</v>
      </c>
      <c r="M270">
        <f>SEM!N270</f>
        <v>26.4</v>
      </c>
      <c r="O270">
        <f>ABS(L270-SEM!$C$34)</f>
        <v>3.8330209768084194</v>
      </c>
      <c r="P270">
        <f t="shared" si="5"/>
        <v>26.4</v>
      </c>
    </row>
    <row r="271" spans="10:16">
      <c r="J271" s="5"/>
      <c r="L271">
        <f>SEM!M271</f>
        <v>-0.65063691999999995</v>
      </c>
      <c r="M271">
        <f>SEM!N271</f>
        <v>26.5</v>
      </c>
      <c r="O271">
        <f>ABS(L271-SEM!$C$34)</f>
        <v>3.8370648488084189</v>
      </c>
      <c r="P271">
        <f t="shared" si="5"/>
        <v>26.5</v>
      </c>
    </row>
    <row r="272" spans="10:16">
      <c r="J272" s="5"/>
      <c r="L272">
        <f>SEM!M272</f>
        <v>-0.64491807199999995</v>
      </c>
      <c r="M272">
        <f>SEM!N272</f>
        <v>26.6</v>
      </c>
      <c r="O272">
        <f>ABS(L272-SEM!$C$34)</f>
        <v>3.8427836968084192</v>
      </c>
      <c r="P272">
        <f t="shared" si="5"/>
        <v>26.6</v>
      </c>
    </row>
    <row r="273" spans="10:16">
      <c r="J273" s="5"/>
      <c r="L273">
        <f>SEM!M273</f>
        <v>-0.638460264</v>
      </c>
      <c r="M273">
        <f>SEM!N273</f>
        <v>26.7</v>
      </c>
      <c r="O273">
        <f>ABS(L273-SEM!$C$34)</f>
        <v>3.8492415048084192</v>
      </c>
      <c r="P273">
        <f t="shared" si="5"/>
        <v>26.7</v>
      </c>
    </row>
    <row r="274" spans="10:16">
      <c r="J274" s="5"/>
      <c r="L274">
        <f>SEM!M274</f>
        <v>-0.63288137600000005</v>
      </c>
      <c r="M274">
        <f>SEM!N274</f>
        <v>26.8</v>
      </c>
      <c r="O274">
        <f>ABS(L274-SEM!$C$34)</f>
        <v>3.8548203928084188</v>
      </c>
      <c r="P274">
        <f t="shared" si="5"/>
        <v>26.8</v>
      </c>
    </row>
    <row r="275" spans="10:16">
      <c r="J275" s="5"/>
      <c r="L275">
        <f>SEM!M275</f>
        <v>-0.63257600800000002</v>
      </c>
      <c r="M275">
        <f>SEM!N275</f>
        <v>26.9</v>
      </c>
      <c r="O275">
        <f>ABS(L275-SEM!$C$34)</f>
        <v>3.8551257608084191</v>
      </c>
      <c r="P275">
        <f t="shared" si="5"/>
        <v>26.9</v>
      </c>
    </row>
    <row r="276" spans="10:16">
      <c r="J276" s="5"/>
      <c r="L276">
        <f>SEM!M276</f>
        <v>-0.63227063999999999</v>
      </c>
      <c r="M276">
        <f>SEM!N276</f>
        <v>27</v>
      </c>
      <c r="O276">
        <f>ABS(L276-SEM!$C$34)</f>
        <v>3.8554311288084193</v>
      </c>
      <c r="P276">
        <f t="shared" si="5"/>
        <v>27</v>
      </c>
    </row>
    <row r="277" spans="10:16">
      <c r="J277" s="5"/>
      <c r="L277">
        <f>SEM!M277</f>
        <v>-0.62745379999999995</v>
      </c>
      <c r="M277">
        <f>SEM!N277</f>
        <v>27.1</v>
      </c>
      <c r="O277">
        <f>ABS(L277-SEM!$C$34)</f>
        <v>3.860247968808419</v>
      </c>
      <c r="P277">
        <f t="shared" si="5"/>
        <v>27.1</v>
      </c>
    </row>
    <row r="278" spans="10:16">
      <c r="J278" s="5"/>
      <c r="L278">
        <f>SEM!M278</f>
        <v>-0.61952560000000001</v>
      </c>
      <c r="M278">
        <f>SEM!N278</f>
        <v>27.2</v>
      </c>
      <c r="O278">
        <f>ABS(L278-SEM!$C$34)</f>
        <v>3.8681761688084189</v>
      </c>
      <c r="P278">
        <f t="shared" si="5"/>
        <v>27.2</v>
      </c>
    </row>
    <row r="279" spans="10:16">
      <c r="J279" s="5"/>
      <c r="L279">
        <f>SEM!M279</f>
        <v>-0.61185711200000004</v>
      </c>
      <c r="M279">
        <f>SEM!N279</f>
        <v>27.3</v>
      </c>
      <c r="O279">
        <f>ABS(L279-SEM!$C$34)</f>
        <v>3.8758446568084191</v>
      </c>
      <c r="P279">
        <f t="shared" si="5"/>
        <v>27.3</v>
      </c>
    </row>
    <row r="280" spans="10:16">
      <c r="J280" s="5"/>
      <c r="L280">
        <f>SEM!M280</f>
        <v>-0.61029185600000002</v>
      </c>
      <c r="M280">
        <f>SEM!N280</f>
        <v>27.4</v>
      </c>
      <c r="O280">
        <f>ABS(L280-SEM!$C$34)</f>
        <v>3.8774099128084192</v>
      </c>
      <c r="P280">
        <f t="shared" si="5"/>
        <v>27.4</v>
      </c>
    </row>
    <row r="281" spans="10:16">
      <c r="J281" s="5"/>
      <c r="L281">
        <f>SEM!M281</f>
        <v>-0.60872660000000001</v>
      </c>
      <c r="M281">
        <f>SEM!N281</f>
        <v>27.5</v>
      </c>
      <c r="O281">
        <f>ABS(L281-SEM!$C$34)</f>
        <v>3.8789751688084193</v>
      </c>
      <c r="P281">
        <f t="shared" si="5"/>
        <v>27.5</v>
      </c>
    </row>
    <row r="282" spans="10:16">
      <c r="J282" s="5"/>
      <c r="L282">
        <f>SEM!M282</f>
        <v>-0.60784236800000002</v>
      </c>
      <c r="M282">
        <f>SEM!N282</f>
        <v>27.6</v>
      </c>
      <c r="O282">
        <f>ABS(L282-SEM!$C$34)</f>
        <v>3.8798594008084191</v>
      </c>
      <c r="P282">
        <f t="shared" si="5"/>
        <v>27.6</v>
      </c>
    </row>
    <row r="283" spans="10:16">
      <c r="J283" s="5"/>
      <c r="L283">
        <f>SEM!M283</f>
        <v>-0.60766753600000001</v>
      </c>
      <c r="M283">
        <f>SEM!N283</f>
        <v>27.7</v>
      </c>
      <c r="O283">
        <f>ABS(L283-SEM!$C$34)</f>
        <v>3.880034232808419</v>
      </c>
      <c r="P283">
        <f t="shared" si="5"/>
        <v>27.7</v>
      </c>
    </row>
    <row r="284" spans="10:16">
      <c r="J284" s="5"/>
      <c r="L284">
        <f>SEM!M284</f>
        <v>-0.60749270399999999</v>
      </c>
      <c r="M284">
        <f>SEM!N284</f>
        <v>27.8</v>
      </c>
      <c r="O284">
        <f>ABS(L284-SEM!$C$34)</f>
        <v>3.8802090648084189</v>
      </c>
      <c r="P284">
        <f t="shared" si="5"/>
        <v>27.8</v>
      </c>
    </row>
    <row r="285" spans="10:16">
      <c r="J285" s="5"/>
      <c r="L285">
        <f>SEM!M285</f>
        <v>-0.606809296</v>
      </c>
      <c r="M285">
        <f>SEM!N285</f>
        <v>27.9</v>
      </c>
      <c r="O285">
        <f>ABS(L285-SEM!$C$34)</f>
        <v>3.8808924728084193</v>
      </c>
      <c r="P285">
        <f t="shared" si="5"/>
        <v>27.9</v>
      </c>
    </row>
    <row r="286" spans="10:16">
      <c r="J286" s="5"/>
      <c r="L286">
        <f>SEM!M286</f>
        <v>-0.60609272000000003</v>
      </c>
      <c r="M286">
        <f>SEM!N286</f>
        <v>28</v>
      </c>
      <c r="O286">
        <f>ABS(L286-SEM!$C$34)</f>
        <v>3.8816090488084192</v>
      </c>
      <c r="P286">
        <f t="shared" si="5"/>
        <v>28</v>
      </c>
    </row>
    <row r="287" spans="10:16">
      <c r="J287" s="5"/>
      <c r="L287">
        <f>SEM!M287</f>
        <v>-0.60264713599999997</v>
      </c>
      <c r="M287">
        <f>SEM!N287</f>
        <v>28.1</v>
      </c>
      <c r="O287">
        <f>ABS(L287-SEM!$C$34)</f>
        <v>3.8850546328084192</v>
      </c>
      <c r="P287">
        <f t="shared" si="5"/>
        <v>28.1</v>
      </c>
    </row>
    <row r="288" spans="10:16">
      <c r="J288" s="5"/>
      <c r="L288">
        <f>SEM!M288</f>
        <v>-0.594892592</v>
      </c>
      <c r="M288">
        <f>SEM!N288</f>
        <v>28.2</v>
      </c>
      <c r="O288">
        <f>ABS(L288-SEM!$C$34)</f>
        <v>3.8928091768084192</v>
      </c>
      <c r="P288">
        <f t="shared" si="5"/>
        <v>28.2</v>
      </c>
    </row>
    <row r="289" spans="10:16">
      <c r="J289" s="5"/>
      <c r="L289">
        <f>SEM!M289</f>
        <v>-0.58713804800000002</v>
      </c>
      <c r="M289">
        <f>SEM!N289</f>
        <v>28.3</v>
      </c>
      <c r="O289">
        <f>ABS(L289-SEM!$C$34)</f>
        <v>3.9005637208084192</v>
      </c>
      <c r="P289">
        <f t="shared" si="5"/>
        <v>28.3</v>
      </c>
    </row>
    <row r="290" spans="10:16">
      <c r="J290" s="5"/>
      <c r="L290">
        <f>SEM!M290</f>
        <v>-0.58482305599999995</v>
      </c>
      <c r="M290">
        <f>SEM!N290</f>
        <v>28.4</v>
      </c>
      <c r="O290">
        <f>ABS(L290-SEM!$C$34)</f>
        <v>3.9028787128084192</v>
      </c>
      <c r="P290">
        <f t="shared" si="5"/>
        <v>28.4</v>
      </c>
    </row>
    <row r="291" spans="10:16">
      <c r="J291" s="5"/>
      <c r="L291">
        <f>SEM!M291</f>
        <v>-0.58356943999999999</v>
      </c>
      <c r="M291">
        <f>SEM!N291</f>
        <v>28.5</v>
      </c>
      <c r="O291">
        <f>ABS(L291-SEM!$C$34)</f>
        <v>3.9041323288084193</v>
      </c>
      <c r="P291">
        <f t="shared" si="5"/>
        <v>28.5</v>
      </c>
    </row>
    <row r="292" spans="10:16">
      <c r="J292" s="5"/>
      <c r="L292">
        <f>SEM!M292</f>
        <v>-0.58199662399999996</v>
      </c>
      <c r="M292">
        <f>SEM!N292</f>
        <v>28.6</v>
      </c>
      <c r="O292">
        <f>ABS(L292-SEM!$C$34)</f>
        <v>3.9057051448084192</v>
      </c>
      <c r="P292">
        <f t="shared" si="5"/>
        <v>28.6</v>
      </c>
    </row>
    <row r="293" spans="10:16">
      <c r="J293" s="5"/>
      <c r="L293">
        <f>SEM!M293</f>
        <v>-0.57962580799999996</v>
      </c>
      <c r="M293">
        <f>SEM!N293</f>
        <v>28.7</v>
      </c>
      <c r="O293">
        <f>ABS(L293-SEM!$C$34)</f>
        <v>3.9080759608084192</v>
      </c>
      <c r="P293">
        <f t="shared" si="5"/>
        <v>28.7</v>
      </c>
    </row>
    <row r="294" spans="10:16">
      <c r="J294" s="5"/>
      <c r="L294">
        <f>SEM!M294</f>
        <v>-0.57725499199999997</v>
      </c>
      <c r="M294">
        <f>SEM!N294</f>
        <v>28.8</v>
      </c>
      <c r="O294">
        <f>ABS(L294-SEM!$C$34)</f>
        <v>3.9104467768084192</v>
      </c>
      <c r="P294">
        <f t="shared" si="5"/>
        <v>28.8</v>
      </c>
    </row>
    <row r="295" spans="10:16">
      <c r="J295" s="5"/>
      <c r="L295">
        <f>SEM!M295</f>
        <v>-0.57662599999999997</v>
      </c>
      <c r="M295">
        <f>SEM!N295</f>
        <v>28.9</v>
      </c>
      <c r="O295">
        <f>ABS(L295-SEM!$C$34)</f>
        <v>3.911075768808419</v>
      </c>
      <c r="P295">
        <f t="shared" si="5"/>
        <v>28.9</v>
      </c>
    </row>
    <row r="296" spans="10:16">
      <c r="J296" s="5"/>
      <c r="L296">
        <f>SEM!M296</f>
        <v>-0.57662599999999997</v>
      </c>
      <c r="M296">
        <f>SEM!N296</f>
        <v>29</v>
      </c>
      <c r="O296">
        <f>ABS(L296-SEM!$C$34)</f>
        <v>3.911075768808419</v>
      </c>
      <c r="P296">
        <f t="shared" si="5"/>
        <v>29</v>
      </c>
    </row>
    <row r="297" spans="10:16">
      <c r="J297" s="5"/>
      <c r="L297">
        <f>SEM!M297</f>
        <v>-0.57561728000000001</v>
      </c>
      <c r="M297">
        <f>SEM!N297</f>
        <v>29.1</v>
      </c>
      <c r="O297">
        <f>ABS(L297-SEM!$C$34)</f>
        <v>3.9120844888084192</v>
      </c>
      <c r="P297">
        <f t="shared" si="5"/>
        <v>29.1</v>
      </c>
    </row>
    <row r="298" spans="10:16">
      <c r="J298" s="5"/>
      <c r="L298">
        <f>SEM!M298</f>
        <v>-0.57012536000000003</v>
      </c>
      <c r="M298">
        <f>SEM!N298</f>
        <v>29.2</v>
      </c>
      <c r="O298">
        <f>ABS(L298-SEM!$C$34)</f>
        <v>3.9175764088084191</v>
      </c>
      <c r="P298">
        <f t="shared" si="5"/>
        <v>29.2</v>
      </c>
    </row>
    <row r="299" spans="10:16">
      <c r="J299" s="5"/>
      <c r="L299">
        <f>SEM!M299</f>
        <v>-0.56463344000000004</v>
      </c>
      <c r="M299">
        <f>SEM!N299</f>
        <v>29.3</v>
      </c>
      <c r="O299">
        <f>ABS(L299-SEM!$C$34)</f>
        <v>3.9230683288084189</v>
      </c>
      <c r="P299">
        <f t="shared" si="5"/>
        <v>29.3</v>
      </c>
    </row>
    <row r="300" spans="10:16">
      <c r="J300" s="5"/>
      <c r="L300">
        <f>SEM!M300</f>
        <v>-0.562616</v>
      </c>
      <c r="M300">
        <f>SEM!N300</f>
        <v>29.4</v>
      </c>
      <c r="O300">
        <f>ABS(L300-SEM!$C$34)</f>
        <v>3.9250857688084189</v>
      </c>
      <c r="P300">
        <f t="shared" si="5"/>
        <v>29.4</v>
      </c>
    </row>
    <row r="301" spans="10:16">
      <c r="J301" s="5"/>
      <c r="L301">
        <f>SEM!M301</f>
        <v>-0.562616</v>
      </c>
      <c r="M301">
        <f>SEM!N301</f>
        <v>29.5</v>
      </c>
      <c r="O301">
        <f>ABS(L301-SEM!$C$34)</f>
        <v>3.9250857688084189</v>
      </c>
      <c r="P301">
        <f t="shared" si="5"/>
        <v>29.5</v>
      </c>
    </row>
    <row r="302" spans="10:16">
      <c r="J302" s="5"/>
      <c r="L302">
        <f>SEM!M302</f>
        <v>-0.56246419199999997</v>
      </c>
      <c r="M302">
        <f>SEM!N302</f>
        <v>29.6</v>
      </c>
      <c r="O302">
        <f>ABS(L302-SEM!$C$34)</f>
        <v>3.9252375768084189</v>
      </c>
      <c r="P302">
        <f t="shared" si="5"/>
        <v>29.6</v>
      </c>
    </row>
    <row r="303" spans="10:16">
      <c r="J303" s="5"/>
      <c r="L303">
        <f>SEM!M303</f>
        <v>-0.56060454400000004</v>
      </c>
      <c r="M303">
        <f>SEM!N303</f>
        <v>29.7</v>
      </c>
      <c r="O303">
        <f>ABS(L303-SEM!$C$34)</f>
        <v>3.9270972248084188</v>
      </c>
      <c r="P303">
        <f t="shared" si="5"/>
        <v>29.7</v>
      </c>
    </row>
    <row r="304" spans="10:16">
      <c r="J304" s="5"/>
      <c r="L304">
        <f>SEM!M304</f>
        <v>-0.55874489599999999</v>
      </c>
      <c r="M304">
        <f>SEM!N304</f>
        <v>29.8</v>
      </c>
      <c r="O304">
        <f>ABS(L304-SEM!$C$34)</f>
        <v>3.9289568728084192</v>
      </c>
      <c r="P304">
        <f t="shared" si="5"/>
        <v>29.8</v>
      </c>
    </row>
    <row r="305" spans="10:16">
      <c r="J305" s="5"/>
      <c r="L305">
        <f>SEM!M305</f>
        <v>-0.55612043200000005</v>
      </c>
      <c r="M305">
        <f>SEM!N305</f>
        <v>29.9</v>
      </c>
      <c r="O305">
        <f>ABS(L305-SEM!$C$34)</f>
        <v>3.9315813368084189</v>
      </c>
      <c r="P305">
        <f t="shared" si="5"/>
        <v>29.9</v>
      </c>
    </row>
    <row r="306" spans="10:16">
      <c r="J306" s="5"/>
      <c r="L306">
        <f>SEM!M306</f>
        <v>-0.55281939999999996</v>
      </c>
      <c r="M306">
        <f>SEM!N306</f>
        <v>30</v>
      </c>
      <c r="O306">
        <f>ABS(L306-SEM!$C$34)</f>
        <v>3.9348823688084194</v>
      </c>
      <c r="P306">
        <f t="shared" si="5"/>
        <v>30</v>
      </c>
    </row>
    <row r="307" spans="10:16">
      <c r="J307" s="5"/>
      <c r="L307">
        <f>SEM!M307</f>
        <v>-0.54951836799999998</v>
      </c>
      <c r="M307">
        <f>SEM!N307</f>
        <v>30.1</v>
      </c>
      <c r="O307">
        <f>ABS(L307-SEM!$C$34)</f>
        <v>3.9381834008084189</v>
      </c>
      <c r="P307">
        <f t="shared" si="5"/>
        <v>30.1</v>
      </c>
    </row>
    <row r="308" spans="10:16">
      <c r="J308" s="5"/>
      <c r="L308">
        <f>SEM!M308</f>
        <v>-0.54629490400000003</v>
      </c>
      <c r="M308">
        <f>SEM!N308</f>
        <v>30.2</v>
      </c>
      <c r="O308">
        <f>ABS(L308-SEM!$C$34)</f>
        <v>3.9414068648084193</v>
      </c>
      <c r="P308">
        <f t="shared" si="5"/>
        <v>30.2</v>
      </c>
    </row>
    <row r="309" spans="10:16">
      <c r="J309" s="5"/>
      <c r="L309">
        <f>SEM!M309</f>
        <v>-0.543073056</v>
      </c>
      <c r="M309">
        <f>SEM!N309</f>
        <v>30.3</v>
      </c>
      <c r="O309">
        <f>ABS(L309-SEM!$C$34)</f>
        <v>3.9446287128084192</v>
      </c>
      <c r="P309">
        <f t="shared" si="5"/>
        <v>30.3</v>
      </c>
    </row>
    <row r="310" spans="10:16">
      <c r="J310" s="5"/>
      <c r="L310">
        <f>SEM!M310</f>
        <v>-0.54099596000000005</v>
      </c>
      <c r="M310">
        <f>SEM!N310</f>
        <v>30.4</v>
      </c>
      <c r="O310">
        <f>ABS(L310-SEM!$C$34)</f>
        <v>3.946705808808419</v>
      </c>
      <c r="P310">
        <f t="shared" si="5"/>
        <v>30.4</v>
      </c>
    </row>
    <row r="311" spans="10:16">
      <c r="J311" s="5"/>
      <c r="L311">
        <f>SEM!M311</f>
        <v>-0.54044519999999996</v>
      </c>
      <c r="M311">
        <f>SEM!N311</f>
        <v>30.5</v>
      </c>
      <c r="O311">
        <f>ABS(L311-SEM!$C$34)</f>
        <v>3.9472565688084194</v>
      </c>
      <c r="P311">
        <f t="shared" si="5"/>
        <v>30.5</v>
      </c>
    </row>
    <row r="312" spans="10:16">
      <c r="J312" s="5"/>
      <c r="L312">
        <f>SEM!M312</f>
        <v>-0.53989443999999998</v>
      </c>
      <c r="M312">
        <f>SEM!N312</f>
        <v>30.6</v>
      </c>
      <c r="O312">
        <f>ABS(L312-SEM!$C$34)</f>
        <v>3.9478073288084192</v>
      </c>
      <c r="P312">
        <f t="shared" si="5"/>
        <v>30.6</v>
      </c>
    </row>
    <row r="313" spans="10:16">
      <c r="J313" s="5"/>
      <c r="L313">
        <f>SEM!M313</f>
        <v>-0.53892021599999995</v>
      </c>
      <c r="M313">
        <f>SEM!N313</f>
        <v>30.7</v>
      </c>
      <c r="O313">
        <f>ABS(L313-SEM!$C$34)</f>
        <v>3.9487815528084189</v>
      </c>
      <c r="P313">
        <f t="shared" si="5"/>
        <v>30.7</v>
      </c>
    </row>
    <row r="314" spans="10:16">
      <c r="J314" s="5"/>
      <c r="L314">
        <f>SEM!M314</f>
        <v>-0.53788690400000005</v>
      </c>
      <c r="M314">
        <f>SEM!N314</f>
        <v>30.8</v>
      </c>
      <c r="O314">
        <f>ABS(L314-SEM!$C$34)</f>
        <v>3.949814864808419</v>
      </c>
      <c r="P314">
        <f t="shared" si="5"/>
        <v>30.8</v>
      </c>
    </row>
    <row r="315" spans="10:16">
      <c r="J315" s="5"/>
      <c r="L315">
        <f>SEM!M315</f>
        <v>-0.53684156000000005</v>
      </c>
      <c r="M315">
        <f>SEM!N315</f>
        <v>30.9</v>
      </c>
      <c r="O315">
        <f>ABS(L315-SEM!$C$34)</f>
        <v>3.950860208808419</v>
      </c>
      <c r="P315">
        <f t="shared" si="5"/>
        <v>30.9</v>
      </c>
    </row>
    <row r="316" spans="10:16">
      <c r="J316" s="5"/>
      <c r="L316">
        <f>SEM!M316</f>
        <v>-0.53577140000000001</v>
      </c>
      <c r="M316">
        <f>SEM!N316</f>
        <v>31</v>
      </c>
      <c r="O316">
        <f>ABS(L316-SEM!$C$34)</f>
        <v>3.9519303688084193</v>
      </c>
      <c r="P316">
        <f t="shared" si="5"/>
        <v>31</v>
      </c>
    </row>
    <row r="317" spans="10:16">
      <c r="J317" s="5"/>
      <c r="L317">
        <f>SEM!M317</f>
        <v>-0.53470123999999997</v>
      </c>
      <c r="M317">
        <f>SEM!N317</f>
        <v>31.1</v>
      </c>
      <c r="O317">
        <f>ABS(L317-SEM!$C$34)</f>
        <v>3.9530005288084191</v>
      </c>
      <c r="P317">
        <f t="shared" si="5"/>
        <v>31.1</v>
      </c>
    </row>
    <row r="318" spans="10:16">
      <c r="J318" s="5"/>
      <c r="L318">
        <f>SEM!M318</f>
        <v>-0.53381226400000004</v>
      </c>
      <c r="M318">
        <f>SEM!N318</f>
        <v>31.2</v>
      </c>
      <c r="O318">
        <f>ABS(L318-SEM!$C$34)</f>
        <v>3.9538895048084193</v>
      </c>
      <c r="P318">
        <f t="shared" si="5"/>
        <v>31.2</v>
      </c>
    </row>
    <row r="319" spans="10:16">
      <c r="J319" s="5"/>
      <c r="L319">
        <f>SEM!M319</f>
        <v>-0.53297573600000003</v>
      </c>
      <c r="M319">
        <f>SEM!N319</f>
        <v>31.3</v>
      </c>
      <c r="O319">
        <f>ABS(L319-SEM!$C$34)</f>
        <v>3.9547260328084191</v>
      </c>
      <c r="P319">
        <f t="shared" si="5"/>
        <v>31.3</v>
      </c>
    </row>
    <row r="320" spans="10:16">
      <c r="J320" s="5"/>
      <c r="L320">
        <f>SEM!M320</f>
        <v>-0.53220036800000003</v>
      </c>
      <c r="M320">
        <f>SEM!N320</f>
        <v>31.4</v>
      </c>
      <c r="O320">
        <f>ABS(L320-SEM!$C$34)</f>
        <v>3.9555014008084193</v>
      </c>
      <c r="P320">
        <f t="shared" si="5"/>
        <v>31.4</v>
      </c>
    </row>
    <row r="321" spans="10:16">
      <c r="J321" s="5"/>
      <c r="L321">
        <f>SEM!M321</f>
        <v>-0.53163627999999996</v>
      </c>
      <c r="M321">
        <f>SEM!N321</f>
        <v>31.5</v>
      </c>
      <c r="O321">
        <f>ABS(L321-SEM!$C$34)</f>
        <v>3.9560654888084192</v>
      </c>
      <c r="P321">
        <f t="shared" si="5"/>
        <v>31.5</v>
      </c>
    </row>
    <row r="322" spans="10:16">
      <c r="J322" s="5"/>
      <c r="L322">
        <f>SEM!M322</f>
        <v>-0.531072192</v>
      </c>
      <c r="M322">
        <f>SEM!N322</f>
        <v>31.6</v>
      </c>
      <c r="O322">
        <f>ABS(L322-SEM!$C$34)</f>
        <v>3.9566295768084192</v>
      </c>
      <c r="P322">
        <f t="shared" si="5"/>
        <v>31.6</v>
      </c>
    </row>
    <row r="323" spans="10:16">
      <c r="J323" s="5"/>
      <c r="L323">
        <f>SEM!M323</f>
        <v>-0.53049332000000005</v>
      </c>
      <c r="M323">
        <f>SEM!N323</f>
        <v>31.7</v>
      </c>
      <c r="O323">
        <f>ABS(L323-SEM!$C$34)</f>
        <v>3.9572084488084189</v>
      </c>
      <c r="P323">
        <f t="shared" si="5"/>
        <v>31.7</v>
      </c>
    </row>
    <row r="324" spans="10:16">
      <c r="J324" s="5"/>
      <c r="L324">
        <f>SEM!M324</f>
        <v>-0.52990727999999998</v>
      </c>
      <c r="M324">
        <f>SEM!N324</f>
        <v>31.8</v>
      </c>
      <c r="O324">
        <f>ABS(L324-SEM!$C$34)</f>
        <v>3.9577944888084193</v>
      </c>
      <c r="P324">
        <f t="shared" si="5"/>
        <v>31.8</v>
      </c>
    </row>
    <row r="325" spans="10:16">
      <c r="J325" s="5"/>
      <c r="L325">
        <f>SEM!M325</f>
        <v>-0.52926272799999996</v>
      </c>
      <c r="M325">
        <f>SEM!N325</f>
        <v>31.9</v>
      </c>
      <c r="O325">
        <f>ABS(L325-SEM!$C$34)</f>
        <v>3.9584390408084191</v>
      </c>
      <c r="P325">
        <f t="shared" si="5"/>
        <v>31.9</v>
      </c>
    </row>
    <row r="326" spans="10:16">
      <c r="J326" s="5"/>
      <c r="L326">
        <f>SEM!M326</f>
        <v>-0.52819883999999995</v>
      </c>
      <c r="M326">
        <f>SEM!N326</f>
        <v>32</v>
      </c>
      <c r="O326">
        <f>ABS(L326-SEM!$C$34)</f>
        <v>3.9595029288084191</v>
      </c>
      <c r="P326">
        <f t="shared" si="5"/>
        <v>32</v>
      </c>
    </row>
    <row r="327" spans="10:16">
      <c r="J327" s="5"/>
      <c r="L327">
        <f>SEM!M327</f>
        <v>-0.52713495200000005</v>
      </c>
      <c r="M327">
        <f>SEM!N327</f>
        <v>32.1</v>
      </c>
      <c r="O327">
        <f>ABS(L327-SEM!$C$34)</f>
        <v>3.9605668168084192</v>
      </c>
      <c r="P327">
        <f t="shared" ref="P327:P390" si="6">M327</f>
        <v>32.1</v>
      </c>
    </row>
    <row r="328" spans="10:16">
      <c r="J328" s="5"/>
      <c r="L328">
        <f>SEM!M328</f>
        <v>-0.52495442400000003</v>
      </c>
      <c r="M328">
        <f>SEM!N328</f>
        <v>32.200000000000003</v>
      </c>
      <c r="O328">
        <f>ABS(L328-SEM!$C$34)</f>
        <v>3.9627473448084189</v>
      </c>
      <c r="P328">
        <f t="shared" si="6"/>
        <v>32.200000000000003</v>
      </c>
    </row>
    <row r="329" spans="10:16">
      <c r="J329" s="5"/>
      <c r="L329">
        <f>SEM!M329</f>
        <v>-0.52193641599999996</v>
      </c>
      <c r="M329">
        <f>SEM!N329</f>
        <v>32.299999999999997</v>
      </c>
      <c r="O329">
        <f>ABS(L329-SEM!$C$34)</f>
        <v>3.9657653528084191</v>
      </c>
      <c r="P329">
        <f t="shared" si="6"/>
        <v>32.299999999999997</v>
      </c>
    </row>
    <row r="330" spans="10:16">
      <c r="J330" s="5"/>
      <c r="L330">
        <f>SEM!M330</f>
        <v>-0.51886295199999999</v>
      </c>
      <c r="M330">
        <f>SEM!N330</f>
        <v>32.4</v>
      </c>
      <c r="O330">
        <f>ABS(L330-SEM!$C$34)</f>
        <v>3.968838816808419</v>
      </c>
      <c r="P330">
        <f t="shared" si="6"/>
        <v>32.4</v>
      </c>
    </row>
    <row r="331" spans="10:16">
      <c r="J331" s="5"/>
      <c r="L331">
        <f>SEM!M331</f>
        <v>-0.51312760000000002</v>
      </c>
      <c r="M331">
        <f>SEM!N331</f>
        <v>32.5</v>
      </c>
      <c r="O331">
        <f>ABS(L331-SEM!$C$34)</f>
        <v>3.9745741688084193</v>
      </c>
      <c r="P331">
        <f t="shared" si="6"/>
        <v>32.5</v>
      </c>
    </row>
    <row r="332" spans="10:16">
      <c r="J332" s="5"/>
      <c r="L332">
        <f>SEM!M332</f>
        <v>-0.50739224800000005</v>
      </c>
      <c r="M332">
        <f>SEM!N332</f>
        <v>32.6</v>
      </c>
      <c r="O332">
        <f>ABS(L332-SEM!$C$34)</f>
        <v>3.9803095208084192</v>
      </c>
      <c r="P332">
        <f t="shared" si="6"/>
        <v>32.6</v>
      </c>
    </row>
    <row r="333" spans="10:16">
      <c r="J333" s="5"/>
      <c r="L333">
        <f>SEM!M333</f>
        <v>-0.50434900000000005</v>
      </c>
      <c r="M333">
        <f>SEM!N333</f>
        <v>32.700000000000003</v>
      </c>
      <c r="O333">
        <f>ABS(L333-SEM!$C$34)</f>
        <v>3.9833527688084192</v>
      </c>
      <c r="P333">
        <f t="shared" si="6"/>
        <v>32.700000000000003</v>
      </c>
    </row>
    <row r="334" spans="10:16">
      <c r="J334" s="5"/>
      <c r="L334">
        <f>SEM!M334</f>
        <v>-0.50434900000000005</v>
      </c>
      <c r="M334">
        <f>SEM!N334</f>
        <v>32.799999999999997</v>
      </c>
      <c r="O334">
        <f>ABS(L334-SEM!$C$34)</f>
        <v>3.9833527688084192</v>
      </c>
      <c r="P334">
        <f t="shared" si="6"/>
        <v>32.799999999999997</v>
      </c>
    </row>
    <row r="335" spans="10:16">
      <c r="J335" s="5"/>
      <c r="L335">
        <f>SEM!M335</f>
        <v>-0.50434900000000005</v>
      </c>
      <c r="M335">
        <f>SEM!N335</f>
        <v>32.9</v>
      </c>
      <c r="O335">
        <f>ABS(L335-SEM!$C$34)</f>
        <v>3.9833527688084192</v>
      </c>
      <c r="P335">
        <f t="shared" si="6"/>
        <v>32.9</v>
      </c>
    </row>
    <row r="336" spans="10:16">
      <c r="J336" s="5"/>
      <c r="L336">
        <f>SEM!M336</f>
        <v>-0.49766344000000001</v>
      </c>
      <c r="M336">
        <f>SEM!N336</f>
        <v>33</v>
      </c>
      <c r="O336">
        <f>ABS(L336-SEM!$C$34)</f>
        <v>3.9900383288084189</v>
      </c>
      <c r="P336">
        <f t="shared" si="6"/>
        <v>33</v>
      </c>
    </row>
    <row r="337" spans="10:16">
      <c r="J337" s="5"/>
      <c r="L337">
        <f>SEM!M337</f>
        <v>-0.49038360800000003</v>
      </c>
      <c r="M337">
        <f>SEM!N337</f>
        <v>33.1</v>
      </c>
      <c r="O337">
        <f>ABS(L337-SEM!$C$34)</f>
        <v>3.997318160808419</v>
      </c>
      <c r="P337">
        <f t="shared" si="6"/>
        <v>33.1</v>
      </c>
    </row>
    <row r="338" spans="10:16">
      <c r="J338" s="5"/>
      <c r="L338">
        <f>SEM!M338</f>
        <v>-0.48294465600000003</v>
      </c>
      <c r="M338">
        <f>SEM!N338</f>
        <v>33.200000000000003</v>
      </c>
      <c r="O338">
        <f>ABS(L338-SEM!$C$34)</f>
        <v>4.0047571128084192</v>
      </c>
      <c r="P338">
        <f t="shared" si="6"/>
        <v>33.200000000000003</v>
      </c>
    </row>
    <row r="339" spans="10:16">
      <c r="J339" s="5"/>
      <c r="L339">
        <f>SEM!M339</f>
        <v>-0.475231664</v>
      </c>
      <c r="M339">
        <f>SEM!N339</f>
        <v>33.299999999999997</v>
      </c>
      <c r="O339">
        <f>ABS(L339-SEM!$C$34)</f>
        <v>4.0124701048084193</v>
      </c>
      <c r="P339">
        <f t="shared" si="6"/>
        <v>33.299999999999997</v>
      </c>
    </row>
    <row r="340" spans="10:16">
      <c r="J340" s="5"/>
      <c r="L340">
        <f>SEM!M340</f>
        <v>-0.46751867200000002</v>
      </c>
      <c r="M340">
        <f>SEM!N340</f>
        <v>33.4</v>
      </c>
      <c r="O340">
        <f>ABS(L340-SEM!$C$34)</f>
        <v>4.0201830968084193</v>
      </c>
      <c r="P340">
        <f t="shared" si="6"/>
        <v>33.4</v>
      </c>
    </row>
    <row r="341" spans="10:16">
      <c r="J341" s="5"/>
      <c r="L341">
        <f>SEM!M341</f>
        <v>-0.46276983999999999</v>
      </c>
      <c r="M341">
        <f>SEM!N341</f>
        <v>33.5</v>
      </c>
      <c r="O341">
        <f>ABS(L341-SEM!$C$34)</f>
        <v>4.0249319288084191</v>
      </c>
      <c r="P341">
        <f t="shared" si="6"/>
        <v>33.5</v>
      </c>
    </row>
    <row r="342" spans="10:16">
      <c r="J342" s="5"/>
      <c r="L342">
        <f>SEM!M342</f>
        <v>-0.45868794400000001</v>
      </c>
      <c r="M342">
        <f>SEM!N342</f>
        <v>33.6</v>
      </c>
      <c r="O342">
        <f>ABS(L342-SEM!$C$34)</f>
        <v>4.0290138248084189</v>
      </c>
      <c r="P342">
        <f t="shared" si="6"/>
        <v>33.6</v>
      </c>
    </row>
    <row r="343" spans="10:16">
      <c r="J343" s="5"/>
      <c r="L343">
        <f>SEM!M343</f>
        <v>-0.455080288</v>
      </c>
      <c r="M343">
        <f>SEM!N343</f>
        <v>33.700000000000003</v>
      </c>
      <c r="O343">
        <f>ABS(L343-SEM!$C$34)</f>
        <v>4.0326214808084195</v>
      </c>
      <c r="P343">
        <f t="shared" si="6"/>
        <v>33.700000000000003</v>
      </c>
    </row>
    <row r="344" spans="10:16">
      <c r="J344" s="5"/>
      <c r="L344">
        <f>SEM!M344</f>
        <v>-0.45278591200000001</v>
      </c>
      <c r="M344">
        <f>SEM!N344</f>
        <v>33.799999999999997</v>
      </c>
      <c r="O344">
        <f>ABS(L344-SEM!$C$34)</f>
        <v>4.0349158568084187</v>
      </c>
      <c r="P344">
        <f t="shared" si="6"/>
        <v>33.799999999999997</v>
      </c>
    </row>
    <row r="345" spans="10:16">
      <c r="J345" s="5"/>
      <c r="L345">
        <f>SEM!M345</f>
        <v>-0.45049153600000003</v>
      </c>
      <c r="M345">
        <f>SEM!N345</f>
        <v>33.9</v>
      </c>
      <c r="O345">
        <f>ABS(L345-SEM!$C$34)</f>
        <v>4.0372102328084187</v>
      </c>
      <c r="P345">
        <f t="shared" si="6"/>
        <v>33.9</v>
      </c>
    </row>
    <row r="346" spans="10:16">
      <c r="J346" s="5"/>
      <c r="L346">
        <f>SEM!M346</f>
        <v>-0.4480944</v>
      </c>
      <c r="M346">
        <f>SEM!N346</f>
        <v>34</v>
      </c>
      <c r="O346">
        <f>ABS(L346-SEM!$C$34)</f>
        <v>4.0396073688084186</v>
      </c>
      <c r="P346">
        <f t="shared" si="6"/>
        <v>34</v>
      </c>
    </row>
    <row r="347" spans="10:16">
      <c r="J347" s="5"/>
      <c r="L347">
        <f>SEM!M347</f>
        <v>-0.44565616000000002</v>
      </c>
      <c r="M347">
        <f>SEM!N347</f>
        <v>34.1</v>
      </c>
      <c r="O347">
        <f>ABS(L347-SEM!$C$34)</f>
        <v>4.0420456088084187</v>
      </c>
      <c r="P347">
        <f t="shared" si="6"/>
        <v>34.1</v>
      </c>
    </row>
    <row r="348" spans="10:16">
      <c r="J348" s="5"/>
      <c r="L348">
        <f>SEM!M348</f>
        <v>-0.44294515200000001</v>
      </c>
      <c r="M348">
        <f>SEM!N348</f>
        <v>34.200000000000003</v>
      </c>
      <c r="O348">
        <f>ABS(L348-SEM!$C$34)</f>
        <v>4.044756616808419</v>
      </c>
      <c r="P348">
        <f t="shared" si="6"/>
        <v>34.200000000000003</v>
      </c>
    </row>
    <row r="349" spans="10:16">
      <c r="J349" s="5"/>
      <c r="L349">
        <f>SEM!M349</f>
        <v>-0.43883620800000001</v>
      </c>
      <c r="M349">
        <f>SEM!N349</f>
        <v>34.299999999999997</v>
      </c>
      <c r="O349">
        <f>ABS(L349-SEM!$C$34)</f>
        <v>4.0488655608084194</v>
      </c>
      <c r="P349">
        <f t="shared" si="6"/>
        <v>34.299999999999997</v>
      </c>
    </row>
    <row r="350" spans="10:16">
      <c r="J350" s="5"/>
      <c r="L350">
        <f>SEM!M350</f>
        <v>-0.434727264</v>
      </c>
      <c r="M350">
        <f>SEM!N350</f>
        <v>34.4</v>
      </c>
      <c r="O350">
        <f>ABS(L350-SEM!$C$34)</f>
        <v>4.0529745048084189</v>
      </c>
      <c r="P350">
        <f t="shared" si="6"/>
        <v>34.4</v>
      </c>
    </row>
    <row r="351" spans="10:16">
      <c r="J351" s="5"/>
      <c r="L351">
        <f>SEM!M351</f>
        <v>-0.42928031999999999</v>
      </c>
      <c r="M351">
        <f>SEM!N351</f>
        <v>34.5</v>
      </c>
      <c r="O351">
        <f>ABS(L351-SEM!$C$34)</f>
        <v>4.0584214488084189</v>
      </c>
      <c r="P351">
        <f t="shared" si="6"/>
        <v>34.5</v>
      </c>
    </row>
    <row r="352" spans="10:16">
      <c r="J352" s="5"/>
      <c r="L352">
        <f>SEM!M352</f>
        <v>-0.42298597599999999</v>
      </c>
      <c r="M352">
        <f>SEM!N352</f>
        <v>34.6</v>
      </c>
      <c r="O352">
        <f>ABS(L352-SEM!$C$34)</f>
        <v>4.0647157928084194</v>
      </c>
      <c r="P352">
        <f t="shared" si="6"/>
        <v>34.6</v>
      </c>
    </row>
    <row r="353" spans="10:16">
      <c r="J353" s="5"/>
      <c r="L353">
        <f>SEM!M353</f>
        <v>-0.41670651199999997</v>
      </c>
      <c r="M353">
        <f>SEM!N353</f>
        <v>34.700000000000003</v>
      </c>
      <c r="O353">
        <f>ABS(L353-SEM!$C$34)</f>
        <v>4.0709952568084189</v>
      </c>
      <c r="P353">
        <f t="shared" si="6"/>
        <v>34.700000000000003</v>
      </c>
    </row>
    <row r="354" spans="10:16">
      <c r="J354" s="5"/>
      <c r="L354">
        <f>SEM!M354</f>
        <v>-0.41065520799999999</v>
      </c>
      <c r="M354">
        <f>SEM!N354</f>
        <v>34.799999999999997</v>
      </c>
      <c r="O354">
        <f>ABS(L354-SEM!$C$34)</f>
        <v>4.0770465608084194</v>
      </c>
      <c r="P354">
        <f t="shared" si="6"/>
        <v>34.799999999999997</v>
      </c>
    </row>
    <row r="355" spans="10:16">
      <c r="J355" s="5"/>
      <c r="L355">
        <f>SEM!M355</f>
        <v>-0.40460390400000001</v>
      </c>
      <c r="M355">
        <f>SEM!N355</f>
        <v>34.9</v>
      </c>
      <c r="O355">
        <f>ABS(L355-SEM!$C$34)</f>
        <v>4.0830978648084191</v>
      </c>
      <c r="P355">
        <f t="shared" si="6"/>
        <v>34.9</v>
      </c>
    </row>
    <row r="356" spans="10:16">
      <c r="J356" s="5"/>
      <c r="L356">
        <f>SEM!M356</f>
        <v>-0.40056219999999998</v>
      </c>
      <c r="M356">
        <f>SEM!N356</f>
        <v>35</v>
      </c>
      <c r="O356">
        <f>ABS(L356-SEM!$C$34)</f>
        <v>4.0871395688084196</v>
      </c>
      <c r="P356">
        <f t="shared" si="6"/>
        <v>35</v>
      </c>
    </row>
    <row r="357" spans="10:16">
      <c r="J357" s="5"/>
      <c r="L357">
        <f>SEM!M357</f>
        <v>-0.39844971200000001</v>
      </c>
      <c r="M357">
        <f>SEM!N357</f>
        <v>35.1</v>
      </c>
      <c r="O357">
        <f>ABS(L357-SEM!$C$34)</f>
        <v>4.0892520568084194</v>
      </c>
      <c r="P357">
        <f t="shared" si="6"/>
        <v>35.1</v>
      </c>
    </row>
    <row r="358" spans="10:16">
      <c r="J358" s="5"/>
      <c r="L358">
        <f>SEM!M358</f>
        <v>-0.39633722399999999</v>
      </c>
      <c r="M358">
        <f>SEM!N358</f>
        <v>35.200000000000003</v>
      </c>
      <c r="O358">
        <f>ABS(L358-SEM!$C$34)</f>
        <v>4.0913645448084193</v>
      </c>
      <c r="P358">
        <f t="shared" si="6"/>
        <v>35.200000000000003</v>
      </c>
    </row>
    <row r="359" spans="10:16">
      <c r="J359" s="5"/>
      <c r="L359">
        <f>SEM!M359</f>
        <v>-0.39605322399999998</v>
      </c>
      <c r="M359">
        <f>SEM!N359</f>
        <v>35.299999999999997</v>
      </c>
      <c r="O359">
        <f>ABS(L359-SEM!$C$34)</f>
        <v>4.091648544808419</v>
      </c>
      <c r="P359">
        <f t="shared" si="6"/>
        <v>35.299999999999997</v>
      </c>
    </row>
    <row r="360" spans="10:16">
      <c r="J360" s="5"/>
      <c r="L360">
        <f>SEM!M360</f>
        <v>-0.39584703199999999</v>
      </c>
      <c r="M360">
        <f>SEM!N360</f>
        <v>35.4</v>
      </c>
      <c r="O360">
        <f>ABS(L360-SEM!$C$34)</f>
        <v>4.0918547368084193</v>
      </c>
      <c r="P360">
        <f t="shared" si="6"/>
        <v>35.4</v>
      </c>
    </row>
    <row r="361" spans="10:16">
      <c r="J361" s="5"/>
      <c r="L361">
        <f>SEM!M361</f>
        <v>-0.39539363999999999</v>
      </c>
      <c r="M361">
        <f>SEM!N361</f>
        <v>35.5</v>
      </c>
      <c r="O361">
        <f>ABS(L361-SEM!$C$34)</f>
        <v>4.0923081288084191</v>
      </c>
      <c r="P361">
        <f t="shared" si="6"/>
        <v>35.5</v>
      </c>
    </row>
    <row r="362" spans="10:16">
      <c r="J362" s="5"/>
      <c r="L362">
        <f>SEM!M362</f>
        <v>-0.39458180799999998</v>
      </c>
      <c r="M362">
        <f>SEM!N362</f>
        <v>35.6</v>
      </c>
      <c r="O362">
        <f>ABS(L362-SEM!$C$34)</f>
        <v>4.0931199608084192</v>
      </c>
      <c r="P362">
        <f t="shared" si="6"/>
        <v>35.6</v>
      </c>
    </row>
    <row r="363" spans="10:16">
      <c r="J363" s="5"/>
      <c r="L363">
        <f>SEM!M363</f>
        <v>-0.39376997600000002</v>
      </c>
      <c r="M363">
        <f>SEM!N363</f>
        <v>35.700000000000003</v>
      </c>
      <c r="O363">
        <f>ABS(L363-SEM!$C$34)</f>
        <v>4.0939317928084193</v>
      </c>
      <c r="P363">
        <f t="shared" si="6"/>
        <v>35.700000000000003</v>
      </c>
    </row>
    <row r="364" spans="10:16">
      <c r="J364" s="5"/>
      <c r="L364">
        <f>SEM!M364</f>
        <v>-0.39224448000000001</v>
      </c>
      <c r="M364">
        <f>SEM!N364</f>
        <v>35.799999999999997</v>
      </c>
      <c r="O364">
        <f>ABS(L364-SEM!$C$34)</f>
        <v>4.0954572888084186</v>
      </c>
      <c r="P364">
        <f t="shared" si="6"/>
        <v>35.799999999999997</v>
      </c>
    </row>
    <row r="365" spans="10:16">
      <c r="J365" s="5"/>
      <c r="L365">
        <f>SEM!M365</f>
        <v>-0.39060003999999998</v>
      </c>
      <c r="M365">
        <f>SEM!N365</f>
        <v>35.9</v>
      </c>
      <c r="O365">
        <f>ABS(L365-SEM!$C$34)</f>
        <v>4.0971017288084193</v>
      </c>
      <c r="P365">
        <f t="shared" si="6"/>
        <v>35.9</v>
      </c>
    </row>
    <row r="366" spans="10:16">
      <c r="J366" s="5"/>
      <c r="L366">
        <f>SEM!M366</f>
        <v>-0.38848231999999999</v>
      </c>
      <c r="M366">
        <f>SEM!N366</f>
        <v>36</v>
      </c>
      <c r="O366">
        <f>ABS(L366-SEM!$C$34)</f>
        <v>4.0992194488084195</v>
      </c>
      <c r="P366">
        <f t="shared" si="6"/>
        <v>36</v>
      </c>
    </row>
    <row r="367" spans="10:16">
      <c r="J367" s="5"/>
      <c r="L367">
        <f>SEM!M367</f>
        <v>-0.385291832</v>
      </c>
      <c r="M367">
        <f>SEM!N367</f>
        <v>36.1</v>
      </c>
      <c r="O367">
        <f>ABS(L367-SEM!$C$34)</f>
        <v>4.102409936808419</v>
      </c>
      <c r="P367">
        <f t="shared" si="6"/>
        <v>36.1</v>
      </c>
    </row>
    <row r="368" spans="10:16">
      <c r="J368" s="5"/>
      <c r="L368">
        <f>SEM!M368</f>
        <v>-0.38210134400000001</v>
      </c>
      <c r="M368">
        <f>SEM!N368</f>
        <v>36.200000000000003</v>
      </c>
      <c r="O368">
        <f>ABS(L368-SEM!$C$34)</f>
        <v>4.1056004248084195</v>
      </c>
      <c r="P368">
        <f t="shared" si="6"/>
        <v>36.200000000000003</v>
      </c>
    </row>
    <row r="369" spans="10:16">
      <c r="J369" s="5"/>
      <c r="L369">
        <f>SEM!M369</f>
        <v>-0.38118798399999998</v>
      </c>
      <c r="M369">
        <f>SEM!N369</f>
        <v>36.299999999999997</v>
      </c>
      <c r="O369">
        <f>ABS(L369-SEM!$C$34)</f>
        <v>4.1065137848084188</v>
      </c>
      <c r="P369">
        <f t="shared" si="6"/>
        <v>36.299999999999997</v>
      </c>
    </row>
    <row r="370" spans="10:16">
      <c r="J370" s="5"/>
      <c r="L370">
        <f>SEM!M370</f>
        <v>-0.38101315200000002</v>
      </c>
      <c r="M370">
        <f>SEM!N370</f>
        <v>36.4</v>
      </c>
      <c r="O370">
        <f>ABS(L370-SEM!$C$34)</f>
        <v>4.1066886168084187</v>
      </c>
      <c r="P370">
        <f t="shared" si="6"/>
        <v>36.4</v>
      </c>
    </row>
    <row r="371" spans="10:16">
      <c r="J371" s="5"/>
      <c r="L371">
        <f>SEM!M371</f>
        <v>-0.38080375999999999</v>
      </c>
      <c r="M371">
        <f>SEM!N371</f>
        <v>36.5</v>
      </c>
      <c r="O371">
        <f>ABS(L371-SEM!$C$34)</f>
        <v>4.106898008808419</v>
      </c>
      <c r="P371">
        <f t="shared" si="6"/>
        <v>36.5</v>
      </c>
    </row>
    <row r="372" spans="10:16">
      <c r="J372" s="5"/>
      <c r="L372">
        <f>SEM!M372</f>
        <v>-0.38045958400000002</v>
      </c>
      <c r="M372">
        <f>SEM!N372</f>
        <v>36.6</v>
      </c>
      <c r="O372">
        <f>ABS(L372-SEM!$C$34)</f>
        <v>4.1072421848084186</v>
      </c>
      <c r="P372">
        <f t="shared" si="6"/>
        <v>36.6</v>
      </c>
    </row>
    <row r="373" spans="10:16">
      <c r="J373" s="5"/>
      <c r="L373">
        <f>SEM!M373</f>
        <v>-0.38011540799999999</v>
      </c>
      <c r="M373">
        <f>SEM!N373</f>
        <v>36.700000000000003</v>
      </c>
      <c r="O373">
        <f>ABS(L373-SEM!$C$34)</f>
        <v>4.1075863608084191</v>
      </c>
      <c r="P373">
        <f t="shared" si="6"/>
        <v>36.700000000000003</v>
      </c>
    </row>
    <row r="374" spans="10:16">
      <c r="J374" s="5"/>
      <c r="L374">
        <f>SEM!M374</f>
        <v>-0.37938748799999999</v>
      </c>
      <c r="M374">
        <f>SEM!N374</f>
        <v>36.799999999999997</v>
      </c>
      <c r="O374">
        <f>ABS(L374-SEM!$C$34)</f>
        <v>4.1083142808084192</v>
      </c>
      <c r="P374">
        <f t="shared" si="6"/>
        <v>36.799999999999997</v>
      </c>
    </row>
    <row r="375" spans="10:16">
      <c r="J375" s="5"/>
      <c r="L375">
        <f>SEM!M375</f>
        <v>-0.378455704</v>
      </c>
      <c r="M375">
        <f>SEM!N375</f>
        <v>36.9</v>
      </c>
      <c r="O375">
        <f>ABS(L375-SEM!$C$34)</f>
        <v>4.1092460648084188</v>
      </c>
      <c r="P375">
        <f t="shared" si="6"/>
        <v>36.9</v>
      </c>
    </row>
    <row r="376" spans="10:16">
      <c r="J376" s="5"/>
      <c r="L376">
        <f>SEM!M376</f>
        <v>-0.37702044000000001</v>
      </c>
      <c r="M376">
        <f>SEM!N376</f>
        <v>37</v>
      </c>
      <c r="O376">
        <f>ABS(L376-SEM!$C$34)</f>
        <v>4.1106813288084192</v>
      </c>
      <c r="P376">
        <f t="shared" si="6"/>
        <v>37</v>
      </c>
    </row>
    <row r="377" spans="10:16">
      <c r="J377" s="5"/>
      <c r="L377">
        <f>SEM!M377</f>
        <v>-0.37115455200000003</v>
      </c>
      <c r="M377">
        <f>SEM!N377</f>
        <v>37.1</v>
      </c>
      <c r="O377">
        <f>ABS(L377-SEM!$C$34)</f>
        <v>4.116547216808419</v>
      </c>
      <c r="P377">
        <f t="shared" si="6"/>
        <v>37.1</v>
      </c>
    </row>
    <row r="378" spans="10:16">
      <c r="J378" s="5"/>
      <c r="L378">
        <f>SEM!M378</f>
        <v>-0.36528866399999999</v>
      </c>
      <c r="M378">
        <f>SEM!N378</f>
        <v>37.200000000000003</v>
      </c>
      <c r="O378">
        <f>ABS(L378-SEM!$C$34)</f>
        <v>4.1224131048084187</v>
      </c>
      <c r="P378">
        <f t="shared" si="6"/>
        <v>37.200000000000003</v>
      </c>
    </row>
    <row r="379" spans="10:16">
      <c r="J379" s="5"/>
      <c r="L379">
        <f>SEM!M379</f>
        <v>-0.36265500000000001</v>
      </c>
      <c r="M379">
        <f>SEM!N379</f>
        <v>37.299999999999997</v>
      </c>
      <c r="O379">
        <f>ABS(L379-SEM!$C$34)</f>
        <v>4.1250467688084189</v>
      </c>
      <c r="P379">
        <f t="shared" si="6"/>
        <v>37.299999999999997</v>
      </c>
    </row>
    <row r="380" spans="10:16">
      <c r="J380" s="5"/>
      <c r="L380">
        <f>SEM!M380</f>
        <v>-0.36265500000000001</v>
      </c>
      <c r="M380">
        <f>SEM!N380</f>
        <v>37.4</v>
      </c>
      <c r="O380">
        <f>ABS(L380-SEM!$C$34)</f>
        <v>4.1250467688084189</v>
      </c>
      <c r="P380">
        <f t="shared" si="6"/>
        <v>37.4</v>
      </c>
    </row>
    <row r="381" spans="10:16">
      <c r="J381" s="5"/>
      <c r="L381">
        <f>SEM!M381</f>
        <v>-0.36265500000000001</v>
      </c>
      <c r="M381">
        <f>SEM!N381</f>
        <v>37.5</v>
      </c>
      <c r="O381">
        <f>ABS(L381-SEM!$C$34)</f>
        <v>4.1250467688084189</v>
      </c>
      <c r="P381">
        <f t="shared" si="6"/>
        <v>37.5</v>
      </c>
    </row>
    <row r="382" spans="10:16">
      <c r="J382" s="5"/>
      <c r="L382">
        <f>SEM!M382</f>
        <v>-0.36095920799999998</v>
      </c>
      <c r="M382">
        <f>SEM!N382</f>
        <v>37.6</v>
      </c>
      <c r="O382">
        <f>ABS(L382-SEM!$C$34)</f>
        <v>4.1267425608084194</v>
      </c>
      <c r="P382">
        <f t="shared" si="6"/>
        <v>37.6</v>
      </c>
    </row>
    <row r="383" spans="10:16">
      <c r="J383" s="5"/>
      <c r="L383">
        <f>SEM!M383</f>
        <v>-0.359263416</v>
      </c>
      <c r="M383">
        <f>SEM!N383</f>
        <v>37.700000000000003</v>
      </c>
      <c r="O383">
        <f>ABS(L383-SEM!$C$34)</f>
        <v>4.128438352808419</v>
      </c>
      <c r="P383">
        <f t="shared" si="6"/>
        <v>37.700000000000003</v>
      </c>
    </row>
    <row r="384" spans="10:16">
      <c r="J384" s="5"/>
      <c r="L384">
        <f>SEM!M384</f>
        <v>-0.35827179999999997</v>
      </c>
      <c r="M384">
        <f>SEM!N384</f>
        <v>37.799999999999997</v>
      </c>
      <c r="O384">
        <f>ABS(L384-SEM!$C$34)</f>
        <v>4.1294299688084193</v>
      </c>
      <c r="P384">
        <f t="shared" si="6"/>
        <v>37.799999999999997</v>
      </c>
    </row>
    <row r="385" spans="10:16">
      <c r="J385" s="5"/>
      <c r="L385">
        <f>SEM!M385</f>
        <v>-0.35814439999999997</v>
      </c>
      <c r="M385">
        <f>SEM!N385</f>
        <v>37.9</v>
      </c>
      <c r="O385">
        <f>ABS(L385-SEM!$C$34)</f>
        <v>4.1295573688084195</v>
      </c>
      <c r="P385">
        <f t="shared" si="6"/>
        <v>37.9</v>
      </c>
    </row>
    <row r="386" spans="10:16">
      <c r="J386" s="5"/>
      <c r="L386">
        <f>SEM!M386</f>
        <v>-0.35801699999999997</v>
      </c>
      <c r="M386">
        <f>SEM!N386</f>
        <v>38</v>
      </c>
      <c r="O386">
        <f>ABS(L386-SEM!$C$34)</f>
        <v>4.1296847688084188</v>
      </c>
      <c r="P386">
        <f t="shared" si="6"/>
        <v>38</v>
      </c>
    </row>
    <row r="387" spans="10:16">
      <c r="J387" s="5"/>
      <c r="L387">
        <f>SEM!M387</f>
        <v>-0.35152755200000002</v>
      </c>
      <c r="M387">
        <f>SEM!N387</f>
        <v>38.1</v>
      </c>
      <c r="O387">
        <f>ABS(L387-SEM!$C$34)</f>
        <v>4.1361742168084188</v>
      </c>
      <c r="P387">
        <f t="shared" si="6"/>
        <v>38.1</v>
      </c>
    </row>
    <row r="388" spans="10:16">
      <c r="J388" s="5"/>
      <c r="L388">
        <f>SEM!M388</f>
        <v>-0.34431514400000002</v>
      </c>
      <c r="M388">
        <f>SEM!N388</f>
        <v>38.200000000000003</v>
      </c>
      <c r="O388">
        <f>ABS(L388-SEM!$C$34)</f>
        <v>4.1433866248084188</v>
      </c>
      <c r="P388">
        <f t="shared" si="6"/>
        <v>38.200000000000003</v>
      </c>
    </row>
    <row r="389" spans="10:16">
      <c r="J389" s="5"/>
      <c r="L389">
        <f>SEM!M389</f>
        <v>-0.33911580800000002</v>
      </c>
      <c r="M389">
        <f>SEM!N389</f>
        <v>38.299999999999997</v>
      </c>
      <c r="O389">
        <f>ABS(L389-SEM!$C$34)</f>
        <v>4.1485859608084192</v>
      </c>
      <c r="P389">
        <f t="shared" si="6"/>
        <v>38.299999999999997</v>
      </c>
    </row>
    <row r="390" spans="10:16">
      <c r="J390" s="5"/>
      <c r="L390">
        <f>SEM!M390</f>
        <v>-0.33770578400000001</v>
      </c>
      <c r="M390">
        <f>SEM!N390</f>
        <v>38.4</v>
      </c>
      <c r="O390">
        <f>ABS(L390-SEM!$C$34)</f>
        <v>4.1499959848084194</v>
      </c>
      <c r="P390">
        <f t="shared" si="6"/>
        <v>38.4</v>
      </c>
    </row>
    <row r="391" spans="10:16">
      <c r="J391" s="5"/>
      <c r="L391">
        <f>SEM!M391</f>
        <v>-0.33629576</v>
      </c>
      <c r="M391">
        <f>SEM!N391</f>
        <v>38.5</v>
      </c>
      <c r="O391">
        <f>ABS(L391-SEM!$C$34)</f>
        <v>4.1514060088084195</v>
      </c>
      <c r="P391">
        <f t="shared" ref="P391:P454" si="7">M391</f>
        <v>38.5</v>
      </c>
    </row>
    <row r="392" spans="10:16">
      <c r="J392" s="5"/>
      <c r="L392">
        <f>SEM!M392</f>
        <v>-0.33328205599999999</v>
      </c>
      <c r="M392">
        <f>SEM!N392</f>
        <v>38.6</v>
      </c>
      <c r="O392">
        <f>ABS(L392-SEM!$C$34)</f>
        <v>4.1544197128084193</v>
      </c>
      <c r="P392">
        <f t="shared" si="7"/>
        <v>38.6</v>
      </c>
    </row>
    <row r="393" spans="10:16">
      <c r="J393" s="5"/>
      <c r="L393">
        <f>SEM!M393</f>
        <v>-0.32985715199999999</v>
      </c>
      <c r="M393">
        <f>SEM!N393</f>
        <v>38.700000000000003</v>
      </c>
      <c r="O393">
        <f>ABS(L393-SEM!$C$34)</f>
        <v>4.1578446168084193</v>
      </c>
      <c r="P393">
        <f t="shared" si="7"/>
        <v>38.700000000000003</v>
      </c>
    </row>
    <row r="394" spans="10:16">
      <c r="J394" s="5"/>
      <c r="L394">
        <f>SEM!M394</f>
        <v>-0.32705269599999998</v>
      </c>
      <c r="M394">
        <f>SEM!N394</f>
        <v>38.799999999999997</v>
      </c>
      <c r="O394">
        <f>ABS(L394-SEM!$C$34)</f>
        <v>4.1606490728084191</v>
      </c>
      <c r="P394">
        <f t="shared" si="7"/>
        <v>38.799999999999997</v>
      </c>
    </row>
    <row r="395" spans="10:16">
      <c r="J395" s="5"/>
      <c r="L395">
        <f>SEM!M395</f>
        <v>-0.32616128799999999</v>
      </c>
      <c r="M395">
        <f>SEM!N395</f>
        <v>38.9</v>
      </c>
      <c r="O395">
        <f>ABS(L395-SEM!$C$34)</f>
        <v>4.1615404808084193</v>
      </c>
      <c r="P395">
        <f t="shared" si="7"/>
        <v>38.9</v>
      </c>
    </row>
    <row r="396" spans="10:16">
      <c r="J396" s="5"/>
      <c r="L396">
        <f>SEM!M396</f>
        <v>-0.32526988000000001</v>
      </c>
      <c r="M396">
        <f>SEM!N396</f>
        <v>39</v>
      </c>
      <c r="O396">
        <f>ABS(L396-SEM!$C$34)</f>
        <v>4.1624318888084186</v>
      </c>
      <c r="P396">
        <f t="shared" si="7"/>
        <v>39</v>
      </c>
    </row>
    <row r="397" spans="10:16">
      <c r="J397" s="5"/>
      <c r="L397">
        <f>SEM!M397</f>
        <v>-0.32478810400000002</v>
      </c>
      <c r="M397">
        <f>SEM!N397</f>
        <v>39.1</v>
      </c>
      <c r="O397">
        <f>ABS(L397-SEM!$C$34)</f>
        <v>4.1629136648084195</v>
      </c>
      <c r="P397">
        <f t="shared" si="7"/>
        <v>39.1</v>
      </c>
    </row>
    <row r="398" spans="10:16">
      <c r="J398" s="5"/>
      <c r="L398">
        <f>SEM!M398</f>
        <v>-0.324487048</v>
      </c>
      <c r="M398">
        <f>SEM!N398</f>
        <v>39.200000000000003</v>
      </c>
      <c r="O398">
        <f>ABS(L398-SEM!$C$34)</f>
        <v>4.1632147208084191</v>
      </c>
      <c r="P398">
        <f t="shared" si="7"/>
        <v>39.200000000000003</v>
      </c>
    </row>
    <row r="399" spans="10:16">
      <c r="J399" s="5"/>
      <c r="L399">
        <f>SEM!M399</f>
        <v>-0.32379124799999998</v>
      </c>
      <c r="M399">
        <f>SEM!N399</f>
        <v>39.299999999999997</v>
      </c>
      <c r="O399">
        <f>ABS(L399-SEM!$C$34)</f>
        <v>4.1639105208084191</v>
      </c>
      <c r="P399">
        <f t="shared" si="7"/>
        <v>39.299999999999997</v>
      </c>
    </row>
    <row r="400" spans="10:16">
      <c r="J400" s="5"/>
      <c r="L400">
        <f>SEM!M400</f>
        <v>-0.32072698399999999</v>
      </c>
      <c r="M400">
        <f>SEM!N400</f>
        <v>39.4</v>
      </c>
      <c r="O400">
        <f>ABS(L400-SEM!$C$34)</f>
        <v>4.1669747848084189</v>
      </c>
      <c r="P400">
        <f t="shared" si="7"/>
        <v>39.4</v>
      </c>
    </row>
    <row r="401" spans="10:16">
      <c r="J401" s="5"/>
      <c r="L401">
        <f>SEM!M401</f>
        <v>-0.31766272000000001</v>
      </c>
      <c r="M401">
        <f>SEM!N401</f>
        <v>39.5</v>
      </c>
      <c r="O401">
        <f>ABS(L401-SEM!$C$34)</f>
        <v>4.1700390488084187</v>
      </c>
      <c r="P401">
        <f t="shared" si="7"/>
        <v>39.5</v>
      </c>
    </row>
    <row r="402" spans="10:16">
      <c r="J402" s="5"/>
      <c r="L402">
        <f>SEM!M402</f>
        <v>-0.316208304</v>
      </c>
      <c r="M402">
        <f>SEM!N402</f>
        <v>39.6</v>
      </c>
      <c r="O402">
        <f>ABS(L402-SEM!$C$34)</f>
        <v>4.1714934648084192</v>
      </c>
      <c r="P402">
        <f t="shared" si="7"/>
        <v>39.6</v>
      </c>
    </row>
    <row r="403" spans="10:16">
      <c r="J403" s="5"/>
      <c r="L403">
        <f>SEM!M403</f>
        <v>-0.31586412800000002</v>
      </c>
      <c r="M403">
        <f>SEM!N403</f>
        <v>39.700000000000003</v>
      </c>
      <c r="O403">
        <f>ABS(L403-SEM!$C$34)</f>
        <v>4.1718376408084188</v>
      </c>
      <c r="P403">
        <f t="shared" si="7"/>
        <v>39.700000000000003</v>
      </c>
    </row>
    <row r="404" spans="10:16">
      <c r="J404" s="5"/>
      <c r="L404">
        <f>SEM!M404</f>
        <v>-0.315496944</v>
      </c>
      <c r="M404">
        <f>SEM!N404</f>
        <v>39.799999999999997</v>
      </c>
      <c r="O404">
        <f>ABS(L404-SEM!$C$34)</f>
        <v>4.1722048248084187</v>
      </c>
      <c r="P404">
        <f t="shared" si="7"/>
        <v>39.799999999999997</v>
      </c>
    </row>
    <row r="405" spans="10:16">
      <c r="J405" s="5"/>
      <c r="L405">
        <f>SEM!M405</f>
        <v>-0.31458907200000003</v>
      </c>
      <c r="M405">
        <f>SEM!N405</f>
        <v>39.9</v>
      </c>
      <c r="O405">
        <f>ABS(L405-SEM!$C$34)</f>
        <v>4.1731126968084187</v>
      </c>
      <c r="P405">
        <f t="shared" si="7"/>
        <v>39.9</v>
      </c>
    </row>
    <row r="406" spans="10:16">
      <c r="J406" s="5"/>
      <c r="L406">
        <f>SEM!M406</f>
        <v>-0.31368119999999999</v>
      </c>
      <c r="M406">
        <f>SEM!N406</f>
        <v>40</v>
      </c>
      <c r="O406">
        <f>ABS(L406-SEM!$C$34)</f>
        <v>4.1740205688084195</v>
      </c>
      <c r="P406">
        <f t="shared" si="7"/>
        <v>40</v>
      </c>
    </row>
    <row r="407" spans="10:16">
      <c r="J407" s="5"/>
      <c r="L407">
        <f>SEM!M407</f>
        <v>-0.31163956799999998</v>
      </c>
      <c r="M407">
        <f>SEM!N407</f>
        <v>40.1</v>
      </c>
      <c r="O407">
        <f>ABS(L407-SEM!$C$34)</f>
        <v>4.1760622008084187</v>
      </c>
      <c r="P407">
        <f t="shared" si="7"/>
        <v>40.1</v>
      </c>
    </row>
    <row r="408" spans="10:16">
      <c r="J408" s="5"/>
      <c r="L408">
        <f>SEM!M408</f>
        <v>-0.30841693599999997</v>
      </c>
      <c r="M408">
        <f>SEM!N408</f>
        <v>40.200000000000003</v>
      </c>
      <c r="O408">
        <f>ABS(L408-SEM!$C$34)</f>
        <v>4.1792848328084187</v>
      </c>
      <c r="P408">
        <f t="shared" si="7"/>
        <v>40.200000000000003</v>
      </c>
    </row>
    <row r="409" spans="10:16">
      <c r="J409" s="5"/>
      <c r="L409">
        <f>SEM!M409</f>
        <v>-0.30519430400000003</v>
      </c>
      <c r="M409">
        <f>SEM!N409</f>
        <v>40.299999999999997</v>
      </c>
      <c r="O409">
        <f>ABS(L409-SEM!$C$34)</f>
        <v>4.1825074648084186</v>
      </c>
      <c r="P409">
        <f t="shared" si="7"/>
        <v>40.299999999999997</v>
      </c>
    </row>
    <row r="410" spans="10:16">
      <c r="J410" s="5"/>
      <c r="L410">
        <f>SEM!M410</f>
        <v>-0.30499700000000002</v>
      </c>
      <c r="M410">
        <f>SEM!N410</f>
        <v>40.4</v>
      </c>
      <c r="O410">
        <f>ABS(L410-SEM!$C$34)</f>
        <v>4.1827047688084189</v>
      </c>
      <c r="P410">
        <f t="shared" si="7"/>
        <v>40.4</v>
      </c>
    </row>
    <row r="411" spans="10:16">
      <c r="J411" s="5"/>
      <c r="L411">
        <f>SEM!M411</f>
        <v>-0.30499700000000002</v>
      </c>
      <c r="M411">
        <f>SEM!N411</f>
        <v>40.5</v>
      </c>
      <c r="O411">
        <f>ABS(L411-SEM!$C$34)</f>
        <v>4.1827047688084189</v>
      </c>
      <c r="P411">
        <f t="shared" si="7"/>
        <v>40.5</v>
      </c>
    </row>
    <row r="412" spans="10:16">
      <c r="J412" s="5"/>
      <c r="L412">
        <f>SEM!M412</f>
        <v>-0.30344736</v>
      </c>
      <c r="M412">
        <f>SEM!N412</f>
        <v>40.6</v>
      </c>
      <c r="O412">
        <f>ABS(L412-SEM!$C$34)</f>
        <v>4.1842544088084193</v>
      </c>
      <c r="P412">
        <f t="shared" si="7"/>
        <v>40.6</v>
      </c>
    </row>
    <row r="413" spans="10:16">
      <c r="J413" s="5"/>
      <c r="L413">
        <f>SEM!M413</f>
        <v>-0.29945092000000001</v>
      </c>
      <c r="M413">
        <f>SEM!N413</f>
        <v>40.700000000000003</v>
      </c>
      <c r="O413">
        <f>ABS(L413-SEM!$C$34)</f>
        <v>4.1882508488084191</v>
      </c>
      <c r="P413">
        <f t="shared" si="7"/>
        <v>40.700000000000003</v>
      </c>
    </row>
    <row r="414" spans="10:16">
      <c r="J414" s="5"/>
      <c r="L414">
        <f>SEM!M414</f>
        <v>-0.29545448000000002</v>
      </c>
      <c r="M414">
        <f>SEM!N414</f>
        <v>40.799999999999997</v>
      </c>
      <c r="O414">
        <f>ABS(L414-SEM!$C$34)</f>
        <v>4.192247288808419</v>
      </c>
      <c r="P414">
        <f t="shared" si="7"/>
        <v>40.799999999999997</v>
      </c>
    </row>
    <row r="415" spans="10:16">
      <c r="J415" s="5"/>
      <c r="L415">
        <f>SEM!M415</f>
        <v>-0.29438871999999999</v>
      </c>
      <c r="M415">
        <f>SEM!N415</f>
        <v>40.9</v>
      </c>
      <c r="O415">
        <f>ABS(L415-SEM!$C$34)</f>
        <v>4.1933130488084194</v>
      </c>
      <c r="P415">
        <f t="shared" si="7"/>
        <v>40.9</v>
      </c>
    </row>
    <row r="416" spans="10:16">
      <c r="J416" s="5"/>
      <c r="L416">
        <f>SEM!M416</f>
        <v>-0.29389480000000001</v>
      </c>
      <c r="M416">
        <f>SEM!N416</f>
        <v>41</v>
      </c>
      <c r="O416">
        <f>ABS(L416-SEM!$C$34)</f>
        <v>4.1938069688084187</v>
      </c>
      <c r="P416">
        <f t="shared" si="7"/>
        <v>41</v>
      </c>
    </row>
    <row r="417" spans="10:16">
      <c r="J417" s="5"/>
      <c r="L417">
        <f>SEM!M417</f>
        <v>-0.29332494399999998</v>
      </c>
      <c r="M417">
        <f>SEM!N417</f>
        <v>41.1</v>
      </c>
      <c r="O417">
        <f>ABS(L417-SEM!$C$34)</f>
        <v>4.194376824808419</v>
      </c>
      <c r="P417">
        <f t="shared" si="7"/>
        <v>41.1</v>
      </c>
    </row>
    <row r="418" spans="10:16">
      <c r="J418" s="5"/>
      <c r="L418">
        <f>SEM!M418</f>
        <v>-0.292565248</v>
      </c>
      <c r="M418">
        <f>SEM!N418</f>
        <v>41.2</v>
      </c>
      <c r="O418">
        <f>ABS(L418-SEM!$C$34)</f>
        <v>4.1951365208084193</v>
      </c>
      <c r="P418">
        <f t="shared" si="7"/>
        <v>41.2</v>
      </c>
    </row>
    <row r="419" spans="10:16">
      <c r="J419" s="5"/>
      <c r="L419">
        <f>SEM!M419</f>
        <v>-0.29180555200000002</v>
      </c>
      <c r="M419">
        <f>SEM!N419</f>
        <v>41.3</v>
      </c>
      <c r="O419">
        <f>ABS(L419-SEM!$C$34)</f>
        <v>4.1958962168084195</v>
      </c>
      <c r="P419">
        <f t="shared" si="7"/>
        <v>41.3</v>
      </c>
    </row>
    <row r="420" spans="10:16">
      <c r="J420" s="5"/>
      <c r="L420">
        <f>SEM!M420</f>
        <v>-0.29160399999999997</v>
      </c>
      <c r="M420">
        <f>SEM!N420</f>
        <v>41.4</v>
      </c>
      <c r="O420">
        <f>ABS(L420-SEM!$C$34)</f>
        <v>4.1960977688084196</v>
      </c>
      <c r="P420">
        <f t="shared" si="7"/>
        <v>41.4</v>
      </c>
    </row>
    <row r="421" spans="10:16">
      <c r="J421" s="5"/>
      <c r="L421">
        <f>SEM!M421</f>
        <v>-0.29160399999999997</v>
      </c>
      <c r="M421">
        <f>SEM!N421</f>
        <v>41.5</v>
      </c>
      <c r="O421">
        <f>ABS(L421-SEM!$C$34)</f>
        <v>4.1960977688084196</v>
      </c>
      <c r="P421">
        <f t="shared" si="7"/>
        <v>41.5</v>
      </c>
    </row>
    <row r="422" spans="10:16">
      <c r="J422" s="5"/>
      <c r="L422">
        <f>SEM!M422</f>
        <v>-0.29133054400000002</v>
      </c>
      <c r="M422">
        <f>SEM!N422</f>
        <v>41.6</v>
      </c>
      <c r="O422">
        <f>ABS(L422-SEM!$C$34)</f>
        <v>4.1963712248084191</v>
      </c>
      <c r="P422">
        <f t="shared" si="7"/>
        <v>41.6</v>
      </c>
    </row>
    <row r="423" spans="10:16">
      <c r="J423" s="5"/>
      <c r="L423">
        <f>SEM!M423</f>
        <v>-0.28984172800000002</v>
      </c>
      <c r="M423">
        <f>SEM!N423</f>
        <v>41.7</v>
      </c>
      <c r="O423">
        <f>ABS(L423-SEM!$C$34)</f>
        <v>4.1978600408084192</v>
      </c>
      <c r="P423">
        <f t="shared" si="7"/>
        <v>41.7</v>
      </c>
    </row>
    <row r="424" spans="10:16">
      <c r="J424" s="5"/>
      <c r="L424">
        <f>SEM!M424</f>
        <v>-0.28835291200000002</v>
      </c>
      <c r="M424">
        <f>SEM!N424</f>
        <v>41.8</v>
      </c>
      <c r="O424">
        <f>ABS(L424-SEM!$C$34)</f>
        <v>4.1993488568084194</v>
      </c>
      <c r="P424">
        <f t="shared" si="7"/>
        <v>41.8</v>
      </c>
    </row>
    <row r="425" spans="10:16">
      <c r="J425" s="5"/>
      <c r="L425">
        <f>SEM!M425</f>
        <v>-0.287248</v>
      </c>
      <c r="M425">
        <f>SEM!N425</f>
        <v>41.9</v>
      </c>
      <c r="O425">
        <f>ABS(L425-SEM!$C$34)</f>
        <v>4.2004537688084191</v>
      </c>
      <c r="P425">
        <f t="shared" si="7"/>
        <v>41.9</v>
      </c>
    </row>
    <row r="426" spans="10:16">
      <c r="J426" s="5"/>
      <c r="L426">
        <f>SEM!M426</f>
        <v>-0.28636600000000001</v>
      </c>
      <c r="M426">
        <f>SEM!N426</f>
        <v>42</v>
      </c>
      <c r="O426">
        <f>ABS(L426-SEM!$C$34)</f>
        <v>4.201335768808419</v>
      </c>
      <c r="P426">
        <f t="shared" si="7"/>
        <v>42</v>
      </c>
    </row>
    <row r="427" spans="10:16">
      <c r="J427" s="5"/>
      <c r="L427">
        <f>SEM!M427</f>
        <v>-0.285212992</v>
      </c>
      <c r="M427">
        <f>SEM!N427</f>
        <v>42.1</v>
      </c>
      <c r="O427">
        <f>ABS(L427-SEM!$C$34)</f>
        <v>4.2024887768084191</v>
      </c>
      <c r="P427">
        <f t="shared" si="7"/>
        <v>42.1</v>
      </c>
    </row>
    <row r="428" spans="10:16">
      <c r="J428" s="5"/>
      <c r="L428">
        <f>SEM!M428</f>
        <v>-0.28101114399999999</v>
      </c>
      <c r="M428">
        <f>SEM!N428</f>
        <v>42.2</v>
      </c>
      <c r="O428">
        <f>ABS(L428-SEM!$C$34)</f>
        <v>4.2066906248084193</v>
      </c>
      <c r="P428">
        <f t="shared" si="7"/>
        <v>42.2</v>
      </c>
    </row>
    <row r="429" spans="10:16">
      <c r="J429" s="5"/>
      <c r="L429">
        <f>SEM!M429</f>
        <v>-0.27680929599999998</v>
      </c>
      <c r="M429">
        <f>SEM!N429</f>
        <v>42.3</v>
      </c>
      <c r="O429">
        <f>ABS(L429-SEM!$C$34)</f>
        <v>4.2108924728084194</v>
      </c>
      <c r="P429">
        <f t="shared" si="7"/>
        <v>42.3</v>
      </c>
    </row>
    <row r="430" spans="10:16">
      <c r="J430" s="5"/>
      <c r="L430">
        <f>SEM!M430</f>
        <v>-0.274349864</v>
      </c>
      <c r="M430">
        <f>SEM!N430</f>
        <v>42.4</v>
      </c>
      <c r="O430">
        <f>ABS(L430-SEM!$C$34)</f>
        <v>4.2133519048084187</v>
      </c>
      <c r="P430">
        <f t="shared" si="7"/>
        <v>42.4</v>
      </c>
    </row>
    <row r="431" spans="10:16">
      <c r="J431" s="5"/>
      <c r="L431">
        <f>SEM!M431</f>
        <v>-0.2734318</v>
      </c>
      <c r="M431">
        <f>SEM!N431</f>
        <v>42.5</v>
      </c>
      <c r="O431">
        <f>ABS(L431-SEM!$C$34)</f>
        <v>4.2142699688084191</v>
      </c>
      <c r="P431">
        <f t="shared" si="7"/>
        <v>42.5</v>
      </c>
    </row>
    <row r="432" spans="10:16">
      <c r="J432" s="5"/>
      <c r="L432">
        <f>SEM!M432</f>
        <v>-0.27251373600000001</v>
      </c>
      <c r="M432">
        <f>SEM!N432</f>
        <v>42.6</v>
      </c>
      <c r="O432">
        <f>ABS(L432-SEM!$C$34)</f>
        <v>4.2151880328084195</v>
      </c>
      <c r="P432">
        <f t="shared" si="7"/>
        <v>42.6</v>
      </c>
    </row>
    <row r="433" spans="10:16">
      <c r="J433" s="5"/>
      <c r="L433">
        <f>SEM!M433</f>
        <v>-0.27190095199999997</v>
      </c>
      <c r="M433">
        <f>SEM!N433</f>
        <v>42.7</v>
      </c>
      <c r="O433">
        <f>ABS(L433-SEM!$C$34)</f>
        <v>4.2158008168084189</v>
      </c>
      <c r="P433">
        <f t="shared" si="7"/>
        <v>42.7</v>
      </c>
    </row>
    <row r="434" spans="10:16">
      <c r="J434" s="5"/>
      <c r="L434">
        <f>SEM!M434</f>
        <v>-0.27129452799999998</v>
      </c>
      <c r="M434">
        <f>SEM!N434</f>
        <v>42.8</v>
      </c>
      <c r="O434">
        <f>ABS(L434-SEM!$C$34)</f>
        <v>4.2164072408084188</v>
      </c>
      <c r="P434">
        <f t="shared" si="7"/>
        <v>42.8</v>
      </c>
    </row>
    <row r="435" spans="10:16">
      <c r="J435" s="5"/>
      <c r="L435">
        <f>SEM!M435</f>
        <v>-0.26994369600000001</v>
      </c>
      <c r="M435">
        <f>SEM!N435</f>
        <v>42.9</v>
      </c>
      <c r="O435">
        <f>ABS(L435-SEM!$C$34)</f>
        <v>4.2177580728084187</v>
      </c>
      <c r="P435">
        <f t="shared" si="7"/>
        <v>42.9</v>
      </c>
    </row>
    <row r="436" spans="10:16">
      <c r="J436" s="5"/>
      <c r="L436">
        <f>SEM!M436</f>
        <v>-0.26760032</v>
      </c>
      <c r="M436">
        <f>SEM!N436</f>
        <v>43</v>
      </c>
      <c r="O436">
        <f>ABS(L436-SEM!$C$34)</f>
        <v>4.2201014488084194</v>
      </c>
      <c r="P436">
        <f t="shared" si="7"/>
        <v>43</v>
      </c>
    </row>
    <row r="437" spans="10:16">
      <c r="J437" s="5"/>
      <c r="L437">
        <f>SEM!M437</f>
        <v>-0.26525694399999999</v>
      </c>
      <c r="M437">
        <f>SEM!N437</f>
        <v>43.1</v>
      </c>
      <c r="O437">
        <f>ABS(L437-SEM!$C$34)</f>
        <v>4.2224448248084192</v>
      </c>
      <c r="P437">
        <f t="shared" si="7"/>
        <v>43.1</v>
      </c>
    </row>
    <row r="438" spans="10:16">
      <c r="J438" s="5"/>
      <c r="L438">
        <f>SEM!M438</f>
        <v>-0.26297445600000002</v>
      </c>
      <c r="M438">
        <f>SEM!N438</f>
        <v>43.2</v>
      </c>
      <c r="O438">
        <f>ABS(L438-SEM!$C$34)</f>
        <v>4.2247273128084188</v>
      </c>
      <c r="P438">
        <f t="shared" si="7"/>
        <v>43.2</v>
      </c>
    </row>
    <row r="439" spans="10:16">
      <c r="J439" s="5"/>
      <c r="L439">
        <f>SEM!M439</f>
        <v>-0.26070046400000002</v>
      </c>
      <c r="M439">
        <f>SEM!N439</f>
        <v>43.3</v>
      </c>
      <c r="O439">
        <f>ABS(L439-SEM!$C$34)</f>
        <v>4.227001304808419</v>
      </c>
      <c r="P439">
        <f t="shared" si="7"/>
        <v>43.3</v>
      </c>
    </row>
    <row r="440" spans="10:16">
      <c r="J440" s="5"/>
      <c r="L440">
        <f>SEM!M440</f>
        <v>-0.25824496800000002</v>
      </c>
      <c r="M440">
        <f>SEM!N440</f>
        <v>43.4</v>
      </c>
      <c r="O440">
        <f>ABS(L440-SEM!$C$34)</f>
        <v>4.2294568008084195</v>
      </c>
      <c r="P440">
        <f t="shared" si="7"/>
        <v>43.4</v>
      </c>
    </row>
    <row r="441" spans="10:16">
      <c r="J441" s="5"/>
      <c r="L441">
        <f>SEM!M441</f>
        <v>-0.25541512</v>
      </c>
      <c r="M441">
        <f>SEM!N441</f>
        <v>43.5</v>
      </c>
      <c r="O441">
        <f>ABS(L441-SEM!$C$34)</f>
        <v>4.2322866488084188</v>
      </c>
      <c r="P441">
        <f t="shared" si="7"/>
        <v>43.5</v>
      </c>
    </row>
    <row r="442" spans="10:16">
      <c r="J442" s="5"/>
      <c r="L442">
        <f>SEM!M442</f>
        <v>-0.25258527200000003</v>
      </c>
      <c r="M442">
        <f>SEM!N442</f>
        <v>43.6</v>
      </c>
      <c r="O442">
        <f>ABS(L442-SEM!$C$34)</f>
        <v>4.235116496808419</v>
      </c>
      <c r="P442">
        <f t="shared" si="7"/>
        <v>43.6</v>
      </c>
    </row>
    <row r="443" spans="10:16">
      <c r="J443" s="5"/>
      <c r="L443">
        <f>SEM!M443</f>
        <v>-0.25017798400000002</v>
      </c>
      <c r="M443">
        <f>SEM!N443</f>
        <v>43.7</v>
      </c>
      <c r="O443">
        <f>ABS(L443-SEM!$C$34)</f>
        <v>4.2375237848084186</v>
      </c>
      <c r="P443">
        <f t="shared" si="7"/>
        <v>43.7</v>
      </c>
    </row>
    <row r="444" spans="10:16">
      <c r="J444" s="5"/>
      <c r="L444">
        <f>SEM!M444</f>
        <v>-0.24789301599999999</v>
      </c>
      <c r="M444">
        <f>SEM!N444</f>
        <v>43.8</v>
      </c>
      <c r="O444">
        <f>ABS(L444-SEM!$C$34)</f>
        <v>4.2398087528084192</v>
      </c>
      <c r="P444">
        <f t="shared" si="7"/>
        <v>43.8</v>
      </c>
    </row>
    <row r="445" spans="10:16">
      <c r="J445" s="5"/>
      <c r="L445">
        <f>SEM!M445</f>
        <v>-0.24506350399999999</v>
      </c>
      <c r="M445">
        <f>SEM!N445</f>
        <v>43.9</v>
      </c>
      <c r="O445">
        <f>ABS(L445-SEM!$C$34)</f>
        <v>4.2426382648084191</v>
      </c>
      <c r="P445">
        <f t="shared" si="7"/>
        <v>43.9</v>
      </c>
    </row>
    <row r="446" spans="10:16">
      <c r="J446" s="5"/>
      <c r="L446">
        <f>SEM!M446</f>
        <v>-0.24035284000000001</v>
      </c>
      <c r="M446">
        <f>SEM!N446</f>
        <v>44</v>
      </c>
      <c r="O446">
        <f>ABS(L446-SEM!$C$34)</f>
        <v>4.2473489288084192</v>
      </c>
      <c r="P446">
        <f t="shared" si="7"/>
        <v>44</v>
      </c>
    </row>
    <row r="447" spans="10:16">
      <c r="J447" s="5"/>
      <c r="L447">
        <f>SEM!M447</f>
        <v>-0.23564217600000001</v>
      </c>
      <c r="M447">
        <f>SEM!N447</f>
        <v>44.1</v>
      </c>
      <c r="O447">
        <f>ABS(L447-SEM!$C$34)</f>
        <v>4.2520595928084193</v>
      </c>
      <c r="P447">
        <f t="shared" si="7"/>
        <v>44.1</v>
      </c>
    </row>
    <row r="448" spans="10:16">
      <c r="J448" s="5"/>
      <c r="L448">
        <f>SEM!M448</f>
        <v>-0.233669192</v>
      </c>
      <c r="M448">
        <f>SEM!N448</f>
        <v>44.2</v>
      </c>
      <c r="O448">
        <f>ABS(L448-SEM!$C$34)</f>
        <v>4.2540325768084193</v>
      </c>
      <c r="P448">
        <f t="shared" si="7"/>
        <v>44.2</v>
      </c>
    </row>
    <row r="449" spans="10:16">
      <c r="J449" s="5"/>
      <c r="L449">
        <f>SEM!M449</f>
        <v>-0.23302356799999999</v>
      </c>
      <c r="M449">
        <f>SEM!N449</f>
        <v>44.3</v>
      </c>
      <c r="O449">
        <f>ABS(L449-SEM!$C$34)</f>
        <v>4.254678200808419</v>
      </c>
      <c r="P449">
        <f t="shared" si="7"/>
        <v>44.3</v>
      </c>
    </row>
    <row r="450" spans="10:16">
      <c r="J450" s="5"/>
      <c r="L450">
        <f>SEM!M450</f>
        <v>-0.232294904</v>
      </c>
      <c r="M450">
        <f>SEM!N450</f>
        <v>44.4</v>
      </c>
      <c r="O450">
        <f>ABS(L450-SEM!$C$34)</f>
        <v>4.2554068648084193</v>
      </c>
      <c r="P450">
        <f t="shared" si="7"/>
        <v>44.4</v>
      </c>
    </row>
    <row r="451" spans="10:16">
      <c r="J451" s="5"/>
      <c r="L451">
        <f>SEM!M451</f>
        <v>-0.23097112</v>
      </c>
      <c r="M451">
        <f>SEM!N451</f>
        <v>44.5</v>
      </c>
      <c r="O451">
        <f>ABS(L451-SEM!$C$34)</f>
        <v>4.2567306488084187</v>
      </c>
      <c r="P451">
        <f t="shared" si="7"/>
        <v>44.5</v>
      </c>
    </row>
    <row r="452" spans="10:16">
      <c r="J452" s="5"/>
      <c r="L452">
        <f>SEM!M452</f>
        <v>-0.22964733600000001</v>
      </c>
      <c r="M452">
        <f>SEM!N452</f>
        <v>44.6</v>
      </c>
      <c r="O452">
        <f>ABS(L452-SEM!$C$34)</f>
        <v>4.2580544328084189</v>
      </c>
      <c r="P452">
        <f t="shared" si="7"/>
        <v>44.6</v>
      </c>
    </row>
    <row r="453" spans="10:16">
      <c r="J453" s="5"/>
      <c r="L453">
        <f>SEM!M453</f>
        <v>-0.22636019199999999</v>
      </c>
      <c r="M453">
        <f>SEM!N453</f>
        <v>44.7</v>
      </c>
      <c r="O453">
        <f>ABS(L453-SEM!$C$34)</f>
        <v>4.2613415768084195</v>
      </c>
      <c r="P453">
        <f t="shared" si="7"/>
        <v>44.7</v>
      </c>
    </row>
    <row r="454" spans="10:16">
      <c r="J454" s="5"/>
      <c r="L454">
        <f>SEM!M454</f>
        <v>-0.22160052799999999</v>
      </c>
      <c r="M454">
        <f>SEM!N454</f>
        <v>44.8</v>
      </c>
      <c r="O454">
        <f>ABS(L454-SEM!$C$34)</f>
        <v>4.2661012408084193</v>
      </c>
      <c r="P454">
        <f t="shared" si="7"/>
        <v>44.8</v>
      </c>
    </row>
    <row r="455" spans="10:16">
      <c r="J455" s="5"/>
      <c r="L455">
        <f>SEM!M455</f>
        <v>-0.21692676</v>
      </c>
      <c r="M455">
        <f>SEM!N455</f>
        <v>44.9</v>
      </c>
      <c r="O455">
        <f>ABS(L455-SEM!$C$34)</f>
        <v>4.2707750088084193</v>
      </c>
      <c r="P455">
        <f t="shared" ref="P455:P518" si="8">M455</f>
        <v>44.9</v>
      </c>
    </row>
    <row r="456" spans="10:16">
      <c r="J456" s="5"/>
      <c r="L456">
        <f>SEM!M456</f>
        <v>-0.21637600000000001</v>
      </c>
      <c r="M456">
        <f>SEM!N456</f>
        <v>45</v>
      </c>
      <c r="O456">
        <f>ABS(L456-SEM!$C$34)</f>
        <v>4.2713257688084187</v>
      </c>
      <c r="P456">
        <f t="shared" si="8"/>
        <v>45</v>
      </c>
    </row>
    <row r="457" spans="10:16">
      <c r="J457" s="5"/>
      <c r="L457">
        <f>SEM!M457</f>
        <v>-0.21582524</v>
      </c>
      <c r="M457">
        <f>SEM!N457</f>
        <v>45.1</v>
      </c>
      <c r="O457">
        <f>ABS(L457-SEM!$C$34)</f>
        <v>4.2718765288084191</v>
      </c>
      <c r="P457">
        <f t="shared" si="8"/>
        <v>45.1</v>
      </c>
    </row>
    <row r="458" spans="10:16">
      <c r="J458" s="5"/>
      <c r="L458">
        <f>SEM!M458</f>
        <v>-0.21503288800000001</v>
      </c>
      <c r="M458">
        <f>SEM!N458</f>
        <v>45.2</v>
      </c>
      <c r="O458">
        <f>ABS(L458-SEM!$C$34)</f>
        <v>4.2726688808084194</v>
      </c>
      <c r="P458">
        <f t="shared" si="8"/>
        <v>45.2</v>
      </c>
    </row>
    <row r="459" spans="10:16">
      <c r="J459" s="5"/>
      <c r="L459">
        <f>SEM!M459</f>
        <v>-0.21396743200000001</v>
      </c>
      <c r="M459">
        <f>SEM!N459</f>
        <v>45.3</v>
      </c>
      <c r="O459">
        <f>ABS(L459-SEM!$C$34)</f>
        <v>4.2737343368084186</v>
      </c>
      <c r="P459">
        <f t="shared" si="8"/>
        <v>45.3</v>
      </c>
    </row>
    <row r="460" spans="10:16">
      <c r="J460" s="5"/>
      <c r="L460">
        <f>SEM!M460</f>
        <v>-0.21290197599999999</v>
      </c>
      <c r="M460">
        <f>SEM!N460</f>
        <v>45.4</v>
      </c>
      <c r="O460">
        <f>ABS(L460-SEM!$C$34)</f>
        <v>4.2747997928084187</v>
      </c>
      <c r="P460">
        <f t="shared" si="8"/>
        <v>45.4</v>
      </c>
    </row>
    <row r="461" spans="10:16">
      <c r="J461" s="5"/>
      <c r="L461">
        <f>SEM!M461</f>
        <v>-0.20359648</v>
      </c>
      <c r="M461">
        <f>SEM!N461</f>
        <v>45.5</v>
      </c>
      <c r="O461">
        <f>ABS(L461-SEM!$C$34)</f>
        <v>4.2841052888084192</v>
      </c>
      <c r="P461">
        <f t="shared" si="8"/>
        <v>45.5</v>
      </c>
    </row>
    <row r="462" spans="10:16">
      <c r="J462" s="5"/>
      <c r="L462">
        <f>SEM!M462</f>
        <v>-0.193558536</v>
      </c>
      <c r="M462">
        <f>SEM!N462</f>
        <v>45.6</v>
      </c>
      <c r="O462">
        <f>ABS(L462-SEM!$C$34)</f>
        <v>4.2941432328084188</v>
      </c>
      <c r="P462">
        <f t="shared" si="8"/>
        <v>45.6</v>
      </c>
    </row>
    <row r="463" spans="10:16">
      <c r="J463" s="5"/>
      <c r="L463">
        <f>SEM!M463</f>
        <v>-0.18647820800000001</v>
      </c>
      <c r="M463">
        <f>SEM!N463</f>
        <v>45.7</v>
      </c>
      <c r="O463">
        <f>ABS(L463-SEM!$C$34)</f>
        <v>4.3012235608084195</v>
      </c>
      <c r="P463">
        <f t="shared" si="8"/>
        <v>45.7</v>
      </c>
    </row>
    <row r="464" spans="10:16">
      <c r="J464" s="5"/>
      <c r="L464">
        <f>SEM!M464</f>
        <v>-0.184491552</v>
      </c>
      <c r="M464">
        <f>SEM!N464</f>
        <v>45.8</v>
      </c>
      <c r="O464">
        <f>ABS(L464-SEM!$C$34)</f>
        <v>4.3032102168084192</v>
      </c>
      <c r="P464">
        <f t="shared" si="8"/>
        <v>45.8</v>
      </c>
    </row>
    <row r="465" spans="10:16">
      <c r="J465" s="5"/>
      <c r="L465">
        <f>SEM!M465</f>
        <v>-0.182504896</v>
      </c>
      <c r="M465">
        <f>SEM!N465</f>
        <v>45.9</v>
      </c>
      <c r="O465">
        <f>ABS(L465-SEM!$C$34)</f>
        <v>4.3051968728084189</v>
      </c>
      <c r="P465">
        <f t="shared" si="8"/>
        <v>45.9</v>
      </c>
    </row>
    <row r="466" spans="10:16">
      <c r="J466" s="5"/>
      <c r="L466">
        <f>SEM!M466</f>
        <v>-0.18198607999999999</v>
      </c>
      <c r="M466">
        <f>SEM!N466</f>
        <v>46</v>
      </c>
      <c r="O466">
        <f>ABS(L466-SEM!$C$34)</f>
        <v>4.3057156888084194</v>
      </c>
      <c r="P466">
        <f t="shared" si="8"/>
        <v>46</v>
      </c>
    </row>
    <row r="467" spans="10:16">
      <c r="J467" s="5"/>
      <c r="L467">
        <f>SEM!M467</f>
        <v>-0.18179752800000001</v>
      </c>
      <c r="M467">
        <f>SEM!N467</f>
        <v>46.1</v>
      </c>
      <c r="O467">
        <f>ABS(L467-SEM!$C$34)</f>
        <v>4.3059042408084194</v>
      </c>
      <c r="P467">
        <f t="shared" si="8"/>
        <v>46.1</v>
      </c>
    </row>
    <row r="468" spans="10:16">
      <c r="J468" s="5"/>
      <c r="L468">
        <f>SEM!M468</f>
        <v>-0.18096968799999999</v>
      </c>
      <c r="M468">
        <f>SEM!N468</f>
        <v>46.2</v>
      </c>
      <c r="O468">
        <f>ABS(L468-SEM!$C$34)</f>
        <v>4.3067320808084188</v>
      </c>
      <c r="P468">
        <f t="shared" si="8"/>
        <v>46.2</v>
      </c>
    </row>
    <row r="469" spans="10:16">
      <c r="J469" s="5"/>
      <c r="L469">
        <f>SEM!M469</f>
        <v>-0.17837151200000001</v>
      </c>
      <c r="M469">
        <f>SEM!N469</f>
        <v>46.3</v>
      </c>
      <c r="O469">
        <f>ABS(L469-SEM!$C$34)</f>
        <v>4.3093302568084191</v>
      </c>
      <c r="P469">
        <f t="shared" si="8"/>
        <v>46.3</v>
      </c>
    </row>
    <row r="470" spans="10:16">
      <c r="J470" s="5"/>
      <c r="L470">
        <f>SEM!M470</f>
        <v>-0.175773336</v>
      </c>
      <c r="M470">
        <f>SEM!N470</f>
        <v>46.4</v>
      </c>
      <c r="O470">
        <f>ABS(L470-SEM!$C$34)</f>
        <v>4.3119284328084193</v>
      </c>
      <c r="P470">
        <f t="shared" si="8"/>
        <v>46.4</v>
      </c>
    </row>
    <row r="471" spans="10:16">
      <c r="J471" s="5"/>
      <c r="L471">
        <f>SEM!M471</f>
        <v>-0.17470340000000001</v>
      </c>
      <c r="M471">
        <f>SEM!N471</f>
        <v>46.5</v>
      </c>
      <c r="O471">
        <f>ABS(L471-SEM!$C$34)</f>
        <v>4.3129983688084188</v>
      </c>
      <c r="P471">
        <f t="shared" si="8"/>
        <v>46.5</v>
      </c>
    </row>
    <row r="472" spans="10:16">
      <c r="J472" s="5"/>
      <c r="L472">
        <f>SEM!M472</f>
        <v>-0.17424476</v>
      </c>
      <c r="M472">
        <f>SEM!N472</f>
        <v>46.6</v>
      </c>
      <c r="O472">
        <f>ABS(L472-SEM!$C$34)</f>
        <v>4.3134570088084194</v>
      </c>
      <c r="P472">
        <f t="shared" si="8"/>
        <v>46.6</v>
      </c>
    </row>
    <row r="473" spans="10:16">
      <c r="J473" s="5"/>
      <c r="L473">
        <f>SEM!M473</f>
        <v>-0.17380237600000001</v>
      </c>
      <c r="M473">
        <f>SEM!N473</f>
        <v>46.7</v>
      </c>
      <c r="O473">
        <f>ABS(L473-SEM!$C$34)</f>
        <v>4.3138993928084188</v>
      </c>
      <c r="P473">
        <f t="shared" si="8"/>
        <v>46.7</v>
      </c>
    </row>
    <row r="474" spans="10:16">
      <c r="J474" s="5"/>
      <c r="L474">
        <f>SEM!M474</f>
        <v>-0.17344330399999999</v>
      </c>
      <c r="M474">
        <f>SEM!N474</f>
        <v>46.8</v>
      </c>
      <c r="O474">
        <f>ABS(L474-SEM!$C$34)</f>
        <v>4.314258464808419</v>
      </c>
      <c r="P474">
        <f t="shared" si="8"/>
        <v>46.8</v>
      </c>
    </row>
    <row r="475" spans="10:16">
      <c r="J475" s="5"/>
      <c r="L475">
        <f>SEM!M475</f>
        <v>-0.173084232</v>
      </c>
      <c r="M475">
        <f>SEM!N475</f>
        <v>46.9</v>
      </c>
      <c r="O475">
        <f>ABS(L475-SEM!$C$34)</f>
        <v>4.3146175368084192</v>
      </c>
      <c r="P475">
        <f t="shared" si="8"/>
        <v>46.9</v>
      </c>
    </row>
    <row r="476" spans="10:16">
      <c r="J476" s="5"/>
      <c r="L476">
        <f>SEM!M476</f>
        <v>-0.17019435999999999</v>
      </c>
      <c r="M476">
        <f>SEM!N476</f>
        <v>47</v>
      </c>
      <c r="O476">
        <f>ABS(L476-SEM!$C$34)</f>
        <v>4.3175074088084191</v>
      </c>
      <c r="P476">
        <f t="shared" si="8"/>
        <v>47</v>
      </c>
    </row>
    <row r="477" spans="10:16">
      <c r="J477" s="5"/>
      <c r="L477">
        <f>SEM!M477</f>
        <v>-0.16570164800000001</v>
      </c>
      <c r="M477">
        <f>SEM!N477</f>
        <v>47.1</v>
      </c>
      <c r="O477">
        <f>ABS(L477-SEM!$C$34)</f>
        <v>4.3220001208084193</v>
      </c>
      <c r="P477">
        <f t="shared" si="8"/>
        <v>47.1</v>
      </c>
    </row>
    <row r="478" spans="10:16">
      <c r="J478" s="5"/>
      <c r="L478">
        <f>SEM!M478</f>
        <v>-0.16131074400000001</v>
      </c>
      <c r="M478">
        <f>SEM!N478</f>
        <v>47.2</v>
      </c>
      <c r="O478">
        <f>ABS(L478-SEM!$C$34)</f>
        <v>4.3263910248084194</v>
      </c>
      <c r="P478">
        <f t="shared" si="8"/>
        <v>47.2</v>
      </c>
    </row>
    <row r="479" spans="10:16">
      <c r="J479" s="5"/>
      <c r="L479">
        <f>SEM!M479</f>
        <v>-0.15848089600000001</v>
      </c>
      <c r="M479">
        <f>SEM!N479</f>
        <v>47.3</v>
      </c>
      <c r="O479">
        <f>ABS(L479-SEM!$C$34)</f>
        <v>4.3292208728084187</v>
      </c>
      <c r="P479">
        <f t="shared" si="8"/>
        <v>47.3</v>
      </c>
    </row>
    <row r="480" spans="10:16">
      <c r="J480" s="5"/>
      <c r="L480">
        <f>SEM!M480</f>
        <v>-0.15565104799999999</v>
      </c>
      <c r="M480">
        <f>SEM!N480</f>
        <v>47.4</v>
      </c>
      <c r="O480">
        <f>ABS(L480-SEM!$C$34)</f>
        <v>4.3320507208084189</v>
      </c>
      <c r="P480">
        <f t="shared" si="8"/>
        <v>47.4</v>
      </c>
    </row>
    <row r="481" spans="10:16">
      <c r="J481" s="5"/>
      <c r="L481">
        <f>SEM!M481</f>
        <v>-0.15062139999999999</v>
      </c>
      <c r="M481">
        <f>SEM!N481</f>
        <v>47.5</v>
      </c>
      <c r="O481">
        <f>ABS(L481-SEM!$C$34)</f>
        <v>4.3370803688084187</v>
      </c>
      <c r="P481">
        <f t="shared" si="8"/>
        <v>47.5</v>
      </c>
    </row>
    <row r="482" spans="10:16">
      <c r="J482" s="5"/>
      <c r="L482">
        <f>SEM!M482</f>
        <v>-0.143479944</v>
      </c>
      <c r="M482">
        <f>SEM!N482</f>
        <v>47.6</v>
      </c>
      <c r="O482">
        <f>ABS(L482-SEM!$C$34)</f>
        <v>4.344221824808419</v>
      </c>
      <c r="P482">
        <f t="shared" si="8"/>
        <v>47.6</v>
      </c>
    </row>
    <row r="483" spans="10:16">
      <c r="J483" s="5"/>
      <c r="L483">
        <f>SEM!M483</f>
        <v>-0.13633848800000001</v>
      </c>
      <c r="M483">
        <f>SEM!N483</f>
        <v>47.7</v>
      </c>
      <c r="O483">
        <f>ABS(L483-SEM!$C$34)</f>
        <v>4.3513632808084193</v>
      </c>
      <c r="P483">
        <f t="shared" si="8"/>
        <v>47.7</v>
      </c>
    </row>
    <row r="484" spans="10:16">
      <c r="J484" s="5"/>
      <c r="L484">
        <f>SEM!M484</f>
        <v>-0.13556008</v>
      </c>
      <c r="M484">
        <f>SEM!N484</f>
        <v>47.8</v>
      </c>
      <c r="O484">
        <f>ABS(L484-SEM!$C$34)</f>
        <v>4.3521416888084188</v>
      </c>
      <c r="P484">
        <f t="shared" si="8"/>
        <v>47.8</v>
      </c>
    </row>
    <row r="485" spans="10:16">
      <c r="J485" s="5"/>
      <c r="L485">
        <f>SEM!M485</f>
        <v>-0.13505244</v>
      </c>
      <c r="M485">
        <f>SEM!N485</f>
        <v>47.9</v>
      </c>
      <c r="O485">
        <f>ABS(L485-SEM!$C$34)</f>
        <v>4.3526493288084191</v>
      </c>
      <c r="P485">
        <f t="shared" si="8"/>
        <v>47.9</v>
      </c>
    </row>
    <row r="486" spans="10:16">
      <c r="J486" s="5"/>
      <c r="L486">
        <f>SEM!M486</f>
        <v>-0.13449712</v>
      </c>
      <c r="M486">
        <f>SEM!N486</f>
        <v>48</v>
      </c>
      <c r="O486">
        <f>ABS(L486-SEM!$C$34)</f>
        <v>4.3532046488084193</v>
      </c>
      <c r="P486">
        <f t="shared" si="8"/>
        <v>48</v>
      </c>
    </row>
    <row r="487" spans="10:16">
      <c r="J487" s="5"/>
      <c r="L487">
        <f>SEM!M487</f>
        <v>-0.133872664</v>
      </c>
      <c r="M487">
        <f>SEM!N487</f>
        <v>48.1</v>
      </c>
      <c r="O487">
        <f>ABS(L487-SEM!$C$34)</f>
        <v>4.353829104808419</v>
      </c>
      <c r="P487">
        <f t="shared" si="8"/>
        <v>48.1</v>
      </c>
    </row>
    <row r="488" spans="10:16">
      <c r="J488" s="5"/>
      <c r="L488">
        <f>SEM!M488</f>
        <v>-0.13324820800000001</v>
      </c>
      <c r="M488">
        <f>SEM!N488</f>
        <v>48.2</v>
      </c>
      <c r="O488">
        <f>ABS(L488-SEM!$C$34)</f>
        <v>4.3544535608084187</v>
      </c>
      <c r="P488">
        <f t="shared" si="8"/>
        <v>48.2</v>
      </c>
    </row>
    <row r="489" spans="10:16">
      <c r="J489" s="5"/>
      <c r="L489">
        <f>SEM!M489</f>
        <v>-0.13298965600000001</v>
      </c>
      <c r="M489">
        <f>SEM!N489</f>
        <v>48.3</v>
      </c>
      <c r="O489">
        <f>ABS(L489-SEM!$C$34)</f>
        <v>4.3547121128084187</v>
      </c>
      <c r="P489">
        <f t="shared" si="8"/>
        <v>48.3</v>
      </c>
    </row>
    <row r="490" spans="10:16">
      <c r="J490" s="5"/>
      <c r="L490">
        <f>SEM!M490</f>
        <v>-0.132792088</v>
      </c>
      <c r="M490">
        <f>SEM!N490</f>
        <v>48.4</v>
      </c>
      <c r="O490">
        <f>ABS(L490-SEM!$C$34)</f>
        <v>4.3549096808084187</v>
      </c>
      <c r="P490">
        <f t="shared" si="8"/>
        <v>48.4</v>
      </c>
    </row>
    <row r="491" spans="10:16">
      <c r="J491" s="5"/>
      <c r="L491">
        <f>SEM!M491</f>
        <v>-0.1325038</v>
      </c>
      <c r="M491">
        <f>SEM!N491</f>
        <v>48.5</v>
      </c>
      <c r="O491">
        <f>ABS(L491-SEM!$C$34)</f>
        <v>4.3551979688084188</v>
      </c>
      <c r="P491">
        <f t="shared" si="8"/>
        <v>48.5</v>
      </c>
    </row>
    <row r="492" spans="10:16">
      <c r="J492" s="5"/>
      <c r="L492">
        <f>SEM!M492</f>
        <v>-0.13200988</v>
      </c>
      <c r="M492">
        <f>SEM!N492</f>
        <v>48.6</v>
      </c>
      <c r="O492">
        <f>ABS(L492-SEM!$C$34)</f>
        <v>4.3556918888084191</v>
      </c>
      <c r="P492">
        <f t="shared" si="8"/>
        <v>48.6</v>
      </c>
    </row>
    <row r="493" spans="10:16">
      <c r="J493" s="5"/>
      <c r="L493">
        <f>SEM!M493</f>
        <v>-0.13151595999999999</v>
      </c>
      <c r="M493">
        <f>SEM!N493</f>
        <v>48.7</v>
      </c>
      <c r="O493">
        <f>ABS(L493-SEM!$C$34)</f>
        <v>4.3561858088084193</v>
      </c>
      <c r="P493">
        <f t="shared" si="8"/>
        <v>48.7</v>
      </c>
    </row>
    <row r="494" spans="10:16">
      <c r="J494" s="5"/>
      <c r="L494">
        <f>SEM!M494</f>
        <v>-0.12716308800000001</v>
      </c>
      <c r="M494">
        <f>SEM!N494</f>
        <v>48.8</v>
      </c>
      <c r="O494">
        <f>ABS(L494-SEM!$C$34)</f>
        <v>4.3605386808084194</v>
      </c>
      <c r="P494">
        <f t="shared" si="8"/>
        <v>48.8</v>
      </c>
    </row>
    <row r="495" spans="10:16">
      <c r="J495" s="5"/>
      <c r="L495">
        <f>SEM!M495</f>
        <v>-0.121558664</v>
      </c>
      <c r="M495">
        <f>SEM!N495</f>
        <v>48.9</v>
      </c>
      <c r="O495">
        <f>ABS(L495-SEM!$C$34)</f>
        <v>4.3661431048084189</v>
      </c>
      <c r="P495">
        <f t="shared" si="8"/>
        <v>48.9</v>
      </c>
    </row>
    <row r="496" spans="10:16">
      <c r="J496" s="5"/>
      <c r="L496">
        <f>SEM!M496</f>
        <v>-0.11560432</v>
      </c>
      <c r="M496">
        <f>SEM!N496</f>
        <v>49</v>
      </c>
      <c r="O496">
        <f>ABS(L496-SEM!$C$34)</f>
        <v>4.372097448808419</v>
      </c>
      <c r="P496">
        <f t="shared" si="8"/>
        <v>49</v>
      </c>
    </row>
    <row r="497" spans="10:16">
      <c r="J497" s="5"/>
      <c r="L497">
        <f>SEM!M497</f>
        <v>-0.10828528799999999</v>
      </c>
      <c r="M497">
        <f>SEM!N497</f>
        <v>49.1</v>
      </c>
      <c r="O497">
        <f>ABS(L497-SEM!$C$34)</f>
        <v>4.3794164808084188</v>
      </c>
      <c r="P497">
        <f t="shared" si="8"/>
        <v>49.1</v>
      </c>
    </row>
    <row r="498" spans="10:16">
      <c r="J498" s="5"/>
      <c r="L498">
        <f>SEM!M498</f>
        <v>-0.100966256</v>
      </c>
      <c r="M498">
        <f>SEM!N498</f>
        <v>49.2</v>
      </c>
      <c r="O498">
        <f>ABS(L498-SEM!$C$34)</f>
        <v>4.3867355128084187</v>
      </c>
      <c r="P498">
        <f t="shared" si="8"/>
        <v>49.2</v>
      </c>
    </row>
    <row r="499" spans="10:16">
      <c r="J499" s="5"/>
      <c r="L499">
        <f>SEM!M499</f>
        <v>-9.8417015999999996E-2</v>
      </c>
      <c r="M499">
        <f>SEM!N499</f>
        <v>49.3</v>
      </c>
      <c r="O499">
        <f>ABS(L499-SEM!$C$34)</f>
        <v>4.3892847528084191</v>
      </c>
      <c r="P499">
        <f t="shared" si="8"/>
        <v>49.3</v>
      </c>
    </row>
    <row r="500" spans="10:16">
      <c r="J500" s="5"/>
      <c r="L500">
        <f>SEM!M500</f>
        <v>-9.8401727999999994E-2</v>
      </c>
      <c r="M500">
        <f>SEM!N500</f>
        <v>49.4</v>
      </c>
      <c r="O500">
        <f>ABS(L500-SEM!$C$34)</f>
        <v>4.3893000408084193</v>
      </c>
      <c r="P500">
        <f t="shared" si="8"/>
        <v>49.4</v>
      </c>
    </row>
    <row r="501" spans="10:16">
      <c r="J501" s="5"/>
      <c r="L501">
        <f>SEM!M501</f>
        <v>-9.8388000000000003E-2</v>
      </c>
      <c r="M501">
        <f>SEM!N501</f>
        <v>49.5</v>
      </c>
      <c r="O501">
        <f>ABS(L501-SEM!$C$34)</f>
        <v>4.3893137688084192</v>
      </c>
      <c r="P501">
        <f t="shared" si="8"/>
        <v>49.5</v>
      </c>
    </row>
    <row r="502" spans="10:16">
      <c r="J502" s="5"/>
      <c r="L502">
        <f>SEM!M502</f>
        <v>-9.8388000000000003E-2</v>
      </c>
      <c r="M502">
        <f>SEM!N502</f>
        <v>49.6</v>
      </c>
      <c r="O502">
        <f>ABS(L502-SEM!$C$34)</f>
        <v>4.3893137688084192</v>
      </c>
      <c r="P502">
        <f t="shared" si="8"/>
        <v>49.6</v>
      </c>
    </row>
    <row r="503" spans="10:16">
      <c r="J503" s="5"/>
      <c r="L503">
        <f>SEM!M503</f>
        <v>-9.8388000000000003E-2</v>
      </c>
      <c r="M503">
        <f>SEM!N503</f>
        <v>49.7</v>
      </c>
      <c r="O503">
        <f>ABS(L503-SEM!$C$34)</f>
        <v>4.3893137688084192</v>
      </c>
      <c r="P503">
        <f t="shared" si="8"/>
        <v>49.7</v>
      </c>
    </row>
    <row r="504" spans="10:16">
      <c r="J504" s="5"/>
      <c r="L504">
        <f>SEM!M504</f>
        <v>-9.6533639999999907E-2</v>
      </c>
      <c r="M504">
        <f>SEM!N504</f>
        <v>49.8</v>
      </c>
      <c r="O504">
        <f>ABS(L504-SEM!$C$34)</f>
        <v>4.3911681288084194</v>
      </c>
      <c r="P504">
        <f t="shared" si="8"/>
        <v>49.8</v>
      </c>
    </row>
    <row r="505" spans="10:16">
      <c r="J505" s="5"/>
      <c r="L505">
        <f>SEM!M505</f>
        <v>-9.3168319999999999E-2</v>
      </c>
      <c r="M505">
        <f>SEM!N505</f>
        <v>49.9</v>
      </c>
      <c r="O505">
        <f>ABS(L505-SEM!$C$34)</f>
        <v>4.3945334488084189</v>
      </c>
      <c r="P505">
        <f t="shared" si="8"/>
        <v>49.9</v>
      </c>
    </row>
    <row r="506" spans="10:16">
      <c r="J506" s="5"/>
      <c r="L506">
        <f>SEM!M506</f>
        <v>-8.9802999999999994E-2</v>
      </c>
      <c r="M506">
        <f>SEM!N506</f>
        <v>50</v>
      </c>
      <c r="O506">
        <f>ABS(L506-SEM!$C$34)</f>
        <v>4.3978987688084192</v>
      </c>
      <c r="P506">
        <f t="shared" si="8"/>
        <v>50</v>
      </c>
    </row>
    <row r="507" spans="10:16">
      <c r="J507" s="5"/>
      <c r="L507">
        <f>SEM!M507</f>
        <v>-8.1342856000000102E-2</v>
      </c>
      <c r="M507">
        <f>SEM!N507</f>
        <v>50.1</v>
      </c>
      <c r="O507">
        <f>ABS(L507-SEM!$C$34)</f>
        <v>4.4063589128084191</v>
      </c>
      <c r="P507">
        <f t="shared" si="8"/>
        <v>50.1</v>
      </c>
    </row>
    <row r="508" spans="10:16">
      <c r="J508" s="5"/>
      <c r="L508">
        <f>SEM!M508</f>
        <v>-7.2882712000000197E-2</v>
      </c>
      <c r="M508">
        <f>SEM!N508</f>
        <v>50.2</v>
      </c>
      <c r="O508">
        <f>ABS(L508-SEM!$C$34)</f>
        <v>4.4148190568084189</v>
      </c>
      <c r="P508">
        <f t="shared" si="8"/>
        <v>50.2</v>
      </c>
    </row>
    <row r="509" spans="10:16">
      <c r="J509" s="5"/>
      <c r="L509">
        <f>SEM!M509</f>
        <v>-6.6984952000000098E-2</v>
      </c>
      <c r="M509">
        <f>SEM!N509</f>
        <v>50.3</v>
      </c>
      <c r="O509">
        <f>ABS(L509-SEM!$C$34)</f>
        <v>4.4207168168084188</v>
      </c>
      <c r="P509">
        <f t="shared" si="8"/>
        <v>50.3</v>
      </c>
    </row>
    <row r="510" spans="10:16">
      <c r="J510" s="5"/>
      <c r="L510">
        <f>SEM!M510</f>
        <v>-6.4231935999999906E-2</v>
      </c>
      <c r="M510">
        <f>SEM!N510</f>
        <v>50.4</v>
      </c>
      <c r="O510">
        <f>ABS(L510-SEM!$C$34)</f>
        <v>4.4234698328084194</v>
      </c>
      <c r="P510">
        <f t="shared" si="8"/>
        <v>50.4</v>
      </c>
    </row>
    <row r="511" spans="10:16">
      <c r="J511" s="5"/>
      <c r="L511">
        <f>SEM!M511</f>
        <v>-6.1478919999999902E-2</v>
      </c>
      <c r="M511">
        <f>SEM!N511</f>
        <v>50.5</v>
      </c>
      <c r="O511">
        <f>ABS(L511-SEM!$C$34)</f>
        <v>4.4262228488084192</v>
      </c>
      <c r="P511">
        <f t="shared" si="8"/>
        <v>50.5</v>
      </c>
    </row>
    <row r="512" spans="10:16">
      <c r="J512" s="5"/>
      <c r="L512">
        <f>SEM!M512</f>
        <v>-6.0405647999999999E-2</v>
      </c>
      <c r="M512">
        <f>SEM!N512</f>
        <v>50.6</v>
      </c>
      <c r="O512">
        <f>ABS(L512-SEM!$C$34)</f>
        <v>4.4272961208084194</v>
      </c>
      <c r="P512">
        <f t="shared" si="8"/>
        <v>50.6</v>
      </c>
    </row>
    <row r="513" spans="10:16">
      <c r="J513" s="5"/>
      <c r="L513">
        <f>SEM!M513</f>
        <v>-5.9523255999999997E-2</v>
      </c>
      <c r="M513">
        <f>SEM!N513</f>
        <v>50.7</v>
      </c>
      <c r="O513">
        <f>ABS(L513-SEM!$C$34)</f>
        <v>4.4281785128084188</v>
      </c>
      <c r="P513">
        <f t="shared" si="8"/>
        <v>50.7</v>
      </c>
    </row>
    <row r="514" spans="10:16">
      <c r="J514" s="5"/>
      <c r="L514">
        <f>SEM!M514</f>
        <v>-5.8167719999999999E-2</v>
      </c>
      <c r="M514">
        <f>SEM!N514</f>
        <v>50.8</v>
      </c>
      <c r="O514">
        <f>ABS(L514-SEM!$C$34)</f>
        <v>4.4295340488084189</v>
      </c>
      <c r="P514">
        <f t="shared" si="8"/>
        <v>50.8</v>
      </c>
    </row>
    <row r="515" spans="10:16">
      <c r="J515" s="5"/>
      <c r="L515">
        <f>SEM!M515</f>
        <v>-5.5921560000000099E-2</v>
      </c>
      <c r="M515">
        <f>SEM!N515</f>
        <v>50.9</v>
      </c>
      <c r="O515">
        <f>ABS(L515-SEM!$C$34)</f>
        <v>4.4317802088084193</v>
      </c>
      <c r="P515">
        <f t="shared" si="8"/>
        <v>50.9</v>
      </c>
    </row>
    <row r="516" spans="10:16">
      <c r="J516" s="5"/>
      <c r="L516">
        <f>SEM!M516</f>
        <v>-5.3675399999999901E-2</v>
      </c>
      <c r="M516">
        <f>SEM!N516</f>
        <v>51</v>
      </c>
      <c r="O516">
        <f>ABS(L516-SEM!$C$34)</f>
        <v>4.4340263688084196</v>
      </c>
      <c r="P516">
        <f t="shared" si="8"/>
        <v>51</v>
      </c>
    </row>
    <row r="517" spans="10:16">
      <c r="J517" s="5"/>
      <c r="L517">
        <f>SEM!M517</f>
        <v>-5.1660743999999897E-2</v>
      </c>
      <c r="M517">
        <f>SEM!N517</f>
        <v>51.1</v>
      </c>
      <c r="O517">
        <f>ABS(L517-SEM!$C$34)</f>
        <v>4.4360410248084188</v>
      </c>
      <c r="P517">
        <f t="shared" si="8"/>
        <v>51.1</v>
      </c>
    </row>
    <row r="518" spans="10:16">
      <c r="J518" s="5"/>
      <c r="L518">
        <f>SEM!M518</f>
        <v>-4.9705447999999999E-2</v>
      </c>
      <c r="M518">
        <f>SEM!N518</f>
        <v>51.2</v>
      </c>
      <c r="O518">
        <f>ABS(L518-SEM!$C$34)</f>
        <v>4.437996320808419</v>
      </c>
      <c r="P518">
        <f t="shared" si="8"/>
        <v>51.2</v>
      </c>
    </row>
    <row r="519" spans="10:16">
      <c r="J519" s="5"/>
      <c r="L519">
        <f>SEM!M519</f>
        <v>-4.7913063999999998E-2</v>
      </c>
      <c r="M519">
        <f>SEM!N519</f>
        <v>51.3</v>
      </c>
      <c r="O519">
        <f>ABS(L519-SEM!$C$34)</f>
        <v>4.4397887048084188</v>
      </c>
      <c r="P519">
        <f t="shared" ref="P519:P582" si="9">M519</f>
        <v>51.3</v>
      </c>
    </row>
    <row r="520" spans="10:16">
      <c r="J520" s="5"/>
      <c r="L520">
        <f>SEM!M520</f>
        <v>-4.6622992000000002E-2</v>
      </c>
      <c r="M520">
        <f>SEM!N520</f>
        <v>51.4</v>
      </c>
      <c r="O520">
        <f>ABS(L520-SEM!$C$34)</f>
        <v>4.4410787768084194</v>
      </c>
      <c r="P520">
        <f t="shared" si="9"/>
        <v>51.4</v>
      </c>
    </row>
    <row r="521" spans="10:16">
      <c r="J521" s="5"/>
      <c r="L521">
        <f>SEM!M521</f>
        <v>-4.5332919999999999E-2</v>
      </c>
      <c r="M521">
        <f>SEM!N521</f>
        <v>51.5</v>
      </c>
      <c r="O521">
        <f>ABS(L521-SEM!$C$34)</f>
        <v>4.4423688488084192</v>
      </c>
      <c r="P521">
        <f t="shared" si="9"/>
        <v>51.5</v>
      </c>
    </row>
    <row r="522" spans="10:16">
      <c r="J522" s="5"/>
      <c r="L522">
        <f>SEM!M522</f>
        <v>-4.3149328000000098E-2</v>
      </c>
      <c r="M522">
        <f>SEM!N522</f>
        <v>51.6</v>
      </c>
      <c r="O522">
        <f>ABS(L522-SEM!$C$34)</f>
        <v>4.4445524408084189</v>
      </c>
      <c r="P522">
        <f t="shared" si="9"/>
        <v>51.6</v>
      </c>
    </row>
    <row r="523" spans="10:16">
      <c r="J523" s="5"/>
      <c r="L523">
        <f>SEM!M523</f>
        <v>-4.0571535999999901E-2</v>
      </c>
      <c r="M523">
        <f>SEM!N523</f>
        <v>51.7</v>
      </c>
      <c r="O523">
        <f>ABS(L523-SEM!$C$34)</f>
        <v>4.4471302328084192</v>
      </c>
      <c r="P523">
        <f t="shared" si="9"/>
        <v>51.7</v>
      </c>
    </row>
    <row r="524" spans="10:16">
      <c r="J524" s="5"/>
      <c r="L524">
        <f>SEM!M524</f>
        <v>-3.8119687999999999E-2</v>
      </c>
      <c r="M524">
        <f>SEM!N524</f>
        <v>51.8</v>
      </c>
      <c r="O524">
        <f>ABS(L524-SEM!$C$34)</f>
        <v>4.449582080808419</v>
      </c>
      <c r="P524">
        <f t="shared" si="9"/>
        <v>51.8</v>
      </c>
    </row>
    <row r="525" spans="10:16">
      <c r="J525" s="5"/>
      <c r="L525">
        <f>SEM!M525</f>
        <v>-3.6423504000000002E-2</v>
      </c>
      <c r="M525">
        <f>SEM!N525</f>
        <v>51.9</v>
      </c>
      <c r="O525">
        <f>ABS(L525-SEM!$C$34)</f>
        <v>4.451278264808419</v>
      </c>
      <c r="P525">
        <f t="shared" si="9"/>
        <v>51.9</v>
      </c>
    </row>
    <row r="526" spans="10:16">
      <c r="J526" s="5"/>
      <c r="L526">
        <f>SEM!M526</f>
        <v>-3.4727319999999999E-2</v>
      </c>
      <c r="M526">
        <f>SEM!N526</f>
        <v>52</v>
      </c>
      <c r="O526">
        <f>ABS(L526-SEM!$C$34)</f>
        <v>4.4529744488084191</v>
      </c>
      <c r="P526">
        <f t="shared" si="9"/>
        <v>52</v>
      </c>
    </row>
    <row r="527" spans="10:16">
      <c r="J527" s="5"/>
      <c r="L527">
        <f>SEM!M527</f>
        <v>-3.2018223999999998E-2</v>
      </c>
      <c r="M527">
        <f>SEM!N527</f>
        <v>52.1</v>
      </c>
      <c r="O527">
        <f>ABS(L527-SEM!$C$34)</f>
        <v>4.4556835448084193</v>
      </c>
      <c r="P527">
        <f t="shared" si="9"/>
        <v>52.1</v>
      </c>
    </row>
    <row r="528" spans="10:16">
      <c r="J528" s="5"/>
      <c r="L528">
        <f>SEM!M528</f>
        <v>-2.8610567999999999E-2</v>
      </c>
      <c r="M528">
        <f>SEM!N528</f>
        <v>52.2</v>
      </c>
      <c r="O528">
        <f>ABS(L528-SEM!$C$34)</f>
        <v>4.4590912008084187</v>
      </c>
      <c r="P528">
        <f t="shared" si="9"/>
        <v>52.2</v>
      </c>
    </row>
    <row r="529" spans="10:16">
      <c r="J529" s="5"/>
      <c r="L529">
        <f>SEM!M529</f>
        <v>-2.5342E-2</v>
      </c>
      <c r="M529">
        <f>SEM!N529</f>
        <v>52.3</v>
      </c>
      <c r="O529">
        <f>ABS(L529-SEM!$C$34)</f>
        <v>4.4623597688084189</v>
      </c>
      <c r="P529">
        <f t="shared" si="9"/>
        <v>52.3</v>
      </c>
    </row>
    <row r="530" spans="10:16">
      <c r="J530" s="5"/>
      <c r="L530">
        <f>SEM!M530</f>
        <v>-2.5342E-2</v>
      </c>
      <c r="M530">
        <f>SEM!N530</f>
        <v>52.4</v>
      </c>
      <c r="O530">
        <f>ABS(L530-SEM!$C$34)</f>
        <v>4.4623597688084189</v>
      </c>
      <c r="P530">
        <f t="shared" si="9"/>
        <v>52.4</v>
      </c>
    </row>
    <row r="531" spans="10:16">
      <c r="J531" s="5"/>
      <c r="L531">
        <f>SEM!M531</f>
        <v>-2.5342E-2</v>
      </c>
      <c r="M531">
        <f>SEM!N531</f>
        <v>52.5</v>
      </c>
      <c r="O531">
        <f>ABS(L531-SEM!$C$34)</f>
        <v>4.4623597688084189</v>
      </c>
      <c r="P531">
        <f t="shared" si="9"/>
        <v>52.5</v>
      </c>
    </row>
    <row r="532" spans="10:16">
      <c r="J532" s="5"/>
      <c r="L532">
        <f>SEM!M532</f>
        <v>-2.5173424E-2</v>
      </c>
      <c r="M532">
        <f>SEM!N532</f>
        <v>52.6</v>
      </c>
      <c r="O532">
        <f>ABS(L532-SEM!$C$34)</f>
        <v>4.462528344808419</v>
      </c>
      <c r="P532">
        <f t="shared" si="9"/>
        <v>52.6</v>
      </c>
    </row>
    <row r="533" spans="10:16">
      <c r="J533" s="5"/>
      <c r="L533">
        <f>SEM!M533</f>
        <v>-2.4829248000000002E-2</v>
      </c>
      <c r="M533">
        <f>SEM!N533</f>
        <v>52.7</v>
      </c>
      <c r="O533">
        <f>ABS(L533-SEM!$C$34)</f>
        <v>4.4628725208084195</v>
      </c>
      <c r="P533">
        <f t="shared" si="9"/>
        <v>52.7</v>
      </c>
    </row>
    <row r="534" spans="10:16">
      <c r="J534" s="5"/>
      <c r="L534">
        <f>SEM!M534</f>
        <v>-2.4485072E-2</v>
      </c>
      <c r="M534">
        <f>SEM!N534</f>
        <v>52.8</v>
      </c>
      <c r="O534">
        <f>ABS(L534-SEM!$C$34)</f>
        <v>4.463216696808419</v>
      </c>
      <c r="P534">
        <f t="shared" si="9"/>
        <v>52.8</v>
      </c>
    </row>
    <row r="535" spans="10:16">
      <c r="J535" s="5"/>
      <c r="L535">
        <f>SEM!M535</f>
        <v>-2.4154512E-2</v>
      </c>
      <c r="M535">
        <f>SEM!N535</f>
        <v>52.9</v>
      </c>
      <c r="O535">
        <f>ABS(L535-SEM!$C$34)</f>
        <v>4.4635472568084191</v>
      </c>
      <c r="P535">
        <f t="shared" si="9"/>
        <v>52.9</v>
      </c>
    </row>
    <row r="536" spans="10:16">
      <c r="J536" s="5"/>
      <c r="L536">
        <f>SEM!M536</f>
        <v>-2.382484E-2</v>
      </c>
      <c r="M536">
        <f>SEM!N536</f>
        <v>53</v>
      </c>
      <c r="O536">
        <f>ABS(L536-SEM!$C$34)</f>
        <v>4.4638769288084195</v>
      </c>
      <c r="P536">
        <f t="shared" si="9"/>
        <v>53</v>
      </c>
    </row>
    <row r="537" spans="10:16">
      <c r="J537" s="5"/>
      <c r="L537">
        <f>SEM!M537</f>
        <v>-2.3623000000000002E-2</v>
      </c>
      <c r="M537">
        <f>SEM!N537</f>
        <v>53.1</v>
      </c>
      <c r="O537">
        <f>ABS(L537-SEM!$C$34)</f>
        <v>4.4640787688084194</v>
      </c>
      <c r="P537">
        <f t="shared" si="9"/>
        <v>53.1</v>
      </c>
    </row>
    <row r="538" spans="10:16">
      <c r="J538" s="5"/>
      <c r="L538">
        <f>SEM!M538</f>
        <v>-2.3623000000000002E-2</v>
      </c>
      <c r="M538">
        <f>SEM!N538</f>
        <v>53.2</v>
      </c>
      <c r="O538">
        <f>ABS(L538-SEM!$C$34)</f>
        <v>4.4640787688084194</v>
      </c>
      <c r="P538">
        <f t="shared" si="9"/>
        <v>53.2</v>
      </c>
    </row>
    <row r="539" spans="10:16">
      <c r="J539" s="5"/>
      <c r="L539">
        <f>SEM!M539</f>
        <v>-2.3623000000000002E-2</v>
      </c>
      <c r="M539">
        <f>SEM!N539</f>
        <v>53.3</v>
      </c>
      <c r="O539">
        <f>ABS(L539-SEM!$C$34)</f>
        <v>4.4640787688084194</v>
      </c>
      <c r="P539">
        <f t="shared" si="9"/>
        <v>53.3</v>
      </c>
    </row>
    <row r="540" spans="10:16">
      <c r="J540" s="5"/>
      <c r="L540">
        <f>SEM!M540</f>
        <v>-1.8333344000000001E-2</v>
      </c>
      <c r="M540">
        <f>SEM!N540</f>
        <v>53.4</v>
      </c>
      <c r="O540">
        <f>ABS(L540-SEM!$C$34)</f>
        <v>4.4693684248084189</v>
      </c>
      <c r="P540">
        <f t="shared" si="9"/>
        <v>53.4</v>
      </c>
    </row>
    <row r="541" spans="10:16">
      <c r="J541" s="5"/>
      <c r="L541">
        <f>SEM!M541</f>
        <v>-1.2011559999999999E-2</v>
      </c>
      <c r="M541">
        <f>SEM!N541</f>
        <v>53.5</v>
      </c>
      <c r="O541">
        <f>ABS(L541-SEM!$C$34)</f>
        <v>4.4756902088084187</v>
      </c>
      <c r="P541">
        <f t="shared" si="9"/>
        <v>53.5</v>
      </c>
    </row>
    <row r="542" spans="10:16">
      <c r="J542" s="5"/>
      <c r="L542">
        <f>SEM!M542</f>
        <v>-6.2708319999997498E-3</v>
      </c>
      <c r="M542">
        <f>SEM!N542</f>
        <v>53.6</v>
      </c>
      <c r="O542">
        <f>ABS(L542-SEM!$C$34)</f>
        <v>4.4814309368084198</v>
      </c>
      <c r="P542">
        <f t="shared" si="9"/>
        <v>53.6</v>
      </c>
    </row>
    <row r="543" spans="10:16">
      <c r="J543" s="5"/>
      <c r="L543">
        <f>SEM!M543</f>
        <v>-1.9827439999997899E-3</v>
      </c>
      <c r="M543">
        <f>SEM!N543</f>
        <v>53.7</v>
      </c>
      <c r="O543">
        <f>ABS(L543-SEM!$C$34)</f>
        <v>4.4857190248084189</v>
      </c>
      <c r="P543">
        <f t="shared" si="9"/>
        <v>53.7</v>
      </c>
    </row>
    <row r="544" spans="10:16">
      <c r="J544" s="5"/>
      <c r="L544">
        <f>SEM!M544</f>
        <v>2.30534400000016E-3</v>
      </c>
      <c r="M544">
        <f>SEM!N544</f>
        <v>53.8</v>
      </c>
      <c r="O544">
        <f>ABS(L544-SEM!$C$34)</f>
        <v>4.4900071128084189</v>
      </c>
      <c r="P544">
        <f t="shared" si="9"/>
        <v>53.8</v>
      </c>
    </row>
    <row r="545" spans="10:16">
      <c r="J545" s="5"/>
      <c r="L545">
        <f>SEM!M545</f>
        <v>5.2366640000000696E-3</v>
      </c>
      <c r="M545">
        <f>SEM!N545</f>
        <v>53.9</v>
      </c>
      <c r="O545">
        <f>ABS(L545-SEM!$C$34)</f>
        <v>4.492938432808419</v>
      </c>
      <c r="P545">
        <f t="shared" si="9"/>
        <v>53.9</v>
      </c>
    </row>
    <row r="546" spans="10:16">
      <c r="J546" s="5"/>
      <c r="L546">
        <f>SEM!M546</f>
        <v>7.6780400000000396E-3</v>
      </c>
      <c r="M546">
        <f>SEM!N546</f>
        <v>54</v>
      </c>
      <c r="O546">
        <f>ABS(L546-SEM!$C$34)</f>
        <v>4.4953798088084191</v>
      </c>
      <c r="P546">
        <f t="shared" si="9"/>
        <v>54</v>
      </c>
    </row>
    <row r="547" spans="10:16">
      <c r="J547" s="5"/>
      <c r="L547">
        <f>SEM!M547</f>
        <v>1.0143464E-2</v>
      </c>
      <c r="M547">
        <f>SEM!N547</f>
        <v>54.1</v>
      </c>
      <c r="O547">
        <f>ABS(L547-SEM!$C$34)</f>
        <v>4.4978452328084195</v>
      </c>
      <c r="P547">
        <f t="shared" si="9"/>
        <v>54.1</v>
      </c>
    </row>
    <row r="548" spans="10:16">
      <c r="J548" s="5"/>
      <c r="L548">
        <f>SEM!M548</f>
        <v>1.27157680000002E-2</v>
      </c>
      <c r="M548">
        <f>SEM!N548</f>
        <v>54.2</v>
      </c>
      <c r="O548">
        <f>ABS(L548-SEM!$C$34)</f>
        <v>4.5004175368084196</v>
      </c>
      <c r="P548">
        <f t="shared" si="9"/>
        <v>54.2</v>
      </c>
    </row>
    <row r="549" spans="10:16">
      <c r="J549" s="5"/>
      <c r="L549">
        <f>SEM!M549</f>
        <v>1.5288072000000199E-2</v>
      </c>
      <c r="M549">
        <f>SEM!N549</f>
        <v>54.3</v>
      </c>
      <c r="O549">
        <f>ABS(L549-SEM!$C$34)</f>
        <v>4.5029898408084197</v>
      </c>
      <c r="P549">
        <f t="shared" si="9"/>
        <v>54.3</v>
      </c>
    </row>
    <row r="550" spans="10:16">
      <c r="J550" s="5"/>
      <c r="L550">
        <f>SEM!M550</f>
        <v>2.3838416000000601E-2</v>
      </c>
      <c r="M550">
        <f>SEM!N550</f>
        <v>54.4</v>
      </c>
      <c r="O550">
        <f>ABS(L550-SEM!$C$34)</f>
        <v>4.5115401848084193</v>
      </c>
      <c r="P550">
        <f t="shared" si="9"/>
        <v>54.4</v>
      </c>
    </row>
    <row r="551" spans="10:16">
      <c r="J551" s="5"/>
      <c r="L551">
        <f>SEM!M551</f>
        <v>3.5859880000000503E-2</v>
      </c>
      <c r="M551">
        <f>SEM!N551</f>
        <v>54.5</v>
      </c>
      <c r="O551">
        <f>ABS(L551-SEM!$C$34)</f>
        <v>4.5235616488084194</v>
      </c>
      <c r="P551">
        <f t="shared" si="9"/>
        <v>54.5</v>
      </c>
    </row>
    <row r="552" spans="10:16">
      <c r="J552" s="5"/>
      <c r="L552">
        <f>SEM!M552</f>
        <v>4.6981792000000001E-2</v>
      </c>
      <c r="M552">
        <f>SEM!N552</f>
        <v>54.6</v>
      </c>
      <c r="O552">
        <f>ABS(L552-SEM!$C$34)</f>
        <v>4.5346835608084195</v>
      </c>
      <c r="P552">
        <f t="shared" si="9"/>
        <v>54.6</v>
      </c>
    </row>
    <row r="553" spans="10:16">
      <c r="J553" s="5"/>
      <c r="L553">
        <f>SEM!M553</f>
        <v>4.7983744000000002E-2</v>
      </c>
      <c r="M553">
        <f>SEM!N553</f>
        <v>54.7</v>
      </c>
      <c r="O553">
        <f>ABS(L553-SEM!$C$34)</f>
        <v>4.5356855128084188</v>
      </c>
      <c r="P553">
        <f t="shared" si="9"/>
        <v>54.7</v>
      </c>
    </row>
    <row r="554" spans="10:16">
      <c r="J554" s="5"/>
      <c r="L554">
        <f>SEM!M554</f>
        <v>4.8985696000000099E-2</v>
      </c>
      <c r="M554">
        <f>SEM!N554</f>
        <v>54.8</v>
      </c>
      <c r="O554">
        <f>ABS(L554-SEM!$C$34)</f>
        <v>4.536687464808419</v>
      </c>
      <c r="P554">
        <f t="shared" si="9"/>
        <v>54.8</v>
      </c>
    </row>
    <row r="555" spans="10:16">
      <c r="J555" s="5"/>
      <c r="L555">
        <f>SEM!M555</f>
        <v>5.1360656000000199E-2</v>
      </c>
      <c r="M555">
        <f>SEM!N555</f>
        <v>54.9</v>
      </c>
      <c r="O555">
        <f>ABS(L555-SEM!$C$34)</f>
        <v>4.539062424808419</v>
      </c>
      <c r="P555">
        <f t="shared" si="9"/>
        <v>54.9</v>
      </c>
    </row>
    <row r="556" spans="10:16">
      <c r="J556" s="5"/>
      <c r="L556">
        <f>SEM!M556</f>
        <v>5.4950200000000199E-2</v>
      </c>
      <c r="M556">
        <f>SEM!N556</f>
        <v>55</v>
      </c>
      <c r="O556">
        <f>ABS(L556-SEM!$C$34)</f>
        <v>4.5426519688084195</v>
      </c>
      <c r="P556">
        <f t="shared" si="9"/>
        <v>55</v>
      </c>
    </row>
    <row r="557" spans="10:16">
      <c r="J557" s="5"/>
      <c r="L557">
        <f>SEM!M557</f>
        <v>5.8539744000000199E-2</v>
      </c>
      <c r="M557">
        <f>SEM!N557</f>
        <v>55.1</v>
      </c>
      <c r="O557">
        <f>ABS(L557-SEM!$C$34)</f>
        <v>4.546241512808419</v>
      </c>
      <c r="P557">
        <f t="shared" si="9"/>
        <v>55.1</v>
      </c>
    </row>
    <row r="558" spans="10:16">
      <c r="J558" s="5"/>
      <c r="L558">
        <f>SEM!M558</f>
        <v>6.3714056000000199E-2</v>
      </c>
      <c r="M558">
        <f>SEM!N558</f>
        <v>55.2</v>
      </c>
      <c r="O558">
        <f>ABS(L558-SEM!$C$34)</f>
        <v>4.5514158248084193</v>
      </c>
      <c r="P558">
        <f t="shared" si="9"/>
        <v>55.2</v>
      </c>
    </row>
    <row r="559" spans="10:16">
      <c r="J559" s="5"/>
      <c r="L559">
        <f>SEM!M559</f>
        <v>6.8921384000000099E-2</v>
      </c>
      <c r="M559">
        <f>SEM!N559</f>
        <v>55.3</v>
      </c>
      <c r="O559">
        <f>ABS(L559-SEM!$C$34)</f>
        <v>4.5566231528084193</v>
      </c>
      <c r="P559">
        <f t="shared" si="9"/>
        <v>55.3</v>
      </c>
    </row>
    <row r="560" spans="10:16">
      <c r="J560" s="5"/>
      <c r="L560">
        <f>SEM!M560</f>
        <v>7.3375064000000101E-2</v>
      </c>
      <c r="M560">
        <f>SEM!N560</f>
        <v>55.4</v>
      </c>
      <c r="O560">
        <f>ABS(L560-SEM!$C$34)</f>
        <v>4.5610768328084195</v>
      </c>
      <c r="P560">
        <f t="shared" si="9"/>
        <v>55.4</v>
      </c>
    </row>
    <row r="561" spans="10:16">
      <c r="J561" s="5"/>
      <c r="L561">
        <f>SEM!M561</f>
        <v>7.6823880000000302E-2</v>
      </c>
      <c r="M561">
        <f>SEM!N561</f>
        <v>55.5</v>
      </c>
      <c r="O561">
        <f>ABS(L561-SEM!$C$34)</f>
        <v>4.5645256488084192</v>
      </c>
      <c r="P561">
        <f t="shared" si="9"/>
        <v>55.5</v>
      </c>
    </row>
    <row r="562" spans="10:16">
      <c r="J562" s="5"/>
      <c r="L562">
        <f>SEM!M562</f>
        <v>8.0272696000000199E-2</v>
      </c>
      <c r="M562">
        <f>SEM!N562</f>
        <v>55.6</v>
      </c>
      <c r="O562">
        <f>ABS(L562-SEM!$C$34)</f>
        <v>4.5679744648084188</v>
      </c>
      <c r="P562">
        <f t="shared" si="9"/>
        <v>55.6</v>
      </c>
    </row>
    <row r="563" spans="10:16">
      <c r="J563" s="5"/>
      <c r="L563">
        <f>SEM!M563</f>
        <v>8.5577392000000294E-2</v>
      </c>
      <c r="M563">
        <f>SEM!N563</f>
        <v>55.7</v>
      </c>
      <c r="O563">
        <f>ABS(L563-SEM!$C$34)</f>
        <v>4.5732791608084193</v>
      </c>
      <c r="P563">
        <f t="shared" si="9"/>
        <v>55.7</v>
      </c>
    </row>
    <row r="564" spans="10:16">
      <c r="J564" s="5"/>
      <c r="L564">
        <f>SEM!M564</f>
        <v>9.1141048000000294E-2</v>
      </c>
      <c r="M564">
        <f>SEM!N564</f>
        <v>55.8</v>
      </c>
      <c r="O564">
        <f>ABS(L564-SEM!$C$34)</f>
        <v>4.578842816808419</v>
      </c>
      <c r="P564">
        <f t="shared" si="9"/>
        <v>55.8</v>
      </c>
    </row>
    <row r="565" spans="10:16">
      <c r="J565" s="5"/>
      <c r="L565">
        <f>SEM!M565</f>
        <v>9.5177791999999997E-2</v>
      </c>
      <c r="M565">
        <f>SEM!N565</f>
        <v>55.9</v>
      </c>
      <c r="O565">
        <f>ABS(L565-SEM!$C$34)</f>
        <v>4.5828795608084194</v>
      </c>
      <c r="P565">
        <f t="shared" si="9"/>
        <v>55.9</v>
      </c>
    </row>
    <row r="566" spans="10:16">
      <c r="J566" s="5"/>
      <c r="L566">
        <f>SEM!M566</f>
        <v>9.6065280000000003E-2</v>
      </c>
      <c r="M566">
        <f>SEM!N566</f>
        <v>56</v>
      </c>
      <c r="O566">
        <f>ABS(L566-SEM!$C$34)</f>
        <v>4.5837670488084195</v>
      </c>
      <c r="P566">
        <f t="shared" si="9"/>
        <v>56</v>
      </c>
    </row>
    <row r="567" spans="10:16">
      <c r="J567" s="5"/>
      <c r="L567">
        <f>SEM!M567</f>
        <v>9.6952768000000106E-2</v>
      </c>
      <c r="M567">
        <f>SEM!N567</f>
        <v>56.1</v>
      </c>
      <c r="O567">
        <f>ABS(L567-SEM!$C$34)</f>
        <v>4.5846545368084195</v>
      </c>
      <c r="P567">
        <f t="shared" si="9"/>
        <v>56.1</v>
      </c>
    </row>
    <row r="568" spans="10:16">
      <c r="J568" s="5"/>
      <c r="L568">
        <f>SEM!M568</f>
        <v>9.7152000000000002E-2</v>
      </c>
      <c r="M568">
        <f>SEM!N568</f>
        <v>56.2</v>
      </c>
      <c r="O568">
        <f>ABS(L568-SEM!$C$34)</f>
        <v>4.5848537688084194</v>
      </c>
      <c r="P568">
        <f t="shared" si="9"/>
        <v>56.2</v>
      </c>
    </row>
    <row r="569" spans="10:16">
      <c r="J569" s="5"/>
      <c r="L569">
        <f>SEM!M569</f>
        <v>9.7152000000000002E-2</v>
      </c>
      <c r="M569">
        <f>SEM!N569</f>
        <v>56.3</v>
      </c>
      <c r="O569">
        <f>ABS(L569-SEM!$C$34)</f>
        <v>4.5848537688084194</v>
      </c>
      <c r="P569">
        <f t="shared" si="9"/>
        <v>56.3</v>
      </c>
    </row>
    <row r="570" spans="10:16">
      <c r="J570" s="5"/>
      <c r="L570">
        <f>SEM!M570</f>
        <v>9.7806016000000204E-2</v>
      </c>
      <c r="M570">
        <f>SEM!N570</f>
        <v>56.4</v>
      </c>
      <c r="O570">
        <f>ABS(L570-SEM!$C$34)</f>
        <v>4.5855077848084189</v>
      </c>
      <c r="P570">
        <f t="shared" si="9"/>
        <v>56.4</v>
      </c>
    </row>
    <row r="571" spans="10:16">
      <c r="J571" s="5"/>
      <c r="L571">
        <f>SEM!M571</f>
        <v>0.10071935999999999</v>
      </c>
      <c r="M571">
        <f>SEM!N571</f>
        <v>56.5</v>
      </c>
      <c r="O571">
        <f>ABS(L571-SEM!$C$34)</f>
        <v>4.5884211288084193</v>
      </c>
      <c r="P571">
        <f t="shared" si="9"/>
        <v>56.5</v>
      </c>
    </row>
    <row r="572" spans="10:16">
      <c r="J572" s="5"/>
      <c r="L572">
        <f>SEM!M572</f>
        <v>0.10363270400000001</v>
      </c>
      <c r="M572">
        <f>SEM!N572</f>
        <v>56.6</v>
      </c>
      <c r="O572">
        <f>ABS(L572-SEM!$C$34)</f>
        <v>4.5913344728084189</v>
      </c>
      <c r="P572">
        <f t="shared" si="9"/>
        <v>56.6</v>
      </c>
    </row>
    <row r="573" spans="10:16">
      <c r="J573" s="5"/>
      <c r="L573">
        <f>SEM!M573</f>
        <v>0.105082432</v>
      </c>
      <c r="M573">
        <f>SEM!N573</f>
        <v>56.7</v>
      </c>
      <c r="O573">
        <f>ABS(L573-SEM!$C$34)</f>
        <v>4.5927842008084188</v>
      </c>
      <c r="P573">
        <f t="shared" si="9"/>
        <v>56.7</v>
      </c>
    </row>
    <row r="574" spans="10:16">
      <c r="J574" s="5"/>
      <c r="L574">
        <f>SEM!M574</f>
        <v>0.105822528</v>
      </c>
      <c r="M574">
        <f>SEM!N574</f>
        <v>56.8</v>
      </c>
      <c r="O574">
        <f>ABS(L574-SEM!$C$34)</f>
        <v>4.5935242968084191</v>
      </c>
      <c r="P574">
        <f t="shared" si="9"/>
        <v>56.8</v>
      </c>
    </row>
    <row r="575" spans="10:16">
      <c r="J575" s="5"/>
      <c r="L575">
        <f>SEM!M575</f>
        <v>0.106712288</v>
      </c>
      <c r="M575">
        <f>SEM!N575</f>
        <v>56.9</v>
      </c>
      <c r="O575">
        <f>ABS(L575-SEM!$C$34)</f>
        <v>4.5944140568084189</v>
      </c>
      <c r="P575">
        <f t="shared" si="9"/>
        <v>56.9</v>
      </c>
    </row>
    <row r="576" spans="10:16">
      <c r="J576" s="5"/>
      <c r="L576">
        <f>SEM!M576</f>
        <v>0.10867464</v>
      </c>
      <c r="M576">
        <f>SEM!N576</f>
        <v>57</v>
      </c>
      <c r="O576">
        <f>ABS(L576-SEM!$C$34)</f>
        <v>4.5963764088084194</v>
      </c>
      <c r="P576">
        <f t="shared" si="9"/>
        <v>57</v>
      </c>
    </row>
    <row r="577" spans="10:16">
      <c r="J577" s="5"/>
      <c r="L577">
        <f>SEM!M577</f>
        <v>0.110636992</v>
      </c>
      <c r="M577">
        <f>SEM!N577</f>
        <v>57.1</v>
      </c>
      <c r="O577">
        <f>ABS(L577-SEM!$C$34)</f>
        <v>4.598338760808419</v>
      </c>
      <c r="P577">
        <f t="shared" si="9"/>
        <v>57.1</v>
      </c>
    </row>
    <row r="578" spans="10:16">
      <c r="J578" s="5"/>
      <c r="L578">
        <f>SEM!M578</f>
        <v>0.112761744</v>
      </c>
      <c r="M578">
        <f>SEM!N578</f>
        <v>57.2</v>
      </c>
      <c r="O578">
        <f>ABS(L578-SEM!$C$34)</f>
        <v>4.6004635128084193</v>
      </c>
      <c r="P578">
        <f t="shared" si="9"/>
        <v>57.2</v>
      </c>
    </row>
    <row r="579" spans="10:16">
      <c r="J579" s="5"/>
      <c r="L579">
        <f>SEM!M579</f>
        <v>0.115008296</v>
      </c>
      <c r="M579">
        <f>SEM!N579</f>
        <v>57.3</v>
      </c>
      <c r="O579">
        <f>ABS(L579-SEM!$C$34)</f>
        <v>4.6027100648084192</v>
      </c>
      <c r="P579">
        <f t="shared" si="9"/>
        <v>57.3</v>
      </c>
    </row>
    <row r="580" spans="10:16">
      <c r="J580" s="5"/>
      <c r="L580">
        <f>SEM!M580</f>
        <v>0.117242744</v>
      </c>
      <c r="M580">
        <f>SEM!N580</f>
        <v>57.4</v>
      </c>
      <c r="O580">
        <f>ABS(L580-SEM!$C$34)</f>
        <v>4.6049445128084194</v>
      </c>
      <c r="P580">
        <f t="shared" si="9"/>
        <v>57.4</v>
      </c>
    </row>
    <row r="581" spans="10:16">
      <c r="J581" s="5"/>
      <c r="L581">
        <f>SEM!M581</f>
        <v>0.11889619999999999</v>
      </c>
      <c r="M581">
        <f>SEM!N581</f>
        <v>57.5</v>
      </c>
      <c r="O581">
        <f>ABS(L581-SEM!$C$34)</f>
        <v>4.6065979688084191</v>
      </c>
      <c r="P581">
        <f t="shared" si="9"/>
        <v>57.5</v>
      </c>
    </row>
    <row r="582" spans="10:16">
      <c r="J582" s="5"/>
      <c r="L582">
        <f>SEM!M582</f>
        <v>0.12054965600000001</v>
      </c>
      <c r="M582">
        <f>SEM!N582</f>
        <v>57.6</v>
      </c>
      <c r="O582">
        <f>ABS(L582-SEM!$C$34)</f>
        <v>4.6082514248084188</v>
      </c>
      <c r="P582">
        <f t="shared" si="9"/>
        <v>57.6</v>
      </c>
    </row>
    <row r="583" spans="10:16">
      <c r="J583" s="5"/>
      <c r="L583">
        <f>SEM!M583</f>
        <v>0.12173023199999999</v>
      </c>
      <c r="M583">
        <f>SEM!N583</f>
        <v>57.7</v>
      </c>
      <c r="O583">
        <f>ABS(L583-SEM!$C$34)</f>
        <v>4.6094320008084191</v>
      </c>
      <c r="P583">
        <f t="shared" ref="P583:P646" si="10">M583</f>
        <v>57.7</v>
      </c>
    </row>
    <row r="584" spans="10:16">
      <c r="J584" s="5"/>
      <c r="L584">
        <f>SEM!M584</f>
        <v>0.12237624800000001</v>
      </c>
      <c r="M584">
        <f>SEM!N584</f>
        <v>57.8</v>
      </c>
      <c r="O584">
        <f>ABS(L584-SEM!$C$34)</f>
        <v>4.6100780168084192</v>
      </c>
      <c r="P584">
        <f t="shared" si="10"/>
        <v>57.8</v>
      </c>
    </row>
    <row r="585" spans="10:16">
      <c r="J585" s="5"/>
      <c r="L585">
        <f>SEM!M585</f>
        <v>0.12302226400000001</v>
      </c>
      <c r="M585">
        <f>SEM!N585</f>
        <v>57.9</v>
      </c>
      <c r="O585">
        <f>ABS(L585-SEM!$C$34)</f>
        <v>4.6107240328084194</v>
      </c>
      <c r="P585">
        <f t="shared" si="10"/>
        <v>57.9</v>
      </c>
    </row>
    <row r="586" spans="10:16">
      <c r="J586" s="5"/>
      <c r="L586">
        <f>SEM!M586</f>
        <v>0.12524147999999999</v>
      </c>
      <c r="M586">
        <f>SEM!N586</f>
        <v>58</v>
      </c>
      <c r="O586">
        <f>ABS(L586-SEM!$C$34)</f>
        <v>4.6129432488084188</v>
      </c>
      <c r="P586">
        <f t="shared" si="10"/>
        <v>58</v>
      </c>
    </row>
    <row r="587" spans="10:16">
      <c r="J587" s="5"/>
      <c r="L587">
        <f>SEM!M587</f>
        <v>0.12760053599999999</v>
      </c>
      <c r="M587">
        <f>SEM!N587</f>
        <v>58.1</v>
      </c>
      <c r="O587">
        <f>ABS(L587-SEM!$C$34)</f>
        <v>4.6153023048084192</v>
      </c>
      <c r="P587">
        <f t="shared" si="10"/>
        <v>58.1</v>
      </c>
    </row>
    <row r="588" spans="10:16">
      <c r="J588" s="5"/>
      <c r="L588">
        <f>SEM!M588</f>
        <v>0.13066346400000001</v>
      </c>
      <c r="M588">
        <f>SEM!N588</f>
        <v>58.2</v>
      </c>
      <c r="O588">
        <f>ABS(L588-SEM!$C$34)</f>
        <v>4.6183652328084195</v>
      </c>
      <c r="P588">
        <f t="shared" si="10"/>
        <v>58.2</v>
      </c>
    </row>
    <row r="589" spans="10:16">
      <c r="J589" s="5"/>
      <c r="L589">
        <f>SEM!M589</f>
        <v>0.13493861600000001</v>
      </c>
      <c r="M589">
        <f>SEM!N589</f>
        <v>58.3</v>
      </c>
      <c r="O589">
        <f>ABS(L589-SEM!$C$34)</f>
        <v>4.6226403848084194</v>
      </c>
      <c r="P589">
        <f t="shared" si="10"/>
        <v>58.3</v>
      </c>
    </row>
    <row r="590" spans="10:16">
      <c r="J590" s="5"/>
      <c r="L590">
        <f>SEM!M590</f>
        <v>0.13921376799999999</v>
      </c>
      <c r="M590">
        <f>SEM!N590</f>
        <v>58.4</v>
      </c>
      <c r="O590">
        <f>ABS(L590-SEM!$C$34)</f>
        <v>4.6269155368084194</v>
      </c>
      <c r="P590">
        <f t="shared" si="10"/>
        <v>58.4</v>
      </c>
    </row>
    <row r="591" spans="10:16">
      <c r="J591" s="5"/>
      <c r="L591">
        <f>SEM!M591</f>
        <v>0.14262971999999999</v>
      </c>
      <c r="M591">
        <f>SEM!N591</f>
        <v>58.5</v>
      </c>
      <c r="O591">
        <f>ABS(L591-SEM!$C$34)</f>
        <v>4.6303314888084195</v>
      </c>
      <c r="P591">
        <f t="shared" si="10"/>
        <v>58.5</v>
      </c>
    </row>
    <row r="592" spans="10:16">
      <c r="J592" s="5"/>
      <c r="L592">
        <f>SEM!M592</f>
        <v>0.14585235199999999</v>
      </c>
      <c r="M592">
        <f>SEM!N592</f>
        <v>58.6</v>
      </c>
      <c r="O592">
        <f>ABS(L592-SEM!$C$34)</f>
        <v>4.6335541208084194</v>
      </c>
      <c r="P592">
        <f t="shared" si="10"/>
        <v>58.6</v>
      </c>
    </row>
    <row r="593" spans="10:16">
      <c r="J593" s="5"/>
      <c r="L593">
        <f>SEM!M593</f>
        <v>0.14829456799999999</v>
      </c>
      <c r="M593">
        <f>SEM!N593</f>
        <v>58.7</v>
      </c>
      <c r="O593">
        <f>ABS(L593-SEM!$C$34)</f>
        <v>4.6359963368084189</v>
      </c>
      <c r="P593">
        <f t="shared" si="10"/>
        <v>58.7</v>
      </c>
    </row>
    <row r="594" spans="10:16">
      <c r="J594" s="5"/>
      <c r="L594">
        <f>SEM!M594</f>
        <v>0.14857563200000001</v>
      </c>
      <c r="M594">
        <f>SEM!N594</f>
        <v>58.8</v>
      </c>
      <c r="O594">
        <f>ABS(L594-SEM!$C$34)</f>
        <v>4.6362774008084191</v>
      </c>
      <c r="P594">
        <f t="shared" si="10"/>
        <v>58.8</v>
      </c>
    </row>
    <row r="595" spans="10:16">
      <c r="J595" s="5"/>
      <c r="L595">
        <f>SEM!M595</f>
        <v>0.14885669600000001</v>
      </c>
      <c r="M595">
        <f>SEM!N595</f>
        <v>58.9</v>
      </c>
      <c r="O595">
        <f>ABS(L595-SEM!$C$34)</f>
        <v>4.6365584648084193</v>
      </c>
      <c r="P595">
        <f t="shared" si="10"/>
        <v>58.9</v>
      </c>
    </row>
    <row r="596" spans="10:16">
      <c r="J596" s="5"/>
      <c r="L596">
        <f>SEM!M596</f>
        <v>0.15578439999999999</v>
      </c>
      <c r="M596">
        <f>SEM!N596</f>
        <v>59</v>
      </c>
      <c r="O596">
        <f>ABS(L596-SEM!$C$34)</f>
        <v>4.643486168808419</v>
      </c>
      <c r="P596">
        <f t="shared" si="10"/>
        <v>59</v>
      </c>
    </row>
    <row r="597" spans="10:16">
      <c r="J597" s="5"/>
      <c r="L597">
        <f>SEM!M597</f>
        <v>0.16537076000000001</v>
      </c>
      <c r="M597">
        <f>SEM!N597</f>
        <v>59.1</v>
      </c>
      <c r="O597">
        <f>ABS(L597-SEM!$C$34)</f>
        <v>4.6530725288084192</v>
      </c>
      <c r="P597">
        <f t="shared" si="10"/>
        <v>59.1</v>
      </c>
    </row>
    <row r="598" spans="10:16">
      <c r="J598" s="5"/>
      <c r="L598">
        <f>SEM!M598</f>
        <v>0.173555072</v>
      </c>
      <c r="M598">
        <f>SEM!N598</f>
        <v>59.2</v>
      </c>
      <c r="O598">
        <f>ABS(L598-SEM!$C$34)</f>
        <v>4.6612568408084192</v>
      </c>
      <c r="P598">
        <f t="shared" si="10"/>
        <v>59.2</v>
      </c>
    </row>
    <row r="599" spans="10:16">
      <c r="J599" s="5"/>
      <c r="L599">
        <f>SEM!M599</f>
        <v>0.17455388799999999</v>
      </c>
      <c r="M599">
        <f>SEM!N599</f>
        <v>59.3</v>
      </c>
      <c r="O599">
        <f>ABS(L599-SEM!$C$34)</f>
        <v>4.6622556568084192</v>
      </c>
      <c r="P599">
        <f t="shared" si="10"/>
        <v>59.3</v>
      </c>
    </row>
    <row r="600" spans="10:16">
      <c r="J600" s="5"/>
      <c r="L600">
        <f>SEM!M600</f>
        <v>0.175552704</v>
      </c>
      <c r="M600">
        <f>SEM!N600</f>
        <v>59.4</v>
      </c>
      <c r="O600">
        <f>ABS(L600-SEM!$C$34)</f>
        <v>4.6632544728084193</v>
      </c>
      <c r="P600">
        <f t="shared" si="10"/>
        <v>59.4</v>
      </c>
    </row>
    <row r="601" spans="10:16">
      <c r="J601" s="5"/>
      <c r="L601">
        <f>SEM!M601</f>
        <v>0.1765256</v>
      </c>
      <c r="M601">
        <f>SEM!N601</f>
        <v>59.5</v>
      </c>
      <c r="O601">
        <f>ABS(L601-SEM!$C$34)</f>
        <v>4.6642273688084188</v>
      </c>
      <c r="P601">
        <f t="shared" si="10"/>
        <v>59.5</v>
      </c>
    </row>
    <row r="602" spans="10:16">
      <c r="J602" s="5"/>
      <c r="L602">
        <f>SEM!M602</f>
        <v>0.17748207999999999</v>
      </c>
      <c r="M602">
        <f>SEM!N602</f>
        <v>59.6</v>
      </c>
      <c r="O602">
        <f>ABS(L602-SEM!$C$34)</f>
        <v>4.665183848808419</v>
      </c>
      <c r="P602">
        <f t="shared" si="10"/>
        <v>59.6</v>
      </c>
    </row>
    <row r="603" spans="10:16">
      <c r="J603" s="5"/>
      <c r="L603">
        <f>SEM!M603</f>
        <v>0.17842946400000001</v>
      </c>
      <c r="M603">
        <f>SEM!N603</f>
        <v>59.7</v>
      </c>
      <c r="O603">
        <f>ABS(L603-SEM!$C$34)</f>
        <v>4.6661312328084188</v>
      </c>
      <c r="P603">
        <f t="shared" si="10"/>
        <v>59.7</v>
      </c>
    </row>
    <row r="604" spans="10:16">
      <c r="J604" s="5"/>
      <c r="L604">
        <f>SEM!M604</f>
        <v>0.179237376</v>
      </c>
      <c r="M604">
        <f>SEM!N604</f>
        <v>59.8</v>
      </c>
      <c r="O604">
        <f>ABS(L604-SEM!$C$34)</f>
        <v>4.6669391448084188</v>
      </c>
      <c r="P604">
        <f t="shared" si="10"/>
        <v>59.8</v>
      </c>
    </row>
    <row r="605" spans="10:16">
      <c r="J605" s="5"/>
      <c r="L605">
        <f>SEM!M605</f>
        <v>0.180045288</v>
      </c>
      <c r="M605">
        <f>SEM!N605</f>
        <v>59.9</v>
      </c>
      <c r="O605">
        <f>ABS(L605-SEM!$C$34)</f>
        <v>4.6677470568084187</v>
      </c>
      <c r="P605">
        <f t="shared" si="10"/>
        <v>59.9</v>
      </c>
    </row>
    <row r="606" spans="10:16">
      <c r="J606" s="5"/>
      <c r="L606">
        <f>SEM!M606</f>
        <v>0.18068699999999999</v>
      </c>
      <c r="M606">
        <f>SEM!N606</f>
        <v>60</v>
      </c>
      <c r="O606">
        <f>ABS(L606-SEM!$C$34)</f>
        <v>4.6683887688084189</v>
      </c>
      <c r="P606">
        <f t="shared" si="10"/>
        <v>60</v>
      </c>
    </row>
    <row r="607" spans="10:16">
      <c r="J607" s="5"/>
      <c r="L607">
        <f>SEM!M607</f>
        <v>0.18116916</v>
      </c>
      <c r="M607">
        <f>SEM!N607</f>
        <v>60.1</v>
      </c>
      <c r="O607">
        <f>ABS(L607-SEM!$C$34)</f>
        <v>4.6688709288084187</v>
      </c>
      <c r="P607">
        <f t="shared" si="10"/>
        <v>60.1</v>
      </c>
    </row>
    <row r="608" spans="10:16">
      <c r="J608" s="5"/>
      <c r="L608">
        <f>SEM!M608</f>
        <v>0.18165132000000001</v>
      </c>
      <c r="M608">
        <f>SEM!N608</f>
        <v>60.2</v>
      </c>
      <c r="O608">
        <f>ABS(L608-SEM!$C$34)</f>
        <v>4.6693530888084194</v>
      </c>
      <c r="P608">
        <f t="shared" si="10"/>
        <v>60.2</v>
      </c>
    </row>
    <row r="609" spans="10:16">
      <c r="J609" s="5"/>
      <c r="L609">
        <f>SEM!M609</f>
        <v>0.18903909599999999</v>
      </c>
      <c r="M609">
        <f>SEM!N609</f>
        <v>60.3</v>
      </c>
      <c r="O609">
        <f>ABS(L609-SEM!$C$34)</f>
        <v>4.6767408648084192</v>
      </c>
      <c r="P609">
        <f t="shared" si="10"/>
        <v>60.3</v>
      </c>
    </row>
    <row r="610" spans="10:16">
      <c r="J610" s="5"/>
      <c r="L610">
        <f>SEM!M610</f>
        <v>0.19672072800000001</v>
      </c>
      <c r="M610">
        <f>SEM!N610</f>
        <v>60.4</v>
      </c>
      <c r="O610">
        <f>ABS(L610-SEM!$C$34)</f>
        <v>4.6844224968084189</v>
      </c>
      <c r="P610">
        <f t="shared" si="10"/>
        <v>60.4</v>
      </c>
    </row>
    <row r="611" spans="10:16">
      <c r="J611" s="5"/>
      <c r="L611">
        <f>SEM!M611</f>
        <v>0.20131180000000001</v>
      </c>
      <c r="M611">
        <f>SEM!N611</f>
        <v>60.5</v>
      </c>
      <c r="O611">
        <f>ABS(L611-SEM!$C$34)</f>
        <v>4.6890135688084191</v>
      </c>
      <c r="P611">
        <f t="shared" si="10"/>
        <v>60.5</v>
      </c>
    </row>
    <row r="612" spans="10:16">
      <c r="J612" s="5"/>
      <c r="L612">
        <f>SEM!M612</f>
        <v>0.20142156</v>
      </c>
      <c r="M612">
        <f>SEM!N612</f>
        <v>60.6</v>
      </c>
      <c r="O612">
        <f>ABS(L612-SEM!$C$34)</f>
        <v>4.6891233288084191</v>
      </c>
      <c r="P612">
        <f t="shared" si="10"/>
        <v>60.6</v>
      </c>
    </row>
    <row r="613" spans="10:16">
      <c r="J613" s="5"/>
      <c r="L613">
        <f>SEM!M613</f>
        <v>0.20153132000000001</v>
      </c>
      <c r="M613">
        <f>SEM!N613</f>
        <v>60.7</v>
      </c>
      <c r="O613">
        <f>ABS(L613-SEM!$C$34)</f>
        <v>4.689233088808419</v>
      </c>
      <c r="P613">
        <f t="shared" si="10"/>
        <v>60.7</v>
      </c>
    </row>
    <row r="614" spans="10:16">
      <c r="J614" s="5"/>
      <c r="L614">
        <f>SEM!M614</f>
        <v>0.202030504</v>
      </c>
      <c r="M614">
        <f>SEM!N614</f>
        <v>60.8</v>
      </c>
      <c r="O614">
        <f>ABS(L614-SEM!$C$34)</f>
        <v>4.6897322728084188</v>
      </c>
      <c r="P614">
        <f t="shared" si="10"/>
        <v>60.8</v>
      </c>
    </row>
    <row r="615" spans="10:16">
      <c r="J615" s="5"/>
      <c r="L615">
        <f>SEM!M615</f>
        <v>0.20259459199999999</v>
      </c>
      <c r="M615">
        <f>SEM!N615</f>
        <v>60.9</v>
      </c>
      <c r="O615">
        <f>ABS(L615-SEM!$C$34)</f>
        <v>4.6902963608084187</v>
      </c>
      <c r="P615">
        <f t="shared" si="10"/>
        <v>60.9</v>
      </c>
    </row>
    <row r="616" spans="10:16">
      <c r="J616" s="5"/>
      <c r="L616">
        <f>SEM!M616</f>
        <v>0.20573627999999999</v>
      </c>
      <c r="M616">
        <f>SEM!N616</f>
        <v>61</v>
      </c>
      <c r="O616">
        <f>ABS(L616-SEM!$C$34)</f>
        <v>4.6934380488084191</v>
      </c>
      <c r="P616">
        <f t="shared" si="10"/>
        <v>61</v>
      </c>
    </row>
    <row r="617" spans="10:16">
      <c r="J617" s="5"/>
      <c r="L617">
        <f>SEM!M617</f>
        <v>0.21472052799999999</v>
      </c>
      <c r="M617">
        <f>SEM!N617</f>
        <v>61.1</v>
      </c>
      <c r="O617">
        <f>ABS(L617-SEM!$C$34)</f>
        <v>4.7024222968084191</v>
      </c>
      <c r="P617">
        <f t="shared" si="10"/>
        <v>61.1</v>
      </c>
    </row>
    <row r="618" spans="10:16">
      <c r="J618" s="5"/>
      <c r="L618">
        <f>SEM!M618</f>
        <v>0.22370477599999999</v>
      </c>
      <c r="M618">
        <f>SEM!N618</f>
        <v>61.2</v>
      </c>
      <c r="O618">
        <f>ABS(L618-SEM!$C$34)</f>
        <v>4.711406544808419</v>
      </c>
      <c r="P618">
        <f t="shared" si="10"/>
        <v>61.2</v>
      </c>
    </row>
    <row r="619" spans="10:16">
      <c r="J619" s="5"/>
      <c r="L619">
        <f>SEM!M619</f>
        <v>0.22939158400000001</v>
      </c>
      <c r="M619">
        <f>SEM!N619</f>
        <v>61.3</v>
      </c>
      <c r="O619">
        <f>ABS(L619-SEM!$C$34)</f>
        <v>4.7170933528084191</v>
      </c>
      <c r="P619">
        <f t="shared" si="10"/>
        <v>61.3</v>
      </c>
    </row>
    <row r="620" spans="10:16">
      <c r="J620" s="5"/>
      <c r="L620">
        <f>SEM!M620</f>
        <v>0.23400895199999999</v>
      </c>
      <c r="M620">
        <f>SEM!N620</f>
        <v>61.4</v>
      </c>
      <c r="O620">
        <f>ABS(L620-SEM!$C$34)</f>
        <v>4.721710720808419</v>
      </c>
      <c r="P620">
        <f t="shared" si="10"/>
        <v>61.4</v>
      </c>
    </row>
    <row r="621" spans="10:16">
      <c r="J621" s="5"/>
      <c r="L621">
        <f>SEM!M621</f>
        <v>0.23799608</v>
      </c>
      <c r="M621">
        <f>SEM!N621</f>
        <v>61.5</v>
      </c>
      <c r="O621">
        <f>ABS(L621-SEM!$C$34)</f>
        <v>4.7256978488084194</v>
      </c>
      <c r="P621">
        <f t="shared" si="10"/>
        <v>61.5</v>
      </c>
    </row>
    <row r="622" spans="10:16">
      <c r="J622" s="5"/>
      <c r="L622">
        <f>SEM!M622</f>
        <v>0.23952527200000001</v>
      </c>
      <c r="M622">
        <f>SEM!N622</f>
        <v>61.6</v>
      </c>
      <c r="O622">
        <f>ABS(L622-SEM!$C$34)</f>
        <v>4.7272270408084189</v>
      </c>
      <c r="P622">
        <f t="shared" si="10"/>
        <v>61.6</v>
      </c>
    </row>
    <row r="623" spans="10:16">
      <c r="J623" s="5"/>
      <c r="L623">
        <f>SEM!M623</f>
        <v>0.241054464</v>
      </c>
      <c r="M623">
        <f>SEM!N623</f>
        <v>61.7</v>
      </c>
      <c r="O623">
        <f>ABS(L623-SEM!$C$34)</f>
        <v>4.7287562328084194</v>
      </c>
      <c r="P623">
        <f t="shared" si="10"/>
        <v>61.7</v>
      </c>
    </row>
    <row r="624" spans="10:16">
      <c r="J624" s="5"/>
      <c r="L624">
        <f>SEM!M624</f>
        <v>0.24501872799999999</v>
      </c>
      <c r="M624">
        <f>SEM!N624</f>
        <v>61.8</v>
      </c>
      <c r="O624">
        <f>ABS(L624-SEM!$C$34)</f>
        <v>4.7327204968084189</v>
      </c>
      <c r="P624">
        <f t="shared" si="10"/>
        <v>61.8</v>
      </c>
    </row>
    <row r="625" spans="10:16">
      <c r="J625" s="5"/>
      <c r="L625">
        <f>SEM!M625</f>
        <v>0.250276624</v>
      </c>
      <c r="M625">
        <f>SEM!N625</f>
        <v>61.9</v>
      </c>
      <c r="O625">
        <f>ABS(L625-SEM!$C$34)</f>
        <v>4.7379783928084187</v>
      </c>
      <c r="P625">
        <f t="shared" si="10"/>
        <v>61.9</v>
      </c>
    </row>
    <row r="626" spans="10:16">
      <c r="J626" s="5"/>
      <c r="L626">
        <f>SEM!M626</f>
        <v>0.254998</v>
      </c>
      <c r="M626">
        <f>SEM!N626</f>
        <v>62</v>
      </c>
      <c r="O626">
        <f>ABS(L626-SEM!$C$34)</f>
        <v>4.7426997688084187</v>
      </c>
      <c r="P626">
        <f t="shared" si="10"/>
        <v>62</v>
      </c>
    </row>
    <row r="627" spans="10:16">
      <c r="J627" s="5"/>
      <c r="L627">
        <f>SEM!M627</f>
        <v>0.254998</v>
      </c>
      <c r="M627">
        <f>SEM!N627</f>
        <v>62.1</v>
      </c>
      <c r="O627">
        <f>ABS(L627-SEM!$C$34)</f>
        <v>4.7426997688084187</v>
      </c>
      <c r="P627">
        <f t="shared" si="10"/>
        <v>62.1</v>
      </c>
    </row>
    <row r="628" spans="10:16">
      <c r="J628" s="5"/>
      <c r="L628">
        <f>SEM!M628</f>
        <v>0.254998</v>
      </c>
      <c r="M628">
        <f>SEM!N628</f>
        <v>62.2</v>
      </c>
      <c r="O628">
        <f>ABS(L628-SEM!$C$34)</f>
        <v>4.7426997688084187</v>
      </c>
      <c r="P628">
        <f t="shared" si="10"/>
        <v>62.2</v>
      </c>
    </row>
    <row r="629" spans="10:16">
      <c r="J629" s="5"/>
      <c r="L629">
        <f>SEM!M629</f>
        <v>0.255437992</v>
      </c>
      <c r="M629">
        <f>SEM!N629</f>
        <v>62.3</v>
      </c>
      <c r="O629">
        <f>ABS(L629-SEM!$C$34)</f>
        <v>4.7431397608084191</v>
      </c>
      <c r="P629">
        <f t="shared" si="10"/>
        <v>62.3</v>
      </c>
    </row>
    <row r="630" spans="10:16">
      <c r="J630" s="5"/>
      <c r="L630">
        <f>SEM!M630</f>
        <v>0.25623649599999998</v>
      </c>
      <c r="M630">
        <f>SEM!N630</f>
        <v>62.4</v>
      </c>
      <c r="O630">
        <f>ABS(L630-SEM!$C$34)</f>
        <v>4.7439382648084187</v>
      </c>
      <c r="P630">
        <f t="shared" si="10"/>
        <v>62.4</v>
      </c>
    </row>
    <row r="631" spans="10:16">
      <c r="J631" s="5"/>
      <c r="L631">
        <f>SEM!M631</f>
        <v>0.25703500000000001</v>
      </c>
      <c r="M631">
        <f>SEM!N631</f>
        <v>62.5</v>
      </c>
      <c r="O631">
        <f>ABS(L631-SEM!$C$34)</f>
        <v>4.7447367688084192</v>
      </c>
      <c r="P631">
        <f t="shared" si="10"/>
        <v>62.5</v>
      </c>
    </row>
    <row r="632" spans="10:16">
      <c r="J632" s="5"/>
      <c r="L632">
        <f>SEM!M632</f>
        <v>0.25792209599999999</v>
      </c>
      <c r="M632">
        <f>SEM!N632</f>
        <v>62.6</v>
      </c>
      <c r="O632">
        <f>ABS(L632-SEM!$C$34)</f>
        <v>4.7456238648084188</v>
      </c>
      <c r="P632">
        <f t="shared" si="10"/>
        <v>62.6</v>
      </c>
    </row>
    <row r="633" spans="10:16">
      <c r="J633" s="5"/>
      <c r="L633">
        <f>SEM!M633</f>
        <v>0.25880919200000002</v>
      </c>
      <c r="M633">
        <f>SEM!N633</f>
        <v>62.7</v>
      </c>
      <c r="O633">
        <f>ABS(L633-SEM!$C$34)</f>
        <v>4.7465109608084193</v>
      </c>
      <c r="P633">
        <f t="shared" si="10"/>
        <v>62.7</v>
      </c>
    </row>
    <row r="634" spans="10:16">
      <c r="J634" s="5"/>
      <c r="L634">
        <f>SEM!M634</f>
        <v>0.25929799999999997</v>
      </c>
      <c r="M634">
        <f>SEM!N634</f>
        <v>62.8</v>
      </c>
      <c r="O634">
        <f>ABS(L634-SEM!$C$34)</f>
        <v>4.7469997688084193</v>
      </c>
      <c r="P634">
        <f t="shared" si="10"/>
        <v>62.8</v>
      </c>
    </row>
    <row r="635" spans="10:16">
      <c r="J635" s="5"/>
      <c r="L635">
        <f>SEM!M635</f>
        <v>0.25929799999999997</v>
      </c>
      <c r="M635">
        <f>SEM!N635</f>
        <v>62.9</v>
      </c>
      <c r="O635">
        <f>ABS(L635-SEM!$C$34)</f>
        <v>4.7469997688084193</v>
      </c>
      <c r="P635">
        <f t="shared" si="10"/>
        <v>62.9</v>
      </c>
    </row>
    <row r="636" spans="10:16">
      <c r="J636" s="5"/>
      <c r="L636">
        <f>SEM!M636</f>
        <v>0.25929799999999997</v>
      </c>
      <c r="M636">
        <f>SEM!N636</f>
        <v>63</v>
      </c>
      <c r="O636">
        <f>ABS(L636-SEM!$C$34)</f>
        <v>4.7469997688084193</v>
      </c>
      <c r="P636">
        <f t="shared" si="10"/>
        <v>63</v>
      </c>
    </row>
    <row r="637" spans="10:16">
      <c r="J637" s="5"/>
      <c r="L637">
        <f>SEM!M637</f>
        <v>0.26166027200000003</v>
      </c>
      <c r="M637">
        <f>SEM!N637</f>
        <v>63.1</v>
      </c>
      <c r="O637">
        <f>ABS(L637-SEM!$C$34)</f>
        <v>4.7493620408084194</v>
      </c>
      <c r="P637">
        <f t="shared" si="10"/>
        <v>63.1</v>
      </c>
    </row>
    <row r="638" spans="10:16">
      <c r="J638" s="5"/>
      <c r="L638">
        <f>SEM!M638</f>
        <v>0.26429098400000001</v>
      </c>
      <c r="M638">
        <f>SEM!N638</f>
        <v>63.2</v>
      </c>
      <c r="O638">
        <f>ABS(L638-SEM!$C$34)</f>
        <v>4.7519927528084187</v>
      </c>
      <c r="P638">
        <f t="shared" si="10"/>
        <v>63.2</v>
      </c>
    </row>
    <row r="639" spans="10:16">
      <c r="J639" s="5"/>
      <c r="L639">
        <f>SEM!M639</f>
        <v>0.267665072</v>
      </c>
      <c r="M639">
        <f>SEM!N639</f>
        <v>63.3</v>
      </c>
      <c r="O639">
        <f>ABS(L639-SEM!$C$34)</f>
        <v>4.7553668408084189</v>
      </c>
      <c r="P639">
        <f t="shared" si="10"/>
        <v>63.3</v>
      </c>
    </row>
    <row r="640" spans="10:16">
      <c r="J640" s="5"/>
      <c r="L640">
        <f>SEM!M640</f>
        <v>0.272438456</v>
      </c>
      <c r="M640">
        <f>SEM!N640</f>
        <v>63.4</v>
      </c>
      <c r="O640">
        <f>ABS(L640-SEM!$C$34)</f>
        <v>4.7601402248084188</v>
      </c>
      <c r="P640">
        <f t="shared" si="10"/>
        <v>63.4</v>
      </c>
    </row>
    <row r="641" spans="10:16">
      <c r="J641" s="5"/>
      <c r="L641">
        <f>SEM!M641</f>
        <v>0.27721183999999999</v>
      </c>
      <c r="M641">
        <f>SEM!N641</f>
        <v>63.5</v>
      </c>
      <c r="O641">
        <f>ABS(L641-SEM!$C$34)</f>
        <v>4.7649136088084187</v>
      </c>
      <c r="P641">
        <f t="shared" si="10"/>
        <v>63.5</v>
      </c>
    </row>
    <row r="642" spans="10:16">
      <c r="J642" s="5"/>
      <c r="L642">
        <f>SEM!M642</f>
        <v>0.27855104000000003</v>
      </c>
      <c r="M642">
        <f>SEM!N642</f>
        <v>63.6</v>
      </c>
      <c r="O642">
        <f>ABS(L642-SEM!$C$34)</f>
        <v>4.7662528088084191</v>
      </c>
      <c r="P642">
        <f t="shared" si="10"/>
        <v>63.6</v>
      </c>
    </row>
    <row r="643" spans="10:16">
      <c r="J643" s="5"/>
      <c r="L643">
        <f>SEM!M643</f>
        <v>0.27900967999999998</v>
      </c>
      <c r="M643">
        <f>SEM!N643</f>
        <v>63.7</v>
      </c>
      <c r="O643">
        <f>ABS(L643-SEM!$C$34)</f>
        <v>4.7667114488084188</v>
      </c>
      <c r="P643">
        <f t="shared" si="10"/>
        <v>63.7</v>
      </c>
    </row>
    <row r="644" spans="10:16">
      <c r="J644" s="5"/>
      <c r="L644">
        <f>SEM!M644</f>
        <v>0.27981142399999998</v>
      </c>
      <c r="M644">
        <f>SEM!N644</f>
        <v>63.8</v>
      </c>
      <c r="O644">
        <f>ABS(L644-SEM!$C$34)</f>
        <v>4.7675131928084191</v>
      </c>
      <c r="P644">
        <f t="shared" si="10"/>
        <v>63.8</v>
      </c>
    </row>
    <row r="645" spans="10:16">
      <c r="J645" s="5"/>
      <c r="L645">
        <f>SEM!M645</f>
        <v>0.28167107200000002</v>
      </c>
      <c r="M645">
        <f>SEM!N645</f>
        <v>63.9</v>
      </c>
      <c r="O645">
        <f>ABS(L645-SEM!$C$34)</f>
        <v>4.7693728408084191</v>
      </c>
      <c r="P645">
        <f t="shared" si="10"/>
        <v>63.9</v>
      </c>
    </row>
    <row r="646" spans="10:16">
      <c r="J646" s="5"/>
      <c r="L646">
        <f>SEM!M646</f>
        <v>0.28353072000000001</v>
      </c>
      <c r="M646">
        <f>SEM!N646</f>
        <v>64</v>
      </c>
      <c r="O646">
        <f>ABS(L646-SEM!$C$34)</f>
        <v>4.771232488808419</v>
      </c>
      <c r="P646">
        <f t="shared" si="10"/>
        <v>64</v>
      </c>
    </row>
    <row r="647" spans="10:16">
      <c r="J647" s="5"/>
      <c r="L647">
        <f>SEM!M647</f>
        <v>0.28580462400000001</v>
      </c>
      <c r="M647">
        <f>SEM!N647</f>
        <v>64.099999999999994</v>
      </c>
      <c r="O647">
        <f>ABS(L647-SEM!$C$34)</f>
        <v>4.7735063928084189</v>
      </c>
      <c r="P647">
        <f t="shared" ref="P647:P710" si="11">M647</f>
        <v>64.099999999999994</v>
      </c>
    </row>
    <row r="648" spans="10:16">
      <c r="J648" s="5"/>
      <c r="L648">
        <f>SEM!M648</f>
        <v>0.288261288</v>
      </c>
      <c r="M648">
        <f>SEM!N648</f>
        <v>64.2</v>
      </c>
      <c r="O648">
        <f>ABS(L648-SEM!$C$34)</f>
        <v>4.7759630568084193</v>
      </c>
      <c r="P648">
        <f t="shared" si="11"/>
        <v>64.2</v>
      </c>
    </row>
    <row r="649" spans="10:16">
      <c r="J649" s="5"/>
      <c r="L649">
        <f>SEM!M649</f>
        <v>0.29036699999999999</v>
      </c>
      <c r="M649">
        <f>SEM!N649</f>
        <v>64.3</v>
      </c>
      <c r="O649">
        <f>ABS(L649-SEM!$C$34)</f>
        <v>4.7780687688084189</v>
      </c>
      <c r="P649">
        <f t="shared" si="11"/>
        <v>64.3</v>
      </c>
    </row>
    <row r="650" spans="10:16">
      <c r="J650" s="5"/>
      <c r="L650">
        <f>SEM!M650</f>
        <v>0.29036699999999999</v>
      </c>
      <c r="M650">
        <f>SEM!N650</f>
        <v>64.400000000000006</v>
      </c>
      <c r="O650">
        <f>ABS(L650-SEM!$C$34)</f>
        <v>4.7780687688084189</v>
      </c>
      <c r="P650">
        <f t="shared" si="11"/>
        <v>64.400000000000006</v>
      </c>
    </row>
    <row r="651" spans="10:16">
      <c r="J651" s="5"/>
      <c r="L651">
        <f>SEM!M651</f>
        <v>0.29036699999999999</v>
      </c>
      <c r="M651">
        <f>SEM!N651</f>
        <v>64.5</v>
      </c>
      <c r="O651">
        <f>ABS(L651-SEM!$C$34)</f>
        <v>4.7780687688084189</v>
      </c>
      <c r="P651">
        <f t="shared" si="11"/>
        <v>64.5</v>
      </c>
    </row>
    <row r="652" spans="10:16">
      <c r="J652" s="5"/>
      <c r="L652">
        <f>SEM!M652</f>
        <v>0.29131448799999998</v>
      </c>
      <c r="M652">
        <f>SEM!N652</f>
        <v>64.599999999999994</v>
      </c>
      <c r="O652">
        <f>ABS(L652-SEM!$C$34)</f>
        <v>4.7790162568084193</v>
      </c>
      <c r="P652">
        <f t="shared" si="11"/>
        <v>64.599999999999994</v>
      </c>
    </row>
    <row r="653" spans="10:16">
      <c r="J653" s="5"/>
      <c r="L653">
        <f>SEM!M653</f>
        <v>0.29291541599999998</v>
      </c>
      <c r="M653">
        <f>SEM!N653</f>
        <v>64.7</v>
      </c>
      <c r="O653">
        <f>ABS(L653-SEM!$C$34)</f>
        <v>4.7806171848084187</v>
      </c>
      <c r="P653">
        <f t="shared" si="11"/>
        <v>64.7</v>
      </c>
    </row>
    <row r="654" spans="10:16">
      <c r="J654" s="5"/>
      <c r="L654">
        <f>SEM!M654</f>
        <v>0.29485114400000101</v>
      </c>
      <c r="M654">
        <f>SEM!N654</f>
        <v>64.8</v>
      </c>
      <c r="O654">
        <f>ABS(L654-SEM!$C$34)</f>
        <v>4.7825529128084199</v>
      </c>
      <c r="P654">
        <f t="shared" si="11"/>
        <v>64.8</v>
      </c>
    </row>
    <row r="655" spans="10:16">
      <c r="J655" s="5"/>
      <c r="L655">
        <f>SEM!M655</f>
        <v>0.30465467200000002</v>
      </c>
      <c r="M655">
        <f>SEM!N655</f>
        <v>64.900000000000006</v>
      </c>
      <c r="O655">
        <f>ABS(L655-SEM!$C$34)</f>
        <v>4.7923564408084189</v>
      </c>
      <c r="P655">
        <f t="shared" si="11"/>
        <v>64.900000000000006</v>
      </c>
    </row>
    <row r="656" spans="10:16">
      <c r="J656" s="5"/>
      <c r="L656">
        <f>SEM!M656</f>
        <v>0.31445820000000002</v>
      </c>
      <c r="M656">
        <f>SEM!N656</f>
        <v>65</v>
      </c>
      <c r="O656">
        <f>ABS(L656-SEM!$C$34)</f>
        <v>4.8021599688084189</v>
      </c>
      <c r="P656">
        <f t="shared" si="11"/>
        <v>65</v>
      </c>
    </row>
    <row r="657" spans="10:16">
      <c r="J657" s="5"/>
      <c r="L657">
        <f>SEM!M657</f>
        <v>0.319851104</v>
      </c>
      <c r="M657">
        <f>SEM!N657</f>
        <v>65.099999999999994</v>
      </c>
      <c r="O657">
        <f>ABS(L657-SEM!$C$34)</f>
        <v>4.8075528728084187</v>
      </c>
      <c r="P657">
        <f t="shared" si="11"/>
        <v>65.099999999999994</v>
      </c>
    </row>
    <row r="658" spans="10:16">
      <c r="J658" s="5"/>
      <c r="L658">
        <f>SEM!M658</f>
        <v>0.32064960799999997</v>
      </c>
      <c r="M658">
        <f>SEM!N658</f>
        <v>65.2</v>
      </c>
      <c r="O658">
        <f>ABS(L658-SEM!$C$34)</f>
        <v>4.8083513768084192</v>
      </c>
      <c r="P658">
        <f t="shared" si="11"/>
        <v>65.2</v>
      </c>
    </row>
    <row r="659" spans="10:16">
      <c r="J659" s="5"/>
      <c r="L659">
        <f>SEM!M659</f>
        <v>0.32144811200000001</v>
      </c>
      <c r="M659">
        <f>SEM!N659</f>
        <v>65.3</v>
      </c>
      <c r="O659">
        <f>ABS(L659-SEM!$C$34)</f>
        <v>4.8091498808084188</v>
      </c>
      <c r="P659">
        <f t="shared" si="11"/>
        <v>65.3</v>
      </c>
    </row>
    <row r="660" spans="10:16">
      <c r="J660" s="5"/>
      <c r="L660">
        <f>SEM!M660</f>
        <v>0.32232978400000001</v>
      </c>
      <c r="M660">
        <f>SEM!N660</f>
        <v>65.400000000000006</v>
      </c>
      <c r="O660">
        <f>ABS(L660-SEM!$C$34)</f>
        <v>4.810031552808419</v>
      </c>
      <c r="P660">
        <f t="shared" si="11"/>
        <v>65.400000000000006</v>
      </c>
    </row>
    <row r="661" spans="10:16">
      <c r="J661" s="5"/>
      <c r="L661">
        <f>SEM!M661</f>
        <v>0.32321687999999998</v>
      </c>
      <c r="M661">
        <f>SEM!N661</f>
        <v>65.5</v>
      </c>
      <c r="O661">
        <f>ABS(L661-SEM!$C$34)</f>
        <v>4.8109186488084195</v>
      </c>
      <c r="P661">
        <f t="shared" si="11"/>
        <v>65.5</v>
      </c>
    </row>
    <row r="662" spans="10:16">
      <c r="J662" s="5"/>
      <c r="L662">
        <f>SEM!M662</f>
        <v>0.32488966400000002</v>
      </c>
      <c r="M662">
        <f>SEM!N662</f>
        <v>65.599999999999994</v>
      </c>
      <c r="O662">
        <f>ABS(L662-SEM!$C$34)</f>
        <v>4.8125914328084187</v>
      </c>
      <c r="P662">
        <f t="shared" si="11"/>
        <v>65.599999999999994</v>
      </c>
    </row>
    <row r="663" spans="10:16">
      <c r="J663" s="5"/>
      <c r="L663">
        <f>SEM!M663</f>
        <v>0.32780300800000001</v>
      </c>
      <c r="M663">
        <f>SEM!N663</f>
        <v>65.7</v>
      </c>
      <c r="O663">
        <f>ABS(L663-SEM!$C$34)</f>
        <v>4.8155047768084192</v>
      </c>
      <c r="P663">
        <f t="shared" si="11"/>
        <v>65.7</v>
      </c>
    </row>
    <row r="664" spans="10:16">
      <c r="J664" s="5"/>
      <c r="L664">
        <f>SEM!M664</f>
        <v>0.33071635199999999</v>
      </c>
      <c r="M664">
        <f>SEM!N664</f>
        <v>65.8</v>
      </c>
      <c r="O664">
        <f>ABS(L664-SEM!$C$34)</f>
        <v>4.8184181208084187</v>
      </c>
      <c r="P664">
        <f t="shared" si="11"/>
        <v>65.8</v>
      </c>
    </row>
    <row r="665" spans="10:16">
      <c r="J665" s="5"/>
      <c r="L665">
        <f>SEM!M665</f>
        <v>0.33345355999999998</v>
      </c>
      <c r="M665">
        <f>SEM!N665</f>
        <v>65.900000000000006</v>
      </c>
      <c r="O665">
        <f>ABS(L665-SEM!$C$34)</f>
        <v>4.8211553288084188</v>
      </c>
      <c r="P665">
        <f t="shared" si="11"/>
        <v>65.900000000000006</v>
      </c>
    </row>
    <row r="666" spans="10:16">
      <c r="J666" s="5"/>
      <c r="L666">
        <f>SEM!M666</f>
        <v>0.33615640000000002</v>
      </c>
      <c r="M666">
        <f>SEM!N666</f>
        <v>66</v>
      </c>
      <c r="O666">
        <f>ABS(L666-SEM!$C$34)</f>
        <v>4.8238581688084192</v>
      </c>
      <c r="P666">
        <f t="shared" si="11"/>
        <v>66</v>
      </c>
    </row>
    <row r="667" spans="10:16">
      <c r="J667" s="5"/>
      <c r="L667">
        <f>SEM!M667</f>
        <v>0.33808700000000003</v>
      </c>
      <c r="M667">
        <f>SEM!N667</f>
        <v>66.099999999999994</v>
      </c>
      <c r="O667">
        <f>ABS(L667-SEM!$C$34)</f>
        <v>4.8257887688084189</v>
      </c>
      <c r="P667">
        <f t="shared" si="11"/>
        <v>66.099999999999994</v>
      </c>
    </row>
    <row r="668" spans="10:16">
      <c r="J668" s="5"/>
      <c r="L668">
        <f>SEM!M668</f>
        <v>0.33808700000000003</v>
      </c>
      <c r="M668">
        <f>SEM!N668</f>
        <v>66.2</v>
      </c>
      <c r="O668">
        <f>ABS(L668-SEM!$C$34)</f>
        <v>4.8257887688084189</v>
      </c>
      <c r="P668">
        <f t="shared" si="11"/>
        <v>66.2</v>
      </c>
    </row>
    <row r="669" spans="10:16">
      <c r="J669" s="5"/>
      <c r="L669">
        <f>SEM!M669</f>
        <v>0.33808700000000003</v>
      </c>
      <c r="M669">
        <f>SEM!N669</f>
        <v>66.3</v>
      </c>
      <c r="O669">
        <f>ABS(L669-SEM!$C$34)</f>
        <v>4.8257887688084189</v>
      </c>
      <c r="P669">
        <f t="shared" si="11"/>
        <v>66.3</v>
      </c>
    </row>
    <row r="670" spans="10:16">
      <c r="J670" s="5"/>
      <c r="L670">
        <f>SEM!M670</f>
        <v>0.34110380000000001</v>
      </c>
      <c r="M670">
        <f>SEM!N670</f>
        <v>66.400000000000006</v>
      </c>
      <c r="O670">
        <f>ABS(L670-SEM!$C$34)</f>
        <v>4.828805568808419</v>
      </c>
      <c r="P670">
        <f t="shared" si="11"/>
        <v>66.400000000000006</v>
      </c>
    </row>
    <row r="671" spans="10:16">
      <c r="J671" s="5"/>
      <c r="L671">
        <f>SEM!M671</f>
        <v>0.34521000000000002</v>
      </c>
      <c r="M671">
        <f>SEM!N671</f>
        <v>66.5</v>
      </c>
      <c r="O671">
        <f>ABS(L671-SEM!$C$34)</f>
        <v>4.8329117688084189</v>
      </c>
      <c r="P671">
        <f t="shared" si="11"/>
        <v>66.5</v>
      </c>
    </row>
    <row r="672" spans="10:16">
      <c r="J672" s="5"/>
      <c r="L672">
        <f>SEM!M672</f>
        <v>0.34901322400000001</v>
      </c>
      <c r="M672">
        <f>SEM!N672</f>
        <v>66.599999999999994</v>
      </c>
      <c r="O672">
        <f>ABS(L672-SEM!$C$34)</f>
        <v>4.8367149928084192</v>
      </c>
      <c r="P672">
        <f t="shared" si="11"/>
        <v>66.599999999999994</v>
      </c>
    </row>
    <row r="673" spans="10:16">
      <c r="J673" s="5"/>
      <c r="L673">
        <f>SEM!M673</f>
        <v>0.35146988800000001</v>
      </c>
      <c r="M673">
        <f>SEM!N673</f>
        <v>66.7</v>
      </c>
      <c r="O673">
        <f>ABS(L673-SEM!$C$34)</f>
        <v>4.8391716568084195</v>
      </c>
      <c r="P673">
        <f t="shared" si="11"/>
        <v>66.7</v>
      </c>
    </row>
    <row r="674" spans="10:16">
      <c r="J674" s="5"/>
      <c r="L674">
        <f>SEM!M674</f>
        <v>0.35392655200000001</v>
      </c>
      <c r="M674">
        <f>SEM!N674</f>
        <v>66.8</v>
      </c>
      <c r="O674">
        <f>ABS(L674-SEM!$C$34)</f>
        <v>4.841628320808419</v>
      </c>
      <c r="P674">
        <f t="shared" si="11"/>
        <v>66.8</v>
      </c>
    </row>
    <row r="675" spans="10:16">
      <c r="J675" s="5"/>
      <c r="L675">
        <f>SEM!M675</f>
        <v>0.356446704</v>
      </c>
      <c r="M675">
        <f>SEM!N675</f>
        <v>66.900000000000006</v>
      </c>
      <c r="O675">
        <f>ABS(L675-SEM!$C$34)</f>
        <v>4.8441484728084188</v>
      </c>
      <c r="P675">
        <f t="shared" si="11"/>
        <v>66.900000000000006</v>
      </c>
    </row>
    <row r="676" spans="10:16">
      <c r="J676" s="5"/>
      <c r="L676">
        <f>SEM!M676</f>
        <v>0.35900372000000003</v>
      </c>
      <c r="M676">
        <f>SEM!N676</f>
        <v>67</v>
      </c>
      <c r="O676">
        <f>ABS(L676-SEM!$C$34)</f>
        <v>4.8467054888084196</v>
      </c>
      <c r="P676">
        <f t="shared" si="11"/>
        <v>67</v>
      </c>
    </row>
    <row r="677" spans="10:16">
      <c r="J677" s="5"/>
      <c r="L677">
        <f>SEM!M677</f>
        <v>0.36141798400000003</v>
      </c>
      <c r="M677">
        <f>SEM!N677</f>
        <v>67.099999999999994</v>
      </c>
      <c r="O677">
        <f>ABS(L677-SEM!$C$34)</f>
        <v>4.8491197528084191</v>
      </c>
      <c r="P677">
        <f t="shared" si="11"/>
        <v>67.099999999999994</v>
      </c>
    </row>
    <row r="678" spans="10:16">
      <c r="J678" s="5"/>
      <c r="L678">
        <f>SEM!M678</f>
        <v>0.36222628800000001</v>
      </c>
      <c r="M678">
        <f>SEM!N678</f>
        <v>67.2</v>
      </c>
      <c r="O678">
        <f>ABS(L678-SEM!$C$34)</f>
        <v>4.8499280568084195</v>
      </c>
      <c r="P678">
        <f t="shared" si="11"/>
        <v>67.2</v>
      </c>
    </row>
    <row r="679" spans="10:16">
      <c r="J679" s="5"/>
      <c r="L679">
        <f>SEM!M679</f>
        <v>0.36303459199999999</v>
      </c>
      <c r="M679">
        <f>SEM!N679</f>
        <v>67.3</v>
      </c>
      <c r="O679">
        <f>ABS(L679-SEM!$C$34)</f>
        <v>4.8507363608084191</v>
      </c>
      <c r="P679">
        <f t="shared" si="11"/>
        <v>67.3</v>
      </c>
    </row>
    <row r="680" spans="10:16">
      <c r="J680" s="5"/>
      <c r="L680">
        <f>SEM!M680</f>
        <v>0.36347224</v>
      </c>
      <c r="M680">
        <f>SEM!N680</f>
        <v>67.400000000000006</v>
      </c>
      <c r="O680">
        <f>ABS(L680-SEM!$C$34)</f>
        <v>4.8511740088084192</v>
      </c>
      <c r="P680">
        <f t="shared" si="11"/>
        <v>67.400000000000006</v>
      </c>
    </row>
    <row r="681" spans="10:16">
      <c r="J681" s="5"/>
      <c r="L681">
        <f>SEM!M681</f>
        <v>0.36358200000000002</v>
      </c>
      <c r="M681">
        <f>SEM!N681</f>
        <v>67.5</v>
      </c>
      <c r="O681">
        <f>ABS(L681-SEM!$C$34)</f>
        <v>4.8512837688084192</v>
      </c>
      <c r="P681">
        <f t="shared" si="11"/>
        <v>67.5</v>
      </c>
    </row>
    <row r="682" spans="10:16">
      <c r="J682" s="5"/>
      <c r="L682">
        <f>SEM!M682</f>
        <v>0.36369175999999998</v>
      </c>
      <c r="M682">
        <f>SEM!N682</f>
        <v>67.599999999999994</v>
      </c>
      <c r="O682">
        <f>ABS(L682-SEM!$C$34)</f>
        <v>4.8513935288084191</v>
      </c>
      <c r="P682">
        <f t="shared" si="11"/>
        <v>67.599999999999994</v>
      </c>
    </row>
    <row r="683" spans="10:16">
      <c r="J683" s="5"/>
      <c r="L683">
        <f>SEM!M683</f>
        <v>0.36769259199999998</v>
      </c>
      <c r="M683">
        <f>SEM!N683</f>
        <v>67.7</v>
      </c>
      <c r="O683">
        <f>ABS(L683-SEM!$C$34)</f>
        <v>4.8553943608084191</v>
      </c>
      <c r="P683">
        <f t="shared" si="11"/>
        <v>67.7</v>
      </c>
    </row>
    <row r="684" spans="10:16">
      <c r="J684" s="5"/>
      <c r="L684">
        <f>SEM!M684</f>
        <v>0.37177448800000001</v>
      </c>
      <c r="M684">
        <f>SEM!N684</f>
        <v>67.8</v>
      </c>
      <c r="O684">
        <f>ABS(L684-SEM!$C$34)</f>
        <v>4.8594762568084189</v>
      </c>
      <c r="P684">
        <f t="shared" si="11"/>
        <v>67.8</v>
      </c>
    </row>
    <row r="685" spans="10:16">
      <c r="J685" s="5"/>
      <c r="L685">
        <f>SEM!M685</f>
        <v>0.38064505599999998</v>
      </c>
      <c r="M685">
        <f>SEM!N685</f>
        <v>67.900000000000006</v>
      </c>
      <c r="O685">
        <f>ABS(L685-SEM!$C$34)</f>
        <v>4.8683468248084187</v>
      </c>
      <c r="P685">
        <f t="shared" si="11"/>
        <v>67.900000000000006</v>
      </c>
    </row>
    <row r="686" spans="10:16">
      <c r="J686" s="5"/>
      <c r="L686">
        <f>SEM!M686</f>
        <v>0.39590051999999998</v>
      </c>
      <c r="M686">
        <f>SEM!N686</f>
        <v>68</v>
      </c>
      <c r="O686">
        <f>ABS(L686-SEM!$C$34)</f>
        <v>4.8836022888084187</v>
      </c>
      <c r="P686">
        <f t="shared" si="11"/>
        <v>68</v>
      </c>
    </row>
    <row r="687" spans="10:16">
      <c r="J687" s="5"/>
      <c r="L687">
        <f>SEM!M687</f>
        <v>0.41115598399999997</v>
      </c>
      <c r="M687">
        <f>SEM!N687</f>
        <v>68.099999999999994</v>
      </c>
      <c r="O687">
        <f>ABS(L687-SEM!$C$34)</f>
        <v>4.8988577528084187</v>
      </c>
      <c r="P687">
        <f t="shared" si="11"/>
        <v>68.099999999999994</v>
      </c>
    </row>
    <row r="688" spans="10:16">
      <c r="J688" s="5"/>
      <c r="L688">
        <f>SEM!M688</f>
        <v>0.41365386399999998</v>
      </c>
      <c r="M688">
        <f>SEM!N688</f>
        <v>68.2</v>
      </c>
      <c r="O688">
        <f>ABS(L688-SEM!$C$34)</f>
        <v>4.9013556328084187</v>
      </c>
      <c r="P688">
        <f t="shared" si="11"/>
        <v>68.2</v>
      </c>
    </row>
    <row r="689" spans="10:16">
      <c r="J689" s="5"/>
      <c r="L689">
        <f>SEM!M689</f>
        <v>0.414371616</v>
      </c>
      <c r="M689">
        <f>SEM!N689</f>
        <v>68.3</v>
      </c>
      <c r="O689">
        <f>ABS(L689-SEM!$C$34)</f>
        <v>4.9020733848084195</v>
      </c>
      <c r="P689">
        <f t="shared" si="11"/>
        <v>68.3</v>
      </c>
    </row>
    <row r="690" spans="10:16">
      <c r="J690" s="5"/>
      <c r="L690">
        <f>SEM!M690</f>
        <v>0.41726780000000102</v>
      </c>
      <c r="M690">
        <f>SEM!N690</f>
        <v>68.400000000000006</v>
      </c>
      <c r="O690">
        <f>ABS(L690-SEM!$C$34)</f>
        <v>4.9049695688084203</v>
      </c>
      <c r="P690">
        <f t="shared" si="11"/>
        <v>68.400000000000006</v>
      </c>
    </row>
    <row r="691" spans="10:16">
      <c r="J691" s="5"/>
      <c r="L691">
        <f>SEM!M691</f>
        <v>0.42465700000000101</v>
      </c>
      <c r="M691">
        <f>SEM!N691</f>
        <v>68.5</v>
      </c>
      <c r="O691">
        <f>ABS(L691-SEM!$C$34)</f>
        <v>4.9123587688084198</v>
      </c>
      <c r="P691">
        <f t="shared" si="11"/>
        <v>68.5</v>
      </c>
    </row>
    <row r="692" spans="10:16">
      <c r="J692" s="5"/>
      <c r="L692">
        <f>SEM!M692</f>
        <v>0.43204620000000099</v>
      </c>
      <c r="M692">
        <f>SEM!N692</f>
        <v>68.599999999999994</v>
      </c>
      <c r="O692">
        <f>ABS(L692-SEM!$C$34)</f>
        <v>4.9197479688084202</v>
      </c>
      <c r="P692">
        <f t="shared" si="11"/>
        <v>68.599999999999994</v>
      </c>
    </row>
    <row r="693" spans="10:16">
      <c r="J693" s="5"/>
      <c r="L693">
        <f>SEM!M693</f>
        <v>0.43540284000000001</v>
      </c>
      <c r="M693">
        <f>SEM!N693</f>
        <v>68.7</v>
      </c>
      <c r="O693">
        <f>ABS(L693-SEM!$C$34)</f>
        <v>4.9231046088084192</v>
      </c>
      <c r="P693">
        <f t="shared" si="11"/>
        <v>68.7</v>
      </c>
    </row>
    <row r="694" spans="10:16">
      <c r="J694" s="5"/>
      <c r="L694">
        <f>SEM!M694</f>
        <v>0.43759216000000001</v>
      </c>
      <c r="M694">
        <f>SEM!N694</f>
        <v>68.8</v>
      </c>
      <c r="O694">
        <f>ABS(L694-SEM!$C$34)</f>
        <v>4.9252939288084194</v>
      </c>
      <c r="P694">
        <f t="shared" si="11"/>
        <v>68.8</v>
      </c>
    </row>
    <row r="695" spans="10:16">
      <c r="J695" s="5"/>
      <c r="L695">
        <f>SEM!M695</f>
        <v>0.43955232799999999</v>
      </c>
      <c r="M695">
        <f>SEM!N695</f>
        <v>68.900000000000006</v>
      </c>
      <c r="O695">
        <f>ABS(L695-SEM!$C$34)</f>
        <v>4.9272540968084186</v>
      </c>
      <c r="P695">
        <f t="shared" si="11"/>
        <v>68.900000000000006</v>
      </c>
    </row>
    <row r="696" spans="10:16">
      <c r="J696" s="5"/>
      <c r="L696">
        <f>SEM!M696</f>
        <v>0.44072087999999998</v>
      </c>
      <c r="M696">
        <f>SEM!N696</f>
        <v>69</v>
      </c>
      <c r="O696">
        <f>ABS(L696-SEM!$C$34)</f>
        <v>4.9284226488084188</v>
      </c>
      <c r="P696">
        <f t="shared" si="11"/>
        <v>69</v>
      </c>
    </row>
    <row r="697" spans="10:16">
      <c r="J697" s="5"/>
      <c r="L697">
        <f>SEM!M697</f>
        <v>0.44188943200000003</v>
      </c>
      <c r="M697">
        <f>SEM!N697</f>
        <v>69.099999999999994</v>
      </c>
      <c r="O697">
        <f>ABS(L697-SEM!$C$34)</f>
        <v>4.9295912008084191</v>
      </c>
      <c r="P697">
        <f t="shared" si="11"/>
        <v>69.099999999999994</v>
      </c>
    </row>
    <row r="698" spans="10:16">
      <c r="J698" s="5"/>
      <c r="L698">
        <f>SEM!M698</f>
        <v>0.44318180000000001</v>
      </c>
      <c r="M698">
        <f>SEM!N698</f>
        <v>69.2</v>
      </c>
      <c r="O698">
        <f>ABS(L698-SEM!$C$34)</f>
        <v>4.9308835688084187</v>
      </c>
      <c r="P698">
        <f t="shared" si="11"/>
        <v>69.2</v>
      </c>
    </row>
    <row r="699" spans="10:16">
      <c r="J699" s="5"/>
      <c r="L699">
        <f>SEM!M699</f>
        <v>0.44453419999999999</v>
      </c>
      <c r="M699">
        <f>SEM!N699</f>
        <v>69.3</v>
      </c>
      <c r="O699">
        <f>ABS(L699-SEM!$C$34)</f>
        <v>4.9322359688084187</v>
      </c>
      <c r="P699">
        <f t="shared" si="11"/>
        <v>69.3</v>
      </c>
    </row>
    <row r="700" spans="10:16">
      <c r="J700" s="5"/>
      <c r="L700">
        <f>SEM!M700</f>
        <v>0.44745874400000002</v>
      </c>
      <c r="M700">
        <f>SEM!N700</f>
        <v>69.400000000000006</v>
      </c>
      <c r="O700">
        <f>ABS(L700-SEM!$C$34)</f>
        <v>4.9351605128084195</v>
      </c>
      <c r="P700">
        <f t="shared" si="11"/>
        <v>69.400000000000006</v>
      </c>
    </row>
    <row r="701" spans="10:16">
      <c r="J701" s="5"/>
      <c r="L701">
        <f>SEM!M701</f>
        <v>0.46165032</v>
      </c>
      <c r="M701">
        <f>SEM!N701</f>
        <v>69.5</v>
      </c>
      <c r="O701">
        <f>ABS(L701-SEM!$C$34)</f>
        <v>4.9493520888084195</v>
      </c>
      <c r="P701">
        <f t="shared" si="11"/>
        <v>69.5</v>
      </c>
    </row>
    <row r="702" spans="10:16">
      <c r="J702" s="5"/>
      <c r="L702">
        <f>SEM!M702</f>
        <v>0.47584189600000198</v>
      </c>
      <c r="M702">
        <f>SEM!N702</f>
        <v>69.599999999999994</v>
      </c>
      <c r="O702">
        <f>ABS(L702-SEM!$C$34)</f>
        <v>4.9635436648084212</v>
      </c>
      <c r="P702">
        <f t="shared" si="11"/>
        <v>69.599999999999994</v>
      </c>
    </row>
    <row r="703" spans="10:16">
      <c r="J703" s="5"/>
      <c r="L703">
        <f>SEM!M703</f>
        <v>0.48212067199999997</v>
      </c>
      <c r="M703">
        <f>SEM!N703</f>
        <v>69.7</v>
      </c>
      <c r="O703">
        <f>ABS(L703-SEM!$C$34)</f>
        <v>4.9698224408084188</v>
      </c>
      <c r="P703">
        <f t="shared" si="11"/>
        <v>69.7</v>
      </c>
    </row>
    <row r="704" spans="10:16">
      <c r="J704" s="5"/>
      <c r="L704">
        <f>SEM!M704</f>
        <v>0.482464848</v>
      </c>
      <c r="M704">
        <f>SEM!N704</f>
        <v>69.8</v>
      </c>
      <c r="O704">
        <f>ABS(L704-SEM!$C$34)</f>
        <v>4.9701666168084193</v>
      </c>
      <c r="P704">
        <f t="shared" si="11"/>
        <v>69.8</v>
      </c>
    </row>
    <row r="705" spans="10:16">
      <c r="J705" s="5"/>
      <c r="L705">
        <f>SEM!M705</f>
        <v>0.48290140799999998</v>
      </c>
      <c r="M705">
        <f>SEM!N705</f>
        <v>69.900000000000006</v>
      </c>
      <c r="O705">
        <f>ABS(L705-SEM!$C$34)</f>
        <v>4.9706031768084191</v>
      </c>
      <c r="P705">
        <f t="shared" si="11"/>
        <v>69.900000000000006</v>
      </c>
    </row>
    <row r="706" spans="10:16">
      <c r="J706" s="5"/>
      <c r="L706">
        <f>SEM!M706</f>
        <v>0.48777239999999999</v>
      </c>
      <c r="M706">
        <f>SEM!N706</f>
        <v>70</v>
      </c>
      <c r="O706">
        <f>ABS(L706-SEM!$C$34)</f>
        <v>4.975474168808419</v>
      </c>
      <c r="P706">
        <f t="shared" si="11"/>
        <v>70</v>
      </c>
    </row>
    <row r="707" spans="10:16">
      <c r="J707" s="5"/>
      <c r="L707">
        <f>SEM!M707</f>
        <v>0.49264339200000001</v>
      </c>
      <c r="M707">
        <f>SEM!N707</f>
        <v>70.099999999999994</v>
      </c>
      <c r="O707">
        <f>ABS(L707-SEM!$C$34)</f>
        <v>4.9803451608084188</v>
      </c>
      <c r="P707">
        <f t="shared" si="11"/>
        <v>70.099999999999994</v>
      </c>
    </row>
    <row r="708" spans="10:16">
      <c r="J708" s="5"/>
      <c r="L708">
        <f>SEM!M708</f>
        <v>0.49576859200000001</v>
      </c>
      <c r="M708">
        <f>SEM!N708</f>
        <v>70.2</v>
      </c>
      <c r="O708">
        <f>ABS(L708-SEM!$C$34)</f>
        <v>4.9834703608084192</v>
      </c>
      <c r="P708">
        <f t="shared" si="11"/>
        <v>70.2</v>
      </c>
    </row>
    <row r="709" spans="10:16">
      <c r="J709" s="5"/>
      <c r="L709">
        <f>SEM!M709</f>
        <v>0.49692028799999999</v>
      </c>
      <c r="M709">
        <f>SEM!N709</f>
        <v>70.3</v>
      </c>
      <c r="O709">
        <f>ABS(L709-SEM!$C$34)</f>
        <v>4.9846220568084192</v>
      </c>
      <c r="P709">
        <f t="shared" si="11"/>
        <v>70.3</v>
      </c>
    </row>
    <row r="710" spans="10:16">
      <c r="J710" s="5"/>
      <c r="L710">
        <f>SEM!M710</f>
        <v>0.49807198400000002</v>
      </c>
      <c r="M710">
        <f>SEM!N710</f>
        <v>70.400000000000006</v>
      </c>
      <c r="O710">
        <f>ABS(L710-SEM!$C$34)</f>
        <v>4.9857737528084192</v>
      </c>
      <c r="P710">
        <f t="shared" si="11"/>
        <v>70.400000000000006</v>
      </c>
    </row>
    <row r="711" spans="10:16">
      <c r="J711" s="5"/>
      <c r="L711">
        <f>SEM!M711</f>
        <v>0.498166</v>
      </c>
      <c r="M711">
        <f>SEM!N711</f>
        <v>70.5</v>
      </c>
      <c r="O711">
        <f>ABS(L711-SEM!$C$34)</f>
        <v>4.9858677688084194</v>
      </c>
      <c r="P711">
        <f t="shared" ref="P711:P774" si="12">M711</f>
        <v>70.5</v>
      </c>
    </row>
    <row r="712" spans="10:16">
      <c r="J712" s="5"/>
      <c r="L712">
        <f>SEM!M712</f>
        <v>0.498166</v>
      </c>
      <c r="M712">
        <f>SEM!N712</f>
        <v>70.599999999999994</v>
      </c>
      <c r="O712">
        <f>ABS(L712-SEM!$C$34)</f>
        <v>4.9858677688084194</v>
      </c>
      <c r="P712">
        <f t="shared" si="12"/>
        <v>70.599999999999994</v>
      </c>
    </row>
    <row r="713" spans="10:16">
      <c r="J713" s="5"/>
      <c r="L713">
        <f>SEM!M713</f>
        <v>0.49928891199999997</v>
      </c>
      <c r="M713">
        <f>SEM!N713</f>
        <v>70.7</v>
      </c>
      <c r="O713">
        <f>ABS(L713-SEM!$C$34)</f>
        <v>4.986990680808419</v>
      </c>
      <c r="P713">
        <f t="shared" si="12"/>
        <v>70.7</v>
      </c>
    </row>
    <row r="714" spans="10:16">
      <c r="J714" s="5"/>
      <c r="L714">
        <f>SEM!M714</f>
        <v>0.50234572799999999</v>
      </c>
      <c r="M714">
        <f>SEM!N714</f>
        <v>70.8</v>
      </c>
      <c r="O714">
        <f>ABS(L714-SEM!$C$34)</f>
        <v>4.990047496808419</v>
      </c>
      <c r="P714">
        <f t="shared" si="12"/>
        <v>70.8</v>
      </c>
    </row>
    <row r="715" spans="10:16">
      <c r="J715" s="5"/>
      <c r="L715">
        <f>SEM!M715</f>
        <v>0.50540254399999995</v>
      </c>
      <c r="M715">
        <f>SEM!N715</f>
        <v>70.900000000000006</v>
      </c>
      <c r="O715">
        <f>ABS(L715-SEM!$C$34)</f>
        <v>4.9931043128084189</v>
      </c>
      <c r="P715">
        <f t="shared" si="12"/>
        <v>70.900000000000006</v>
      </c>
    </row>
    <row r="716" spans="10:16">
      <c r="J716" s="5"/>
      <c r="L716">
        <f>SEM!M716</f>
        <v>0.50596399999999997</v>
      </c>
      <c r="M716">
        <f>SEM!N716</f>
        <v>71</v>
      </c>
      <c r="O716">
        <f>ABS(L716-SEM!$C$34)</f>
        <v>4.9936657688084187</v>
      </c>
      <c r="P716">
        <f t="shared" si="12"/>
        <v>71</v>
      </c>
    </row>
    <row r="717" spans="10:16">
      <c r="J717" s="5"/>
      <c r="L717">
        <f>SEM!M717</f>
        <v>0.50596399999999997</v>
      </c>
      <c r="M717">
        <f>SEM!N717</f>
        <v>71.099999999999994</v>
      </c>
      <c r="O717">
        <f>ABS(L717-SEM!$C$34)</f>
        <v>4.9936657688084187</v>
      </c>
      <c r="P717">
        <f t="shared" si="12"/>
        <v>71.099999999999994</v>
      </c>
    </row>
    <row r="718" spans="10:16">
      <c r="J718" s="5"/>
      <c r="L718">
        <f>SEM!M718</f>
        <v>0.506672864</v>
      </c>
      <c r="M718">
        <f>SEM!N718</f>
        <v>71.2</v>
      </c>
      <c r="O718">
        <f>ABS(L718-SEM!$C$34)</f>
        <v>4.9943746328084195</v>
      </c>
      <c r="P718">
        <f t="shared" si="12"/>
        <v>71.2</v>
      </c>
    </row>
    <row r="719" spans="10:16">
      <c r="J719" s="5"/>
      <c r="L719">
        <f>SEM!M719</f>
        <v>0.50934473599999996</v>
      </c>
      <c r="M719">
        <f>SEM!N719</f>
        <v>71.3</v>
      </c>
      <c r="O719">
        <f>ABS(L719-SEM!$C$34)</f>
        <v>4.9970465048084192</v>
      </c>
      <c r="P719">
        <f t="shared" si="12"/>
        <v>71.3</v>
      </c>
    </row>
    <row r="720" spans="10:16">
      <c r="J720" s="5"/>
      <c r="L720">
        <f>SEM!M720</f>
        <v>0.51201660800000004</v>
      </c>
      <c r="M720">
        <f>SEM!N720</f>
        <v>71.400000000000006</v>
      </c>
      <c r="O720">
        <f>ABS(L720-SEM!$C$34)</f>
        <v>4.9997183768084188</v>
      </c>
      <c r="P720">
        <f t="shared" si="12"/>
        <v>71.400000000000006</v>
      </c>
    </row>
    <row r="721" spans="10:16">
      <c r="J721" s="5"/>
      <c r="L721">
        <f>SEM!M721</f>
        <v>0.51725272</v>
      </c>
      <c r="M721">
        <f>SEM!N721</f>
        <v>71.5</v>
      </c>
      <c r="O721">
        <f>ABS(L721-SEM!$C$34)</f>
        <v>5.0049544888084192</v>
      </c>
      <c r="P721">
        <f t="shared" si="12"/>
        <v>71.5</v>
      </c>
    </row>
    <row r="722" spans="10:16">
      <c r="J722" s="5"/>
      <c r="L722">
        <f>SEM!M722</f>
        <v>0.52351452799999998</v>
      </c>
      <c r="M722">
        <f>SEM!N722</f>
        <v>71.599999999999994</v>
      </c>
      <c r="O722">
        <f>ABS(L722-SEM!$C$34)</f>
        <v>5.0112162968084188</v>
      </c>
      <c r="P722">
        <f t="shared" si="12"/>
        <v>71.599999999999994</v>
      </c>
    </row>
    <row r="723" spans="10:16">
      <c r="J723" s="5"/>
      <c r="L723">
        <f>SEM!M723</f>
        <v>0.53001326399999904</v>
      </c>
      <c r="M723">
        <f>SEM!N723</f>
        <v>71.7</v>
      </c>
      <c r="O723">
        <f>ABS(L723-SEM!$C$34)</f>
        <v>5.0177150328084181</v>
      </c>
      <c r="P723">
        <f t="shared" si="12"/>
        <v>71.7</v>
      </c>
    </row>
    <row r="724" spans="10:16">
      <c r="J724" s="5"/>
      <c r="L724">
        <f>SEM!M724</f>
        <v>0.53772625600000001</v>
      </c>
      <c r="M724">
        <f>SEM!N724</f>
        <v>71.8</v>
      </c>
      <c r="O724">
        <f>ABS(L724-SEM!$C$34)</f>
        <v>5.0254280248084191</v>
      </c>
      <c r="P724">
        <f t="shared" si="12"/>
        <v>71.8</v>
      </c>
    </row>
    <row r="725" spans="10:16">
      <c r="J725" s="5"/>
      <c r="L725">
        <f>SEM!M725</f>
        <v>0.54543924799999999</v>
      </c>
      <c r="M725">
        <f>SEM!N725</f>
        <v>71.900000000000006</v>
      </c>
      <c r="O725">
        <f>ABS(L725-SEM!$C$34)</f>
        <v>5.0331410168084192</v>
      </c>
      <c r="P725">
        <f t="shared" si="12"/>
        <v>71.900000000000006</v>
      </c>
    </row>
    <row r="726" spans="10:16">
      <c r="J726" s="5"/>
      <c r="L726">
        <f>SEM!M726</f>
        <v>0.55791743999999999</v>
      </c>
      <c r="M726">
        <f>SEM!N726</f>
        <v>72</v>
      </c>
      <c r="O726">
        <f>ABS(L726-SEM!$C$34)</f>
        <v>5.0456192088084189</v>
      </c>
      <c r="P726">
        <f t="shared" si="12"/>
        <v>72</v>
      </c>
    </row>
    <row r="727" spans="10:16">
      <c r="J727" s="5"/>
      <c r="L727">
        <f>SEM!M727</f>
        <v>0.57341359199999997</v>
      </c>
      <c r="M727">
        <f>SEM!N727</f>
        <v>72.099999999999994</v>
      </c>
      <c r="O727">
        <f>ABS(L727-SEM!$C$34)</f>
        <v>5.0611153608084187</v>
      </c>
      <c r="P727">
        <f t="shared" si="12"/>
        <v>72.099999999999994</v>
      </c>
    </row>
    <row r="728" spans="10:16">
      <c r="J728" s="5"/>
      <c r="L728">
        <f>SEM!M728</f>
        <v>0.58801718400000003</v>
      </c>
      <c r="M728">
        <f>SEM!N728</f>
        <v>72.2</v>
      </c>
      <c r="O728">
        <f>ABS(L728-SEM!$C$34)</f>
        <v>5.075718952808419</v>
      </c>
      <c r="P728">
        <f t="shared" si="12"/>
        <v>72.2</v>
      </c>
    </row>
    <row r="729" spans="10:16">
      <c r="J729" s="5"/>
      <c r="L729">
        <f>SEM!M729</f>
        <v>0.58893485599999995</v>
      </c>
      <c r="M729">
        <f>SEM!N729</f>
        <v>72.3</v>
      </c>
      <c r="O729">
        <f>ABS(L729-SEM!$C$34)</f>
        <v>5.0766366248084189</v>
      </c>
      <c r="P729">
        <f t="shared" si="12"/>
        <v>72.3</v>
      </c>
    </row>
    <row r="730" spans="10:16">
      <c r="J730" s="5"/>
      <c r="L730">
        <f>SEM!M730</f>
        <v>0.58985252799999999</v>
      </c>
      <c r="M730">
        <f>SEM!N730</f>
        <v>72.400000000000006</v>
      </c>
      <c r="O730">
        <f>ABS(L730-SEM!$C$34)</f>
        <v>5.0775542968084189</v>
      </c>
      <c r="P730">
        <f t="shared" si="12"/>
        <v>72.400000000000006</v>
      </c>
    </row>
    <row r="731" spans="10:16">
      <c r="J731" s="5"/>
      <c r="L731">
        <f>SEM!M731</f>
        <v>0.59088479999999999</v>
      </c>
      <c r="M731">
        <f>SEM!N731</f>
        <v>72.5</v>
      </c>
      <c r="O731">
        <f>ABS(L731-SEM!$C$34)</f>
        <v>5.0785865688084186</v>
      </c>
      <c r="P731">
        <f t="shared" si="12"/>
        <v>72.5</v>
      </c>
    </row>
    <row r="732" spans="10:16">
      <c r="J732" s="5"/>
      <c r="L732">
        <f>SEM!M732</f>
        <v>0.59202708800000003</v>
      </c>
      <c r="M732">
        <f>SEM!N732</f>
        <v>72.599999999999994</v>
      </c>
      <c r="O732">
        <f>ABS(L732-SEM!$C$34)</f>
        <v>5.0797288568084191</v>
      </c>
      <c r="P732">
        <f t="shared" si="12"/>
        <v>72.599999999999994</v>
      </c>
    </row>
    <row r="733" spans="10:16">
      <c r="J733" s="5"/>
      <c r="L733">
        <f>SEM!M733</f>
        <v>0.59316937599999997</v>
      </c>
      <c r="M733">
        <f>SEM!N733</f>
        <v>72.7</v>
      </c>
      <c r="O733">
        <f>ABS(L733-SEM!$C$34)</f>
        <v>5.0808711448084187</v>
      </c>
      <c r="P733">
        <f t="shared" si="12"/>
        <v>72.7</v>
      </c>
    </row>
    <row r="734" spans="10:16">
      <c r="J734" s="5"/>
      <c r="L734">
        <f>SEM!M734</f>
        <v>0.59581077599999999</v>
      </c>
      <c r="M734">
        <f>SEM!N734</f>
        <v>72.8</v>
      </c>
      <c r="O734">
        <f>ABS(L734-SEM!$C$34)</f>
        <v>5.0835125448084195</v>
      </c>
      <c r="P734">
        <f t="shared" si="12"/>
        <v>72.8</v>
      </c>
    </row>
    <row r="735" spans="10:16">
      <c r="J735" s="5"/>
      <c r="L735">
        <f>SEM!M735</f>
        <v>0.59851596799999995</v>
      </c>
      <c r="M735">
        <f>SEM!N735</f>
        <v>72.900000000000006</v>
      </c>
      <c r="O735">
        <f>ABS(L735-SEM!$C$34)</f>
        <v>5.0862177368084192</v>
      </c>
      <c r="P735">
        <f t="shared" si="12"/>
        <v>72.900000000000006</v>
      </c>
    </row>
    <row r="736" spans="10:16">
      <c r="J736" s="5"/>
      <c r="L736">
        <f>SEM!M736</f>
        <v>0.60032819999999998</v>
      </c>
      <c r="M736">
        <f>SEM!N736</f>
        <v>73</v>
      </c>
      <c r="O736">
        <f>ABS(L736-SEM!$C$34)</f>
        <v>5.088029968808419</v>
      </c>
      <c r="P736">
        <f t="shared" si="12"/>
        <v>73</v>
      </c>
    </row>
    <row r="737" spans="10:16">
      <c r="J737" s="5"/>
      <c r="L737">
        <f>SEM!M737</f>
        <v>0.60084563999999996</v>
      </c>
      <c r="M737">
        <f>SEM!N737</f>
        <v>73.099999999999994</v>
      </c>
      <c r="O737">
        <f>ABS(L737-SEM!$C$34)</f>
        <v>5.0885474088084193</v>
      </c>
      <c r="P737">
        <f t="shared" si="12"/>
        <v>73.099999999999994</v>
      </c>
    </row>
    <row r="738" spans="10:16">
      <c r="J738" s="5"/>
      <c r="L738">
        <f>SEM!M738</f>
        <v>0.60136308000000005</v>
      </c>
      <c r="M738">
        <f>SEM!N738</f>
        <v>73.2</v>
      </c>
      <c r="O738">
        <f>ABS(L738-SEM!$C$34)</f>
        <v>5.0890648488084196</v>
      </c>
      <c r="P738">
        <f t="shared" si="12"/>
        <v>73.2</v>
      </c>
    </row>
    <row r="739" spans="10:16">
      <c r="J739" s="5"/>
      <c r="L739">
        <f>SEM!M739</f>
        <v>0.60377455199999996</v>
      </c>
      <c r="M739">
        <f>SEM!N739</f>
        <v>73.3</v>
      </c>
      <c r="O739">
        <f>ABS(L739-SEM!$C$34)</f>
        <v>5.0914763208084191</v>
      </c>
      <c r="P739">
        <f t="shared" si="12"/>
        <v>73.3</v>
      </c>
    </row>
    <row r="740" spans="10:16">
      <c r="J740" s="5"/>
      <c r="L740">
        <f>SEM!M740</f>
        <v>0.60650169600000003</v>
      </c>
      <c r="M740">
        <f>SEM!N740</f>
        <v>73.400000000000006</v>
      </c>
      <c r="O740">
        <f>ABS(L740-SEM!$C$34)</f>
        <v>5.0942034648084196</v>
      </c>
      <c r="P740">
        <f t="shared" si="12"/>
        <v>73.400000000000006</v>
      </c>
    </row>
    <row r="741" spans="10:16">
      <c r="J741" s="5"/>
      <c r="L741">
        <f>SEM!M741</f>
        <v>0.60916632000000004</v>
      </c>
      <c r="M741">
        <f>SEM!N741</f>
        <v>73.5</v>
      </c>
      <c r="O741">
        <f>ABS(L741-SEM!$C$34)</f>
        <v>5.096868088808419</v>
      </c>
      <c r="P741">
        <f t="shared" si="12"/>
        <v>73.5</v>
      </c>
    </row>
    <row r="742" spans="10:16">
      <c r="J742" s="5"/>
      <c r="L742">
        <f>SEM!M742</f>
        <v>0.61168923200000003</v>
      </c>
      <c r="M742">
        <f>SEM!N742</f>
        <v>73.599999999999994</v>
      </c>
      <c r="O742">
        <f>ABS(L742-SEM!$C$34)</f>
        <v>5.0993910008084189</v>
      </c>
      <c r="P742">
        <f t="shared" si="12"/>
        <v>73.599999999999994</v>
      </c>
    </row>
    <row r="743" spans="10:16">
      <c r="J743" s="5"/>
      <c r="L743">
        <f>SEM!M743</f>
        <v>0.61421214400000002</v>
      </c>
      <c r="M743">
        <f>SEM!N743</f>
        <v>73.7</v>
      </c>
      <c r="O743">
        <f>ABS(L743-SEM!$C$34)</f>
        <v>5.1019139128084188</v>
      </c>
      <c r="P743">
        <f t="shared" si="12"/>
        <v>73.7</v>
      </c>
    </row>
    <row r="744" spans="10:16">
      <c r="J744" s="5"/>
      <c r="L744">
        <f>SEM!M744</f>
        <v>0.618316584</v>
      </c>
      <c r="M744">
        <f>SEM!N744</f>
        <v>73.8</v>
      </c>
      <c r="O744">
        <f>ABS(L744-SEM!$C$34)</f>
        <v>5.1060183528084195</v>
      </c>
      <c r="P744">
        <f t="shared" si="12"/>
        <v>73.8</v>
      </c>
    </row>
    <row r="745" spans="10:16">
      <c r="J745" s="5"/>
      <c r="L745">
        <f>SEM!M745</f>
        <v>0.62293395200000001</v>
      </c>
      <c r="M745">
        <f>SEM!N745</f>
        <v>73.900000000000006</v>
      </c>
      <c r="O745">
        <f>ABS(L745-SEM!$C$34)</f>
        <v>5.1106357208084194</v>
      </c>
      <c r="P745">
        <f t="shared" si="12"/>
        <v>73.900000000000006</v>
      </c>
    </row>
    <row r="746" spans="10:16">
      <c r="J746" s="5"/>
      <c r="L746">
        <f>SEM!M746</f>
        <v>0.62765084000000004</v>
      </c>
      <c r="M746">
        <f>SEM!N746</f>
        <v>74</v>
      </c>
      <c r="O746">
        <f>ABS(L746-SEM!$C$34)</f>
        <v>5.1153526088084194</v>
      </c>
      <c r="P746">
        <f t="shared" si="12"/>
        <v>74</v>
      </c>
    </row>
    <row r="747" spans="10:16">
      <c r="J747" s="5"/>
      <c r="L747">
        <f>SEM!M747</f>
        <v>0.63275585599999995</v>
      </c>
      <c r="M747">
        <f>SEM!N747</f>
        <v>74.099999999999994</v>
      </c>
      <c r="O747">
        <f>ABS(L747-SEM!$C$34)</f>
        <v>5.1204576248084193</v>
      </c>
      <c r="P747">
        <f t="shared" si="12"/>
        <v>74.099999999999994</v>
      </c>
    </row>
    <row r="748" spans="10:16">
      <c r="J748" s="5"/>
      <c r="L748">
        <f>SEM!M748</f>
        <v>0.63786087199999997</v>
      </c>
      <c r="M748">
        <f>SEM!N748</f>
        <v>74.2</v>
      </c>
      <c r="O748">
        <f>ABS(L748-SEM!$C$34)</f>
        <v>5.1255626408084192</v>
      </c>
      <c r="P748">
        <f t="shared" si="12"/>
        <v>74.2</v>
      </c>
    </row>
    <row r="749" spans="10:16">
      <c r="J749" s="5"/>
      <c r="L749">
        <f>SEM!M749</f>
        <v>0.643434112</v>
      </c>
      <c r="M749">
        <f>SEM!N749</f>
        <v>74.3</v>
      </c>
      <c r="O749">
        <f>ABS(L749-SEM!$C$34)</f>
        <v>5.1311358808084186</v>
      </c>
      <c r="P749">
        <f t="shared" si="12"/>
        <v>74.3</v>
      </c>
    </row>
    <row r="750" spans="10:16">
      <c r="J750" s="5"/>
      <c r="L750">
        <f>SEM!M750</f>
        <v>0.649256096</v>
      </c>
      <c r="M750">
        <f>SEM!N750</f>
        <v>74.400000000000006</v>
      </c>
      <c r="O750">
        <f>ABS(L750-SEM!$C$34)</f>
        <v>5.1369578648084193</v>
      </c>
      <c r="P750">
        <f t="shared" si="12"/>
        <v>74.400000000000006</v>
      </c>
    </row>
    <row r="751" spans="10:16">
      <c r="J751" s="5"/>
      <c r="L751">
        <f>SEM!M751</f>
        <v>0.65501611999999998</v>
      </c>
      <c r="M751">
        <f>SEM!N751</f>
        <v>74.5</v>
      </c>
      <c r="O751">
        <f>ABS(L751-SEM!$C$34)</f>
        <v>5.1427178888084191</v>
      </c>
      <c r="P751">
        <f t="shared" si="12"/>
        <v>74.5</v>
      </c>
    </row>
    <row r="752" spans="10:16">
      <c r="J752" s="5"/>
      <c r="L752">
        <f>SEM!M752</f>
        <v>0.66023089599999996</v>
      </c>
      <c r="M752">
        <f>SEM!N752</f>
        <v>74.599999999999994</v>
      </c>
      <c r="O752">
        <f>ABS(L752-SEM!$C$34)</f>
        <v>5.1479326648084189</v>
      </c>
      <c r="P752">
        <f t="shared" si="12"/>
        <v>74.599999999999994</v>
      </c>
    </row>
    <row r="753" spans="10:16">
      <c r="J753" s="5"/>
      <c r="L753">
        <f>SEM!M753</f>
        <v>0.66544567200000004</v>
      </c>
      <c r="M753">
        <f>SEM!N753</f>
        <v>74.7</v>
      </c>
      <c r="O753">
        <f>ABS(L753-SEM!$C$34)</f>
        <v>5.1531474408084188</v>
      </c>
      <c r="P753">
        <f t="shared" si="12"/>
        <v>74.7</v>
      </c>
    </row>
    <row r="754" spans="10:16">
      <c r="J754" s="5"/>
      <c r="L754">
        <f>SEM!M754</f>
        <v>0.66958131200000004</v>
      </c>
      <c r="M754">
        <f>SEM!N754</f>
        <v>74.8</v>
      </c>
      <c r="O754">
        <f>ABS(L754-SEM!$C$34)</f>
        <v>5.1572830808084191</v>
      </c>
      <c r="P754">
        <f t="shared" si="12"/>
        <v>74.8</v>
      </c>
    </row>
    <row r="755" spans="10:16">
      <c r="J755" s="5"/>
      <c r="L755">
        <f>SEM!M755</f>
        <v>0.67283765600000001</v>
      </c>
      <c r="M755">
        <f>SEM!N755</f>
        <v>74.900000000000006</v>
      </c>
      <c r="O755">
        <f>ABS(L755-SEM!$C$34)</f>
        <v>5.1605394248084195</v>
      </c>
      <c r="P755">
        <f t="shared" si="12"/>
        <v>74.900000000000006</v>
      </c>
    </row>
    <row r="756" spans="10:16">
      <c r="J756" s="5"/>
      <c r="L756">
        <f>SEM!M756</f>
        <v>0.67609399999999997</v>
      </c>
      <c r="M756">
        <f>SEM!N756</f>
        <v>75</v>
      </c>
      <c r="O756">
        <f>ABS(L756-SEM!$C$34)</f>
        <v>5.1637957688084191</v>
      </c>
      <c r="P756">
        <f t="shared" si="12"/>
        <v>75</v>
      </c>
    </row>
    <row r="757" spans="10:16">
      <c r="J757" s="5"/>
      <c r="L757">
        <f>SEM!M757</f>
        <v>0.68112845600000005</v>
      </c>
      <c r="M757">
        <f>SEM!N757</f>
        <v>75.099999999999994</v>
      </c>
      <c r="O757">
        <f>ABS(L757-SEM!$C$34)</f>
        <v>5.1688302248084188</v>
      </c>
      <c r="P757">
        <f t="shared" si="12"/>
        <v>75.099999999999994</v>
      </c>
    </row>
    <row r="758" spans="10:16">
      <c r="J758" s="5"/>
      <c r="L758">
        <f>SEM!M758</f>
        <v>0.68616291200000001</v>
      </c>
      <c r="M758">
        <f>SEM!N758</f>
        <v>75.2</v>
      </c>
      <c r="O758">
        <f>ABS(L758-SEM!$C$34)</f>
        <v>5.1738646808084194</v>
      </c>
      <c r="P758">
        <f t="shared" si="12"/>
        <v>75.2</v>
      </c>
    </row>
    <row r="759" spans="10:16">
      <c r="J759" s="5"/>
      <c r="L759">
        <f>SEM!M759</f>
        <v>0.68903538399999997</v>
      </c>
      <c r="M759">
        <f>SEM!N759</f>
        <v>75.3</v>
      </c>
      <c r="O759">
        <f>ABS(L759-SEM!$C$34)</f>
        <v>5.1767371528084194</v>
      </c>
      <c r="P759">
        <f t="shared" si="12"/>
        <v>75.3</v>
      </c>
    </row>
    <row r="760" spans="10:16">
      <c r="J760" s="5"/>
      <c r="L760">
        <f>SEM!M760</f>
        <v>0.68925451199999999</v>
      </c>
      <c r="M760">
        <f>SEM!N760</f>
        <v>75.400000000000006</v>
      </c>
      <c r="O760">
        <f>ABS(L760-SEM!$C$34)</f>
        <v>5.1769562808084189</v>
      </c>
      <c r="P760">
        <f t="shared" si="12"/>
        <v>75.400000000000006</v>
      </c>
    </row>
    <row r="761" spans="10:16">
      <c r="J761" s="5"/>
      <c r="L761">
        <f>SEM!M761</f>
        <v>0.68947364</v>
      </c>
      <c r="M761">
        <f>SEM!N761</f>
        <v>75.5</v>
      </c>
      <c r="O761">
        <f>ABS(L761-SEM!$C$34)</f>
        <v>5.1771754088084192</v>
      </c>
      <c r="P761">
        <f t="shared" si="12"/>
        <v>75.5</v>
      </c>
    </row>
    <row r="762" spans="10:16">
      <c r="J762" s="5"/>
      <c r="L762">
        <f>SEM!M762</f>
        <v>0.69096911999999999</v>
      </c>
      <c r="M762">
        <f>SEM!N762</f>
        <v>75.599999999999994</v>
      </c>
      <c r="O762">
        <f>ABS(L762-SEM!$C$34)</f>
        <v>5.1786708888084192</v>
      </c>
      <c r="P762">
        <f t="shared" si="12"/>
        <v>75.599999999999994</v>
      </c>
    </row>
    <row r="763" spans="10:16">
      <c r="J763" s="5"/>
      <c r="L763">
        <f>SEM!M763</f>
        <v>0.69260964000000003</v>
      </c>
      <c r="M763">
        <f>SEM!N763</f>
        <v>75.7</v>
      </c>
      <c r="O763">
        <f>ABS(L763-SEM!$C$34)</f>
        <v>5.1803114088084188</v>
      </c>
      <c r="P763">
        <f t="shared" si="12"/>
        <v>75.7</v>
      </c>
    </row>
    <row r="764" spans="10:16">
      <c r="J764" s="5"/>
      <c r="L764">
        <f>SEM!M764</f>
        <v>0.69442097599999997</v>
      </c>
      <c r="M764">
        <f>SEM!N764</f>
        <v>75.8</v>
      </c>
      <c r="O764">
        <f>ABS(L764-SEM!$C$34)</f>
        <v>5.1821227448084191</v>
      </c>
      <c r="P764">
        <f t="shared" si="12"/>
        <v>75.8</v>
      </c>
    </row>
    <row r="765" spans="10:16">
      <c r="J765" s="5"/>
      <c r="L765">
        <f>SEM!M765</f>
        <v>0.69655384799999998</v>
      </c>
      <c r="M765">
        <f>SEM!N765</f>
        <v>75.900000000000006</v>
      </c>
      <c r="O765">
        <f>ABS(L765-SEM!$C$34)</f>
        <v>5.1842556168084188</v>
      </c>
      <c r="P765">
        <f t="shared" si="12"/>
        <v>75.900000000000006</v>
      </c>
    </row>
    <row r="766" spans="10:16">
      <c r="J766" s="5"/>
      <c r="L766">
        <f>SEM!M766</f>
        <v>0.69868671999999998</v>
      </c>
      <c r="M766">
        <f>SEM!N766</f>
        <v>76</v>
      </c>
      <c r="O766">
        <f>ABS(L766-SEM!$C$34)</f>
        <v>5.1863884888084186</v>
      </c>
      <c r="P766">
        <f t="shared" si="12"/>
        <v>76</v>
      </c>
    </row>
    <row r="767" spans="10:16">
      <c r="J767" s="5"/>
      <c r="L767">
        <f>SEM!M767</f>
        <v>0.70330061600000005</v>
      </c>
      <c r="M767">
        <f>SEM!N767</f>
        <v>76.099999999999994</v>
      </c>
      <c r="O767">
        <f>ABS(L767-SEM!$C$34)</f>
        <v>5.191002384808419</v>
      </c>
      <c r="P767">
        <f t="shared" si="12"/>
        <v>76.099999999999994</v>
      </c>
    </row>
    <row r="768" spans="10:16">
      <c r="J768" s="5"/>
      <c r="L768">
        <f>SEM!M768</f>
        <v>0.70855067199999999</v>
      </c>
      <c r="M768">
        <f>SEM!N768</f>
        <v>76.2</v>
      </c>
      <c r="O768">
        <f>ABS(L768-SEM!$C$34)</f>
        <v>5.1962524408084194</v>
      </c>
      <c r="P768">
        <f t="shared" si="12"/>
        <v>76.2</v>
      </c>
    </row>
    <row r="769" spans="10:16">
      <c r="J769" s="5"/>
      <c r="L769">
        <f>SEM!M769</f>
        <v>0.71351464799999997</v>
      </c>
      <c r="M769">
        <f>SEM!N769</f>
        <v>76.3</v>
      </c>
      <c r="O769">
        <f>ABS(L769-SEM!$C$34)</f>
        <v>5.2012164168084194</v>
      </c>
      <c r="P769">
        <f t="shared" si="12"/>
        <v>76.3</v>
      </c>
    </row>
    <row r="770" spans="10:16">
      <c r="J770" s="5"/>
      <c r="L770">
        <f>SEM!M770</f>
        <v>0.71759654399999995</v>
      </c>
      <c r="M770">
        <f>SEM!N770</f>
        <v>76.400000000000006</v>
      </c>
      <c r="O770">
        <f>ABS(L770-SEM!$C$34)</f>
        <v>5.2052983128084191</v>
      </c>
      <c r="P770">
        <f t="shared" si="12"/>
        <v>76.400000000000006</v>
      </c>
    </row>
    <row r="771" spans="10:16">
      <c r="J771" s="5"/>
      <c r="L771">
        <f>SEM!M771</f>
        <v>0.72167844000000003</v>
      </c>
      <c r="M771">
        <f>SEM!N771</f>
        <v>76.5</v>
      </c>
      <c r="O771">
        <f>ABS(L771-SEM!$C$34)</f>
        <v>5.2093802088084189</v>
      </c>
      <c r="P771">
        <f t="shared" si="12"/>
        <v>76.5</v>
      </c>
    </row>
    <row r="772" spans="10:16">
      <c r="J772" s="5"/>
      <c r="L772">
        <f>SEM!M772</f>
        <v>0.72555144000000005</v>
      </c>
      <c r="M772">
        <f>SEM!N772</f>
        <v>76.599999999999994</v>
      </c>
      <c r="O772">
        <f>ABS(L772-SEM!$C$34)</f>
        <v>5.2132532088084194</v>
      </c>
      <c r="P772">
        <f t="shared" si="12"/>
        <v>76.599999999999994</v>
      </c>
    </row>
    <row r="773" spans="10:16">
      <c r="J773" s="5"/>
      <c r="L773">
        <f>SEM!M773</f>
        <v>0.72933228000000005</v>
      </c>
      <c r="M773">
        <f>SEM!N773</f>
        <v>76.7</v>
      </c>
      <c r="O773">
        <f>ABS(L773-SEM!$C$34)</f>
        <v>5.2170340488084195</v>
      </c>
      <c r="P773">
        <f t="shared" si="12"/>
        <v>76.7</v>
      </c>
    </row>
    <row r="774" spans="10:16">
      <c r="J774" s="5"/>
      <c r="L774">
        <f>SEM!M774</f>
        <v>0.73269250399999997</v>
      </c>
      <c r="M774">
        <f>SEM!N774</f>
        <v>76.8</v>
      </c>
      <c r="O774">
        <f>ABS(L774-SEM!$C$34)</f>
        <v>5.2203942728084192</v>
      </c>
      <c r="P774">
        <f t="shared" si="12"/>
        <v>76.8</v>
      </c>
    </row>
    <row r="775" spans="10:16">
      <c r="J775" s="5"/>
      <c r="L775">
        <f>SEM!M775</f>
        <v>0.73352903199999997</v>
      </c>
      <c r="M775">
        <f>SEM!N775</f>
        <v>76.900000000000006</v>
      </c>
      <c r="O775">
        <f>ABS(L775-SEM!$C$34)</f>
        <v>5.2212308008084189</v>
      </c>
      <c r="P775">
        <f t="shared" ref="P775:P838" si="13">M775</f>
        <v>76.900000000000006</v>
      </c>
    </row>
    <row r="776" spans="10:16">
      <c r="J776" s="5"/>
      <c r="L776">
        <f>SEM!M776</f>
        <v>0.73436555999999997</v>
      </c>
      <c r="M776">
        <f>SEM!N776</f>
        <v>77</v>
      </c>
      <c r="O776">
        <f>ABS(L776-SEM!$C$34)</f>
        <v>5.2220673288084187</v>
      </c>
      <c r="P776">
        <f t="shared" si="13"/>
        <v>77</v>
      </c>
    </row>
    <row r="777" spans="10:16">
      <c r="J777" s="5"/>
      <c r="L777">
        <f>SEM!M777</f>
        <v>0.73519048799999998</v>
      </c>
      <c r="M777">
        <f>SEM!N777</f>
        <v>77.099999999999994</v>
      </c>
      <c r="O777">
        <f>ABS(L777-SEM!$C$34)</f>
        <v>5.2228922568084188</v>
      </c>
      <c r="P777">
        <f t="shared" si="13"/>
        <v>77.099999999999994</v>
      </c>
    </row>
    <row r="778" spans="10:16">
      <c r="J778" s="5"/>
      <c r="L778">
        <f>SEM!M778</f>
        <v>0.73600741599999997</v>
      </c>
      <c r="M778">
        <f>SEM!N778</f>
        <v>77.2</v>
      </c>
      <c r="O778">
        <f>ABS(L778-SEM!$C$34)</f>
        <v>5.2237091848084187</v>
      </c>
      <c r="P778">
        <f t="shared" si="13"/>
        <v>77.2</v>
      </c>
    </row>
    <row r="779" spans="10:16">
      <c r="J779" s="5"/>
      <c r="L779">
        <f>SEM!M779</f>
        <v>0.73679099999999997</v>
      </c>
      <c r="M779">
        <f>SEM!N779</f>
        <v>77.3</v>
      </c>
      <c r="O779">
        <f>ABS(L779-SEM!$C$34)</f>
        <v>5.2244927688084193</v>
      </c>
      <c r="P779">
        <f t="shared" si="13"/>
        <v>77.3</v>
      </c>
    </row>
    <row r="780" spans="10:16">
      <c r="J780" s="5"/>
      <c r="L780">
        <f>SEM!M780</f>
        <v>0.73679099999999997</v>
      </c>
      <c r="M780">
        <f>SEM!N780</f>
        <v>77.400000000000006</v>
      </c>
      <c r="O780">
        <f>ABS(L780-SEM!$C$34)</f>
        <v>5.2244927688084193</v>
      </c>
      <c r="P780">
        <f t="shared" si="13"/>
        <v>77.400000000000006</v>
      </c>
    </row>
    <row r="781" spans="10:16">
      <c r="J781" s="5"/>
      <c r="L781">
        <f>SEM!M781</f>
        <v>0.73679099999999997</v>
      </c>
      <c r="M781">
        <f>SEM!N781</f>
        <v>77.5</v>
      </c>
      <c r="O781">
        <f>ABS(L781-SEM!$C$34)</f>
        <v>5.2244927688084193</v>
      </c>
      <c r="P781">
        <f t="shared" si="13"/>
        <v>77.5</v>
      </c>
    </row>
    <row r="782" spans="10:16">
      <c r="J782" s="5"/>
      <c r="L782">
        <f>SEM!M782</f>
        <v>0.73798043999999996</v>
      </c>
      <c r="M782">
        <f>SEM!N782</f>
        <v>77.599999999999994</v>
      </c>
      <c r="O782">
        <f>ABS(L782-SEM!$C$34)</f>
        <v>5.2256822088084194</v>
      </c>
      <c r="P782">
        <f t="shared" si="13"/>
        <v>77.599999999999994</v>
      </c>
    </row>
    <row r="783" spans="10:16">
      <c r="J783" s="5"/>
      <c r="L783">
        <f>SEM!M783</f>
        <v>0.74040888000000005</v>
      </c>
      <c r="M783">
        <f>SEM!N783</f>
        <v>77.7</v>
      </c>
      <c r="O783">
        <f>ABS(L783-SEM!$C$34)</f>
        <v>5.2281106488084195</v>
      </c>
      <c r="P783">
        <f t="shared" si="13"/>
        <v>77.7</v>
      </c>
    </row>
    <row r="784" spans="10:16">
      <c r="J784" s="5"/>
      <c r="L784">
        <f>SEM!M784</f>
        <v>0.74283732000000002</v>
      </c>
      <c r="M784">
        <f>SEM!N784</f>
        <v>77.8</v>
      </c>
      <c r="O784">
        <f>ABS(L784-SEM!$C$34)</f>
        <v>5.2305390888084187</v>
      </c>
      <c r="P784">
        <f t="shared" si="13"/>
        <v>77.8</v>
      </c>
    </row>
    <row r="785" spans="10:16">
      <c r="J785" s="5"/>
      <c r="L785">
        <f>SEM!M785</f>
        <v>0.74298600000000004</v>
      </c>
      <c r="M785">
        <f>SEM!N785</f>
        <v>77.900000000000006</v>
      </c>
      <c r="O785">
        <f>ABS(L785-SEM!$C$34)</f>
        <v>5.2306877688084192</v>
      </c>
      <c r="P785">
        <f t="shared" si="13"/>
        <v>77.900000000000006</v>
      </c>
    </row>
    <row r="786" spans="10:16">
      <c r="J786" s="5"/>
      <c r="L786">
        <f>SEM!M786</f>
        <v>0.74298600000000004</v>
      </c>
      <c r="M786">
        <f>SEM!N786</f>
        <v>78</v>
      </c>
      <c r="O786">
        <f>ABS(L786-SEM!$C$34)</f>
        <v>5.2306877688084192</v>
      </c>
      <c r="P786">
        <f t="shared" si="13"/>
        <v>78</v>
      </c>
    </row>
    <row r="787" spans="10:16">
      <c r="J787" s="5"/>
      <c r="L787">
        <f>SEM!M787</f>
        <v>0.74715095200000003</v>
      </c>
      <c r="M787">
        <f>SEM!N787</f>
        <v>78.099999999999994</v>
      </c>
      <c r="O787">
        <f>ABS(L787-SEM!$C$34)</f>
        <v>5.2348527208084192</v>
      </c>
      <c r="P787">
        <f t="shared" si="13"/>
        <v>78.099999999999994</v>
      </c>
    </row>
    <row r="788" spans="10:16">
      <c r="J788" s="5"/>
      <c r="L788">
        <f>SEM!M788</f>
        <v>0.75789214399999905</v>
      </c>
      <c r="M788">
        <f>SEM!N788</f>
        <v>78.2</v>
      </c>
      <c r="O788">
        <f>ABS(L788-SEM!$C$34)</f>
        <v>5.2455939128084186</v>
      </c>
      <c r="P788">
        <f t="shared" si="13"/>
        <v>78.2</v>
      </c>
    </row>
    <row r="789" spans="10:16">
      <c r="J789" s="5"/>
      <c r="L789">
        <f>SEM!M789</f>
        <v>0.76863333600000106</v>
      </c>
      <c r="M789">
        <f>SEM!N789</f>
        <v>78.3</v>
      </c>
      <c r="O789">
        <f>ABS(L789-SEM!$C$34)</f>
        <v>5.2563351048084197</v>
      </c>
      <c r="P789">
        <f t="shared" si="13"/>
        <v>78.3</v>
      </c>
    </row>
    <row r="790" spans="10:16">
      <c r="J790" s="5"/>
      <c r="L790">
        <f>SEM!M790</f>
        <v>0.77113812000000004</v>
      </c>
      <c r="M790">
        <f>SEM!N790</f>
        <v>78.400000000000006</v>
      </c>
      <c r="O790">
        <f>ABS(L790-SEM!$C$34)</f>
        <v>5.2588398888084189</v>
      </c>
      <c r="P790">
        <f t="shared" si="13"/>
        <v>78.400000000000006</v>
      </c>
    </row>
    <row r="791" spans="10:16">
      <c r="J791" s="5"/>
      <c r="L791">
        <f>SEM!M791</f>
        <v>0.77203580000000005</v>
      </c>
      <c r="M791">
        <f>SEM!N791</f>
        <v>78.5</v>
      </c>
      <c r="O791">
        <f>ABS(L791-SEM!$C$34)</f>
        <v>5.2597375688084194</v>
      </c>
      <c r="P791">
        <f t="shared" si="13"/>
        <v>78.5</v>
      </c>
    </row>
    <row r="792" spans="10:16">
      <c r="J792" s="5"/>
      <c r="L792">
        <f>SEM!M792</f>
        <v>0.77476322399999997</v>
      </c>
      <c r="M792">
        <f>SEM!N792</f>
        <v>78.599999999999994</v>
      </c>
      <c r="O792">
        <f>ABS(L792-SEM!$C$34)</f>
        <v>5.2624649928084191</v>
      </c>
      <c r="P792">
        <f t="shared" si="13"/>
        <v>78.599999999999994</v>
      </c>
    </row>
    <row r="793" spans="10:16">
      <c r="J793" s="5"/>
      <c r="L793">
        <f>SEM!M793</f>
        <v>0.78206500800000001</v>
      </c>
      <c r="M793">
        <f>SEM!N793</f>
        <v>78.7</v>
      </c>
      <c r="O793">
        <f>ABS(L793-SEM!$C$34)</f>
        <v>5.2697667768084191</v>
      </c>
      <c r="P793">
        <f t="shared" si="13"/>
        <v>78.7</v>
      </c>
    </row>
    <row r="794" spans="10:16">
      <c r="J794" s="5"/>
      <c r="L794">
        <f>SEM!M794</f>
        <v>0.78936679200000004</v>
      </c>
      <c r="M794">
        <f>SEM!N794</f>
        <v>78.8</v>
      </c>
      <c r="O794">
        <f>ABS(L794-SEM!$C$34)</f>
        <v>5.2770685608084191</v>
      </c>
      <c r="P794">
        <f t="shared" si="13"/>
        <v>78.8</v>
      </c>
    </row>
    <row r="795" spans="10:16">
      <c r="J795" s="5"/>
      <c r="L795">
        <f>SEM!M795</f>
        <v>0.79447516799999995</v>
      </c>
      <c r="M795">
        <f>SEM!N795</f>
        <v>78.900000000000006</v>
      </c>
      <c r="O795">
        <f>ABS(L795-SEM!$C$34)</f>
        <v>5.282176936808419</v>
      </c>
      <c r="P795">
        <f t="shared" si="13"/>
        <v>78.900000000000006</v>
      </c>
    </row>
    <row r="796" spans="10:16">
      <c r="J796" s="5"/>
      <c r="L796">
        <f>SEM!M796</f>
        <v>0.79879148</v>
      </c>
      <c r="M796">
        <f>SEM!N796</f>
        <v>79</v>
      </c>
      <c r="O796">
        <f>ABS(L796-SEM!$C$34)</f>
        <v>5.2864932488084193</v>
      </c>
      <c r="P796">
        <f t="shared" si="13"/>
        <v>79</v>
      </c>
    </row>
    <row r="797" spans="10:16">
      <c r="J797" s="5"/>
      <c r="L797">
        <f>SEM!M797</f>
        <v>0.80347455999999995</v>
      </c>
      <c r="M797">
        <f>SEM!N797</f>
        <v>79.099999999999994</v>
      </c>
      <c r="O797">
        <f>ABS(L797-SEM!$C$34)</f>
        <v>5.2911763288084188</v>
      </c>
      <c r="P797">
        <f t="shared" si="13"/>
        <v>79.099999999999994</v>
      </c>
    </row>
    <row r="798" spans="10:16">
      <c r="J798" s="5"/>
      <c r="L798">
        <f>SEM!M798</f>
        <v>0.80978771999999999</v>
      </c>
      <c r="M798">
        <f>SEM!N798</f>
        <v>79.2</v>
      </c>
      <c r="O798">
        <f>ABS(L798-SEM!$C$34)</f>
        <v>5.2974894888084192</v>
      </c>
      <c r="P798">
        <f t="shared" si="13"/>
        <v>79.2</v>
      </c>
    </row>
    <row r="799" spans="10:16">
      <c r="J799" s="5"/>
      <c r="L799">
        <f>SEM!M799</f>
        <v>0.81610088000000003</v>
      </c>
      <c r="M799">
        <f>SEM!N799</f>
        <v>79.3</v>
      </c>
      <c r="O799">
        <f>ABS(L799-SEM!$C$34)</f>
        <v>5.3038026488084196</v>
      </c>
      <c r="P799">
        <f t="shared" si="13"/>
        <v>79.3</v>
      </c>
    </row>
    <row r="800" spans="10:16">
      <c r="J800" s="5"/>
      <c r="L800">
        <f>SEM!M800</f>
        <v>0.82333560800000005</v>
      </c>
      <c r="M800">
        <f>SEM!N800</f>
        <v>79.400000000000006</v>
      </c>
      <c r="O800">
        <f>ABS(L800-SEM!$C$34)</f>
        <v>5.3110373768084189</v>
      </c>
      <c r="P800">
        <f t="shared" si="13"/>
        <v>79.400000000000006</v>
      </c>
    </row>
    <row r="801" spans="10:16">
      <c r="J801" s="5"/>
      <c r="L801">
        <f>SEM!M801</f>
        <v>0.83110544000000097</v>
      </c>
      <c r="M801">
        <f>SEM!N801</f>
        <v>79.5</v>
      </c>
      <c r="O801">
        <f>ABS(L801-SEM!$C$34)</f>
        <v>5.31880720880842</v>
      </c>
      <c r="P801">
        <f t="shared" si="13"/>
        <v>79.5</v>
      </c>
    </row>
    <row r="802" spans="10:16">
      <c r="J802" s="5"/>
      <c r="L802">
        <f>SEM!M802</f>
        <v>0.83872023200000101</v>
      </c>
      <c r="M802">
        <f>SEM!N802</f>
        <v>79.599999999999994</v>
      </c>
      <c r="O802">
        <f>ABS(L802-SEM!$C$34)</f>
        <v>5.32642200080842</v>
      </c>
      <c r="P802">
        <f t="shared" si="13"/>
        <v>79.599999999999994</v>
      </c>
    </row>
    <row r="803" spans="10:16">
      <c r="J803" s="5"/>
      <c r="L803">
        <f>SEM!M803</f>
        <v>0.84459082400000096</v>
      </c>
      <c r="M803">
        <f>SEM!N803</f>
        <v>79.7</v>
      </c>
      <c r="O803">
        <f>ABS(L803-SEM!$C$34)</f>
        <v>5.3322925928084199</v>
      </c>
      <c r="P803">
        <f t="shared" si="13"/>
        <v>79.7</v>
      </c>
    </row>
    <row r="804" spans="10:16">
      <c r="J804" s="5"/>
      <c r="L804">
        <f>SEM!M804</f>
        <v>0.85046141600000003</v>
      </c>
      <c r="M804">
        <f>SEM!N804</f>
        <v>79.8</v>
      </c>
      <c r="O804">
        <f>ABS(L804-SEM!$C$34)</f>
        <v>5.338163184808419</v>
      </c>
      <c r="P804">
        <f t="shared" si="13"/>
        <v>79.8</v>
      </c>
    </row>
    <row r="805" spans="10:16">
      <c r="J805" s="5"/>
      <c r="L805">
        <f>SEM!M805</f>
        <v>0.85901500000000097</v>
      </c>
      <c r="M805">
        <f>SEM!N805</f>
        <v>79.900000000000006</v>
      </c>
      <c r="O805">
        <f>ABS(L805-SEM!$C$34)</f>
        <v>5.3467167688084203</v>
      </c>
      <c r="P805">
        <f t="shared" si="13"/>
        <v>79.900000000000006</v>
      </c>
    </row>
    <row r="806" spans="10:16">
      <c r="J806" s="5"/>
      <c r="L806">
        <f>SEM!M806</f>
        <v>0.86994200000000099</v>
      </c>
      <c r="M806">
        <f>SEM!N806</f>
        <v>80</v>
      </c>
      <c r="O806">
        <f>ABS(L806-SEM!$C$34)</f>
        <v>5.35764376880842</v>
      </c>
      <c r="P806">
        <f t="shared" si="13"/>
        <v>80</v>
      </c>
    </row>
    <row r="807" spans="10:16">
      <c r="J807" s="5"/>
      <c r="L807">
        <f>SEM!M807</f>
        <v>0.88086900000000001</v>
      </c>
      <c r="M807">
        <f>SEM!N807</f>
        <v>80.099999999999994</v>
      </c>
      <c r="O807">
        <f>ABS(L807-SEM!$C$34)</f>
        <v>5.3685707688084188</v>
      </c>
      <c r="P807">
        <f t="shared" si="13"/>
        <v>80.099999999999994</v>
      </c>
    </row>
    <row r="808" spans="10:16">
      <c r="J808" s="5"/>
      <c r="L808">
        <f>SEM!M808</f>
        <v>0.88142915200000005</v>
      </c>
      <c r="M808">
        <f>SEM!N808</f>
        <v>80.2</v>
      </c>
      <c r="O808">
        <f>ABS(L808-SEM!$C$34)</f>
        <v>5.369130920808419</v>
      </c>
      <c r="P808">
        <f t="shared" si="13"/>
        <v>80.2</v>
      </c>
    </row>
    <row r="809" spans="10:16">
      <c r="J809" s="5"/>
      <c r="L809">
        <f>SEM!M809</f>
        <v>0.88177332799999997</v>
      </c>
      <c r="M809">
        <f>SEM!N809</f>
        <v>80.3</v>
      </c>
      <c r="O809">
        <f>ABS(L809-SEM!$C$34)</f>
        <v>5.3694750968084186</v>
      </c>
      <c r="P809">
        <f t="shared" si="13"/>
        <v>80.3</v>
      </c>
    </row>
    <row r="810" spans="10:16">
      <c r="J810" s="5"/>
      <c r="L810">
        <f>SEM!M810</f>
        <v>0.88839717600000001</v>
      </c>
      <c r="M810">
        <f>SEM!N810</f>
        <v>80.400000000000006</v>
      </c>
      <c r="O810">
        <f>ABS(L810-SEM!$C$34)</f>
        <v>5.3760989448084189</v>
      </c>
      <c r="P810">
        <f t="shared" si="13"/>
        <v>80.400000000000006</v>
      </c>
    </row>
    <row r="811" spans="10:16">
      <c r="J811" s="5"/>
      <c r="L811">
        <f>SEM!M811</f>
        <v>0.90339391999999996</v>
      </c>
      <c r="M811">
        <f>SEM!N811</f>
        <v>80.5</v>
      </c>
      <c r="O811">
        <f>ABS(L811-SEM!$C$34)</f>
        <v>5.3910956888084192</v>
      </c>
      <c r="P811">
        <f t="shared" si="13"/>
        <v>80.5</v>
      </c>
    </row>
    <row r="812" spans="10:16">
      <c r="J812" s="5"/>
      <c r="L812">
        <f>SEM!M812</f>
        <v>0.91839066400000002</v>
      </c>
      <c r="M812">
        <f>SEM!N812</f>
        <v>80.599999999999994</v>
      </c>
      <c r="O812">
        <f>ABS(L812-SEM!$C$34)</f>
        <v>5.4060924328084194</v>
      </c>
      <c r="P812">
        <f t="shared" si="13"/>
        <v>80.599999999999994</v>
      </c>
    </row>
    <row r="813" spans="10:16">
      <c r="J813" s="5"/>
      <c r="L813">
        <f>SEM!M813</f>
        <v>0.92022700000000002</v>
      </c>
      <c r="M813">
        <f>SEM!N813</f>
        <v>80.7</v>
      </c>
      <c r="O813">
        <f>ABS(L813-SEM!$C$34)</f>
        <v>5.4079287688084188</v>
      </c>
      <c r="P813">
        <f t="shared" si="13"/>
        <v>80.7</v>
      </c>
    </row>
    <row r="814" spans="10:16">
      <c r="J814" s="5"/>
      <c r="L814">
        <f>SEM!M814</f>
        <v>0.92022700000000002</v>
      </c>
      <c r="M814">
        <f>SEM!N814</f>
        <v>80.8</v>
      </c>
      <c r="O814">
        <f>ABS(L814-SEM!$C$34)</f>
        <v>5.4079287688084188</v>
      </c>
      <c r="P814">
        <f t="shared" si="13"/>
        <v>80.8</v>
      </c>
    </row>
    <row r="815" spans="10:16">
      <c r="J815" s="5"/>
      <c r="L815">
        <f>SEM!M815</f>
        <v>0.92084843999999999</v>
      </c>
      <c r="M815">
        <f>SEM!N815</f>
        <v>80.900000000000006</v>
      </c>
      <c r="O815">
        <f>ABS(L815-SEM!$C$34)</f>
        <v>5.4085502088084194</v>
      </c>
      <c r="P815">
        <f t="shared" si="13"/>
        <v>80.900000000000006</v>
      </c>
    </row>
    <row r="816" spans="10:16">
      <c r="J816" s="5"/>
      <c r="L816">
        <f>SEM!M816</f>
        <v>0.92275160000000001</v>
      </c>
      <c r="M816">
        <f>SEM!N816</f>
        <v>81</v>
      </c>
      <c r="O816">
        <f>ABS(L816-SEM!$C$34)</f>
        <v>5.4104533688084189</v>
      </c>
      <c r="P816">
        <f t="shared" si="13"/>
        <v>81</v>
      </c>
    </row>
    <row r="817" spans="10:16">
      <c r="J817" s="5"/>
      <c r="L817">
        <f>SEM!M817</f>
        <v>0.92465476000000002</v>
      </c>
      <c r="M817">
        <f>SEM!N817</f>
        <v>81.099999999999994</v>
      </c>
      <c r="O817">
        <f>ABS(L817-SEM!$C$34)</f>
        <v>5.4123565288084192</v>
      </c>
      <c r="P817">
        <f t="shared" si="13"/>
        <v>81.099999999999994</v>
      </c>
    </row>
    <row r="818" spans="10:16">
      <c r="J818" s="5"/>
      <c r="L818">
        <f>SEM!M818</f>
        <v>0.92840684799999995</v>
      </c>
      <c r="M818">
        <f>SEM!N818</f>
        <v>81.2</v>
      </c>
      <c r="O818">
        <f>ABS(L818-SEM!$C$34)</f>
        <v>5.4161086168084189</v>
      </c>
      <c r="P818">
        <f t="shared" si="13"/>
        <v>81.2</v>
      </c>
    </row>
    <row r="819" spans="10:16">
      <c r="J819" s="5"/>
      <c r="L819">
        <f>SEM!M819</f>
        <v>0.93269415200000005</v>
      </c>
      <c r="M819">
        <f>SEM!N819</f>
        <v>81.3</v>
      </c>
      <c r="O819">
        <f>ABS(L819-SEM!$C$34)</f>
        <v>5.4203959208084189</v>
      </c>
      <c r="P819">
        <f t="shared" si="13"/>
        <v>81.3</v>
      </c>
    </row>
    <row r="820" spans="10:16">
      <c r="J820" s="5"/>
      <c r="L820">
        <f>SEM!M820</f>
        <v>0.93609300799999995</v>
      </c>
      <c r="M820">
        <f>SEM!N820</f>
        <v>81.400000000000006</v>
      </c>
      <c r="O820">
        <f>ABS(L820-SEM!$C$34)</f>
        <v>5.4237947768084194</v>
      </c>
      <c r="P820">
        <f t="shared" si="13"/>
        <v>81.400000000000006</v>
      </c>
    </row>
    <row r="821" spans="10:16">
      <c r="J821" s="5"/>
      <c r="L821">
        <f>SEM!M821</f>
        <v>0.93642267999999995</v>
      </c>
      <c r="M821">
        <f>SEM!N821</f>
        <v>81.5</v>
      </c>
      <c r="O821">
        <f>ABS(L821-SEM!$C$34)</f>
        <v>5.4241244488084188</v>
      </c>
      <c r="P821">
        <f t="shared" si="13"/>
        <v>81.5</v>
      </c>
    </row>
    <row r="822" spans="10:16">
      <c r="J822" s="5"/>
      <c r="L822">
        <f>SEM!M822</f>
        <v>0.93675235199999995</v>
      </c>
      <c r="M822">
        <f>SEM!N822</f>
        <v>81.599999999999994</v>
      </c>
      <c r="O822">
        <f>ABS(L822-SEM!$C$34)</f>
        <v>5.4244541208084192</v>
      </c>
      <c r="P822">
        <f t="shared" si="13"/>
        <v>81.599999999999994</v>
      </c>
    </row>
    <row r="823" spans="10:16">
      <c r="J823" s="5"/>
      <c r="L823">
        <f>SEM!M823</f>
        <v>0.93922913600000002</v>
      </c>
      <c r="M823">
        <f>SEM!N823</f>
        <v>81.7</v>
      </c>
      <c r="O823">
        <f>ABS(L823-SEM!$C$34)</f>
        <v>5.4269309048084189</v>
      </c>
      <c r="P823">
        <f t="shared" si="13"/>
        <v>81.7</v>
      </c>
    </row>
    <row r="824" spans="10:16">
      <c r="J824" s="5"/>
      <c r="L824">
        <f>SEM!M824</f>
        <v>0.94274694400000003</v>
      </c>
      <c r="M824">
        <f>SEM!N824</f>
        <v>81.8</v>
      </c>
      <c r="O824">
        <f>ABS(L824-SEM!$C$34)</f>
        <v>5.4304487128084187</v>
      </c>
      <c r="P824">
        <f t="shared" si="13"/>
        <v>81.8</v>
      </c>
    </row>
    <row r="825" spans="10:16">
      <c r="J825" s="5"/>
      <c r="L825">
        <f>SEM!M825</f>
        <v>0.94585823999999996</v>
      </c>
      <c r="M825">
        <f>SEM!N825</f>
        <v>81.900000000000006</v>
      </c>
      <c r="O825">
        <f>ABS(L825-SEM!$C$34)</f>
        <v>5.4335600088084188</v>
      </c>
      <c r="P825">
        <f t="shared" si="13"/>
        <v>81.900000000000006</v>
      </c>
    </row>
    <row r="826" spans="10:16">
      <c r="J826" s="5"/>
      <c r="L826">
        <f>SEM!M826</f>
        <v>0.94605620000000001</v>
      </c>
      <c r="M826">
        <f>SEM!N826</f>
        <v>82</v>
      </c>
      <c r="O826">
        <f>ABS(L826-SEM!$C$34)</f>
        <v>5.4337579688084192</v>
      </c>
      <c r="P826">
        <f t="shared" si="13"/>
        <v>82</v>
      </c>
    </row>
    <row r="827" spans="10:16">
      <c r="J827" s="5"/>
      <c r="L827">
        <f>SEM!M827</f>
        <v>0.94625415999999996</v>
      </c>
      <c r="M827">
        <f>SEM!N827</f>
        <v>82.1</v>
      </c>
      <c r="O827">
        <f>ABS(L827-SEM!$C$34)</f>
        <v>5.4339559288084187</v>
      </c>
      <c r="P827">
        <f t="shared" si="13"/>
        <v>82.1</v>
      </c>
    </row>
    <row r="828" spans="10:16">
      <c r="J828" s="5"/>
      <c r="L828">
        <f>SEM!M828</f>
        <v>0.94867151199999999</v>
      </c>
      <c r="M828">
        <f>SEM!N828</f>
        <v>82.2</v>
      </c>
      <c r="O828">
        <f>ABS(L828-SEM!$C$34)</f>
        <v>5.4363732808084189</v>
      </c>
      <c r="P828">
        <f t="shared" si="13"/>
        <v>82.2</v>
      </c>
    </row>
    <row r="829" spans="10:16">
      <c r="J829" s="5"/>
      <c r="L829">
        <f>SEM!M829</f>
        <v>0.95275340799999997</v>
      </c>
      <c r="M829">
        <f>SEM!N829</f>
        <v>82.3</v>
      </c>
      <c r="O829">
        <f>ABS(L829-SEM!$C$34)</f>
        <v>5.4404551768084186</v>
      </c>
      <c r="P829">
        <f t="shared" si="13"/>
        <v>82.3</v>
      </c>
    </row>
    <row r="830" spans="10:16">
      <c r="J830" s="5"/>
      <c r="L830">
        <f>SEM!M830</f>
        <v>0.95675373600000002</v>
      </c>
      <c r="M830">
        <f>SEM!N830</f>
        <v>82.4</v>
      </c>
      <c r="O830">
        <f>ABS(L830-SEM!$C$34)</f>
        <v>5.4444555048084187</v>
      </c>
      <c r="P830">
        <f t="shared" si="13"/>
        <v>82.4</v>
      </c>
    </row>
    <row r="831" spans="10:16">
      <c r="J831" s="5"/>
      <c r="L831">
        <f>SEM!M831</f>
        <v>0.95683879999999999</v>
      </c>
      <c r="M831">
        <f>SEM!N831</f>
        <v>82.5</v>
      </c>
      <c r="O831">
        <f>ABS(L831-SEM!$C$34)</f>
        <v>5.444540568808419</v>
      </c>
      <c r="P831">
        <f t="shared" si="13"/>
        <v>82.5</v>
      </c>
    </row>
    <row r="832" spans="10:16">
      <c r="J832" s="5"/>
      <c r="L832">
        <f>SEM!M832</f>
        <v>0.95692386399999996</v>
      </c>
      <c r="M832">
        <f>SEM!N832</f>
        <v>82.6</v>
      </c>
      <c r="O832">
        <f>ABS(L832-SEM!$C$34)</f>
        <v>5.4446256328084193</v>
      </c>
      <c r="P832">
        <f t="shared" si="13"/>
        <v>82.6</v>
      </c>
    </row>
    <row r="833" spans="10:16">
      <c r="J833" s="5"/>
      <c r="L833">
        <f>SEM!M833</f>
        <v>0.95823767999999998</v>
      </c>
      <c r="M833">
        <f>SEM!N833</f>
        <v>82.7</v>
      </c>
      <c r="O833">
        <f>ABS(L833-SEM!$C$34)</f>
        <v>5.445939448808419</v>
      </c>
      <c r="P833">
        <f t="shared" si="13"/>
        <v>82.7</v>
      </c>
    </row>
    <row r="834" spans="10:16">
      <c r="J834" s="5"/>
      <c r="L834">
        <f>SEM!M834</f>
        <v>0.96094051999999996</v>
      </c>
      <c r="M834">
        <f>SEM!N834</f>
        <v>82.8</v>
      </c>
      <c r="O834">
        <f>ABS(L834-SEM!$C$34)</f>
        <v>5.4486422888084194</v>
      </c>
      <c r="P834">
        <f t="shared" si="13"/>
        <v>82.8</v>
      </c>
    </row>
    <row r="835" spans="10:16">
      <c r="J835" s="5"/>
      <c r="L835">
        <f>SEM!M835</f>
        <v>0.96364335999999995</v>
      </c>
      <c r="M835">
        <f>SEM!N835</f>
        <v>82.9</v>
      </c>
      <c r="O835">
        <f>ABS(L835-SEM!$C$34)</f>
        <v>5.4513451288084189</v>
      </c>
      <c r="P835">
        <f t="shared" si="13"/>
        <v>82.9</v>
      </c>
    </row>
    <row r="836" spans="10:16">
      <c r="J836" s="5"/>
      <c r="L836">
        <f>SEM!M836</f>
        <v>0.96761231999999997</v>
      </c>
      <c r="M836">
        <f>SEM!N836</f>
        <v>83</v>
      </c>
      <c r="O836">
        <f>ABS(L836-SEM!$C$34)</f>
        <v>5.4553140888084188</v>
      </c>
      <c r="P836">
        <f t="shared" si="13"/>
        <v>83</v>
      </c>
    </row>
    <row r="837" spans="10:16">
      <c r="J837" s="5"/>
      <c r="L837">
        <f>SEM!M837</f>
        <v>0.97169382400000004</v>
      </c>
      <c r="M837">
        <f>SEM!N837</f>
        <v>83.1</v>
      </c>
      <c r="O837">
        <f>ABS(L837-SEM!$C$34)</f>
        <v>5.459395592808419</v>
      </c>
      <c r="P837">
        <f t="shared" si="13"/>
        <v>83.1</v>
      </c>
    </row>
    <row r="838" spans="10:16">
      <c r="J838" s="5"/>
      <c r="L838">
        <f>SEM!M838</f>
        <v>0.97492414400000005</v>
      </c>
      <c r="M838">
        <f>SEM!N838</f>
        <v>83.2</v>
      </c>
      <c r="O838">
        <f>ABS(L838-SEM!$C$34)</f>
        <v>5.4626259128084191</v>
      </c>
      <c r="P838">
        <f t="shared" si="13"/>
        <v>83.2</v>
      </c>
    </row>
    <row r="839" spans="10:16">
      <c r="J839" s="5"/>
      <c r="L839">
        <f>SEM!M839</f>
        <v>0.97668853600000005</v>
      </c>
      <c r="M839">
        <f>SEM!N839</f>
        <v>83.3</v>
      </c>
      <c r="O839">
        <f>ABS(L839-SEM!$C$34)</f>
        <v>5.4643903048084193</v>
      </c>
      <c r="P839">
        <f t="shared" ref="P839:P902" si="14">M839</f>
        <v>83.3</v>
      </c>
    </row>
    <row r="840" spans="10:16">
      <c r="J840" s="5"/>
      <c r="L840">
        <f>SEM!M840</f>
        <v>0.97845292800000006</v>
      </c>
      <c r="M840">
        <f>SEM!N840</f>
        <v>83.4</v>
      </c>
      <c r="O840">
        <f>ABS(L840-SEM!$C$34)</f>
        <v>5.4661546968084194</v>
      </c>
      <c r="P840">
        <f t="shared" si="14"/>
        <v>83.4</v>
      </c>
    </row>
    <row r="841" spans="10:16">
      <c r="J841" s="5"/>
      <c r="L841">
        <f>SEM!M841</f>
        <v>0.98144964000000001</v>
      </c>
      <c r="M841">
        <f>SEM!N841</f>
        <v>83.5</v>
      </c>
      <c r="O841">
        <f>ABS(L841-SEM!$C$34)</f>
        <v>5.4691514088084192</v>
      </c>
      <c r="P841">
        <f t="shared" si="14"/>
        <v>83.5</v>
      </c>
    </row>
    <row r="842" spans="10:16">
      <c r="J842" s="5"/>
      <c r="L842">
        <f>SEM!M842</f>
        <v>0.98472362400000002</v>
      </c>
      <c r="M842">
        <f>SEM!N842</f>
        <v>83.6</v>
      </c>
      <c r="O842">
        <f>ABS(L842-SEM!$C$34)</f>
        <v>5.472425392808419</v>
      </c>
      <c r="P842">
        <f t="shared" si="14"/>
        <v>83.6</v>
      </c>
    </row>
    <row r="843" spans="10:16">
      <c r="J843" s="5"/>
      <c r="L843">
        <f>SEM!M843</f>
        <v>0.98738015999999995</v>
      </c>
      <c r="M843">
        <f>SEM!N843</f>
        <v>83.7</v>
      </c>
      <c r="O843">
        <f>ABS(L843-SEM!$C$34)</f>
        <v>5.4750819288084189</v>
      </c>
      <c r="P843">
        <f t="shared" si="14"/>
        <v>83.7</v>
      </c>
    </row>
    <row r="844" spans="10:16">
      <c r="J844" s="5"/>
      <c r="L844">
        <f>SEM!M844</f>
        <v>0.98832684000000004</v>
      </c>
      <c r="M844">
        <f>SEM!N844</f>
        <v>83.8</v>
      </c>
      <c r="O844">
        <f>ABS(L844-SEM!$C$34)</f>
        <v>5.4760286088084191</v>
      </c>
      <c r="P844">
        <f t="shared" si="14"/>
        <v>83.8</v>
      </c>
    </row>
    <row r="845" spans="10:16">
      <c r="J845" s="5"/>
      <c r="L845">
        <f>SEM!M845</f>
        <v>0.98927352000000002</v>
      </c>
      <c r="M845">
        <f>SEM!N845</f>
        <v>83.9</v>
      </c>
      <c r="O845">
        <f>ABS(L845-SEM!$C$34)</f>
        <v>5.4769752888084193</v>
      </c>
      <c r="P845">
        <f t="shared" si="14"/>
        <v>83.9</v>
      </c>
    </row>
    <row r="846" spans="10:16">
      <c r="J846" s="5"/>
      <c r="L846">
        <f>SEM!M846</f>
        <v>0.99225355999999998</v>
      </c>
      <c r="M846">
        <f>SEM!N846</f>
        <v>84</v>
      </c>
      <c r="O846">
        <f>ABS(L846-SEM!$C$34)</f>
        <v>5.4799553288084191</v>
      </c>
      <c r="P846">
        <f t="shared" si="14"/>
        <v>84</v>
      </c>
    </row>
    <row r="847" spans="10:16">
      <c r="J847" s="5"/>
      <c r="L847">
        <f>SEM!M847</f>
        <v>0.99604694400000005</v>
      </c>
      <c r="M847">
        <f>SEM!N847</f>
        <v>84.1</v>
      </c>
      <c r="O847">
        <f>ABS(L847-SEM!$C$34)</f>
        <v>5.4837487128084188</v>
      </c>
      <c r="P847">
        <f t="shared" si="14"/>
        <v>84.1</v>
      </c>
    </row>
    <row r="848" spans="10:16">
      <c r="J848" s="5"/>
      <c r="L848">
        <f>SEM!M848</f>
        <v>1.000417224</v>
      </c>
      <c r="M848">
        <f>SEM!N848</f>
        <v>84.2</v>
      </c>
      <c r="O848">
        <f>ABS(L848-SEM!$C$34)</f>
        <v>5.4881189928084186</v>
      </c>
      <c r="P848">
        <f t="shared" si="14"/>
        <v>84.2</v>
      </c>
    </row>
    <row r="849" spans="10:16">
      <c r="J849" s="5"/>
      <c r="L849">
        <f>SEM!M849</f>
        <v>1.0077440959999999</v>
      </c>
      <c r="M849">
        <f>SEM!N849</f>
        <v>84.3</v>
      </c>
      <c r="O849">
        <f>ABS(L849-SEM!$C$34)</f>
        <v>5.4954458648084188</v>
      </c>
      <c r="P849">
        <f t="shared" si="14"/>
        <v>84.3</v>
      </c>
    </row>
    <row r="850" spans="10:16">
      <c r="J850" s="5"/>
      <c r="L850">
        <f>SEM!M850</f>
        <v>1.0150709680000001</v>
      </c>
      <c r="M850">
        <f>SEM!N850</f>
        <v>84.4</v>
      </c>
      <c r="O850">
        <f>ABS(L850-SEM!$C$34)</f>
        <v>5.5027727368084189</v>
      </c>
      <c r="P850">
        <f t="shared" si="14"/>
        <v>84.4</v>
      </c>
    </row>
    <row r="851" spans="10:16">
      <c r="J851" s="5"/>
      <c r="L851">
        <f>SEM!M851</f>
        <v>1.0203</v>
      </c>
      <c r="M851">
        <f>SEM!N851</f>
        <v>84.5</v>
      </c>
      <c r="O851">
        <f>ABS(L851-SEM!$C$34)</f>
        <v>5.5080017688084189</v>
      </c>
      <c r="P851">
        <f t="shared" si="14"/>
        <v>84.5</v>
      </c>
    </row>
    <row r="852" spans="10:16">
      <c r="J852" s="5"/>
      <c r="L852">
        <f>SEM!M852</f>
        <v>1.0242004</v>
      </c>
      <c r="M852">
        <f>SEM!N852</f>
        <v>84.6</v>
      </c>
      <c r="O852">
        <f>ABS(L852-SEM!$C$34)</f>
        <v>5.5119021688084189</v>
      </c>
      <c r="P852">
        <f t="shared" si="14"/>
        <v>84.6</v>
      </c>
    </row>
    <row r="853" spans="10:16">
      <c r="J853" s="5"/>
      <c r="L853">
        <f>SEM!M853</f>
        <v>1.0282377680000001</v>
      </c>
      <c r="M853">
        <f>SEM!N853</f>
        <v>84.7</v>
      </c>
      <c r="O853">
        <f>ABS(L853-SEM!$C$34)</f>
        <v>5.5159395368084194</v>
      </c>
      <c r="P853">
        <f t="shared" si="14"/>
        <v>84.7</v>
      </c>
    </row>
    <row r="854" spans="10:16">
      <c r="J854" s="5"/>
      <c r="L854">
        <f>SEM!M854</f>
        <v>1.0343753120000001</v>
      </c>
      <c r="M854">
        <f>SEM!N854</f>
        <v>84.8</v>
      </c>
      <c r="O854">
        <f>ABS(L854-SEM!$C$34)</f>
        <v>5.522077080808419</v>
      </c>
      <c r="P854">
        <f t="shared" si="14"/>
        <v>84.8</v>
      </c>
    </row>
    <row r="855" spans="10:16">
      <c r="J855" s="5"/>
      <c r="L855">
        <f>SEM!M855</f>
        <v>1.0405128560000001</v>
      </c>
      <c r="M855">
        <f>SEM!N855</f>
        <v>84.9</v>
      </c>
      <c r="O855">
        <f>ABS(L855-SEM!$C$34)</f>
        <v>5.5282146248084194</v>
      </c>
      <c r="P855">
        <f t="shared" si="14"/>
        <v>84.9</v>
      </c>
    </row>
    <row r="856" spans="10:16">
      <c r="J856" s="5"/>
      <c r="L856">
        <f>SEM!M856</f>
        <v>1.045482</v>
      </c>
      <c r="M856">
        <f>SEM!N856</f>
        <v>85</v>
      </c>
      <c r="O856">
        <f>ABS(L856-SEM!$C$34)</f>
        <v>5.5331837688084189</v>
      </c>
      <c r="P856">
        <f t="shared" si="14"/>
        <v>85</v>
      </c>
    </row>
    <row r="857" spans="10:16">
      <c r="J857" s="5"/>
      <c r="L857">
        <f>SEM!M857</f>
        <v>1.0493294799999999</v>
      </c>
      <c r="M857">
        <f>SEM!N857</f>
        <v>85.1</v>
      </c>
      <c r="O857">
        <f>ABS(L857-SEM!$C$34)</f>
        <v>5.537031248808419</v>
      </c>
      <c r="P857">
        <f t="shared" si="14"/>
        <v>85.1</v>
      </c>
    </row>
    <row r="858" spans="10:16">
      <c r="J858" s="5"/>
      <c r="L858">
        <f>SEM!M858</f>
        <v>1.0531769600000001</v>
      </c>
      <c r="M858">
        <f>SEM!N858</f>
        <v>85.2</v>
      </c>
      <c r="O858">
        <f>ABS(L858-SEM!$C$34)</f>
        <v>5.5408787288084191</v>
      </c>
      <c r="P858">
        <f t="shared" si="14"/>
        <v>85.2</v>
      </c>
    </row>
    <row r="859" spans="10:16">
      <c r="J859" s="5"/>
      <c r="L859">
        <f>SEM!M859</f>
        <v>1.0584558719999999</v>
      </c>
      <c r="M859">
        <f>SEM!N859</f>
        <v>85.3</v>
      </c>
      <c r="O859">
        <f>ABS(L859-SEM!$C$34)</f>
        <v>5.5461576408084188</v>
      </c>
      <c r="P859">
        <f t="shared" si="14"/>
        <v>85.3</v>
      </c>
    </row>
    <row r="860" spans="10:16">
      <c r="J860" s="5"/>
      <c r="L860">
        <f>SEM!M860</f>
        <v>1.0637956959999999</v>
      </c>
      <c r="M860">
        <f>SEM!N860</f>
        <v>85.4</v>
      </c>
      <c r="O860">
        <f>ABS(L860-SEM!$C$34)</f>
        <v>5.5514974648084188</v>
      </c>
      <c r="P860">
        <f t="shared" si="14"/>
        <v>85.4</v>
      </c>
    </row>
    <row r="861" spans="10:16">
      <c r="J861" s="5"/>
      <c r="L861">
        <f>SEM!M861</f>
        <v>1.0671305600000001</v>
      </c>
      <c r="M861">
        <f>SEM!N861</f>
        <v>85.5</v>
      </c>
      <c r="O861">
        <f>ABS(L861-SEM!$C$34)</f>
        <v>5.5548323288084189</v>
      </c>
      <c r="P861">
        <f t="shared" si="14"/>
        <v>85.5</v>
      </c>
    </row>
    <row r="862" spans="10:16">
      <c r="J862" s="5"/>
      <c r="L862">
        <f>SEM!M862</f>
        <v>1.0675582320000001</v>
      </c>
      <c r="M862">
        <f>SEM!N862</f>
        <v>85.6</v>
      </c>
      <c r="O862">
        <f>ABS(L862-SEM!$C$34)</f>
        <v>5.5552600008084188</v>
      </c>
      <c r="P862">
        <f t="shared" si="14"/>
        <v>85.6</v>
      </c>
    </row>
    <row r="863" spans="10:16">
      <c r="J863" s="5"/>
      <c r="L863">
        <f>SEM!M863</f>
        <v>1.0679859039999999</v>
      </c>
      <c r="M863">
        <f>SEM!N863</f>
        <v>85.7</v>
      </c>
      <c r="O863">
        <f>ABS(L863-SEM!$C$34)</f>
        <v>5.5556876728084195</v>
      </c>
      <c r="P863">
        <f t="shared" si="14"/>
        <v>85.7</v>
      </c>
    </row>
    <row r="864" spans="10:16">
      <c r="J864" s="5"/>
      <c r="L864">
        <f>SEM!M864</f>
        <v>1.0784495599999999</v>
      </c>
      <c r="M864">
        <f>SEM!N864</f>
        <v>85.8</v>
      </c>
      <c r="O864">
        <f>ABS(L864-SEM!$C$34)</f>
        <v>5.5661513288084192</v>
      </c>
      <c r="P864">
        <f t="shared" si="14"/>
        <v>85.8</v>
      </c>
    </row>
    <row r="865" spans="10:16">
      <c r="J865" s="5"/>
      <c r="L865">
        <f>SEM!M865</f>
        <v>1.0905858799999999</v>
      </c>
      <c r="M865">
        <f>SEM!N865</f>
        <v>85.9</v>
      </c>
      <c r="O865">
        <f>ABS(L865-SEM!$C$34)</f>
        <v>5.578287648808419</v>
      </c>
      <c r="P865">
        <f t="shared" si="14"/>
        <v>85.9</v>
      </c>
    </row>
    <row r="866" spans="10:16">
      <c r="J866" s="5"/>
      <c r="L866">
        <f>SEM!M866</f>
        <v>1.0990154000000001</v>
      </c>
      <c r="M866">
        <f>SEM!N866</f>
        <v>86</v>
      </c>
      <c r="O866">
        <f>ABS(L866-SEM!$C$34)</f>
        <v>5.586717168808419</v>
      </c>
      <c r="P866">
        <f t="shared" si="14"/>
        <v>86</v>
      </c>
    </row>
    <row r="867" spans="10:16">
      <c r="J867" s="5"/>
      <c r="L867">
        <f>SEM!M867</f>
        <v>1.0990428400000001</v>
      </c>
      <c r="M867">
        <f>SEM!N867</f>
        <v>86.1</v>
      </c>
      <c r="O867">
        <f>ABS(L867-SEM!$C$34)</f>
        <v>5.5867446088084192</v>
      </c>
      <c r="P867">
        <f t="shared" si="14"/>
        <v>86.1</v>
      </c>
    </row>
    <row r="868" spans="10:16">
      <c r="J868" s="5"/>
      <c r="L868">
        <f>SEM!M868</f>
        <v>1.0990702800000001</v>
      </c>
      <c r="M868">
        <f>SEM!N868</f>
        <v>86.2</v>
      </c>
      <c r="O868">
        <f>ABS(L868-SEM!$C$34)</f>
        <v>5.5867720488084194</v>
      </c>
      <c r="P868">
        <f t="shared" si="14"/>
        <v>86.2</v>
      </c>
    </row>
    <row r="869" spans="10:16">
      <c r="J869" s="5"/>
      <c r="L869">
        <f>SEM!M869</f>
        <v>1.0991524800000001</v>
      </c>
      <c r="M869">
        <f>SEM!N869</f>
        <v>86.3</v>
      </c>
      <c r="O869">
        <f>ABS(L869-SEM!$C$34)</f>
        <v>5.586854248808419</v>
      </c>
      <c r="P869">
        <f t="shared" si="14"/>
        <v>86.3</v>
      </c>
    </row>
    <row r="870" spans="10:16">
      <c r="J870" s="5"/>
      <c r="L870">
        <f>SEM!M870</f>
        <v>1.0992524400000001</v>
      </c>
      <c r="M870">
        <f>SEM!N870</f>
        <v>86.4</v>
      </c>
      <c r="O870">
        <f>ABS(L870-SEM!$C$34)</f>
        <v>5.586954208808419</v>
      </c>
      <c r="P870">
        <f t="shared" si="14"/>
        <v>86.4</v>
      </c>
    </row>
    <row r="871" spans="10:16">
      <c r="J871" s="5"/>
      <c r="L871">
        <f>SEM!M871</f>
        <v>1.10000152</v>
      </c>
      <c r="M871">
        <f>SEM!N871</f>
        <v>86.5</v>
      </c>
      <c r="O871">
        <f>ABS(L871-SEM!$C$34)</f>
        <v>5.5877032888084193</v>
      </c>
      <c r="P871">
        <f t="shared" si="14"/>
        <v>86.5</v>
      </c>
    </row>
    <row r="872" spans="10:16">
      <c r="J872" s="5"/>
      <c r="L872">
        <f>SEM!M872</f>
        <v>1.103282168</v>
      </c>
      <c r="M872">
        <f>SEM!N872</f>
        <v>86.6</v>
      </c>
      <c r="O872">
        <f>ABS(L872-SEM!$C$34)</f>
        <v>5.5909839368084189</v>
      </c>
      <c r="P872">
        <f t="shared" si="14"/>
        <v>86.6</v>
      </c>
    </row>
    <row r="873" spans="10:16">
      <c r="J873" s="5"/>
      <c r="L873">
        <f>SEM!M873</f>
        <v>1.1065628160000001</v>
      </c>
      <c r="M873">
        <f>SEM!N873</f>
        <v>86.7</v>
      </c>
      <c r="O873">
        <f>ABS(L873-SEM!$C$34)</f>
        <v>5.5942645848084194</v>
      </c>
      <c r="P873">
        <f t="shared" si="14"/>
        <v>86.7</v>
      </c>
    </row>
    <row r="874" spans="10:16">
      <c r="J874" s="5"/>
      <c r="L874">
        <f>SEM!M874</f>
        <v>1.1122695760000001</v>
      </c>
      <c r="M874">
        <f>SEM!N874</f>
        <v>86.8</v>
      </c>
      <c r="O874">
        <f>ABS(L874-SEM!$C$34)</f>
        <v>5.5999713448084192</v>
      </c>
      <c r="P874">
        <f t="shared" si="14"/>
        <v>86.8</v>
      </c>
    </row>
    <row r="875" spans="10:16">
      <c r="J875" s="5"/>
      <c r="L875">
        <f>SEM!M875</f>
        <v>1.1192652080000001</v>
      </c>
      <c r="M875">
        <f>SEM!N875</f>
        <v>86.9</v>
      </c>
      <c r="O875">
        <f>ABS(L875-SEM!$C$34)</f>
        <v>5.6069669768084189</v>
      </c>
      <c r="P875">
        <f t="shared" si="14"/>
        <v>86.9</v>
      </c>
    </row>
    <row r="876" spans="10:16">
      <c r="J876" s="5"/>
      <c r="L876">
        <f>SEM!M876</f>
        <v>1.12640104</v>
      </c>
      <c r="M876">
        <f>SEM!N876</f>
        <v>87</v>
      </c>
      <c r="O876">
        <f>ABS(L876-SEM!$C$34)</f>
        <v>5.6141028088084193</v>
      </c>
      <c r="P876">
        <f t="shared" si="14"/>
        <v>87</v>
      </c>
    </row>
    <row r="877" spans="10:16">
      <c r="J877" s="5"/>
      <c r="L877">
        <f>SEM!M877</f>
        <v>1.1347706319999999</v>
      </c>
      <c r="M877">
        <f>SEM!N877</f>
        <v>87.1</v>
      </c>
      <c r="O877">
        <f>ABS(L877-SEM!$C$34)</f>
        <v>5.6224724008084195</v>
      </c>
      <c r="P877">
        <f t="shared" si="14"/>
        <v>87.1</v>
      </c>
    </row>
    <row r="878" spans="10:16">
      <c r="J878" s="5"/>
      <c r="L878">
        <f>SEM!M878</f>
        <v>1.1431402239999999</v>
      </c>
      <c r="M878">
        <f>SEM!N878</f>
        <v>87.2</v>
      </c>
      <c r="O878">
        <f>ABS(L878-SEM!$C$34)</f>
        <v>5.6308419928084188</v>
      </c>
      <c r="P878">
        <f t="shared" si="14"/>
        <v>87.2</v>
      </c>
    </row>
    <row r="879" spans="10:16">
      <c r="J879" s="5"/>
      <c r="L879">
        <f>SEM!M879</f>
        <v>1.14954292</v>
      </c>
      <c r="M879">
        <f>SEM!N879</f>
        <v>87.3</v>
      </c>
      <c r="O879">
        <f>ABS(L879-SEM!$C$34)</f>
        <v>5.6372446888084191</v>
      </c>
      <c r="P879">
        <f t="shared" si="14"/>
        <v>87.3</v>
      </c>
    </row>
    <row r="880" spans="10:16">
      <c r="J880" s="5"/>
      <c r="L880">
        <f>SEM!M880</f>
        <v>1.1543429599999999</v>
      </c>
      <c r="M880">
        <f>SEM!N880</f>
        <v>87.4</v>
      </c>
      <c r="O880">
        <f>ABS(L880-SEM!$C$34)</f>
        <v>5.6420447288084192</v>
      </c>
      <c r="P880">
        <f t="shared" si="14"/>
        <v>87.4</v>
      </c>
    </row>
    <row r="881" spans="10:16">
      <c r="J881" s="5"/>
      <c r="L881">
        <f>SEM!M881</f>
        <v>1.159143</v>
      </c>
      <c r="M881">
        <f>SEM!N881</f>
        <v>87.5</v>
      </c>
      <c r="O881">
        <f>ABS(L881-SEM!$C$34)</f>
        <v>5.6468447688084193</v>
      </c>
      <c r="P881">
        <f t="shared" si="14"/>
        <v>87.5</v>
      </c>
    </row>
    <row r="882" spans="10:16">
      <c r="J882" s="5"/>
      <c r="L882">
        <f>SEM!M882</f>
        <v>1.160040288</v>
      </c>
      <c r="M882">
        <f>SEM!N882</f>
        <v>87.6</v>
      </c>
      <c r="O882">
        <f>ABS(L882-SEM!$C$34)</f>
        <v>5.6477420568084193</v>
      </c>
      <c r="P882">
        <f t="shared" si="14"/>
        <v>87.6</v>
      </c>
    </row>
    <row r="883" spans="10:16">
      <c r="J883" s="5"/>
      <c r="L883">
        <f>SEM!M883</f>
        <v>1.160937576</v>
      </c>
      <c r="M883">
        <f>SEM!N883</f>
        <v>87.7</v>
      </c>
      <c r="O883">
        <f>ABS(L883-SEM!$C$34)</f>
        <v>5.6486393448084193</v>
      </c>
      <c r="P883">
        <f t="shared" si="14"/>
        <v>87.7</v>
      </c>
    </row>
    <row r="884" spans="10:16">
      <c r="J884" s="5"/>
      <c r="L884">
        <f>SEM!M884</f>
        <v>1.1617905120000001</v>
      </c>
      <c r="M884">
        <f>SEM!N884</f>
        <v>87.8</v>
      </c>
      <c r="O884">
        <f>ABS(L884-SEM!$C$34)</f>
        <v>5.6494922808084187</v>
      </c>
      <c r="P884">
        <f t="shared" si="14"/>
        <v>87.8</v>
      </c>
    </row>
    <row r="885" spans="10:16">
      <c r="J885" s="5"/>
      <c r="L885">
        <f>SEM!M885</f>
        <v>1.1625890160000001</v>
      </c>
      <c r="M885">
        <f>SEM!N885</f>
        <v>87.9</v>
      </c>
      <c r="O885">
        <f>ABS(L885-SEM!$C$34)</f>
        <v>5.6502907848084192</v>
      </c>
      <c r="P885">
        <f t="shared" si="14"/>
        <v>87.9</v>
      </c>
    </row>
    <row r="886" spans="10:16">
      <c r="J886" s="5"/>
      <c r="L886">
        <f>SEM!M886</f>
        <v>1.1633875199999999</v>
      </c>
      <c r="M886">
        <f>SEM!N886</f>
        <v>88</v>
      </c>
      <c r="O886">
        <f>ABS(L886-SEM!$C$34)</f>
        <v>5.6510892888084188</v>
      </c>
      <c r="P886">
        <f t="shared" si="14"/>
        <v>88</v>
      </c>
    </row>
    <row r="887" spans="10:16">
      <c r="J887" s="5"/>
      <c r="L887">
        <f>SEM!M887</f>
        <v>1.168581096</v>
      </c>
      <c r="M887">
        <f>SEM!N887</f>
        <v>88.1</v>
      </c>
      <c r="O887">
        <f>ABS(L887-SEM!$C$34)</f>
        <v>5.6562828648084196</v>
      </c>
      <c r="P887">
        <f t="shared" si="14"/>
        <v>88.1</v>
      </c>
    </row>
    <row r="888" spans="10:16">
      <c r="J888" s="5"/>
      <c r="L888">
        <f>SEM!M888</f>
        <v>1.174274112</v>
      </c>
      <c r="M888">
        <f>SEM!N888</f>
        <v>88.2</v>
      </c>
      <c r="O888">
        <f>ABS(L888-SEM!$C$34)</f>
        <v>5.6619758808084191</v>
      </c>
      <c r="P888">
        <f t="shared" si="14"/>
        <v>88.2</v>
      </c>
    </row>
    <row r="889" spans="10:16">
      <c r="J889" s="5"/>
      <c r="L889">
        <f>SEM!M889</f>
        <v>1.179008464</v>
      </c>
      <c r="M889">
        <f>SEM!N889</f>
        <v>88.3</v>
      </c>
      <c r="O889">
        <f>ABS(L889-SEM!$C$34)</f>
        <v>5.6667102328084189</v>
      </c>
      <c r="P889">
        <f t="shared" si="14"/>
        <v>88.3</v>
      </c>
    </row>
    <row r="890" spans="10:16">
      <c r="J890" s="5"/>
      <c r="L890">
        <f>SEM!M890</f>
        <v>1.181938272</v>
      </c>
      <c r="M890">
        <f>SEM!N890</f>
        <v>88.4</v>
      </c>
      <c r="O890">
        <f>ABS(L890-SEM!$C$34)</f>
        <v>5.6696400408084191</v>
      </c>
      <c r="P890">
        <f t="shared" si="14"/>
        <v>88.4</v>
      </c>
    </row>
    <row r="891" spans="10:16">
      <c r="J891" s="5"/>
      <c r="L891">
        <f>SEM!M891</f>
        <v>1.18486808</v>
      </c>
      <c r="M891">
        <f>SEM!N891</f>
        <v>88.5</v>
      </c>
      <c r="O891">
        <f>ABS(L891-SEM!$C$34)</f>
        <v>5.6725698488084193</v>
      </c>
      <c r="P891">
        <f t="shared" si="14"/>
        <v>88.5</v>
      </c>
    </row>
    <row r="892" spans="10:16">
      <c r="J892" s="5"/>
      <c r="L892">
        <f>SEM!M892</f>
        <v>1.1868831040000001</v>
      </c>
      <c r="M892">
        <f>SEM!N892</f>
        <v>88.6</v>
      </c>
      <c r="O892">
        <f>ABS(L892-SEM!$C$34)</f>
        <v>5.6745848728084187</v>
      </c>
      <c r="P892">
        <f t="shared" si="14"/>
        <v>88.6</v>
      </c>
    </row>
    <row r="893" spans="10:16">
      <c r="J893" s="5"/>
      <c r="L893">
        <f>SEM!M893</f>
        <v>1.1886635679999999</v>
      </c>
      <c r="M893">
        <f>SEM!N893</f>
        <v>88.7</v>
      </c>
      <c r="O893">
        <f>ABS(L893-SEM!$C$34)</f>
        <v>5.676365336808419</v>
      </c>
      <c r="P893">
        <f t="shared" si="14"/>
        <v>88.7</v>
      </c>
    </row>
    <row r="894" spans="10:16">
      <c r="J894" s="5"/>
      <c r="L894">
        <f>SEM!M894</f>
        <v>1.193679808</v>
      </c>
      <c r="M894">
        <f>SEM!N894</f>
        <v>88.8</v>
      </c>
      <c r="O894">
        <f>ABS(L894-SEM!$C$34)</f>
        <v>5.6813815768084188</v>
      </c>
      <c r="P894">
        <f t="shared" si="14"/>
        <v>88.8</v>
      </c>
    </row>
    <row r="895" spans="10:16">
      <c r="J895" s="5"/>
      <c r="L895">
        <f>SEM!M895</f>
        <v>1.2086730240000001</v>
      </c>
      <c r="M895">
        <f>SEM!N895</f>
        <v>88.9</v>
      </c>
      <c r="O895">
        <f>ABS(L895-SEM!$C$34)</f>
        <v>5.6963747928084194</v>
      </c>
      <c r="P895">
        <f t="shared" si="14"/>
        <v>88.9</v>
      </c>
    </row>
    <row r="896" spans="10:16">
      <c r="J896" s="5"/>
      <c r="L896">
        <f>SEM!M896</f>
        <v>1.22366624</v>
      </c>
      <c r="M896">
        <f>SEM!N896</f>
        <v>89</v>
      </c>
      <c r="O896">
        <f>ABS(L896-SEM!$C$34)</f>
        <v>5.7113680088084191</v>
      </c>
      <c r="P896">
        <f t="shared" si="14"/>
        <v>89</v>
      </c>
    </row>
    <row r="897" spans="10:16">
      <c r="J897" s="5"/>
      <c r="L897">
        <f>SEM!M897</f>
        <v>1.23268008</v>
      </c>
      <c r="M897">
        <f>SEM!N897</f>
        <v>89.1</v>
      </c>
      <c r="O897">
        <f>ABS(L897-SEM!$C$34)</f>
        <v>5.7203818488084188</v>
      </c>
      <c r="P897">
        <f t="shared" si="14"/>
        <v>89.1</v>
      </c>
    </row>
    <row r="898" spans="10:16">
      <c r="J898" s="5"/>
      <c r="L898">
        <f>SEM!M898</f>
        <v>1.23905596</v>
      </c>
      <c r="M898">
        <f>SEM!N898</f>
        <v>89.2</v>
      </c>
      <c r="O898">
        <f>ABS(L898-SEM!$C$34)</f>
        <v>5.726757728808419</v>
      </c>
      <c r="P898">
        <f t="shared" si="14"/>
        <v>89.2</v>
      </c>
    </row>
    <row r="899" spans="10:16">
      <c r="J899" s="5"/>
      <c r="L899">
        <f>SEM!M899</f>
        <v>1.24611812</v>
      </c>
      <c r="M899">
        <f>SEM!N899</f>
        <v>89.3</v>
      </c>
      <c r="O899">
        <f>ABS(L899-SEM!$C$34)</f>
        <v>5.7338198888084193</v>
      </c>
      <c r="P899">
        <f t="shared" si="14"/>
        <v>89.3</v>
      </c>
    </row>
    <row r="900" spans="10:16">
      <c r="J900" s="5"/>
      <c r="L900">
        <f>SEM!M900</f>
        <v>1.25729796</v>
      </c>
      <c r="M900">
        <f>SEM!N900</f>
        <v>89.4</v>
      </c>
      <c r="O900">
        <f>ABS(L900-SEM!$C$34)</f>
        <v>5.7449997288084189</v>
      </c>
      <c r="P900">
        <f t="shared" si="14"/>
        <v>89.4</v>
      </c>
    </row>
    <row r="901" spans="10:16">
      <c r="J901" s="5"/>
      <c r="L901">
        <f>SEM!M901</f>
        <v>1.2684778000000001</v>
      </c>
      <c r="M901">
        <f>SEM!N901</f>
        <v>89.5</v>
      </c>
      <c r="O901">
        <f>ABS(L901-SEM!$C$34)</f>
        <v>5.7561795688084194</v>
      </c>
      <c r="P901">
        <f t="shared" si="14"/>
        <v>89.5</v>
      </c>
    </row>
    <row r="902" spans="10:16">
      <c r="J902" s="5"/>
      <c r="L902">
        <f>SEM!M902</f>
        <v>1.2732240480000001</v>
      </c>
      <c r="M902">
        <f>SEM!N902</f>
        <v>89.6</v>
      </c>
      <c r="O902">
        <f>ABS(L902-SEM!$C$34)</f>
        <v>5.7609258168084194</v>
      </c>
      <c r="P902">
        <f t="shared" si="14"/>
        <v>89.6</v>
      </c>
    </row>
    <row r="903" spans="10:16">
      <c r="J903" s="5"/>
      <c r="L903">
        <f>SEM!M903</f>
        <v>1.2735333360000001</v>
      </c>
      <c r="M903">
        <f>SEM!N903</f>
        <v>89.7</v>
      </c>
      <c r="O903">
        <f>ABS(L903-SEM!$C$34)</f>
        <v>5.7612351048084189</v>
      </c>
      <c r="P903">
        <f t="shared" ref="P903:P966" si="15">M903</f>
        <v>89.7</v>
      </c>
    </row>
    <row r="904" spans="10:16">
      <c r="J904" s="5"/>
      <c r="L904">
        <f>SEM!M904</f>
        <v>1.2742258399999999</v>
      </c>
      <c r="M904">
        <f>SEM!N904</f>
        <v>89.8</v>
      </c>
      <c r="O904">
        <f>ABS(L904-SEM!$C$34)</f>
        <v>5.7619276088084188</v>
      </c>
      <c r="P904">
        <f t="shared" si="15"/>
        <v>89.8</v>
      </c>
    </row>
    <row r="905" spans="10:16">
      <c r="J905" s="5"/>
      <c r="L905">
        <f>SEM!M905</f>
        <v>1.2839239200000001</v>
      </c>
      <c r="M905">
        <f>SEM!N905</f>
        <v>89.9</v>
      </c>
      <c r="O905">
        <f>ABS(L905-SEM!$C$34)</f>
        <v>5.7716256888084194</v>
      </c>
      <c r="P905">
        <f t="shared" si="15"/>
        <v>89.9</v>
      </c>
    </row>
    <row r="906" spans="10:16">
      <c r="J906" s="5"/>
      <c r="L906">
        <f>SEM!M906</f>
        <v>1.293622</v>
      </c>
      <c r="M906">
        <f>SEM!N906</f>
        <v>90</v>
      </c>
      <c r="O906">
        <f>ABS(L906-SEM!$C$34)</f>
        <v>5.7813237688084191</v>
      </c>
      <c r="P906">
        <f t="shared" si="15"/>
        <v>90</v>
      </c>
    </row>
    <row r="907" spans="10:16">
      <c r="J907" s="5"/>
      <c r="L907">
        <f>SEM!M907</f>
        <v>1.300480208</v>
      </c>
      <c r="M907">
        <f>SEM!N907</f>
        <v>90.1</v>
      </c>
      <c r="O907">
        <f>ABS(L907-SEM!$C$34)</f>
        <v>5.7881819768084188</v>
      </c>
      <c r="P907">
        <f t="shared" si="15"/>
        <v>90.1</v>
      </c>
    </row>
    <row r="908" spans="10:16">
      <c r="J908" s="5"/>
      <c r="L908">
        <f>SEM!M908</f>
        <v>1.304380216</v>
      </c>
      <c r="M908">
        <f>SEM!N908</f>
        <v>90.2</v>
      </c>
      <c r="O908">
        <f>ABS(L908-SEM!$C$34)</f>
        <v>5.7920819848084193</v>
      </c>
      <c r="P908">
        <f t="shared" si="15"/>
        <v>90.2</v>
      </c>
    </row>
    <row r="909" spans="10:16">
      <c r="J909" s="5"/>
      <c r="L909">
        <f>SEM!M909</f>
        <v>1.308280224</v>
      </c>
      <c r="M909">
        <f>SEM!N909</f>
        <v>90.3</v>
      </c>
      <c r="O909">
        <f>ABS(L909-SEM!$C$34)</f>
        <v>5.7959819928084189</v>
      </c>
      <c r="P909">
        <f t="shared" si="15"/>
        <v>90.3</v>
      </c>
    </row>
    <row r="910" spans="10:16">
      <c r="J910" s="5"/>
      <c r="L910">
        <f>SEM!M910</f>
        <v>1.3107983919999999</v>
      </c>
      <c r="M910">
        <f>SEM!N910</f>
        <v>90.4</v>
      </c>
      <c r="O910">
        <f>ABS(L910-SEM!$C$34)</f>
        <v>5.7985001608084188</v>
      </c>
      <c r="P910">
        <f t="shared" si="15"/>
        <v>90.4</v>
      </c>
    </row>
    <row r="911" spans="10:16">
      <c r="J911" s="5"/>
      <c r="L911">
        <f>SEM!M911</f>
        <v>1.31322644</v>
      </c>
      <c r="M911">
        <f>SEM!N911</f>
        <v>90.5</v>
      </c>
      <c r="O911">
        <f>ABS(L911-SEM!$C$34)</f>
        <v>5.8009282088084193</v>
      </c>
      <c r="P911">
        <f t="shared" si="15"/>
        <v>90.5</v>
      </c>
    </row>
    <row r="912" spans="10:16">
      <c r="J912" s="5"/>
      <c r="L912">
        <f>SEM!M912</f>
        <v>1.3230135679999999</v>
      </c>
      <c r="M912">
        <f>SEM!N912</f>
        <v>90.6</v>
      </c>
      <c r="O912">
        <f>ABS(L912-SEM!$C$34)</f>
        <v>5.8107153368084195</v>
      </c>
      <c r="P912">
        <f t="shared" si="15"/>
        <v>90.6</v>
      </c>
    </row>
    <row r="913" spans="10:16">
      <c r="J913" s="5"/>
      <c r="L913">
        <f>SEM!M913</f>
        <v>1.344420296</v>
      </c>
      <c r="M913">
        <f>SEM!N913</f>
        <v>90.7</v>
      </c>
      <c r="O913">
        <f>ABS(L913-SEM!$C$34)</f>
        <v>5.8321220648084191</v>
      </c>
      <c r="P913">
        <f t="shared" si="15"/>
        <v>90.7</v>
      </c>
    </row>
    <row r="914" spans="10:16">
      <c r="J914" s="5"/>
      <c r="L914">
        <f>SEM!M914</f>
        <v>1.3658270239999999</v>
      </c>
      <c r="M914">
        <f>SEM!N914</f>
        <v>90.8</v>
      </c>
      <c r="O914">
        <f>ABS(L914-SEM!$C$34)</f>
        <v>5.8535287928084188</v>
      </c>
      <c r="P914">
        <f t="shared" si="15"/>
        <v>90.8</v>
      </c>
    </row>
    <row r="915" spans="10:16">
      <c r="J915" s="5"/>
      <c r="L915">
        <f>SEM!M915</f>
        <v>1.371062368</v>
      </c>
      <c r="M915">
        <f>SEM!N915</f>
        <v>90.9</v>
      </c>
      <c r="O915">
        <f>ABS(L915-SEM!$C$34)</f>
        <v>5.8587641368084196</v>
      </c>
      <c r="P915">
        <f t="shared" si="15"/>
        <v>90.9</v>
      </c>
    </row>
    <row r="916" spans="10:16">
      <c r="J916" s="5"/>
      <c r="L916">
        <f>SEM!M916</f>
        <v>1.3731423199999999</v>
      </c>
      <c r="M916">
        <f>SEM!N916</f>
        <v>91</v>
      </c>
      <c r="O916">
        <f>ABS(L916-SEM!$C$34)</f>
        <v>5.8608440888084186</v>
      </c>
      <c r="P916">
        <f t="shared" si="15"/>
        <v>91</v>
      </c>
    </row>
    <row r="917" spans="10:16">
      <c r="J917" s="5"/>
      <c r="L917">
        <f>SEM!M917</f>
        <v>1.37703712</v>
      </c>
      <c r="M917">
        <f>SEM!N917</f>
        <v>91.1</v>
      </c>
      <c r="O917">
        <f>ABS(L917-SEM!$C$34)</f>
        <v>5.8647388888084189</v>
      </c>
      <c r="P917">
        <f t="shared" si="15"/>
        <v>91.1</v>
      </c>
    </row>
    <row r="918" spans="10:16">
      <c r="J918" s="5"/>
      <c r="L918">
        <f>SEM!M918</f>
        <v>1.38546904</v>
      </c>
      <c r="M918">
        <f>SEM!N918</f>
        <v>91.2</v>
      </c>
      <c r="O918">
        <f>ABS(L918-SEM!$C$34)</f>
        <v>5.8731708088084194</v>
      </c>
      <c r="P918">
        <f t="shared" si="15"/>
        <v>91.2</v>
      </c>
    </row>
    <row r="919" spans="10:16">
      <c r="J919" s="5"/>
      <c r="L919">
        <f>SEM!M919</f>
        <v>1.3939009600000001</v>
      </c>
      <c r="M919">
        <f>SEM!N919</f>
        <v>91.3</v>
      </c>
      <c r="O919">
        <f>ABS(L919-SEM!$C$34)</f>
        <v>5.8816027288084189</v>
      </c>
      <c r="P919">
        <f t="shared" si="15"/>
        <v>91.3</v>
      </c>
    </row>
    <row r="920" spans="10:16">
      <c r="J920" s="5"/>
      <c r="L920">
        <f>SEM!M920</f>
        <v>1.4088699039999999</v>
      </c>
      <c r="M920">
        <f>SEM!N920</f>
        <v>91.4</v>
      </c>
      <c r="O920">
        <f>ABS(L920-SEM!$C$34)</f>
        <v>5.8965716728084185</v>
      </c>
      <c r="P920">
        <f t="shared" si="15"/>
        <v>91.4</v>
      </c>
    </row>
    <row r="921" spans="10:16">
      <c r="J921" s="5"/>
      <c r="L921">
        <f>SEM!M921</f>
        <v>1.42619944</v>
      </c>
      <c r="M921">
        <f>SEM!N921</f>
        <v>91.5</v>
      </c>
      <c r="O921">
        <f>ABS(L921-SEM!$C$34)</f>
        <v>5.9139012088084186</v>
      </c>
      <c r="P921">
        <f t="shared" si="15"/>
        <v>91.5</v>
      </c>
    </row>
    <row r="922" spans="10:16">
      <c r="J922" s="5"/>
      <c r="L922">
        <f>SEM!M922</f>
        <v>1.4446202800000001</v>
      </c>
      <c r="M922">
        <f>SEM!N922</f>
        <v>91.6</v>
      </c>
      <c r="O922">
        <f>ABS(L922-SEM!$C$34)</f>
        <v>5.9323220488084196</v>
      </c>
      <c r="P922">
        <f t="shared" si="15"/>
        <v>91.6</v>
      </c>
    </row>
    <row r="923" spans="10:16">
      <c r="J923" s="5"/>
      <c r="L923">
        <f>SEM!M923</f>
        <v>1.4678913600000001</v>
      </c>
      <c r="M923">
        <f>SEM!N923</f>
        <v>91.7</v>
      </c>
      <c r="O923">
        <f>ABS(L923-SEM!$C$34)</f>
        <v>5.9555931288084194</v>
      </c>
      <c r="P923">
        <f t="shared" si="15"/>
        <v>91.7</v>
      </c>
    </row>
    <row r="924" spans="10:16">
      <c r="J924" s="5"/>
      <c r="L924">
        <f>SEM!M924</f>
        <v>1.4911624400000001</v>
      </c>
      <c r="M924">
        <f>SEM!N924</f>
        <v>91.8</v>
      </c>
      <c r="O924">
        <f>ABS(L924-SEM!$C$34)</f>
        <v>5.9788642088084192</v>
      </c>
      <c r="P924">
        <f t="shared" si="15"/>
        <v>91.8</v>
      </c>
    </row>
    <row r="925" spans="10:16">
      <c r="J925" s="5"/>
      <c r="L925">
        <f>SEM!M925</f>
        <v>1.5075964079999999</v>
      </c>
      <c r="M925">
        <f>SEM!N925</f>
        <v>91.9</v>
      </c>
      <c r="O925">
        <f>ABS(L925-SEM!$C$34)</f>
        <v>5.9952981768084186</v>
      </c>
      <c r="P925">
        <f t="shared" si="15"/>
        <v>91.9</v>
      </c>
    </row>
    <row r="926" spans="10:16">
      <c r="J926" s="5"/>
      <c r="L926">
        <f>SEM!M926</f>
        <v>1.52006044</v>
      </c>
      <c r="M926">
        <f>SEM!N926</f>
        <v>92</v>
      </c>
      <c r="O926">
        <f>ABS(L926-SEM!$C$34)</f>
        <v>6.007762208808419</v>
      </c>
      <c r="P926">
        <f t="shared" si="15"/>
        <v>92</v>
      </c>
    </row>
    <row r="927" spans="10:16">
      <c r="J927" s="5"/>
      <c r="L927">
        <f>SEM!M927</f>
        <v>1.5318210800000001</v>
      </c>
      <c r="M927">
        <f>SEM!N927</f>
        <v>92.1</v>
      </c>
      <c r="O927">
        <f>ABS(L927-SEM!$C$34)</f>
        <v>6.0195228488084194</v>
      </c>
      <c r="P927">
        <f t="shared" si="15"/>
        <v>92.1</v>
      </c>
    </row>
    <row r="928" spans="10:16">
      <c r="J928" s="5"/>
      <c r="L928">
        <f>SEM!M928</f>
        <v>1.53566856</v>
      </c>
      <c r="M928">
        <f>SEM!N928</f>
        <v>92.2</v>
      </c>
      <c r="O928">
        <f>ABS(L928-SEM!$C$34)</f>
        <v>6.0233703288084186</v>
      </c>
      <c r="P928">
        <f t="shared" si="15"/>
        <v>92.2</v>
      </c>
    </row>
    <row r="929" spans="10:16">
      <c r="J929" s="5"/>
      <c r="L929">
        <f>SEM!M929</f>
        <v>1.5395160400000001</v>
      </c>
      <c r="M929">
        <f>SEM!N929</f>
        <v>92.3</v>
      </c>
      <c r="O929">
        <f>ABS(L929-SEM!$C$34)</f>
        <v>6.0272178088084196</v>
      </c>
      <c r="P929">
        <f t="shared" si="15"/>
        <v>92.3</v>
      </c>
    </row>
    <row r="930" spans="10:16">
      <c r="J930" s="5"/>
      <c r="L930">
        <f>SEM!M930</f>
        <v>1.5455805920000001</v>
      </c>
      <c r="M930">
        <f>SEM!N930</f>
        <v>92.4</v>
      </c>
      <c r="O930">
        <f>ABS(L930-SEM!$C$34)</f>
        <v>6.0332823608084194</v>
      </c>
      <c r="P930">
        <f t="shared" si="15"/>
        <v>92.4</v>
      </c>
    </row>
    <row r="931" spans="10:16">
      <c r="J931" s="5"/>
      <c r="L931">
        <f>SEM!M931</f>
        <v>1.5536064000000001</v>
      </c>
      <c r="M931">
        <f>SEM!N931</f>
        <v>92.5</v>
      </c>
      <c r="O931">
        <f>ABS(L931-SEM!$C$34)</f>
        <v>6.0413081688084187</v>
      </c>
      <c r="P931">
        <f t="shared" si="15"/>
        <v>92.5</v>
      </c>
    </row>
    <row r="932" spans="10:16">
      <c r="J932" s="5"/>
      <c r="L932">
        <f>SEM!M932</f>
        <v>1.561632208</v>
      </c>
      <c r="M932">
        <f>SEM!N932</f>
        <v>92.6</v>
      </c>
      <c r="O932">
        <f>ABS(L932-SEM!$C$34)</f>
        <v>6.0493339768084189</v>
      </c>
      <c r="P932">
        <f t="shared" si="15"/>
        <v>92.6</v>
      </c>
    </row>
    <row r="933" spans="10:16">
      <c r="J933" s="5"/>
      <c r="L933">
        <f>SEM!M933</f>
        <v>1.5863197760000001</v>
      </c>
      <c r="M933">
        <f>SEM!N933</f>
        <v>92.7</v>
      </c>
      <c r="O933">
        <f>ABS(L933-SEM!$C$34)</f>
        <v>6.0740215448084189</v>
      </c>
      <c r="P933">
        <f t="shared" si="15"/>
        <v>92.7</v>
      </c>
    </row>
    <row r="934" spans="10:16">
      <c r="J934" s="5"/>
      <c r="L934">
        <f>SEM!M934</f>
        <v>1.6113544639999999</v>
      </c>
      <c r="M934">
        <f>SEM!N934</f>
        <v>92.8</v>
      </c>
      <c r="O934">
        <f>ABS(L934-SEM!$C$34)</f>
        <v>6.0990562328084188</v>
      </c>
      <c r="P934">
        <f t="shared" si="15"/>
        <v>92.8</v>
      </c>
    </row>
    <row r="935" spans="10:16">
      <c r="J935" s="5"/>
      <c r="L935">
        <f>SEM!M935</f>
        <v>1.631452304</v>
      </c>
      <c r="M935">
        <f>SEM!N935</f>
        <v>92.9</v>
      </c>
      <c r="O935">
        <f>ABS(L935-SEM!$C$34)</f>
        <v>6.1191540728084188</v>
      </c>
      <c r="P935">
        <f t="shared" si="15"/>
        <v>92.9</v>
      </c>
    </row>
    <row r="936" spans="10:16">
      <c r="J936" s="5"/>
      <c r="L936">
        <f>SEM!M936</f>
        <v>1.6449676799999999</v>
      </c>
      <c r="M936">
        <f>SEM!N936</f>
        <v>93</v>
      </c>
      <c r="O936">
        <f>ABS(L936-SEM!$C$34)</f>
        <v>6.1326694488084188</v>
      </c>
      <c r="P936">
        <f t="shared" si="15"/>
        <v>93</v>
      </c>
    </row>
    <row r="937" spans="10:16">
      <c r="J937" s="5"/>
      <c r="L937">
        <f>SEM!M937</f>
        <v>1.6584830559999999</v>
      </c>
      <c r="M937">
        <f>SEM!N937</f>
        <v>93.1</v>
      </c>
      <c r="O937">
        <f>ABS(L937-SEM!$C$34)</f>
        <v>6.1461848248084188</v>
      </c>
      <c r="P937">
        <f t="shared" si="15"/>
        <v>93.1</v>
      </c>
    </row>
    <row r="938" spans="10:16">
      <c r="J938" s="5"/>
      <c r="L938">
        <f>SEM!M938</f>
        <v>1.6658769520000001</v>
      </c>
      <c r="M938">
        <f>SEM!N938</f>
        <v>93.2</v>
      </c>
      <c r="O938">
        <f>ABS(L938-SEM!$C$34)</f>
        <v>6.1535787208084187</v>
      </c>
      <c r="P938">
        <f t="shared" si="15"/>
        <v>93.2</v>
      </c>
    </row>
    <row r="939" spans="10:16">
      <c r="J939" s="5"/>
      <c r="L939">
        <f>SEM!M939</f>
        <v>1.672416688</v>
      </c>
      <c r="M939">
        <f>SEM!N939</f>
        <v>93.3</v>
      </c>
      <c r="O939">
        <f>ABS(L939-SEM!$C$34)</f>
        <v>6.1601184568084193</v>
      </c>
      <c r="P939">
        <f t="shared" si="15"/>
        <v>93.3</v>
      </c>
    </row>
    <row r="940" spans="10:16">
      <c r="J940" s="5"/>
      <c r="L940">
        <f>SEM!M940</f>
        <v>1.679498376</v>
      </c>
      <c r="M940">
        <f>SEM!N940</f>
        <v>93.4</v>
      </c>
      <c r="O940">
        <f>ABS(L940-SEM!$C$34)</f>
        <v>6.1672001448084188</v>
      </c>
      <c r="P940">
        <f t="shared" si="15"/>
        <v>93.4</v>
      </c>
    </row>
    <row r="941" spans="10:16">
      <c r="J941" s="5"/>
      <c r="L941">
        <f>SEM!M941</f>
        <v>1.68769784</v>
      </c>
      <c r="M941">
        <f>SEM!N941</f>
        <v>93.5</v>
      </c>
      <c r="O941">
        <f>ABS(L941-SEM!$C$34)</f>
        <v>6.1753996088084193</v>
      </c>
      <c r="P941">
        <f t="shared" si="15"/>
        <v>93.5</v>
      </c>
    </row>
    <row r="942" spans="10:16">
      <c r="J942" s="5"/>
      <c r="L942">
        <f>SEM!M942</f>
        <v>1.695897304</v>
      </c>
      <c r="M942">
        <f>SEM!N942</f>
        <v>93.6</v>
      </c>
      <c r="O942">
        <f>ABS(L942-SEM!$C$34)</f>
        <v>6.1835990728084189</v>
      </c>
      <c r="P942">
        <f t="shared" si="15"/>
        <v>93.6</v>
      </c>
    </row>
    <row r="943" spans="10:16">
      <c r="J943" s="5"/>
      <c r="L943">
        <f>SEM!M943</f>
        <v>1.6995732480000001</v>
      </c>
      <c r="M943">
        <f>SEM!N943</f>
        <v>93.7</v>
      </c>
      <c r="O943">
        <f>ABS(L943-SEM!$C$34)</f>
        <v>6.1872750168084192</v>
      </c>
      <c r="P943">
        <f t="shared" si="15"/>
        <v>93.7</v>
      </c>
    </row>
    <row r="944" spans="10:16">
      <c r="J944" s="5"/>
      <c r="L944">
        <f>SEM!M944</f>
        <v>1.7019397519999999</v>
      </c>
      <c r="M944">
        <f>SEM!N944</f>
        <v>93.8</v>
      </c>
      <c r="O944">
        <f>ABS(L944-SEM!$C$34)</f>
        <v>6.1896415208084186</v>
      </c>
      <c r="P944">
        <f t="shared" si="15"/>
        <v>93.8</v>
      </c>
    </row>
    <row r="945" spans="10:16">
      <c r="J945" s="5"/>
      <c r="L945">
        <f>SEM!M945</f>
        <v>1.7063608800000001</v>
      </c>
      <c r="M945">
        <f>SEM!N945</f>
        <v>93.9</v>
      </c>
      <c r="O945">
        <f>ABS(L945-SEM!$C$34)</f>
        <v>6.1940626488084192</v>
      </c>
      <c r="P945">
        <f t="shared" si="15"/>
        <v>93.9</v>
      </c>
    </row>
    <row r="946" spans="10:16">
      <c r="J946" s="5"/>
      <c r="L946">
        <f>SEM!M946</f>
        <v>1.7178798</v>
      </c>
      <c r="M946">
        <f>SEM!N946</f>
        <v>94</v>
      </c>
      <c r="O946">
        <f>ABS(L946-SEM!$C$34)</f>
        <v>6.2055815688084195</v>
      </c>
      <c r="P946">
        <f t="shared" si="15"/>
        <v>94</v>
      </c>
    </row>
    <row r="947" spans="10:16">
      <c r="J947" s="5"/>
      <c r="L947">
        <f>SEM!M947</f>
        <v>1.7293987200000001</v>
      </c>
      <c r="M947">
        <f>SEM!N947</f>
        <v>94.1</v>
      </c>
      <c r="O947">
        <f>ABS(L947-SEM!$C$34)</f>
        <v>6.2171004888084189</v>
      </c>
      <c r="P947">
        <f t="shared" si="15"/>
        <v>94.1</v>
      </c>
    </row>
    <row r="948" spans="10:16">
      <c r="J948" s="5"/>
      <c r="L948">
        <f>SEM!M948</f>
        <v>1.733317872</v>
      </c>
      <c r="M948">
        <f>SEM!N948</f>
        <v>94.2</v>
      </c>
      <c r="O948">
        <f>ABS(L948-SEM!$C$34)</f>
        <v>6.2210196408084188</v>
      </c>
      <c r="P948">
        <f t="shared" si="15"/>
        <v>94.2</v>
      </c>
    </row>
    <row r="949" spans="10:16">
      <c r="J949" s="5"/>
      <c r="L949">
        <f>SEM!M949</f>
        <v>1.7335522880000001</v>
      </c>
      <c r="M949">
        <f>SEM!N949</f>
        <v>94.3</v>
      </c>
      <c r="O949">
        <f>ABS(L949-SEM!$C$34)</f>
        <v>6.2212540568084194</v>
      </c>
      <c r="P949">
        <f t="shared" si="15"/>
        <v>94.3</v>
      </c>
    </row>
    <row r="950" spans="10:16">
      <c r="J950" s="5"/>
      <c r="L950">
        <f>SEM!M950</f>
        <v>1.735356208</v>
      </c>
      <c r="M950">
        <f>SEM!N950</f>
        <v>94.4</v>
      </c>
      <c r="O950">
        <f>ABS(L950-SEM!$C$34)</f>
        <v>6.2230579768084189</v>
      </c>
      <c r="P950">
        <f t="shared" si="15"/>
        <v>94.4</v>
      </c>
    </row>
    <row r="951" spans="10:16">
      <c r="J951" s="5"/>
      <c r="L951">
        <f>SEM!M951</f>
        <v>1.7484082400000001</v>
      </c>
      <c r="M951">
        <f>SEM!N951</f>
        <v>94.5</v>
      </c>
      <c r="O951">
        <f>ABS(L951-SEM!$C$34)</f>
        <v>6.2361100088084189</v>
      </c>
      <c r="P951">
        <f t="shared" si="15"/>
        <v>94.5</v>
      </c>
    </row>
    <row r="952" spans="10:16">
      <c r="J952" s="5"/>
      <c r="L952">
        <f>SEM!M952</f>
        <v>1.7614602720000001</v>
      </c>
      <c r="M952">
        <f>SEM!N952</f>
        <v>94.6</v>
      </c>
      <c r="O952">
        <f>ABS(L952-SEM!$C$34)</f>
        <v>6.249162040808419</v>
      </c>
      <c r="P952">
        <f t="shared" si="15"/>
        <v>94.6</v>
      </c>
    </row>
    <row r="953" spans="10:16">
      <c r="J953" s="5"/>
      <c r="L953">
        <f>SEM!M953</f>
        <v>1.767384176</v>
      </c>
      <c r="M953">
        <f>SEM!N953</f>
        <v>94.7</v>
      </c>
      <c r="O953">
        <f>ABS(L953-SEM!$C$34)</f>
        <v>6.2550859448084193</v>
      </c>
      <c r="P953">
        <f t="shared" si="15"/>
        <v>94.7</v>
      </c>
    </row>
    <row r="954" spans="10:16">
      <c r="J954" s="5"/>
      <c r="L954">
        <f>SEM!M954</f>
        <v>1.767961984</v>
      </c>
      <c r="M954">
        <f>SEM!N954</f>
        <v>94.8</v>
      </c>
      <c r="O954">
        <f>ABS(L954-SEM!$C$34)</f>
        <v>6.2556637528084194</v>
      </c>
      <c r="P954">
        <f t="shared" si="15"/>
        <v>94.8</v>
      </c>
    </row>
    <row r="955" spans="10:16">
      <c r="J955" s="5"/>
      <c r="L955">
        <f>SEM!M955</f>
        <v>1.7688528720000001</v>
      </c>
      <c r="M955">
        <f>SEM!N955</f>
        <v>94.9</v>
      </c>
      <c r="O955">
        <f>ABS(L955-SEM!$C$34)</f>
        <v>6.2565546408084192</v>
      </c>
      <c r="P955">
        <f t="shared" si="15"/>
        <v>94.9</v>
      </c>
    </row>
    <row r="956" spans="10:16">
      <c r="J956" s="5"/>
      <c r="L956">
        <f>SEM!M956</f>
        <v>1.7847716</v>
      </c>
      <c r="M956">
        <f>SEM!N956</f>
        <v>95</v>
      </c>
      <c r="O956">
        <f>ABS(L956-SEM!$C$34)</f>
        <v>6.2724733688084191</v>
      </c>
      <c r="P956">
        <f t="shared" si="15"/>
        <v>95</v>
      </c>
    </row>
    <row r="957" spans="10:16">
      <c r="J957" s="5"/>
      <c r="L957">
        <f>SEM!M957</f>
        <v>1.800690328</v>
      </c>
      <c r="M957">
        <f>SEM!N957</f>
        <v>95.1</v>
      </c>
      <c r="O957">
        <f>ABS(L957-SEM!$C$34)</f>
        <v>6.288392096808419</v>
      </c>
      <c r="P957">
        <f t="shared" si="15"/>
        <v>95.1</v>
      </c>
    </row>
    <row r="958" spans="10:16">
      <c r="J958" s="5"/>
      <c r="L958">
        <f>SEM!M958</f>
        <v>1.8123614159999999</v>
      </c>
      <c r="M958">
        <f>SEM!N958</f>
        <v>95.2</v>
      </c>
      <c r="O958">
        <f>ABS(L958-SEM!$C$34)</f>
        <v>6.300063184808419</v>
      </c>
      <c r="P958">
        <f t="shared" si="15"/>
        <v>95.2</v>
      </c>
    </row>
    <row r="959" spans="10:16">
      <c r="J959" s="5"/>
      <c r="L959">
        <f>SEM!M959</f>
        <v>1.8192308239999999</v>
      </c>
      <c r="M959">
        <f>SEM!N959</f>
        <v>95.3</v>
      </c>
      <c r="O959">
        <f>ABS(L959-SEM!$C$34)</f>
        <v>6.306932592808419</v>
      </c>
      <c r="P959">
        <f t="shared" si="15"/>
        <v>95.3</v>
      </c>
    </row>
    <row r="960" spans="10:16">
      <c r="J960" s="5"/>
      <c r="L960">
        <f>SEM!M960</f>
        <v>1.8261002319999999</v>
      </c>
      <c r="M960">
        <f>SEM!N960</f>
        <v>95.4</v>
      </c>
      <c r="O960">
        <f>ABS(L960-SEM!$C$34)</f>
        <v>6.313802000808419</v>
      </c>
      <c r="P960">
        <f t="shared" si="15"/>
        <v>95.4</v>
      </c>
    </row>
    <row r="961" spans="10:16">
      <c r="J961" s="5"/>
      <c r="L961">
        <f>SEM!M961</f>
        <v>1.8283825199999999</v>
      </c>
      <c r="M961">
        <f>SEM!N961</f>
        <v>95.5</v>
      </c>
      <c r="O961">
        <f>ABS(L961-SEM!$C$34)</f>
        <v>6.316084288808419</v>
      </c>
      <c r="P961">
        <f t="shared" si="15"/>
        <v>95.5</v>
      </c>
    </row>
    <row r="962" spans="10:16">
      <c r="J962" s="5"/>
      <c r="L962">
        <f>SEM!M962</f>
        <v>1.830257064</v>
      </c>
      <c r="M962">
        <f>SEM!N962</f>
        <v>95.6</v>
      </c>
      <c r="O962">
        <f>ABS(L962-SEM!$C$34)</f>
        <v>6.3179588328084186</v>
      </c>
      <c r="P962">
        <f t="shared" si="15"/>
        <v>95.6</v>
      </c>
    </row>
    <row r="963" spans="10:16">
      <c r="J963" s="5"/>
      <c r="L963">
        <f>SEM!M963</f>
        <v>1.8321972719999999</v>
      </c>
      <c r="M963">
        <f>SEM!N963</f>
        <v>95.7</v>
      </c>
      <c r="O963">
        <f>ABS(L963-SEM!$C$34)</f>
        <v>6.3198990408084192</v>
      </c>
      <c r="P963">
        <f t="shared" si="15"/>
        <v>95.7</v>
      </c>
    </row>
    <row r="964" spans="10:16">
      <c r="J964" s="5"/>
      <c r="L964">
        <f>SEM!M964</f>
        <v>1.8342505680000001</v>
      </c>
      <c r="M964">
        <f>SEM!N964</f>
        <v>95.8</v>
      </c>
      <c r="O964">
        <f>ABS(L964-SEM!$C$34)</f>
        <v>6.3219523368084189</v>
      </c>
      <c r="P964">
        <f t="shared" si="15"/>
        <v>95.8</v>
      </c>
    </row>
    <row r="965" spans="10:16">
      <c r="J965" s="5"/>
      <c r="L965">
        <f>SEM!M965</f>
        <v>1.836303864</v>
      </c>
      <c r="M965">
        <f>SEM!N965</f>
        <v>95.9</v>
      </c>
      <c r="O965">
        <f>ABS(L965-SEM!$C$34)</f>
        <v>6.3240056328084187</v>
      </c>
      <c r="P965">
        <f t="shared" si="15"/>
        <v>95.9</v>
      </c>
    </row>
    <row r="966" spans="10:16">
      <c r="J966" s="5"/>
      <c r="L966">
        <f>SEM!M966</f>
        <v>1.8395216400000001</v>
      </c>
      <c r="M966">
        <f>SEM!N966</f>
        <v>96</v>
      </c>
      <c r="O966">
        <f>ABS(L966-SEM!$C$34)</f>
        <v>6.3272234088084192</v>
      </c>
      <c r="P966">
        <f t="shared" si="15"/>
        <v>96</v>
      </c>
    </row>
    <row r="967" spans="10:16">
      <c r="J967" s="5"/>
      <c r="L967">
        <f>SEM!M967</f>
        <v>1.8430014240000001</v>
      </c>
      <c r="M967">
        <f>SEM!N967</f>
        <v>96.1</v>
      </c>
      <c r="O967">
        <f>ABS(L967-SEM!$C$34)</f>
        <v>6.3307031928084196</v>
      </c>
      <c r="P967">
        <f t="shared" ref="P967:P1006" si="16">M967</f>
        <v>96.1</v>
      </c>
    </row>
    <row r="968" spans="10:16">
      <c r="J968" s="5"/>
      <c r="L968">
        <f>SEM!M968</f>
        <v>1.8535472799999999</v>
      </c>
      <c r="M968">
        <f>SEM!N968</f>
        <v>96.2</v>
      </c>
      <c r="O968">
        <f>ABS(L968-SEM!$C$34)</f>
        <v>6.341249048808419</v>
      </c>
      <c r="P968">
        <f t="shared" si="16"/>
        <v>96.2</v>
      </c>
    </row>
    <row r="969" spans="10:16">
      <c r="J969" s="5"/>
      <c r="L969">
        <f>SEM!M969</f>
        <v>1.88366072</v>
      </c>
      <c r="M969">
        <f>SEM!N969</f>
        <v>96.3</v>
      </c>
      <c r="O969">
        <f>ABS(L969-SEM!$C$34)</f>
        <v>6.371362488808419</v>
      </c>
      <c r="P969">
        <f t="shared" si="16"/>
        <v>96.3</v>
      </c>
    </row>
    <row r="970" spans="10:16">
      <c r="J970" s="5"/>
      <c r="L970">
        <f>SEM!M970</f>
        <v>1.91377416</v>
      </c>
      <c r="M970">
        <f>SEM!N970</f>
        <v>96.4</v>
      </c>
      <c r="O970">
        <f>ABS(L970-SEM!$C$34)</f>
        <v>6.4014759288084191</v>
      </c>
      <c r="P970">
        <f t="shared" si="16"/>
        <v>96.4</v>
      </c>
    </row>
    <row r="971" spans="10:16">
      <c r="J971" s="5"/>
      <c r="L971">
        <f>SEM!M971</f>
        <v>1.92361224</v>
      </c>
      <c r="M971">
        <f>SEM!N971</f>
        <v>96.5</v>
      </c>
      <c r="O971">
        <f>ABS(L971-SEM!$C$34)</f>
        <v>6.4113140088084188</v>
      </c>
      <c r="P971">
        <f t="shared" si="16"/>
        <v>96.5</v>
      </c>
    </row>
    <row r="972" spans="10:16">
      <c r="J972" s="5"/>
      <c r="L972">
        <f>SEM!M972</f>
        <v>1.925340176</v>
      </c>
      <c r="M972">
        <f>SEM!N972</f>
        <v>96.6</v>
      </c>
      <c r="O972">
        <f>ABS(L972-SEM!$C$34)</f>
        <v>6.4130419448084188</v>
      </c>
      <c r="P972">
        <f t="shared" si="16"/>
        <v>96.6</v>
      </c>
    </row>
    <row r="973" spans="10:16">
      <c r="J973" s="5"/>
      <c r="L973">
        <f>SEM!M973</f>
        <v>1.92830696</v>
      </c>
      <c r="M973">
        <f>SEM!N973</f>
        <v>96.7</v>
      </c>
      <c r="O973">
        <f>ABS(L973-SEM!$C$34)</f>
        <v>6.4160087288084195</v>
      </c>
      <c r="P973">
        <f t="shared" si="16"/>
        <v>96.7</v>
      </c>
    </row>
    <row r="974" spans="10:16">
      <c r="J974" s="5"/>
      <c r="L974">
        <f>SEM!M974</f>
        <v>1.93762284</v>
      </c>
      <c r="M974">
        <f>SEM!N974</f>
        <v>96.8</v>
      </c>
      <c r="O974">
        <f>ABS(L974-SEM!$C$34)</f>
        <v>6.4253246088084186</v>
      </c>
      <c r="P974">
        <f t="shared" si="16"/>
        <v>96.8</v>
      </c>
    </row>
    <row r="975" spans="10:16">
      <c r="J975" s="5"/>
      <c r="L975">
        <f>SEM!M975</f>
        <v>1.9469387199999999</v>
      </c>
      <c r="M975">
        <f>SEM!N975</f>
        <v>96.9</v>
      </c>
      <c r="O975">
        <f>ABS(L975-SEM!$C$34)</f>
        <v>6.4346404888084194</v>
      </c>
      <c r="P975">
        <f t="shared" si="16"/>
        <v>96.9</v>
      </c>
    </row>
    <row r="976" spans="10:16">
      <c r="J976" s="5"/>
      <c r="L976">
        <f>SEM!M976</f>
        <v>1.95075284</v>
      </c>
      <c r="M976">
        <f>SEM!N976</f>
        <v>97</v>
      </c>
      <c r="O976">
        <f>ABS(L976-SEM!$C$34)</f>
        <v>6.4384546088084189</v>
      </c>
      <c r="P976">
        <f t="shared" si="16"/>
        <v>97</v>
      </c>
    </row>
    <row r="977" spans="10:16">
      <c r="J977" s="5"/>
      <c r="L977">
        <f>SEM!M977</f>
        <v>1.9510825119999999</v>
      </c>
      <c r="M977">
        <f>SEM!N977</f>
        <v>97.1</v>
      </c>
      <c r="O977">
        <f>ABS(L977-SEM!$C$34)</f>
        <v>6.4387842808084192</v>
      </c>
      <c r="P977">
        <f t="shared" si="16"/>
        <v>97.1</v>
      </c>
    </row>
    <row r="978" spans="10:16">
      <c r="J978" s="5"/>
      <c r="L978">
        <f>SEM!M978</f>
        <v>1.9519461360000001</v>
      </c>
      <c r="M978">
        <f>SEM!N978</f>
        <v>97.2</v>
      </c>
      <c r="O978">
        <f>ABS(L978-SEM!$C$34)</f>
        <v>6.4396479048084192</v>
      </c>
      <c r="P978">
        <f t="shared" si="16"/>
        <v>97.2</v>
      </c>
    </row>
    <row r="979" spans="10:16">
      <c r="J979" s="5"/>
      <c r="L979">
        <f>SEM!M979</f>
        <v>1.9609970240000001</v>
      </c>
      <c r="M979">
        <f>SEM!N979</f>
        <v>97.3</v>
      </c>
      <c r="O979">
        <f>ABS(L979-SEM!$C$34)</f>
        <v>6.4486987928084192</v>
      </c>
      <c r="P979">
        <f t="shared" si="16"/>
        <v>97.3</v>
      </c>
    </row>
    <row r="980" spans="10:16">
      <c r="J980" s="5"/>
      <c r="L980">
        <f>SEM!M980</f>
        <v>1.9700479120000001</v>
      </c>
      <c r="M980">
        <f>SEM!N980</f>
        <v>97.4</v>
      </c>
      <c r="O980">
        <f>ABS(L980-SEM!$C$34)</f>
        <v>6.4577496808084192</v>
      </c>
      <c r="P980">
        <f t="shared" si="16"/>
        <v>97.4</v>
      </c>
    </row>
    <row r="981" spans="10:16">
      <c r="J981" s="5"/>
      <c r="L981">
        <f>SEM!M981</f>
        <v>1.9873394</v>
      </c>
      <c r="M981">
        <f>SEM!N981</f>
        <v>97.5</v>
      </c>
      <c r="O981">
        <f>ABS(L981-SEM!$C$34)</f>
        <v>6.4750411688084188</v>
      </c>
      <c r="P981">
        <f t="shared" si="16"/>
        <v>97.5</v>
      </c>
    </row>
    <row r="982" spans="10:16">
      <c r="J982" s="5"/>
      <c r="L982">
        <f>SEM!M982</f>
        <v>2.0125418640000001</v>
      </c>
      <c r="M982">
        <f>SEM!N982</f>
        <v>97.6</v>
      </c>
      <c r="O982">
        <f>ABS(L982-SEM!$C$34)</f>
        <v>6.5002436328084192</v>
      </c>
      <c r="P982">
        <f t="shared" si="16"/>
        <v>97.6</v>
      </c>
    </row>
    <row r="983" spans="10:16">
      <c r="J983" s="5"/>
      <c r="L983">
        <f>SEM!M983</f>
        <v>2.037744328</v>
      </c>
      <c r="M983">
        <f>SEM!N983</f>
        <v>97.7</v>
      </c>
      <c r="O983">
        <f>ABS(L983-SEM!$C$34)</f>
        <v>6.5254460968084196</v>
      </c>
      <c r="P983">
        <f t="shared" si="16"/>
        <v>97.7</v>
      </c>
    </row>
    <row r="984" spans="10:16">
      <c r="J984" s="5"/>
      <c r="L984">
        <f>SEM!M984</f>
        <v>2.043201904</v>
      </c>
      <c r="M984">
        <f>SEM!N984</f>
        <v>97.8</v>
      </c>
      <c r="O984">
        <f>ABS(L984-SEM!$C$34)</f>
        <v>6.5309036728084191</v>
      </c>
      <c r="P984">
        <f t="shared" si="16"/>
        <v>97.8</v>
      </c>
    </row>
    <row r="985" spans="10:16">
      <c r="J985" s="5"/>
      <c r="L985">
        <f>SEM!M985</f>
        <v>2.0478192719999999</v>
      </c>
      <c r="M985">
        <f>SEM!N985</f>
        <v>97.9</v>
      </c>
      <c r="O985">
        <f>ABS(L985-SEM!$C$34)</f>
        <v>6.535521040808419</v>
      </c>
      <c r="P985">
        <f t="shared" si="16"/>
        <v>97.9</v>
      </c>
    </row>
    <row r="986" spans="10:16">
      <c r="J986" s="5"/>
      <c r="L986">
        <f>SEM!M986</f>
        <v>2.0844403199999899</v>
      </c>
      <c r="M986">
        <f>SEM!N986</f>
        <v>98</v>
      </c>
      <c r="O986">
        <f>ABS(L986-SEM!$C$34)</f>
        <v>6.572142088808409</v>
      </c>
      <c r="P986">
        <f t="shared" si="16"/>
        <v>98</v>
      </c>
    </row>
    <row r="987" spans="10:16">
      <c r="J987" s="5"/>
      <c r="L987">
        <f>SEM!M987</f>
        <v>2.1674667040000002</v>
      </c>
      <c r="M987">
        <f>SEM!N987</f>
        <v>98.1</v>
      </c>
      <c r="O987">
        <f>ABS(L987-SEM!$C$34)</f>
        <v>6.6551684728084197</v>
      </c>
      <c r="P987">
        <f t="shared" si="16"/>
        <v>98.1</v>
      </c>
    </row>
    <row r="988" spans="10:16">
      <c r="J988" s="5"/>
      <c r="L988">
        <f>SEM!M988</f>
        <v>2.2504930879999998</v>
      </c>
      <c r="M988">
        <f>SEM!N988</f>
        <v>98.2</v>
      </c>
      <c r="O988">
        <f>ABS(L988-SEM!$C$34)</f>
        <v>6.7381948568084189</v>
      </c>
      <c r="P988">
        <f t="shared" si="16"/>
        <v>98.2</v>
      </c>
    </row>
    <row r="989" spans="10:16">
      <c r="J989" s="5"/>
      <c r="L989">
        <f>SEM!M989</f>
        <v>2.2805873760000002</v>
      </c>
      <c r="M989">
        <f>SEM!N989</f>
        <v>98.3</v>
      </c>
      <c r="O989">
        <f>ABS(L989-SEM!$C$34)</f>
        <v>6.7682891448084188</v>
      </c>
      <c r="P989">
        <f t="shared" si="16"/>
        <v>98.3</v>
      </c>
    </row>
    <row r="990" spans="10:16">
      <c r="J990" s="5"/>
      <c r="L990">
        <f>SEM!M990</f>
        <v>2.3018596480000002</v>
      </c>
      <c r="M990">
        <f>SEM!N990</f>
        <v>98.4</v>
      </c>
      <c r="O990">
        <f>ABS(L990-SEM!$C$34)</f>
        <v>6.7895614168084197</v>
      </c>
      <c r="P990">
        <f t="shared" si="16"/>
        <v>98.4</v>
      </c>
    </row>
    <row r="991" spans="10:16">
      <c r="J991" s="5"/>
      <c r="L991">
        <f>SEM!M991</f>
        <v>2.32221404</v>
      </c>
      <c r="M991">
        <f>SEM!N991</f>
        <v>98.5</v>
      </c>
      <c r="O991">
        <f>ABS(L991-SEM!$C$34)</f>
        <v>6.8099158088084195</v>
      </c>
      <c r="P991">
        <f t="shared" si="16"/>
        <v>98.5</v>
      </c>
    </row>
    <row r="992" spans="10:16">
      <c r="J992" s="5"/>
      <c r="L992">
        <f>SEM!M992</f>
        <v>2.3404879040000002</v>
      </c>
      <c r="M992">
        <f>SEM!N992</f>
        <v>98.6</v>
      </c>
      <c r="O992">
        <f>ABS(L992-SEM!$C$34)</f>
        <v>6.8281896728084188</v>
      </c>
      <c r="P992">
        <f t="shared" si="16"/>
        <v>98.6</v>
      </c>
    </row>
    <row r="993" spans="10:16">
      <c r="J993" s="5"/>
      <c r="L993">
        <f>SEM!M993</f>
        <v>2.3587617679999999</v>
      </c>
      <c r="M993">
        <f>SEM!N993</f>
        <v>98.7</v>
      </c>
      <c r="O993">
        <f>ABS(L993-SEM!$C$34)</f>
        <v>6.846463536808419</v>
      </c>
      <c r="P993">
        <f t="shared" si="16"/>
        <v>98.7</v>
      </c>
    </row>
    <row r="994" spans="10:16">
      <c r="J994" s="5"/>
      <c r="L994">
        <f>SEM!M994</f>
        <v>2.3755118240000002</v>
      </c>
      <c r="M994">
        <f>SEM!N994</f>
        <v>98.8</v>
      </c>
      <c r="O994">
        <f>ABS(L994-SEM!$C$34)</f>
        <v>6.8632135928084192</v>
      </c>
      <c r="P994">
        <f t="shared" si="16"/>
        <v>98.8</v>
      </c>
    </row>
    <row r="995" spans="10:16">
      <c r="J995" s="5"/>
      <c r="L995">
        <f>SEM!M995</f>
        <v>2.3917676719999998</v>
      </c>
      <c r="M995">
        <f>SEM!N995</f>
        <v>98.9</v>
      </c>
      <c r="O995">
        <f>ABS(L995-SEM!$C$34)</f>
        <v>6.8794694408084194</v>
      </c>
      <c r="P995">
        <f t="shared" si="16"/>
        <v>98.9</v>
      </c>
    </row>
    <row r="996" spans="10:16">
      <c r="J996" s="5"/>
      <c r="L996">
        <f>SEM!M996</f>
        <v>2.41086928</v>
      </c>
      <c r="M996">
        <f>SEM!N996</f>
        <v>99</v>
      </c>
      <c r="O996">
        <f>ABS(L996-SEM!$C$34)</f>
        <v>6.8985710488084191</v>
      </c>
      <c r="P996">
        <f t="shared" si="16"/>
        <v>99</v>
      </c>
    </row>
    <row r="997" spans="10:16">
      <c r="J997" s="5"/>
      <c r="L997">
        <f>SEM!M997</f>
        <v>2.441069352</v>
      </c>
      <c r="M997">
        <f>SEM!N997</f>
        <v>99.1</v>
      </c>
      <c r="O997">
        <f>ABS(L997-SEM!$C$34)</f>
        <v>6.9287711208084186</v>
      </c>
      <c r="P997">
        <f t="shared" si="16"/>
        <v>99.1</v>
      </c>
    </row>
    <row r="998" spans="10:16">
      <c r="J998" s="5"/>
      <c r="L998">
        <f>SEM!M998</f>
        <v>2.4712694239999999</v>
      </c>
      <c r="M998">
        <f>SEM!N998</f>
        <v>99.2</v>
      </c>
      <c r="O998">
        <f>ABS(L998-SEM!$C$34)</f>
        <v>6.958971192808419</v>
      </c>
      <c r="P998">
        <f t="shared" si="16"/>
        <v>99.2</v>
      </c>
    </row>
    <row r="999" spans="10:16">
      <c r="J999" s="5"/>
      <c r="L999">
        <f>SEM!M999</f>
        <v>2.4847624239999999</v>
      </c>
      <c r="M999">
        <f>SEM!N999</f>
        <v>99.3</v>
      </c>
      <c r="O999">
        <f>ABS(L999-SEM!$C$34)</f>
        <v>6.9724641928084186</v>
      </c>
      <c r="P999">
        <f t="shared" si="16"/>
        <v>99.3</v>
      </c>
    </row>
    <row r="1000" spans="10:16">
      <c r="J1000" s="5"/>
      <c r="L1000">
        <f>SEM!M1000</f>
        <v>2.4893797919999998</v>
      </c>
      <c r="M1000">
        <f>SEM!N1000</f>
        <v>99.4</v>
      </c>
      <c r="O1000">
        <f>ABS(L1000-SEM!$C$34)</f>
        <v>6.9770815608084185</v>
      </c>
      <c r="P1000">
        <f t="shared" si="16"/>
        <v>99.4</v>
      </c>
    </row>
    <row r="1001" spans="10:16">
      <c r="J1001" s="5"/>
      <c r="L1001">
        <f>SEM!M1001</f>
        <v>2.5079468000000098</v>
      </c>
      <c r="M1001">
        <f>SEM!N1001</f>
        <v>99.5</v>
      </c>
      <c r="O1001">
        <f>ABS(L1001-SEM!$C$34)</f>
        <v>6.9956485688084289</v>
      </c>
      <c r="P1001">
        <f t="shared" si="16"/>
        <v>99.5</v>
      </c>
    </row>
    <row r="1002" spans="10:16">
      <c r="J1002" s="5"/>
      <c r="L1002">
        <f>SEM!M1002</f>
        <v>2.6492706400000099</v>
      </c>
      <c r="M1002">
        <f>SEM!N1002</f>
        <v>99.6</v>
      </c>
      <c r="O1002">
        <f>ABS(L1002-SEM!$C$34)</f>
        <v>7.136972408808429</v>
      </c>
      <c r="P1002">
        <f t="shared" si="16"/>
        <v>99.6</v>
      </c>
    </row>
    <row r="1003" spans="10:16">
      <c r="J1003" s="5"/>
      <c r="L1003">
        <f>SEM!M1003</f>
        <v>2.7905944800000002</v>
      </c>
      <c r="M1003">
        <f>SEM!N1003</f>
        <v>99.7</v>
      </c>
      <c r="O1003">
        <f>ABS(L1003-SEM!$C$34)</f>
        <v>7.2782962488084193</v>
      </c>
      <c r="P1003">
        <f t="shared" si="16"/>
        <v>99.7</v>
      </c>
    </row>
    <row r="1004" spans="10:16">
      <c r="J1004" s="5"/>
      <c r="L1004">
        <f>SEM!M1004</f>
        <v>3.0430220240000101</v>
      </c>
      <c r="M1004">
        <f>SEM!N1004</f>
        <v>99.8</v>
      </c>
      <c r="O1004">
        <f>ABS(L1004-SEM!$C$34)</f>
        <v>7.5307237928084287</v>
      </c>
      <c r="P1004">
        <f t="shared" si="16"/>
        <v>99.8</v>
      </c>
    </row>
    <row r="1005" spans="10:16">
      <c r="J1005" s="5"/>
      <c r="L1005">
        <f>SEM!M1005</f>
        <v>3.3859785119999999</v>
      </c>
      <c r="M1005">
        <f>SEM!N1005</f>
        <v>99.9</v>
      </c>
      <c r="O1005">
        <f>ABS(L1005-SEM!$C$34)</f>
        <v>7.8736802808084185</v>
      </c>
      <c r="P1005">
        <f t="shared" si="16"/>
        <v>99.9</v>
      </c>
    </row>
    <row r="1006" spans="10:16">
      <c r="J1006" s="5"/>
      <c r="L1006">
        <f>SEM!M1006</f>
        <v>3.7289349999999999</v>
      </c>
      <c r="M1006">
        <f>SEM!N1006</f>
        <v>100</v>
      </c>
      <c r="O1006">
        <f>ABS(L1006-SEM!$C$34)</f>
        <v>8.216636768808419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9" zoomScaleNormal="100" workbookViewId="0">
      <selection activeCell="C28" sqref="C28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SD_PERC_FONO!A42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9.3409386669748908</v>
      </c>
      <c r="I6" s="10" t="s">
        <v>36</v>
      </c>
      <c r="J6">
        <v>18.791644114488999</v>
      </c>
      <c r="M6">
        <v>-2.871918</v>
      </c>
      <c r="N6">
        <v>0</v>
      </c>
    </row>
    <row r="7" spans="1:14">
      <c r="B7" t="s">
        <v>74</v>
      </c>
      <c r="C7">
        <v>-5.4125729896306298</v>
      </c>
      <c r="M7">
        <v>-2.802565752</v>
      </c>
      <c r="N7">
        <v>0.1</v>
      </c>
    </row>
    <row r="8" spans="1:14">
      <c r="B8" t="s">
        <v>65</v>
      </c>
      <c r="C8">
        <v>1.92643574820782</v>
      </c>
      <c r="I8" s="9"/>
      <c r="J8" s="9"/>
      <c r="M8">
        <v>-2.7332135040000001</v>
      </c>
      <c r="N8">
        <v>0.2</v>
      </c>
    </row>
    <row r="9" spans="1:14">
      <c r="B9" t="s">
        <v>66</v>
      </c>
      <c r="C9">
        <v>0.249323286337576</v>
      </c>
      <c r="H9" s="9" t="s">
        <v>34</v>
      </c>
      <c r="I9" s="56" t="s">
        <v>37</v>
      </c>
      <c r="J9" s="57"/>
      <c r="M9">
        <v>-2.624155832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-2.4663687759999999</v>
      </c>
      <c r="N10">
        <v>0.4</v>
      </c>
    </row>
    <row r="11" spans="1:14">
      <c r="B11" s="29"/>
      <c r="C11" s="30"/>
      <c r="I11" s="14"/>
      <c r="J11" s="15"/>
      <c r="M11">
        <v>-2.3085817199999998</v>
      </c>
      <c r="N11">
        <v>0.5</v>
      </c>
    </row>
    <row r="12" spans="1:14">
      <c r="B12" s="29"/>
      <c r="C12" s="30"/>
      <c r="I12" s="14"/>
      <c r="J12" s="15"/>
      <c r="M12">
        <v>-2.277989512</v>
      </c>
      <c r="N12">
        <v>0.6</v>
      </c>
    </row>
    <row r="13" spans="1:14">
      <c r="B13" s="29"/>
      <c r="C13" s="30"/>
      <c r="I13" s="14"/>
      <c r="J13" s="15"/>
      <c r="M13">
        <v>-2.2618512640000001</v>
      </c>
      <c r="N13">
        <v>0.7</v>
      </c>
    </row>
    <row r="14" spans="1:14">
      <c r="B14" s="29"/>
      <c r="C14" s="30"/>
      <c r="I14" s="14"/>
      <c r="J14" s="15"/>
      <c r="M14">
        <v>-2.2329363600000001</v>
      </c>
      <c r="N14">
        <v>0.8</v>
      </c>
    </row>
    <row r="15" spans="1:14">
      <c r="B15" s="29"/>
      <c r="C15" s="30"/>
      <c r="I15" s="14"/>
      <c r="J15" s="15"/>
      <c r="M15">
        <v>-2.1799712800000002</v>
      </c>
      <c r="N15">
        <v>0.9</v>
      </c>
    </row>
    <row r="16" spans="1:14">
      <c r="B16" s="29"/>
      <c r="C16" s="30"/>
      <c r="I16" s="14"/>
      <c r="J16" s="15"/>
      <c r="M16">
        <v>-2.1270061999999998</v>
      </c>
      <c r="N16">
        <v>1</v>
      </c>
    </row>
    <row r="17" spans="1:14">
      <c r="B17" s="29"/>
      <c r="C17" s="30"/>
      <c r="I17" s="14"/>
      <c r="J17" s="15"/>
      <c r="M17">
        <v>-2.0979624719999999</v>
      </c>
      <c r="N17">
        <v>1.1000000000000001</v>
      </c>
    </row>
    <row r="18" spans="1:14">
      <c r="B18" s="29"/>
      <c r="C18" s="30"/>
      <c r="I18" s="14"/>
      <c r="J18" s="15"/>
      <c r="M18">
        <v>-2.0750524239999999</v>
      </c>
      <c r="N18">
        <v>1.2</v>
      </c>
    </row>
    <row r="19" spans="1:14">
      <c r="B19" s="29"/>
      <c r="C19" s="30"/>
      <c r="I19" s="14"/>
      <c r="J19" s="15"/>
      <c r="M19">
        <v>-2.0436432080000002</v>
      </c>
      <c r="N19">
        <v>1.3</v>
      </c>
    </row>
    <row r="20" spans="1:14">
      <c r="B20" s="29"/>
      <c r="C20" s="30"/>
      <c r="I20" s="14"/>
      <c r="J20" s="15"/>
      <c r="M20">
        <v>-1.986028224</v>
      </c>
      <c r="N20">
        <v>1.4</v>
      </c>
    </row>
    <row r="21" spans="1:14">
      <c r="B21" s="29"/>
      <c r="C21" s="30"/>
      <c r="I21" s="14"/>
      <c r="J21" s="15"/>
      <c r="M21">
        <v>-1.92841324</v>
      </c>
      <c r="N21">
        <v>1.5</v>
      </c>
    </row>
    <row r="22" spans="1:14">
      <c r="B22" s="29"/>
      <c r="C22" s="30"/>
      <c r="I22" s="16"/>
      <c r="J22" s="17"/>
      <c r="M22">
        <v>-1.905871568</v>
      </c>
      <c r="N22">
        <v>1.6</v>
      </c>
    </row>
    <row r="23" spans="1:14">
      <c r="B23" s="29"/>
      <c r="C23" s="30"/>
      <c r="M23">
        <v>-1.898803416</v>
      </c>
      <c r="N23">
        <v>1.7</v>
      </c>
    </row>
    <row r="24" spans="1:14">
      <c r="B24" s="31"/>
      <c r="C24" s="11"/>
      <c r="M24">
        <v>-1.8858269839999999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-1.8374008719999999</v>
      </c>
      <c r="N25">
        <v>1.9</v>
      </c>
    </row>
    <row r="26" spans="1:14">
      <c r="I26" s="12" t="s">
        <v>1</v>
      </c>
      <c r="J26" s="13" t="s">
        <v>17</v>
      </c>
      <c r="M26">
        <v>-1.7889747600000001</v>
      </c>
      <c r="N26">
        <v>2</v>
      </c>
    </row>
    <row r="27" spans="1:14">
      <c r="A27" s="34">
        <v>4</v>
      </c>
      <c r="B27" s="2" t="s">
        <v>2</v>
      </c>
      <c r="C27" s="32">
        <f xml:space="preserve"> $C$6 + $C$7*LN('Normative data'!$C$6/100) + $C$8*('Normative data'!$C$7) + $C$9*('Normative data'!$C$8)</f>
        <v>17.024134824840644</v>
      </c>
      <c r="M27">
        <v>-1.7562288319999999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-1.7342968240000001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-1.712325104</v>
      </c>
      <c r="N29">
        <v>2.2999999999999998</v>
      </c>
    </row>
    <row r="30" spans="1:14">
      <c r="B30" s="2" t="s">
        <v>8</v>
      </c>
      <c r="M30">
        <v>-1.6894201520000001</v>
      </c>
      <c r="N30">
        <v>2.4</v>
      </c>
    </row>
    <row r="31" spans="1:14">
      <c r="I31" s="14"/>
      <c r="J31" s="15"/>
      <c r="M31">
        <v>-1.6665152000000001</v>
      </c>
      <c r="N31">
        <v>2.5</v>
      </c>
    </row>
    <row r="32" spans="1:14">
      <c r="I32" s="35"/>
      <c r="J32" s="17"/>
      <c r="M32">
        <v>-1.639771976</v>
      </c>
      <c r="N32">
        <v>2.6</v>
      </c>
    </row>
    <row r="33" spans="2:14">
      <c r="B33" t="s">
        <v>9</v>
      </c>
      <c r="C33">
        <f>'Normative data'!C19-FONO!C27</f>
        <v>-16.024134824840644</v>
      </c>
      <c r="M33">
        <v>-1.6090305519999999</v>
      </c>
      <c r="N33">
        <v>2.7</v>
      </c>
    </row>
    <row r="34" spans="2:14">
      <c r="B34" t="s">
        <v>12</v>
      </c>
      <c r="C34">
        <f>(C33/SD_PERC_FONO!I38)</f>
        <v>-3.6965126853957471</v>
      </c>
      <c r="I34" t="s">
        <v>41</v>
      </c>
      <c r="J34">
        <f>SD_PERC_FONO!I38</f>
        <v>4.3349330000000004</v>
      </c>
      <c r="M34">
        <v>-1.578289128</v>
      </c>
      <c r="N34">
        <v>2.8</v>
      </c>
    </row>
    <row r="35" spans="2:14">
      <c r="M35">
        <v>-1.5597910639999999</v>
      </c>
      <c r="N35">
        <v>2.9</v>
      </c>
    </row>
    <row r="36" spans="2:14">
      <c r="M36">
        <v>-1.5420914800000001</v>
      </c>
      <c r="N36">
        <v>3</v>
      </c>
    </row>
    <row r="37" spans="2:14">
      <c r="M37">
        <v>-1.5301653120000001</v>
      </c>
      <c r="N37">
        <v>3.1</v>
      </c>
    </row>
    <row r="38" spans="2:14">
      <c r="M38">
        <v>-1.527355064</v>
      </c>
      <c r="N38">
        <v>3.2</v>
      </c>
    </row>
    <row r="39" spans="2:14">
      <c r="M39">
        <v>-1.5245448159999999</v>
      </c>
      <c r="N39">
        <v>3.3</v>
      </c>
    </row>
    <row r="40" spans="2:14">
      <c r="M40">
        <v>-1.51851984</v>
      </c>
      <c r="N40">
        <v>3.4</v>
      </c>
    </row>
    <row r="41" spans="2:14">
      <c r="M41">
        <v>-1.5118676</v>
      </c>
      <c r="N41">
        <v>3.5</v>
      </c>
    </row>
    <row r="42" spans="2:14">
      <c r="M42">
        <v>-1.5065144479999999</v>
      </c>
      <c r="N42">
        <v>3.6</v>
      </c>
    </row>
    <row r="43" spans="2:14">
      <c r="M43">
        <v>-1.5044090160000001</v>
      </c>
      <c r="N43">
        <v>3.7</v>
      </c>
    </row>
    <row r="44" spans="2:14">
      <c r="M44">
        <v>-1.5023035840000001</v>
      </c>
      <c r="N44">
        <v>3.8</v>
      </c>
    </row>
    <row r="45" spans="2:14">
      <c r="M45">
        <v>-1.4942460559999999</v>
      </c>
      <c r="N45">
        <v>3.9</v>
      </c>
    </row>
    <row r="46" spans="2:14">
      <c r="M46">
        <v>-1.48403916</v>
      </c>
      <c r="N46">
        <v>4</v>
      </c>
    </row>
    <row r="47" spans="2:14">
      <c r="M47">
        <v>-1.4750847039999999</v>
      </c>
      <c r="N47">
        <v>4.0999999999999996</v>
      </c>
    </row>
    <row r="48" spans="2:14">
      <c r="M48">
        <v>-1.471696648</v>
      </c>
      <c r="N48">
        <v>4.2</v>
      </c>
    </row>
    <row r="49" spans="13:14">
      <c r="M49">
        <v>-1.4683085920000001</v>
      </c>
      <c r="N49">
        <v>4.3</v>
      </c>
    </row>
    <row r="50" spans="13:14">
      <c r="M50">
        <v>-1.4604674479999999</v>
      </c>
      <c r="N50">
        <v>4.4000000000000004</v>
      </c>
    </row>
    <row r="51" spans="13:14">
      <c r="M51">
        <v>-1.4500406400000001</v>
      </c>
      <c r="N51">
        <v>4.5</v>
      </c>
    </row>
    <row r="52" spans="13:14">
      <c r="M52">
        <v>-1.4404583120000001</v>
      </c>
      <c r="N52">
        <v>4.5999999999999996</v>
      </c>
    </row>
    <row r="53" spans="13:14">
      <c r="M53">
        <v>-1.4403763839999999</v>
      </c>
      <c r="N53">
        <v>4.7</v>
      </c>
    </row>
    <row r="54" spans="13:14">
      <c r="M54">
        <v>-1.4402944559999999</v>
      </c>
      <c r="N54">
        <v>4.8</v>
      </c>
    </row>
    <row r="55" spans="13:14">
      <c r="M55">
        <v>-1.440256</v>
      </c>
      <c r="N55">
        <v>4.9000000000000004</v>
      </c>
    </row>
    <row r="56" spans="13:14">
      <c r="M56">
        <v>-1.440256</v>
      </c>
      <c r="N56">
        <v>5</v>
      </c>
    </row>
    <row r="57" spans="13:14">
      <c r="M57">
        <v>-1.440256</v>
      </c>
      <c r="N57">
        <v>5.0999999999999996</v>
      </c>
    </row>
    <row r="58" spans="13:14">
      <c r="M58">
        <v>-1.435505152</v>
      </c>
      <c r="N58">
        <v>5.2</v>
      </c>
    </row>
    <row r="59" spans="13:14">
      <c r="M59">
        <v>-1.4306553280000001</v>
      </c>
      <c r="N59">
        <v>5.3</v>
      </c>
    </row>
    <row r="60" spans="13:14">
      <c r="M60">
        <v>-1.4271466479999999</v>
      </c>
      <c r="N60">
        <v>5.4</v>
      </c>
    </row>
    <row r="61" spans="13:14">
      <c r="M61">
        <v>-1.42542616</v>
      </c>
      <c r="N61">
        <v>5.5</v>
      </c>
    </row>
    <row r="62" spans="13:14">
      <c r="M62">
        <v>-1.4237056720000001</v>
      </c>
      <c r="N62">
        <v>5.6</v>
      </c>
    </row>
    <row r="63" spans="13:14">
      <c r="M63">
        <v>-1.418527984</v>
      </c>
      <c r="N63">
        <v>5.7</v>
      </c>
    </row>
    <row r="64" spans="13:14">
      <c r="M64">
        <v>-1.4128678960000001</v>
      </c>
      <c r="N64">
        <v>5.8</v>
      </c>
    </row>
    <row r="65" spans="13:14">
      <c r="M65">
        <v>-1.408747008</v>
      </c>
      <c r="N65">
        <v>5.9</v>
      </c>
    </row>
    <row r="66" spans="13:14">
      <c r="M66">
        <v>-1.40780072</v>
      </c>
      <c r="N66">
        <v>6</v>
      </c>
    </row>
    <row r="67" spans="13:14">
      <c r="M67">
        <v>-1.406854432</v>
      </c>
      <c r="N67">
        <v>6.1</v>
      </c>
    </row>
    <row r="68" spans="13:14">
      <c r="M68">
        <v>-1.406433456</v>
      </c>
      <c r="N68">
        <v>6.2</v>
      </c>
    </row>
    <row r="69" spans="13:14">
      <c r="M69">
        <v>-1.4061645439999999</v>
      </c>
      <c r="N69">
        <v>6.3</v>
      </c>
    </row>
    <row r="70" spans="13:14">
      <c r="M70">
        <v>-1.404774776</v>
      </c>
      <c r="N70">
        <v>6.4</v>
      </c>
    </row>
    <row r="71" spans="13:14">
      <c r="M71">
        <v>-1.39951296</v>
      </c>
      <c r="N71">
        <v>6.5</v>
      </c>
    </row>
    <row r="72" spans="13:14">
      <c r="M72">
        <v>-1.3942511440000001</v>
      </c>
      <c r="N72">
        <v>6.6</v>
      </c>
    </row>
    <row r="73" spans="13:14">
      <c r="M73">
        <v>-1.380723224</v>
      </c>
      <c r="N73">
        <v>6.7</v>
      </c>
    </row>
    <row r="74" spans="13:14">
      <c r="M74">
        <v>-1.3631874960000001</v>
      </c>
      <c r="N74">
        <v>6.8</v>
      </c>
    </row>
    <row r="75" spans="13:14">
      <c r="M75">
        <v>-1.3475081680000001</v>
      </c>
      <c r="N75">
        <v>6.9</v>
      </c>
    </row>
    <row r="76" spans="13:14">
      <c r="M76">
        <v>-1.3451330399999999</v>
      </c>
      <c r="N76">
        <v>7</v>
      </c>
    </row>
    <row r="77" spans="13:14">
      <c r="M77">
        <v>-1.3427579119999999</v>
      </c>
      <c r="N77">
        <v>7.1</v>
      </c>
    </row>
    <row r="78" spans="13:14">
      <c r="M78">
        <v>-1.339210816</v>
      </c>
      <c r="N78">
        <v>7.2</v>
      </c>
    </row>
    <row r="79" spans="13:14">
      <c r="M79">
        <v>-1.334784744</v>
      </c>
      <c r="N79">
        <v>7.3</v>
      </c>
    </row>
    <row r="80" spans="13:14">
      <c r="M80">
        <v>-1.3302923280000001</v>
      </c>
      <c r="N80">
        <v>7.4</v>
      </c>
    </row>
    <row r="81" spans="13:14">
      <c r="M81">
        <v>-1.3226154000000001</v>
      </c>
      <c r="N81">
        <v>7.5</v>
      </c>
    </row>
    <row r="82" spans="13:14">
      <c r="M82">
        <v>-1.3149384719999999</v>
      </c>
      <c r="N82">
        <v>7.6</v>
      </c>
    </row>
    <row r="83" spans="13:14">
      <c r="M83">
        <v>-1.3095624640000001</v>
      </c>
      <c r="N83">
        <v>7.7</v>
      </c>
    </row>
    <row r="84" spans="13:14">
      <c r="M84">
        <v>-1.3067874960000001</v>
      </c>
      <c r="N84">
        <v>7.8</v>
      </c>
    </row>
    <row r="85" spans="13:14">
      <c r="M85">
        <v>-1.3040125279999999</v>
      </c>
      <c r="N85">
        <v>7.9</v>
      </c>
    </row>
    <row r="86" spans="13:14">
      <c r="M86">
        <v>-1.29409408</v>
      </c>
      <c r="N86">
        <v>8</v>
      </c>
    </row>
    <row r="87" spans="13:14">
      <c r="M87">
        <v>-1.283540656</v>
      </c>
      <c r="N87">
        <v>8.1</v>
      </c>
    </row>
    <row r="88" spans="13:14">
      <c r="M88">
        <v>-1.276364176</v>
      </c>
      <c r="N88">
        <v>8.1999999999999993</v>
      </c>
    </row>
    <row r="89" spans="13:14">
      <c r="M89">
        <v>-1.275003544</v>
      </c>
      <c r="N89">
        <v>8.3000000000000007</v>
      </c>
    </row>
    <row r="90" spans="13:14">
      <c r="M90">
        <v>-1.2736429119999999</v>
      </c>
      <c r="N90">
        <v>8.4</v>
      </c>
    </row>
    <row r="91" spans="13:14">
      <c r="M91">
        <v>-1.2722192400000001</v>
      </c>
      <c r="N91">
        <v>8.5</v>
      </c>
    </row>
    <row r="92" spans="13:14">
      <c r="M92">
        <v>-1.270781384</v>
      </c>
      <c r="N92">
        <v>8.6</v>
      </c>
    </row>
    <row r="93" spans="13:14">
      <c r="M93">
        <v>-1.2678373999999999</v>
      </c>
      <c r="N93">
        <v>8.6999999999999993</v>
      </c>
    </row>
    <row r="94" spans="13:14">
      <c r="M94">
        <v>-1.2607226</v>
      </c>
      <c r="N94">
        <v>8.8000000000000007</v>
      </c>
    </row>
    <row r="95" spans="13:14">
      <c r="M95">
        <v>-1.2536077999999999</v>
      </c>
      <c r="N95">
        <v>8.9</v>
      </c>
    </row>
    <row r="96" spans="13:14">
      <c r="M96">
        <v>-1.2453783199999999</v>
      </c>
      <c r="N96">
        <v>9</v>
      </c>
    </row>
    <row r="97" spans="13:14">
      <c r="M97">
        <v>-1.2367029679999999</v>
      </c>
      <c r="N97">
        <v>9.1</v>
      </c>
    </row>
    <row r="98" spans="13:14">
      <c r="M98">
        <v>-1.22836144</v>
      </c>
      <c r="N98">
        <v>9.1999999999999993</v>
      </c>
    </row>
    <row r="99" spans="13:14">
      <c r="M99">
        <v>-1.22173076</v>
      </c>
      <c r="N99">
        <v>9.3000000000000007</v>
      </c>
    </row>
    <row r="100" spans="13:14">
      <c r="M100">
        <v>-1.21510008</v>
      </c>
      <c r="N100">
        <v>9.4</v>
      </c>
    </row>
    <row r="101" spans="13:14">
      <c r="M101">
        <v>-1.2124524400000001</v>
      </c>
      <c r="N101">
        <v>9.5</v>
      </c>
    </row>
    <row r="102" spans="13:14">
      <c r="M102">
        <v>-1.2123273919999999</v>
      </c>
      <c r="N102">
        <v>9.6</v>
      </c>
    </row>
    <row r="103" spans="13:14">
      <c r="M103">
        <v>-1.212131136</v>
      </c>
      <c r="N103">
        <v>9.6999999999999993</v>
      </c>
    </row>
    <row r="104" spans="13:14">
      <c r="M104">
        <v>-1.2108430240000001</v>
      </c>
      <c r="N104">
        <v>9.8000000000000007</v>
      </c>
    </row>
    <row r="105" spans="13:14">
      <c r="M105">
        <v>-1.209554912</v>
      </c>
      <c r="N105">
        <v>9.9</v>
      </c>
    </row>
    <row r="106" spans="13:14">
      <c r="M106">
        <v>-1.2055984</v>
      </c>
      <c r="N106">
        <v>10</v>
      </c>
    </row>
    <row r="107" spans="13:14">
      <c r="M107">
        <v>-1.199080224</v>
      </c>
      <c r="N107">
        <v>10.1</v>
      </c>
    </row>
    <row r="108" spans="13:14">
      <c r="M108">
        <v>-1.1925620480000001</v>
      </c>
      <c r="N108">
        <v>10.199999999999999</v>
      </c>
    </row>
    <row r="109" spans="13:14">
      <c r="M109">
        <v>-1.185888584</v>
      </c>
      <c r="N109">
        <v>10.3</v>
      </c>
    </row>
    <row r="110" spans="13:14">
      <c r="M110">
        <v>-1.179208512</v>
      </c>
      <c r="N110">
        <v>10.4</v>
      </c>
    </row>
    <row r="111" spans="13:14">
      <c r="M111">
        <v>-1.1746318</v>
      </c>
      <c r="N111">
        <v>10.5</v>
      </c>
    </row>
    <row r="112" spans="13:14">
      <c r="M112">
        <v>-1.1731049600000001</v>
      </c>
      <c r="N112">
        <v>10.6</v>
      </c>
    </row>
    <row r="113" spans="13:14">
      <c r="M113">
        <v>-1.1715781199999999</v>
      </c>
      <c r="N113">
        <v>10.7</v>
      </c>
    </row>
    <row r="114" spans="13:14">
      <c r="M114">
        <v>-1.168164304</v>
      </c>
      <c r="N114">
        <v>10.8</v>
      </c>
    </row>
    <row r="115" spans="13:14">
      <c r="M115">
        <v>-1.164435992</v>
      </c>
      <c r="N115">
        <v>10.9</v>
      </c>
    </row>
    <row r="116" spans="13:14">
      <c r="M116">
        <v>-1.1599877999999999</v>
      </c>
      <c r="N116">
        <v>11</v>
      </c>
    </row>
    <row r="117" spans="13:14">
      <c r="M117">
        <v>-1.15390788</v>
      </c>
      <c r="N117">
        <v>11.1</v>
      </c>
    </row>
    <row r="118" spans="13:14">
      <c r="M118">
        <v>-1.1478279600000001</v>
      </c>
      <c r="N118">
        <v>11.2</v>
      </c>
    </row>
    <row r="119" spans="13:14">
      <c r="M119">
        <v>-1.1459068400000001</v>
      </c>
      <c r="N119">
        <v>11.3</v>
      </c>
    </row>
    <row r="120" spans="13:14">
      <c r="M120">
        <v>-1.14533452</v>
      </c>
      <c r="N120">
        <v>11.4</v>
      </c>
    </row>
    <row r="121" spans="13:14">
      <c r="M121">
        <v>-1.14435668</v>
      </c>
      <c r="N121">
        <v>11.5</v>
      </c>
    </row>
    <row r="122" spans="13:14">
      <c r="M122">
        <v>-1.141797312</v>
      </c>
      <c r="N122">
        <v>11.6</v>
      </c>
    </row>
    <row r="123" spans="13:14">
      <c r="M123">
        <v>-1.139237944</v>
      </c>
      <c r="N123">
        <v>11.7</v>
      </c>
    </row>
    <row r="124" spans="13:14">
      <c r="M124">
        <v>-1.1325917919999999</v>
      </c>
      <c r="N124">
        <v>11.8</v>
      </c>
    </row>
    <row r="125" spans="13:14">
      <c r="M125">
        <v>-1.123774536</v>
      </c>
      <c r="N125">
        <v>11.9</v>
      </c>
    </row>
    <row r="126" spans="13:14">
      <c r="M126">
        <v>-1.1152032000000001</v>
      </c>
      <c r="N126">
        <v>12</v>
      </c>
    </row>
    <row r="127" spans="13:14">
      <c r="M127">
        <v>-1.1087959599999999</v>
      </c>
      <c r="N127">
        <v>12.1</v>
      </c>
    </row>
    <row r="128" spans="13:14">
      <c r="M128">
        <v>-1.10238872</v>
      </c>
      <c r="N128">
        <v>12.2</v>
      </c>
    </row>
    <row r="129" spans="13:14">
      <c r="M129">
        <v>-1.0990082880000001</v>
      </c>
      <c r="N129">
        <v>12.3</v>
      </c>
    </row>
    <row r="130" spans="13:14">
      <c r="M130">
        <v>-1.098094144</v>
      </c>
      <c r="N130">
        <v>12.4</v>
      </c>
    </row>
    <row r="131" spans="13:14">
      <c r="M131">
        <v>-1.09718</v>
      </c>
      <c r="N131">
        <v>12.5</v>
      </c>
    </row>
    <row r="132" spans="13:14">
      <c r="M132">
        <v>-1.0898201999999999</v>
      </c>
      <c r="N132">
        <v>12.6</v>
      </c>
    </row>
    <row r="133" spans="13:14">
      <c r="M133">
        <v>-1.0824604</v>
      </c>
      <c r="N133">
        <v>12.7</v>
      </c>
    </row>
    <row r="134" spans="13:14">
      <c r="M134">
        <v>-1.0716332239999999</v>
      </c>
      <c r="N134">
        <v>12.8</v>
      </c>
    </row>
    <row r="135" spans="13:14">
      <c r="M135">
        <v>-1.056550632</v>
      </c>
      <c r="N135">
        <v>12.9</v>
      </c>
    </row>
    <row r="136" spans="13:14">
      <c r="M136">
        <v>-1.04146804</v>
      </c>
      <c r="N136">
        <v>13</v>
      </c>
    </row>
    <row r="137" spans="13:14">
      <c r="M137">
        <v>-1.033119208</v>
      </c>
      <c r="N137">
        <v>13.1</v>
      </c>
    </row>
    <row r="138" spans="13:14">
      <c r="M138">
        <v>-1.025535576</v>
      </c>
      <c r="N138">
        <v>13.2</v>
      </c>
    </row>
    <row r="139" spans="13:14">
      <c r="M139">
        <v>-1.018152272</v>
      </c>
      <c r="N139">
        <v>13.3</v>
      </c>
    </row>
    <row r="140" spans="13:14">
      <c r="M140">
        <v>-1.0111460560000001</v>
      </c>
      <c r="N140">
        <v>13.4</v>
      </c>
    </row>
    <row r="141" spans="13:14">
      <c r="M141">
        <v>-1.0041398399999999</v>
      </c>
      <c r="N141">
        <v>13.5</v>
      </c>
    </row>
    <row r="142" spans="13:14">
      <c r="M142">
        <v>-1.0017530960000001</v>
      </c>
      <c r="N142">
        <v>13.6</v>
      </c>
    </row>
    <row r="143" spans="13:14">
      <c r="M143">
        <v>-1.0005508320000001</v>
      </c>
      <c r="N143">
        <v>13.7</v>
      </c>
    </row>
    <row r="144" spans="13:14">
      <c r="M144">
        <v>-0.99921743200000002</v>
      </c>
      <c r="N144">
        <v>13.8</v>
      </c>
    </row>
    <row r="145" spans="13:14">
      <c r="M145">
        <v>-0.99747969599999997</v>
      </c>
      <c r="N145">
        <v>13.9</v>
      </c>
    </row>
    <row r="146" spans="13:14">
      <c r="M146">
        <v>-0.99574196000000004</v>
      </c>
      <c r="N146">
        <v>14</v>
      </c>
    </row>
    <row r="147" spans="13:14">
      <c r="M147">
        <v>-0.99509249600000005</v>
      </c>
      <c r="N147">
        <v>14.1</v>
      </c>
    </row>
    <row r="148" spans="13:14">
      <c r="M148">
        <v>-0.99492315200000003</v>
      </c>
      <c r="N148">
        <v>14.2</v>
      </c>
    </row>
    <row r="149" spans="13:14">
      <c r="M149">
        <v>-0.99440067200000004</v>
      </c>
      <c r="N149">
        <v>14.3</v>
      </c>
    </row>
    <row r="150" spans="13:14">
      <c r="M150">
        <v>-0.99175937599999997</v>
      </c>
      <c r="N150">
        <v>14.4</v>
      </c>
    </row>
    <row r="151" spans="13:14">
      <c r="M151">
        <v>-0.98911808000000001</v>
      </c>
      <c r="N151">
        <v>14.5</v>
      </c>
    </row>
    <row r="152" spans="13:14">
      <c r="M152">
        <v>-0.98722057600000002</v>
      </c>
      <c r="N152">
        <v>14.6</v>
      </c>
    </row>
    <row r="153" spans="13:14">
      <c r="M153">
        <v>-0.98583603200000003</v>
      </c>
      <c r="N153">
        <v>14.7</v>
      </c>
    </row>
    <row r="154" spans="13:14">
      <c r="M154">
        <v>-0.98433320000000002</v>
      </c>
      <c r="N154">
        <v>14.8</v>
      </c>
    </row>
    <row r="155" spans="13:14">
      <c r="M155">
        <v>-0.98005059999999999</v>
      </c>
      <c r="N155">
        <v>14.9</v>
      </c>
    </row>
    <row r="156" spans="13:14">
      <c r="M156">
        <v>-0.97576799999999997</v>
      </c>
      <c r="N156">
        <v>15</v>
      </c>
    </row>
    <row r="157" spans="13:14">
      <c r="M157">
        <v>-0.97334319199999997</v>
      </c>
      <c r="N157">
        <v>15.1</v>
      </c>
    </row>
    <row r="158" spans="13:14">
      <c r="M158">
        <v>-0.97285358399999999</v>
      </c>
      <c r="N158">
        <v>15.2</v>
      </c>
    </row>
    <row r="159" spans="13:14">
      <c r="M159">
        <v>-0.97236397600000002</v>
      </c>
      <c r="N159">
        <v>15.3</v>
      </c>
    </row>
    <row r="160" spans="13:14">
      <c r="M160">
        <v>-0.97233400000000003</v>
      </c>
      <c r="N160">
        <v>15.4</v>
      </c>
    </row>
    <row r="161" spans="13:14">
      <c r="M161">
        <v>-0.97233400000000003</v>
      </c>
      <c r="N161">
        <v>15.5</v>
      </c>
    </row>
    <row r="162" spans="13:14">
      <c r="M162">
        <v>-0.97191159199999999</v>
      </c>
      <c r="N162">
        <v>15.6</v>
      </c>
    </row>
    <row r="163" spans="13:14">
      <c r="M163">
        <v>-0.97082222399999996</v>
      </c>
      <c r="N163">
        <v>15.7</v>
      </c>
    </row>
    <row r="164" spans="13:14">
      <c r="M164">
        <v>-0.96973285600000003</v>
      </c>
      <c r="N164">
        <v>15.8</v>
      </c>
    </row>
    <row r="165" spans="13:14">
      <c r="M165">
        <v>-0.96452938399999999</v>
      </c>
      <c r="N165">
        <v>15.9</v>
      </c>
    </row>
    <row r="166" spans="13:14">
      <c r="M166">
        <v>-0.95852316000000004</v>
      </c>
      <c r="N166">
        <v>16</v>
      </c>
    </row>
    <row r="167" spans="13:14">
      <c r="M167">
        <v>-0.95362506400000002</v>
      </c>
      <c r="N167">
        <v>16.100000000000001</v>
      </c>
    </row>
    <row r="168" spans="13:14">
      <c r="M168">
        <v>-0.951497288</v>
      </c>
      <c r="N168">
        <v>16.2</v>
      </c>
    </row>
    <row r="169" spans="13:14">
      <c r="M169">
        <v>-0.94936951199999997</v>
      </c>
      <c r="N169">
        <v>16.3</v>
      </c>
    </row>
    <row r="170" spans="13:14">
      <c r="M170">
        <v>-0.94880500000000001</v>
      </c>
      <c r="N170">
        <v>16.399999999999999</v>
      </c>
    </row>
    <row r="171" spans="13:14">
      <c r="M171">
        <v>-0.94880500000000001</v>
      </c>
      <c r="N171">
        <v>16.5</v>
      </c>
    </row>
    <row r="172" spans="13:14">
      <c r="M172">
        <v>-0.94872457600000004</v>
      </c>
      <c r="N172">
        <v>16.600000000000001</v>
      </c>
    </row>
    <row r="173" spans="13:14">
      <c r="M173">
        <v>-0.94828671200000003</v>
      </c>
      <c r="N173">
        <v>16.7</v>
      </c>
    </row>
    <row r="174" spans="13:14">
      <c r="M174">
        <v>-0.94784884800000002</v>
      </c>
      <c r="N174">
        <v>16.8</v>
      </c>
    </row>
    <row r="175" spans="13:14">
      <c r="M175">
        <v>-0.94708932800000001</v>
      </c>
      <c r="N175">
        <v>16.899999999999999</v>
      </c>
    </row>
    <row r="176" spans="13:14">
      <c r="M176">
        <v>-0.94614304000000005</v>
      </c>
      <c r="N176">
        <v>17</v>
      </c>
    </row>
    <row r="177" spans="13:14">
      <c r="M177">
        <v>-0.94525150400000002</v>
      </c>
      <c r="N177">
        <v>17.100000000000001</v>
      </c>
    </row>
    <row r="178" spans="13:14">
      <c r="M178">
        <v>-0.94497592799999997</v>
      </c>
      <c r="N178">
        <v>17.2</v>
      </c>
    </row>
    <row r="179" spans="13:14">
      <c r="M179">
        <v>-0.94470035200000002</v>
      </c>
      <c r="N179">
        <v>17.3</v>
      </c>
    </row>
    <row r="180" spans="13:14">
      <c r="M180">
        <v>-0.94178255200000005</v>
      </c>
      <c r="N180">
        <v>17.399999999999999</v>
      </c>
    </row>
    <row r="181" spans="13:14">
      <c r="M181">
        <v>-0.93652740000000001</v>
      </c>
      <c r="N181">
        <v>17.5</v>
      </c>
    </row>
    <row r="182" spans="13:14">
      <c r="M182">
        <v>-0.93127224799999997</v>
      </c>
      <c r="N182">
        <v>17.600000000000001</v>
      </c>
    </row>
    <row r="183" spans="13:14">
      <c r="M183">
        <v>-0.92241440799999996</v>
      </c>
      <c r="N183">
        <v>17.7</v>
      </c>
    </row>
    <row r="184" spans="13:14">
      <c r="M184">
        <v>-0.91348151200000005</v>
      </c>
      <c r="N184">
        <v>17.8</v>
      </c>
    </row>
    <row r="185" spans="13:14">
      <c r="M185">
        <v>-0.90754103200000003</v>
      </c>
      <c r="N185">
        <v>17.899999999999999</v>
      </c>
    </row>
    <row r="186" spans="13:14">
      <c r="M186">
        <v>-0.90559044</v>
      </c>
      <c r="N186">
        <v>18</v>
      </c>
    </row>
    <row r="187" spans="13:14">
      <c r="M187">
        <v>-0.90363984799999997</v>
      </c>
      <c r="N187">
        <v>18.100000000000001</v>
      </c>
    </row>
    <row r="188" spans="13:14">
      <c r="M188">
        <v>-0.89902015999999996</v>
      </c>
      <c r="N188">
        <v>18.2</v>
      </c>
    </row>
    <row r="189" spans="13:14">
      <c r="M189">
        <v>-0.89402804000000002</v>
      </c>
      <c r="N189">
        <v>18.3</v>
      </c>
    </row>
    <row r="190" spans="13:14">
      <c r="M190">
        <v>-0.89012391999999996</v>
      </c>
      <c r="N190">
        <v>18.399999999999999</v>
      </c>
    </row>
    <row r="191" spans="13:14">
      <c r="M191">
        <v>-0.88846380000000003</v>
      </c>
      <c r="N191">
        <v>18.5</v>
      </c>
    </row>
    <row r="192" spans="13:14">
      <c r="M192">
        <v>-0.88680367999999998</v>
      </c>
      <c r="N192">
        <v>18.600000000000001</v>
      </c>
    </row>
    <row r="193" spans="13:14">
      <c r="M193">
        <v>-0.88579989599999998</v>
      </c>
      <c r="N193">
        <v>18.7</v>
      </c>
    </row>
    <row r="194" spans="13:14">
      <c r="M194">
        <v>-0.884986104</v>
      </c>
      <c r="N194">
        <v>18.8</v>
      </c>
    </row>
    <row r="195" spans="13:14">
      <c r="M195">
        <v>-0.88404251199999995</v>
      </c>
      <c r="N195">
        <v>18.899999999999999</v>
      </c>
    </row>
    <row r="196" spans="13:14">
      <c r="M196">
        <v>-0.88265051999999999</v>
      </c>
      <c r="N196">
        <v>19</v>
      </c>
    </row>
    <row r="197" spans="13:14">
      <c r="M197">
        <v>-0.88125852800000004</v>
      </c>
      <c r="N197">
        <v>19.100000000000001</v>
      </c>
    </row>
    <row r="198" spans="13:14">
      <c r="M198">
        <v>-0.877477336</v>
      </c>
      <c r="N198">
        <v>19.2</v>
      </c>
    </row>
    <row r="199" spans="13:14">
      <c r="M199">
        <v>-0.87253774399999995</v>
      </c>
      <c r="N199">
        <v>19.3</v>
      </c>
    </row>
    <row r="200" spans="13:14">
      <c r="M200">
        <v>-0.86801973600000004</v>
      </c>
      <c r="N200">
        <v>19.399999999999999</v>
      </c>
    </row>
    <row r="201" spans="13:14">
      <c r="M201">
        <v>-0.86652308</v>
      </c>
      <c r="N201">
        <v>19.5</v>
      </c>
    </row>
    <row r="202" spans="13:14">
      <c r="M202">
        <v>-0.86502642399999996</v>
      </c>
      <c r="N202">
        <v>19.600000000000001</v>
      </c>
    </row>
    <row r="203" spans="13:14">
      <c r="M203">
        <v>-0.86279908000000005</v>
      </c>
      <c r="N203">
        <v>19.7</v>
      </c>
    </row>
    <row r="204" spans="13:14">
      <c r="M204">
        <v>-0.86002372000000005</v>
      </c>
      <c r="N204">
        <v>19.8</v>
      </c>
    </row>
    <row r="205" spans="13:14">
      <c r="M205">
        <v>-0.85722666400000003</v>
      </c>
      <c r="N205">
        <v>19.899999999999999</v>
      </c>
    </row>
    <row r="206" spans="13:14">
      <c r="M206">
        <v>-0.85338820000000004</v>
      </c>
      <c r="N206">
        <v>20</v>
      </c>
    </row>
    <row r="207" spans="13:14">
      <c r="M207">
        <v>-0.84954973600000006</v>
      </c>
      <c r="N207">
        <v>20.100000000000001</v>
      </c>
    </row>
    <row r="208" spans="13:14">
      <c r="M208">
        <v>-0.84726073599999996</v>
      </c>
      <c r="N208">
        <v>20.2</v>
      </c>
    </row>
    <row r="209" spans="13:14">
      <c r="M209">
        <v>-0.84672330399999995</v>
      </c>
      <c r="N209">
        <v>20.3</v>
      </c>
    </row>
    <row r="210" spans="13:14">
      <c r="M210">
        <v>-0.84618587199999995</v>
      </c>
      <c r="N210">
        <v>20.399999999999999</v>
      </c>
    </row>
    <row r="211" spans="13:14">
      <c r="M211">
        <v>-0.84364395999999997</v>
      </c>
      <c r="N211">
        <v>20.5</v>
      </c>
    </row>
    <row r="212" spans="13:14">
      <c r="M212">
        <v>-0.84092387199999996</v>
      </c>
      <c r="N212">
        <v>20.6</v>
      </c>
    </row>
    <row r="213" spans="13:14">
      <c r="M213">
        <v>-0.83851136800000003</v>
      </c>
      <c r="N213">
        <v>20.7</v>
      </c>
    </row>
    <row r="214" spans="13:14">
      <c r="M214">
        <v>-0.83662859199999995</v>
      </c>
      <c r="N214">
        <v>20.8</v>
      </c>
    </row>
    <row r="215" spans="13:14">
      <c r="M215">
        <v>-0.83474581599999997</v>
      </c>
      <c r="N215">
        <v>20.9</v>
      </c>
    </row>
    <row r="216" spans="13:14">
      <c r="M216">
        <v>-0.83159872000000001</v>
      </c>
      <c r="N216">
        <v>21</v>
      </c>
    </row>
    <row r="217" spans="13:14">
      <c r="M217">
        <v>-0.82816715200000002</v>
      </c>
      <c r="N217">
        <v>21.1</v>
      </c>
    </row>
    <row r="218" spans="13:14">
      <c r="M218">
        <v>-0.82214494400000004</v>
      </c>
      <c r="N218">
        <v>21.2</v>
      </c>
    </row>
    <row r="219" spans="13:14">
      <c r="M219">
        <v>-0.80894865599999999</v>
      </c>
      <c r="N219">
        <v>21.3</v>
      </c>
    </row>
    <row r="220" spans="13:14">
      <c r="M220">
        <v>-0.79575236800000004</v>
      </c>
      <c r="N220">
        <v>21.4</v>
      </c>
    </row>
    <row r="221" spans="13:14">
      <c r="M221">
        <v>-0.79198199999999996</v>
      </c>
      <c r="N221">
        <v>21.5</v>
      </c>
    </row>
    <row r="222" spans="13:14">
      <c r="M222">
        <v>-0.79198199999999996</v>
      </c>
      <c r="N222">
        <v>21.6</v>
      </c>
    </row>
    <row r="223" spans="13:14">
      <c r="M223">
        <v>-0.79186999999999996</v>
      </c>
      <c r="N223">
        <v>21.7</v>
      </c>
    </row>
    <row r="224" spans="13:14">
      <c r="M224">
        <v>-0.791184</v>
      </c>
      <c r="N224">
        <v>21.8</v>
      </c>
    </row>
    <row r="225" spans="13:14">
      <c r="M225">
        <v>-0.79049800000000003</v>
      </c>
      <c r="N225">
        <v>21.9</v>
      </c>
    </row>
    <row r="226" spans="13:14">
      <c r="M226">
        <v>-0.78970927999999996</v>
      </c>
      <c r="N226">
        <v>22</v>
      </c>
    </row>
    <row r="227" spans="13:14">
      <c r="M227">
        <v>-0.78885550400000004</v>
      </c>
      <c r="N227">
        <v>22.1</v>
      </c>
    </row>
    <row r="228" spans="13:14">
      <c r="M228">
        <v>-0.78709759999999995</v>
      </c>
      <c r="N228">
        <v>22.2</v>
      </c>
    </row>
    <row r="229" spans="13:14">
      <c r="M229">
        <v>-0.77147639999999995</v>
      </c>
      <c r="N229">
        <v>22.3</v>
      </c>
    </row>
    <row r="230" spans="13:14">
      <c r="M230">
        <v>-0.75585519999999995</v>
      </c>
      <c r="N230">
        <v>22.4</v>
      </c>
    </row>
    <row r="231" spans="13:14">
      <c r="M231">
        <v>-0.74687820000000005</v>
      </c>
      <c r="N231">
        <v>22.5</v>
      </c>
    </row>
    <row r="232" spans="13:14">
      <c r="M232">
        <v>-0.74427963200000002</v>
      </c>
      <c r="N232">
        <v>22.6</v>
      </c>
    </row>
    <row r="233" spans="13:14">
      <c r="M233">
        <v>-0.741681064</v>
      </c>
      <c r="N233">
        <v>22.7</v>
      </c>
    </row>
    <row r="234" spans="13:14">
      <c r="M234">
        <v>-0.73941563200000004</v>
      </c>
      <c r="N234">
        <v>22.8</v>
      </c>
    </row>
    <row r="235" spans="13:14">
      <c r="M235">
        <v>-0.73716437599999995</v>
      </c>
      <c r="N235">
        <v>22.9</v>
      </c>
    </row>
    <row r="236" spans="13:14">
      <c r="M236">
        <v>-0.73519615999999999</v>
      </c>
      <c r="N236">
        <v>23</v>
      </c>
    </row>
    <row r="237" spans="13:14">
      <c r="M237">
        <v>-0.73363835200000005</v>
      </c>
      <c r="N237">
        <v>23.1</v>
      </c>
    </row>
    <row r="238" spans="13:14">
      <c r="M238">
        <v>-0.732080544</v>
      </c>
      <c r="N238">
        <v>23.2</v>
      </c>
    </row>
    <row r="239" spans="13:14">
      <c r="M239">
        <v>-0.73185800000000001</v>
      </c>
      <c r="N239">
        <v>23.3</v>
      </c>
    </row>
    <row r="240" spans="13:14">
      <c r="M240">
        <v>-0.73185800000000001</v>
      </c>
      <c r="N240">
        <v>23.4</v>
      </c>
    </row>
    <row r="241" spans="13:14">
      <c r="M241">
        <v>-0.72997747999999996</v>
      </c>
      <c r="N241">
        <v>23.5</v>
      </c>
    </row>
    <row r="242" spans="13:14">
      <c r="M242">
        <v>-0.72383444799999996</v>
      </c>
      <c r="N242">
        <v>23.6</v>
      </c>
    </row>
    <row r="243" spans="13:14">
      <c r="M243">
        <v>-0.71769141599999997</v>
      </c>
      <c r="N243">
        <v>23.7</v>
      </c>
    </row>
    <row r="244" spans="13:14">
      <c r="M244">
        <v>-0.71552928800000004</v>
      </c>
      <c r="N244">
        <v>23.8</v>
      </c>
    </row>
    <row r="245" spans="13:14">
      <c r="M245">
        <v>-0.71465826399999999</v>
      </c>
      <c r="N245">
        <v>23.9</v>
      </c>
    </row>
    <row r="246" spans="13:14">
      <c r="M246">
        <v>-0.71381452000000001</v>
      </c>
      <c r="N246">
        <v>24</v>
      </c>
    </row>
    <row r="247" spans="13:14">
      <c r="M247">
        <v>-0.71307716799999998</v>
      </c>
      <c r="N247">
        <v>24.1</v>
      </c>
    </row>
    <row r="248" spans="13:14">
      <c r="M248">
        <v>-0.71233981599999996</v>
      </c>
      <c r="N248">
        <v>24.2</v>
      </c>
    </row>
    <row r="249" spans="13:14">
      <c r="M249">
        <v>-0.70915894400000001</v>
      </c>
      <c r="N249">
        <v>24.3</v>
      </c>
    </row>
    <row r="250" spans="13:14">
      <c r="M250">
        <v>-0.704679952</v>
      </c>
      <c r="N250">
        <v>24.4</v>
      </c>
    </row>
    <row r="251" spans="13:14">
      <c r="M251">
        <v>-0.70065091999999995</v>
      </c>
      <c r="N251">
        <v>24.5</v>
      </c>
    </row>
    <row r="252" spans="13:14">
      <c r="M252">
        <v>-0.70058153599999995</v>
      </c>
      <c r="N252">
        <v>24.6</v>
      </c>
    </row>
    <row r="253" spans="13:14">
      <c r="M253">
        <v>-0.70051215200000005</v>
      </c>
      <c r="N253">
        <v>24.7</v>
      </c>
    </row>
    <row r="254" spans="13:14">
      <c r="M254">
        <v>-0.7004648</v>
      </c>
      <c r="N254">
        <v>24.8</v>
      </c>
    </row>
    <row r="255" spans="13:14">
      <c r="M255">
        <v>-0.70043540000000004</v>
      </c>
      <c r="N255">
        <v>24.9</v>
      </c>
    </row>
    <row r="256" spans="13:14">
      <c r="M256">
        <v>-0.70040599999999997</v>
      </c>
      <c r="N256">
        <v>25</v>
      </c>
    </row>
    <row r="257" spans="13:14">
      <c r="M257">
        <v>-0.69002662400000003</v>
      </c>
      <c r="N257">
        <v>25.1</v>
      </c>
    </row>
    <row r="258" spans="13:14">
      <c r="M258">
        <v>-0.67964724799999998</v>
      </c>
      <c r="N258">
        <v>25.2</v>
      </c>
    </row>
    <row r="259" spans="13:14">
      <c r="M259">
        <v>-0.67365907199999997</v>
      </c>
      <c r="N259">
        <v>25.3</v>
      </c>
    </row>
    <row r="260" spans="13:14">
      <c r="M260">
        <v>-0.67306009600000005</v>
      </c>
      <c r="N260">
        <v>25.4</v>
      </c>
    </row>
    <row r="261" spans="13:14">
      <c r="M261">
        <v>-0.67246112000000002</v>
      </c>
      <c r="N261">
        <v>25.5</v>
      </c>
    </row>
    <row r="262" spans="13:14">
      <c r="M262">
        <v>-0.67037881600000004</v>
      </c>
      <c r="N262">
        <v>25.6</v>
      </c>
    </row>
    <row r="263" spans="13:14">
      <c r="M263">
        <v>-0.66812795199999997</v>
      </c>
      <c r="N263">
        <v>25.7</v>
      </c>
    </row>
    <row r="264" spans="13:14">
      <c r="M264">
        <v>-0.66665799999999997</v>
      </c>
      <c r="N264">
        <v>25.8</v>
      </c>
    </row>
    <row r="265" spans="13:14">
      <c r="M265">
        <v>-0.66665799999999997</v>
      </c>
      <c r="N265">
        <v>25.9</v>
      </c>
    </row>
    <row r="266" spans="13:14">
      <c r="M266">
        <v>-0.66665799999999997</v>
      </c>
      <c r="N266">
        <v>26</v>
      </c>
    </row>
    <row r="267" spans="13:14">
      <c r="M267">
        <v>-0.66442127200000001</v>
      </c>
      <c r="N267">
        <v>26.1</v>
      </c>
    </row>
    <row r="268" spans="13:14">
      <c r="M268">
        <v>-0.66161102400000005</v>
      </c>
      <c r="N268">
        <v>26.2</v>
      </c>
    </row>
    <row r="269" spans="13:14">
      <c r="M269">
        <v>-0.65767949599999997</v>
      </c>
      <c r="N269">
        <v>26.3</v>
      </c>
    </row>
    <row r="270" spans="13:14">
      <c r="M270">
        <v>-0.65029068800000001</v>
      </c>
      <c r="N270">
        <v>26.4</v>
      </c>
    </row>
    <row r="271" spans="13:14">
      <c r="M271">
        <v>-0.64290188000000004</v>
      </c>
      <c r="N271">
        <v>26.5</v>
      </c>
    </row>
    <row r="272" spans="13:14">
      <c r="M272">
        <v>-0.635244064</v>
      </c>
      <c r="N272">
        <v>26.6</v>
      </c>
    </row>
    <row r="273" spans="13:14">
      <c r="M273">
        <v>-0.62746756800000003</v>
      </c>
      <c r="N273">
        <v>26.7</v>
      </c>
    </row>
    <row r="274" spans="13:14">
      <c r="M274">
        <v>-0.62072556000000001</v>
      </c>
      <c r="N274">
        <v>26.8</v>
      </c>
    </row>
    <row r="275" spans="13:14">
      <c r="M275">
        <v>-0.62019047999999999</v>
      </c>
      <c r="N275">
        <v>26.9</v>
      </c>
    </row>
    <row r="276" spans="13:14">
      <c r="M276">
        <v>-0.61965539999999997</v>
      </c>
      <c r="N276">
        <v>27</v>
      </c>
    </row>
    <row r="277" spans="13:14">
      <c r="M277">
        <v>-0.61883171199999998</v>
      </c>
      <c r="N277">
        <v>27.1</v>
      </c>
    </row>
    <row r="278" spans="13:14">
      <c r="M278">
        <v>-0.61780898399999995</v>
      </c>
      <c r="N278">
        <v>27.2</v>
      </c>
    </row>
    <row r="279" spans="13:14">
      <c r="M279">
        <v>-0.61669169599999996</v>
      </c>
      <c r="N279">
        <v>27.3</v>
      </c>
    </row>
    <row r="280" spans="13:14">
      <c r="M280">
        <v>-0.61335224799999999</v>
      </c>
      <c r="N280">
        <v>27.4</v>
      </c>
    </row>
    <row r="281" spans="13:14">
      <c r="M281">
        <v>-0.61001280000000002</v>
      </c>
      <c r="N281">
        <v>27.5</v>
      </c>
    </row>
    <row r="282" spans="13:14">
      <c r="M282">
        <v>-0.60830899999999999</v>
      </c>
      <c r="N282">
        <v>27.6</v>
      </c>
    </row>
    <row r="283" spans="13:14">
      <c r="M283">
        <v>-0.60830899999999999</v>
      </c>
      <c r="N283">
        <v>27.7</v>
      </c>
    </row>
    <row r="284" spans="13:14">
      <c r="M284">
        <v>-0.60830899999999999</v>
      </c>
      <c r="N284">
        <v>27.8</v>
      </c>
    </row>
    <row r="285" spans="13:14">
      <c r="M285">
        <v>-0.60230029600000001</v>
      </c>
      <c r="N285">
        <v>27.9</v>
      </c>
    </row>
    <row r="286" spans="13:14">
      <c r="M286">
        <v>-0.59589972000000002</v>
      </c>
      <c r="N286">
        <v>28</v>
      </c>
    </row>
    <row r="287" spans="13:14">
      <c r="M287">
        <v>-0.59191533600000001</v>
      </c>
      <c r="N287">
        <v>28.1</v>
      </c>
    </row>
    <row r="288" spans="13:14">
      <c r="M288">
        <v>-0.591745992</v>
      </c>
      <c r="N288">
        <v>28.2</v>
      </c>
    </row>
    <row r="289" spans="13:14">
      <c r="M289">
        <v>-0.59157664799999998</v>
      </c>
      <c r="N289">
        <v>28.3</v>
      </c>
    </row>
    <row r="290" spans="13:14">
      <c r="M290">
        <v>-0.58933893599999998</v>
      </c>
      <c r="N290">
        <v>28.4</v>
      </c>
    </row>
    <row r="291" spans="13:14">
      <c r="M291">
        <v>-0.58669764000000002</v>
      </c>
      <c r="N291">
        <v>28.5</v>
      </c>
    </row>
    <row r="292" spans="13:14">
      <c r="M292">
        <v>-0.58476272799999995</v>
      </c>
      <c r="N292">
        <v>28.6</v>
      </c>
    </row>
    <row r="293" spans="13:14">
      <c r="M293">
        <v>-0.58459377599999995</v>
      </c>
      <c r="N293">
        <v>28.7</v>
      </c>
    </row>
    <row r="294" spans="13:14">
      <c r="M294">
        <v>-0.58442482399999995</v>
      </c>
      <c r="N294">
        <v>28.8</v>
      </c>
    </row>
    <row r="295" spans="13:14">
      <c r="M295">
        <v>-0.58270412800000004</v>
      </c>
      <c r="N295">
        <v>28.9</v>
      </c>
    </row>
    <row r="296" spans="13:14">
      <c r="M296">
        <v>-0.58042307999999998</v>
      </c>
      <c r="N296">
        <v>29</v>
      </c>
    </row>
    <row r="297" spans="13:14">
      <c r="M297">
        <v>-0.57830539999999997</v>
      </c>
      <c r="N297">
        <v>29.1</v>
      </c>
    </row>
    <row r="298" spans="13:14">
      <c r="M298">
        <v>-0.57691380000000003</v>
      </c>
      <c r="N298">
        <v>29.2</v>
      </c>
    </row>
    <row r="299" spans="13:14">
      <c r="M299">
        <v>-0.57552219999999998</v>
      </c>
      <c r="N299">
        <v>29.3</v>
      </c>
    </row>
    <row r="300" spans="13:14">
      <c r="M300">
        <v>-0.57354656000000004</v>
      </c>
      <c r="N300">
        <v>29.4</v>
      </c>
    </row>
    <row r="301" spans="13:14">
      <c r="M301">
        <v>-0.57123179999999996</v>
      </c>
      <c r="N301">
        <v>29.5</v>
      </c>
    </row>
    <row r="302" spans="13:14">
      <c r="M302">
        <v>-0.56876059199999995</v>
      </c>
      <c r="N302">
        <v>29.6</v>
      </c>
    </row>
    <row r="303" spans="13:14">
      <c r="M303">
        <v>-0.56452934399999999</v>
      </c>
      <c r="N303">
        <v>29.7</v>
      </c>
    </row>
    <row r="304" spans="13:14">
      <c r="M304">
        <v>-0.56029809600000002</v>
      </c>
      <c r="N304">
        <v>29.8</v>
      </c>
    </row>
    <row r="305" spans="13:14">
      <c r="M305">
        <v>-0.55824585599999998</v>
      </c>
      <c r="N305">
        <v>29.9</v>
      </c>
    </row>
    <row r="306" spans="13:14">
      <c r="M306">
        <v>-0.55812119999999998</v>
      </c>
      <c r="N306">
        <v>30</v>
      </c>
    </row>
    <row r="307" spans="13:14">
      <c r="M307">
        <v>-0.55799654399999998</v>
      </c>
      <c r="N307">
        <v>30.1</v>
      </c>
    </row>
    <row r="308" spans="13:14">
      <c r="M308">
        <v>-0.557876496</v>
      </c>
      <c r="N308">
        <v>30.2</v>
      </c>
    </row>
    <row r="309" spans="13:14">
      <c r="M309">
        <v>-0.55775654399999997</v>
      </c>
      <c r="N309">
        <v>30.3</v>
      </c>
    </row>
    <row r="310" spans="13:14">
      <c r="M310">
        <v>-0.55483687199999998</v>
      </c>
      <c r="N310">
        <v>30.4</v>
      </c>
    </row>
    <row r="311" spans="13:14">
      <c r="M311">
        <v>-0.54818423999999999</v>
      </c>
      <c r="N311">
        <v>30.5</v>
      </c>
    </row>
    <row r="312" spans="13:14">
      <c r="M312">
        <v>-0.541531608</v>
      </c>
      <c r="N312">
        <v>30.6</v>
      </c>
    </row>
    <row r="313" spans="13:14">
      <c r="M313">
        <v>-0.54049924800000004</v>
      </c>
      <c r="N313">
        <v>30.7</v>
      </c>
    </row>
    <row r="314" spans="13:14">
      <c r="M314">
        <v>-0.54025111199999998</v>
      </c>
      <c r="N314">
        <v>30.8</v>
      </c>
    </row>
    <row r="315" spans="13:14">
      <c r="M315">
        <v>-0.54001436800000002</v>
      </c>
      <c r="N315">
        <v>30.9</v>
      </c>
    </row>
    <row r="316" spans="13:14">
      <c r="M316">
        <v>-0.53980112000000002</v>
      </c>
      <c r="N316">
        <v>31</v>
      </c>
    </row>
    <row r="317" spans="13:14">
      <c r="M317">
        <v>-0.53958787200000002</v>
      </c>
      <c r="N317">
        <v>31.1</v>
      </c>
    </row>
    <row r="318" spans="13:14">
      <c r="M318">
        <v>-0.53914236800000004</v>
      </c>
      <c r="N318">
        <v>31.2</v>
      </c>
    </row>
    <row r="319" spans="13:14">
      <c r="M319">
        <v>-0.53862963200000002</v>
      </c>
      <c r="N319">
        <v>31.3</v>
      </c>
    </row>
    <row r="320" spans="13:14">
      <c r="M320">
        <v>-0.53723170399999998</v>
      </c>
      <c r="N320">
        <v>31.4</v>
      </c>
    </row>
    <row r="321" spans="13:14">
      <c r="M321">
        <v>-0.53277584</v>
      </c>
      <c r="N321">
        <v>31.5</v>
      </c>
    </row>
    <row r="322" spans="13:14">
      <c r="M322">
        <v>-0.52831997600000002</v>
      </c>
      <c r="N322">
        <v>31.6</v>
      </c>
    </row>
    <row r="323" spans="13:14">
      <c r="M323">
        <v>-0.52570973600000004</v>
      </c>
      <c r="N323">
        <v>31.7</v>
      </c>
    </row>
    <row r="324" spans="13:14">
      <c r="M324">
        <v>-0.523994344</v>
      </c>
      <c r="N324">
        <v>31.8</v>
      </c>
    </row>
    <row r="325" spans="13:14">
      <c r="M325">
        <v>-0.52244124000000003</v>
      </c>
      <c r="N325">
        <v>31.9</v>
      </c>
    </row>
    <row r="326" spans="13:14">
      <c r="M326">
        <v>-0.52205120000000005</v>
      </c>
      <c r="N326">
        <v>32</v>
      </c>
    </row>
    <row r="327" spans="13:14">
      <c r="M327">
        <v>-0.52166115999999996</v>
      </c>
      <c r="N327">
        <v>32.1</v>
      </c>
    </row>
    <row r="328" spans="13:14">
      <c r="M328">
        <v>-0.52060382400000005</v>
      </c>
      <c r="N328">
        <v>32.200000000000003</v>
      </c>
    </row>
    <row r="329" spans="13:14">
      <c r="M329">
        <v>-0.519046016</v>
      </c>
      <c r="N329">
        <v>32.299999999999997</v>
      </c>
    </row>
    <row r="330" spans="13:14">
      <c r="M330">
        <v>-0.51745683200000003</v>
      </c>
      <c r="N330">
        <v>32.4</v>
      </c>
    </row>
    <row r="331" spans="13:14">
      <c r="M331">
        <v>-0.51436159999999997</v>
      </c>
      <c r="N331">
        <v>32.5</v>
      </c>
    </row>
    <row r="332" spans="13:14">
      <c r="M332">
        <v>-0.51126636800000003</v>
      </c>
      <c r="N332">
        <v>32.6</v>
      </c>
    </row>
    <row r="333" spans="13:14">
      <c r="M333">
        <v>-0.50880041600000003</v>
      </c>
      <c r="N333">
        <v>32.700000000000003</v>
      </c>
    </row>
    <row r="334" spans="13:14">
      <c r="M334">
        <v>-0.50704582399999998</v>
      </c>
      <c r="N334">
        <v>32.799999999999997</v>
      </c>
    </row>
    <row r="335" spans="13:14">
      <c r="M335">
        <v>-0.50529123200000003</v>
      </c>
      <c r="N335">
        <v>32.9</v>
      </c>
    </row>
    <row r="336" spans="13:14">
      <c r="M336">
        <v>-0.50390672000000003</v>
      </c>
      <c r="N336">
        <v>33</v>
      </c>
    </row>
    <row r="337" spans="13:14">
      <c r="M337">
        <v>-0.50255510400000003</v>
      </c>
      <c r="N337">
        <v>33.1</v>
      </c>
    </row>
    <row r="338" spans="13:14">
      <c r="M338">
        <v>-0.50156449599999997</v>
      </c>
      <c r="N338">
        <v>33.200000000000003</v>
      </c>
    </row>
    <row r="339" spans="13:14">
      <c r="M339">
        <v>-0.50119562399999995</v>
      </c>
      <c r="N339">
        <v>33.299999999999997</v>
      </c>
    </row>
    <row r="340" spans="13:14">
      <c r="M340">
        <v>-0.50082675200000004</v>
      </c>
      <c r="N340">
        <v>33.4</v>
      </c>
    </row>
    <row r="341" spans="13:14">
      <c r="M341">
        <v>-0.49816539999999998</v>
      </c>
      <c r="N341">
        <v>33.5</v>
      </c>
    </row>
    <row r="342" spans="13:14">
      <c r="M342">
        <v>-0.49498824000000002</v>
      </c>
      <c r="N342">
        <v>33.6</v>
      </c>
    </row>
    <row r="343" spans="13:14">
      <c r="M343">
        <v>-0.492161768</v>
      </c>
      <c r="N343">
        <v>33.700000000000003</v>
      </c>
    </row>
    <row r="344" spans="13:14">
      <c r="M344">
        <v>-0.49030643200000001</v>
      </c>
      <c r="N344">
        <v>33.799999999999997</v>
      </c>
    </row>
    <row r="345" spans="13:14">
      <c r="M345">
        <v>-0.48845109599999997</v>
      </c>
      <c r="N345">
        <v>33.9</v>
      </c>
    </row>
    <row r="346" spans="13:14">
      <c r="M346">
        <v>-0.48778547999999999</v>
      </c>
      <c r="N346">
        <v>34</v>
      </c>
    </row>
    <row r="347" spans="13:14">
      <c r="M347">
        <v>-0.48759575199999999</v>
      </c>
      <c r="N347">
        <v>34.1</v>
      </c>
    </row>
    <row r="348" spans="13:14">
      <c r="M348">
        <v>-0.48738804000000002</v>
      </c>
      <c r="N348">
        <v>34.200000000000003</v>
      </c>
    </row>
    <row r="349" spans="13:14">
      <c r="M349">
        <v>-0.48708815999999999</v>
      </c>
      <c r="N349">
        <v>34.299999999999997</v>
      </c>
    </row>
    <row r="350" spans="13:14">
      <c r="M350">
        <v>-0.48678828000000002</v>
      </c>
      <c r="N350">
        <v>34.4</v>
      </c>
    </row>
    <row r="351" spans="13:14">
      <c r="M351">
        <v>-0.48553728000000002</v>
      </c>
      <c r="N351">
        <v>34.5</v>
      </c>
    </row>
    <row r="352" spans="13:14">
      <c r="M352">
        <v>-0.483683904</v>
      </c>
      <c r="N352">
        <v>34.6</v>
      </c>
    </row>
    <row r="353" spans="13:14">
      <c r="M353">
        <v>-0.481809192</v>
      </c>
      <c r="N353">
        <v>34.700000000000003</v>
      </c>
    </row>
    <row r="354" spans="13:14">
      <c r="M354">
        <v>-0.479607328</v>
      </c>
      <c r="N354">
        <v>34.799999999999997</v>
      </c>
    </row>
    <row r="355" spans="13:14">
      <c r="M355">
        <v>-0.477405464</v>
      </c>
      <c r="N355">
        <v>34.9</v>
      </c>
    </row>
    <row r="356" spans="13:14">
      <c r="M356">
        <v>-0.47318260000000001</v>
      </c>
      <c r="N356">
        <v>35</v>
      </c>
    </row>
    <row r="357" spans="13:14">
      <c r="M357">
        <v>-0.46701957599999999</v>
      </c>
      <c r="N357">
        <v>35.1</v>
      </c>
    </row>
    <row r="358" spans="13:14">
      <c r="M358">
        <v>-0.46085655199999997</v>
      </c>
      <c r="N358">
        <v>35.200000000000003</v>
      </c>
    </row>
    <row r="359" spans="13:14">
      <c r="M359">
        <v>-0.46057717599999998</v>
      </c>
      <c r="N359">
        <v>35.299999999999997</v>
      </c>
    </row>
    <row r="360" spans="13:14">
      <c r="M360">
        <v>-0.46054816799999998</v>
      </c>
      <c r="N360">
        <v>35.4</v>
      </c>
    </row>
    <row r="361" spans="13:14">
      <c r="M361">
        <v>-0.45928636</v>
      </c>
      <c r="N361">
        <v>35.5</v>
      </c>
    </row>
    <row r="362" spans="13:14">
      <c r="M362">
        <v>-0.45623699200000001</v>
      </c>
      <c r="N362">
        <v>35.6</v>
      </c>
    </row>
    <row r="363" spans="13:14">
      <c r="M363">
        <v>-0.45318762400000001</v>
      </c>
      <c r="N363">
        <v>35.700000000000003</v>
      </c>
    </row>
    <row r="364" spans="13:14">
      <c r="M364">
        <v>-0.447120976</v>
      </c>
      <c r="N364">
        <v>35.799999999999997</v>
      </c>
    </row>
    <row r="365" spans="13:14">
      <c r="M365">
        <v>-0.44055144800000001</v>
      </c>
      <c r="N365">
        <v>35.9</v>
      </c>
    </row>
    <row r="366" spans="13:14">
      <c r="M366">
        <v>-0.43596552</v>
      </c>
      <c r="N366">
        <v>36</v>
      </c>
    </row>
    <row r="367" spans="13:14">
      <c r="M367">
        <v>-0.43587575200000001</v>
      </c>
      <c r="N367">
        <v>36.1</v>
      </c>
    </row>
    <row r="368" spans="13:14">
      <c r="M368">
        <v>-0.43578598400000002</v>
      </c>
      <c r="N368">
        <v>36.200000000000003</v>
      </c>
    </row>
    <row r="369" spans="13:14">
      <c r="M369">
        <v>-0.43080304000000003</v>
      </c>
      <c r="N369">
        <v>36.299999999999997</v>
      </c>
    </row>
    <row r="370" spans="13:14">
      <c r="M370">
        <v>-0.42423312000000002</v>
      </c>
      <c r="N370">
        <v>36.4</v>
      </c>
    </row>
    <row r="371" spans="13:14">
      <c r="M371">
        <v>-0.41851023999999998</v>
      </c>
      <c r="N371">
        <v>36.5</v>
      </c>
    </row>
    <row r="372" spans="13:14">
      <c r="M372">
        <v>-0.41609081599999997</v>
      </c>
      <c r="N372">
        <v>36.6</v>
      </c>
    </row>
    <row r="373" spans="13:14">
      <c r="M373">
        <v>-0.41367139200000003</v>
      </c>
      <c r="N373">
        <v>36.700000000000003</v>
      </c>
    </row>
    <row r="374" spans="13:14">
      <c r="M374">
        <v>-0.41085977600000001</v>
      </c>
      <c r="N374">
        <v>36.799999999999997</v>
      </c>
    </row>
    <row r="375" spans="13:14">
      <c r="M375">
        <v>-0.40783980800000003</v>
      </c>
      <c r="N375">
        <v>36.9</v>
      </c>
    </row>
    <row r="376" spans="13:14">
      <c r="M376">
        <v>-0.40502152000000002</v>
      </c>
      <c r="N376">
        <v>37</v>
      </c>
    </row>
    <row r="377" spans="13:14">
      <c r="M377">
        <v>-0.403978016</v>
      </c>
      <c r="N377">
        <v>37.1</v>
      </c>
    </row>
    <row r="378" spans="13:14">
      <c r="M378">
        <v>-0.40293451200000002</v>
      </c>
      <c r="N378">
        <v>37.200000000000003</v>
      </c>
    </row>
    <row r="379" spans="13:14">
      <c r="M379">
        <v>-0.39714570399999999</v>
      </c>
      <c r="N379">
        <v>37.299999999999997</v>
      </c>
    </row>
    <row r="380" spans="13:14">
      <c r="M380">
        <v>-0.38749035199999998</v>
      </c>
      <c r="N380">
        <v>37.4</v>
      </c>
    </row>
    <row r="381" spans="13:14">
      <c r="M381">
        <v>-0.37783499999999998</v>
      </c>
      <c r="N381">
        <v>37.5</v>
      </c>
    </row>
    <row r="382" spans="13:14">
      <c r="M382">
        <v>-0.37334072000000001</v>
      </c>
      <c r="N382">
        <v>37.6</v>
      </c>
    </row>
    <row r="383" spans="13:14">
      <c r="M383">
        <v>-0.36884644</v>
      </c>
      <c r="N383">
        <v>37.700000000000003</v>
      </c>
    </row>
    <row r="384" spans="13:14">
      <c r="M384">
        <v>-0.36611163200000002</v>
      </c>
      <c r="N384">
        <v>37.799999999999997</v>
      </c>
    </row>
    <row r="385" spans="13:14">
      <c r="M385">
        <v>-0.36553617599999999</v>
      </c>
      <c r="N385">
        <v>37.9</v>
      </c>
    </row>
    <row r="386" spans="13:14">
      <c r="M386">
        <v>-0.36496072000000002</v>
      </c>
      <c r="N386">
        <v>38</v>
      </c>
    </row>
    <row r="387" spans="13:14">
      <c r="M387">
        <v>-0.35988776</v>
      </c>
      <c r="N387">
        <v>38.1</v>
      </c>
    </row>
    <row r="388" spans="13:14">
      <c r="M388">
        <v>-0.35430371999999999</v>
      </c>
      <c r="N388">
        <v>38.200000000000003</v>
      </c>
    </row>
    <row r="389" spans="13:14">
      <c r="M389">
        <v>-0.350657</v>
      </c>
      <c r="N389">
        <v>38.299999999999997</v>
      </c>
    </row>
    <row r="390" spans="13:14">
      <c r="M390">
        <v>-0.350657</v>
      </c>
      <c r="N390">
        <v>38.4</v>
      </c>
    </row>
    <row r="391" spans="13:14">
      <c r="M391">
        <v>-0.350657</v>
      </c>
      <c r="N391">
        <v>38.5</v>
      </c>
    </row>
    <row r="392" spans="13:14">
      <c r="M392">
        <v>-0.350657</v>
      </c>
      <c r="N392">
        <v>38.6</v>
      </c>
    </row>
    <row r="393" spans="13:14">
      <c r="M393">
        <v>-0.350657</v>
      </c>
      <c r="N393">
        <v>38.700000000000003</v>
      </c>
    </row>
    <row r="394" spans="13:14">
      <c r="M394">
        <v>-0.35043312799999998</v>
      </c>
      <c r="N394">
        <v>38.799999999999997</v>
      </c>
    </row>
    <row r="395" spans="13:14">
      <c r="M395">
        <v>-0.34951898399999998</v>
      </c>
      <c r="N395">
        <v>38.9</v>
      </c>
    </row>
    <row r="396" spans="13:14">
      <c r="M396">
        <v>-0.34860484000000003</v>
      </c>
      <c r="N396">
        <v>39</v>
      </c>
    </row>
    <row r="397" spans="13:14">
      <c r="M397">
        <v>-0.34509635999999999</v>
      </c>
      <c r="N397">
        <v>39.1</v>
      </c>
    </row>
    <row r="398" spans="13:14">
      <c r="M398">
        <v>-0.34044331999999999</v>
      </c>
      <c r="N398">
        <v>39.200000000000003</v>
      </c>
    </row>
    <row r="399" spans="13:14">
      <c r="M399">
        <v>-0.33602990399999999</v>
      </c>
      <c r="N399">
        <v>39.299999999999997</v>
      </c>
    </row>
    <row r="400" spans="13:14">
      <c r="M400">
        <v>-0.33305423200000001</v>
      </c>
      <c r="N400">
        <v>39.4</v>
      </c>
    </row>
    <row r="401" spans="13:14">
      <c r="M401">
        <v>-0.33007856000000002</v>
      </c>
      <c r="N401">
        <v>39.5</v>
      </c>
    </row>
    <row r="402" spans="13:14">
      <c r="M402">
        <v>-0.32748290400000002</v>
      </c>
      <c r="N402">
        <v>39.6</v>
      </c>
    </row>
    <row r="403" spans="13:14">
      <c r="M403">
        <v>-0.32514932800000002</v>
      </c>
      <c r="N403">
        <v>39.700000000000003</v>
      </c>
    </row>
    <row r="404" spans="13:14">
      <c r="M404">
        <v>-0.322859544</v>
      </c>
      <c r="N404">
        <v>39.799999999999997</v>
      </c>
    </row>
    <row r="405" spans="13:14">
      <c r="M405">
        <v>-0.32159887199999998</v>
      </c>
      <c r="N405">
        <v>39.9</v>
      </c>
    </row>
    <row r="406" spans="13:14">
      <c r="M406">
        <v>-0.32033820000000002</v>
      </c>
      <c r="N406">
        <v>40</v>
      </c>
    </row>
    <row r="407" spans="13:14">
      <c r="M407">
        <v>-0.31538594399999997</v>
      </c>
      <c r="N407">
        <v>40.1</v>
      </c>
    </row>
    <row r="408" spans="13:14">
      <c r="M408">
        <v>-0.30658828799999999</v>
      </c>
      <c r="N408">
        <v>40.200000000000003</v>
      </c>
    </row>
    <row r="409" spans="13:14">
      <c r="M409">
        <v>-0.297790632</v>
      </c>
      <c r="N409">
        <v>40.299999999999997</v>
      </c>
    </row>
    <row r="410" spans="13:14">
      <c r="M410">
        <v>-0.29511097600000002</v>
      </c>
      <c r="N410">
        <v>40.4</v>
      </c>
    </row>
    <row r="411" spans="13:14">
      <c r="M411">
        <v>-0.29283031999999998</v>
      </c>
      <c r="N411">
        <v>40.5</v>
      </c>
    </row>
    <row r="412" spans="13:14">
      <c r="M412">
        <v>-0.29063645599999999</v>
      </c>
      <c r="N412">
        <v>40.6</v>
      </c>
    </row>
    <row r="413" spans="13:14">
      <c r="M413">
        <v>-0.28857963199999997</v>
      </c>
      <c r="N413">
        <v>40.700000000000003</v>
      </c>
    </row>
    <row r="414" spans="13:14">
      <c r="M414">
        <v>-0.28652280800000002</v>
      </c>
      <c r="N414">
        <v>40.799999999999997</v>
      </c>
    </row>
    <row r="415" spans="13:14">
      <c r="M415">
        <v>-0.27589829599999999</v>
      </c>
      <c r="N415">
        <v>40.9</v>
      </c>
    </row>
    <row r="416" spans="13:14">
      <c r="M416">
        <v>-0.26360203999999998</v>
      </c>
      <c r="N416">
        <v>41</v>
      </c>
    </row>
    <row r="417" spans="13:14">
      <c r="M417">
        <v>-0.25481900000000002</v>
      </c>
      <c r="N417">
        <v>41.1</v>
      </c>
    </row>
    <row r="418" spans="13:14">
      <c r="M418">
        <v>-0.25481900000000002</v>
      </c>
      <c r="N418">
        <v>41.2</v>
      </c>
    </row>
    <row r="419" spans="13:14">
      <c r="M419">
        <v>-0.25481900000000002</v>
      </c>
      <c r="N419">
        <v>41.3</v>
      </c>
    </row>
    <row r="420" spans="13:14">
      <c r="M420">
        <v>-0.25381704799999999</v>
      </c>
      <c r="N420">
        <v>41.4</v>
      </c>
    </row>
    <row r="421" spans="13:14">
      <c r="M421">
        <v>-0.25245328</v>
      </c>
      <c r="N421">
        <v>41.5</v>
      </c>
    </row>
    <row r="422" spans="13:14">
      <c r="M422">
        <v>-0.25036864800000003</v>
      </c>
      <c r="N422">
        <v>41.6</v>
      </c>
    </row>
    <row r="423" spans="13:14">
      <c r="M423">
        <v>-0.24508017600000001</v>
      </c>
      <c r="N423">
        <v>41.7</v>
      </c>
    </row>
    <row r="424" spans="13:14">
      <c r="M424">
        <v>-0.23979170399999999</v>
      </c>
      <c r="N424">
        <v>41.8</v>
      </c>
    </row>
    <row r="425" spans="13:14">
      <c r="M425">
        <v>-0.23645375199999999</v>
      </c>
      <c r="N425">
        <v>41.9</v>
      </c>
    </row>
    <row r="426" spans="13:14">
      <c r="M426">
        <v>-0.23424835999999999</v>
      </c>
      <c r="N426">
        <v>42</v>
      </c>
    </row>
    <row r="427" spans="13:14">
      <c r="M427">
        <v>-0.23213682399999999</v>
      </c>
      <c r="N427">
        <v>42.1</v>
      </c>
    </row>
    <row r="428" spans="13:14">
      <c r="M428">
        <v>-0.231081168</v>
      </c>
      <c r="N428">
        <v>42.2</v>
      </c>
    </row>
    <row r="429" spans="13:14">
      <c r="M429">
        <v>-0.23002551199999999</v>
      </c>
      <c r="N429">
        <v>42.3</v>
      </c>
    </row>
    <row r="430" spans="13:14">
      <c r="M430">
        <v>-0.229486528</v>
      </c>
      <c r="N430">
        <v>42.4</v>
      </c>
    </row>
    <row r="431" spans="13:14">
      <c r="M431">
        <v>-0.22940459999999999</v>
      </c>
      <c r="N431">
        <v>42.5</v>
      </c>
    </row>
    <row r="432" spans="13:14">
      <c r="M432">
        <v>-0.22932267200000001</v>
      </c>
      <c r="N432">
        <v>42.6</v>
      </c>
    </row>
    <row r="433" spans="13:14">
      <c r="M433">
        <v>-0.22652893599999999</v>
      </c>
      <c r="N433">
        <v>42.7</v>
      </c>
    </row>
    <row r="434" spans="13:14">
      <c r="M434">
        <v>-0.22367870400000001</v>
      </c>
      <c r="N434">
        <v>42.8</v>
      </c>
    </row>
    <row r="435" spans="13:14">
      <c r="M435">
        <v>-0.22050893599999999</v>
      </c>
      <c r="N435">
        <v>42.9</v>
      </c>
    </row>
    <row r="436" spans="13:14">
      <c r="M436">
        <v>-0.21691311999999999</v>
      </c>
      <c r="N436">
        <v>43</v>
      </c>
    </row>
    <row r="437" spans="13:14">
      <c r="M437">
        <v>-0.21331730400000001</v>
      </c>
      <c r="N437">
        <v>43.1</v>
      </c>
    </row>
    <row r="438" spans="13:14">
      <c r="M438">
        <v>-0.21194613600000001</v>
      </c>
      <c r="N438">
        <v>43.2</v>
      </c>
    </row>
    <row r="439" spans="13:14">
      <c r="M439">
        <v>-0.21088538400000001</v>
      </c>
      <c r="N439">
        <v>43.3</v>
      </c>
    </row>
    <row r="440" spans="13:14">
      <c r="M440">
        <v>-0.20823960799999999</v>
      </c>
      <c r="N440">
        <v>43.4</v>
      </c>
    </row>
    <row r="441" spans="13:14">
      <c r="M441">
        <v>-0.20232472000000001</v>
      </c>
      <c r="N441">
        <v>43.5</v>
      </c>
    </row>
    <row r="442" spans="13:14">
      <c r="M442">
        <v>-0.19640983200000001</v>
      </c>
      <c r="N442">
        <v>43.6</v>
      </c>
    </row>
    <row r="443" spans="13:14">
      <c r="M443">
        <v>-0.194700176</v>
      </c>
      <c r="N443">
        <v>43.7</v>
      </c>
    </row>
    <row r="444" spans="13:14">
      <c r="M444">
        <v>-0.194207824</v>
      </c>
      <c r="N444">
        <v>43.8</v>
      </c>
    </row>
    <row r="445" spans="13:14">
      <c r="M445">
        <v>-0.19358681599999999</v>
      </c>
      <c r="N445">
        <v>43.9</v>
      </c>
    </row>
    <row r="446" spans="13:14">
      <c r="M446">
        <v>-0.19252136</v>
      </c>
      <c r="N446">
        <v>44</v>
      </c>
    </row>
    <row r="447" spans="13:14">
      <c r="M447">
        <v>-0.19145590400000001</v>
      </c>
      <c r="N447">
        <v>44.1</v>
      </c>
    </row>
    <row r="448" spans="13:14">
      <c r="M448">
        <v>-0.18769870399999999</v>
      </c>
      <c r="N448">
        <v>44.2</v>
      </c>
    </row>
    <row r="449" spans="13:14">
      <c r="M449">
        <v>-0.182636416</v>
      </c>
      <c r="N449">
        <v>44.3</v>
      </c>
    </row>
    <row r="450" spans="13:14">
      <c r="M450">
        <v>-0.17791732800000001</v>
      </c>
      <c r="N450">
        <v>44.4</v>
      </c>
    </row>
    <row r="451" spans="13:14">
      <c r="M451">
        <v>-0.17565784000000001</v>
      </c>
      <c r="N451">
        <v>44.5</v>
      </c>
    </row>
    <row r="452" spans="13:14">
      <c r="M452">
        <v>-0.17339835200000001</v>
      </c>
      <c r="N452">
        <v>44.6</v>
      </c>
    </row>
    <row r="453" spans="13:14">
      <c r="M453">
        <v>-0.16923911999999999</v>
      </c>
      <c r="N453">
        <v>44.7</v>
      </c>
    </row>
    <row r="454" spans="13:14">
      <c r="M454">
        <v>-0.16365508000000001</v>
      </c>
      <c r="N454">
        <v>44.8</v>
      </c>
    </row>
    <row r="455" spans="13:14">
      <c r="M455">
        <v>-0.15816487200000001</v>
      </c>
      <c r="N455">
        <v>44.9</v>
      </c>
    </row>
    <row r="456" spans="13:14">
      <c r="M456">
        <v>-0.1571786</v>
      </c>
      <c r="N456">
        <v>45</v>
      </c>
    </row>
    <row r="457" spans="13:14">
      <c r="M457">
        <v>-0.15619232799999999</v>
      </c>
      <c r="N457">
        <v>45.1</v>
      </c>
    </row>
    <row r="458" spans="13:14">
      <c r="M458">
        <v>-0.15563054400000001</v>
      </c>
      <c r="N458">
        <v>45.2</v>
      </c>
    </row>
    <row r="459" spans="13:14">
      <c r="M459">
        <v>-0.155548616</v>
      </c>
      <c r="N459">
        <v>45.3</v>
      </c>
    </row>
    <row r="460" spans="13:14">
      <c r="M460">
        <v>-0.15546668799999999</v>
      </c>
      <c r="N460">
        <v>45.4</v>
      </c>
    </row>
    <row r="461" spans="13:14">
      <c r="M461">
        <v>-0.15545999999999999</v>
      </c>
      <c r="N461">
        <v>45.5</v>
      </c>
    </row>
    <row r="462" spans="13:14">
      <c r="M462">
        <v>-0.15545999999999999</v>
      </c>
      <c r="N462">
        <v>45.6</v>
      </c>
    </row>
    <row r="463" spans="13:14">
      <c r="M463">
        <v>-0.155445888</v>
      </c>
      <c r="N463">
        <v>45.7</v>
      </c>
    </row>
    <row r="464" spans="13:14">
      <c r="M464">
        <v>-0.15540747199999999</v>
      </c>
      <c r="N464">
        <v>45.8</v>
      </c>
    </row>
    <row r="465" spans="13:14">
      <c r="M465">
        <v>-0.15536905600000001</v>
      </c>
      <c r="N465">
        <v>45.9</v>
      </c>
    </row>
    <row r="466" spans="13:14">
      <c r="M466">
        <v>-0.15250920000000001</v>
      </c>
      <c r="N466">
        <v>46</v>
      </c>
    </row>
    <row r="467" spans="13:14">
      <c r="M467">
        <v>-0.14901452000000001</v>
      </c>
      <c r="N467">
        <v>46.1</v>
      </c>
    </row>
    <row r="468" spans="13:14">
      <c r="M468">
        <v>-0.14577453600000001</v>
      </c>
      <c r="N468">
        <v>46.2</v>
      </c>
    </row>
    <row r="469" spans="13:14">
      <c r="M469">
        <v>-0.14323986399999999</v>
      </c>
      <c r="N469">
        <v>46.3</v>
      </c>
    </row>
    <row r="470" spans="13:14">
      <c r="M470">
        <v>-0.14070519200000001</v>
      </c>
      <c r="N470">
        <v>46.4</v>
      </c>
    </row>
    <row r="471" spans="13:14">
      <c r="M471">
        <v>-0.13910823999999999</v>
      </c>
      <c r="N471">
        <v>46.5</v>
      </c>
    </row>
    <row r="472" spans="13:14">
      <c r="M472">
        <v>-0.137886376</v>
      </c>
      <c r="N472">
        <v>46.6</v>
      </c>
    </row>
    <row r="473" spans="13:14">
      <c r="M473">
        <v>-0.13678348800000001</v>
      </c>
      <c r="N473">
        <v>46.7</v>
      </c>
    </row>
    <row r="474" spans="13:14">
      <c r="M474">
        <v>-0.136290352</v>
      </c>
      <c r="N474">
        <v>46.8</v>
      </c>
    </row>
    <row r="475" spans="13:14">
      <c r="M475">
        <v>-0.135797216</v>
      </c>
      <c r="N475">
        <v>46.9</v>
      </c>
    </row>
    <row r="476" spans="13:14">
      <c r="M476">
        <v>-0.13118688000000001</v>
      </c>
      <c r="N476">
        <v>47</v>
      </c>
    </row>
    <row r="477" spans="13:14">
      <c r="M477">
        <v>-0.123968984</v>
      </c>
      <c r="N477">
        <v>47.1</v>
      </c>
    </row>
    <row r="478" spans="13:14">
      <c r="M478">
        <v>-0.1171078</v>
      </c>
      <c r="N478">
        <v>47.2</v>
      </c>
    </row>
    <row r="479" spans="13:14">
      <c r="M479">
        <v>-0.11571620000000001</v>
      </c>
      <c r="N479">
        <v>47.3</v>
      </c>
    </row>
    <row r="480" spans="13:14">
      <c r="M480">
        <v>-0.1143246</v>
      </c>
      <c r="N480">
        <v>47.4</v>
      </c>
    </row>
    <row r="481" spans="13:14">
      <c r="M481">
        <v>-0.1124468</v>
      </c>
      <c r="N481">
        <v>47.5</v>
      </c>
    </row>
    <row r="482" spans="13:14">
      <c r="M482">
        <v>-0.110102248</v>
      </c>
      <c r="N482">
        <v>47.6</v>
      </c>
    </row>
    <row r="483" spans="13:14">
      <c r="M483">
        <v>-0.107757696</v>
      </c>
      <c r="N483">
        <v>47.7</v>
      </c>
    </row>
    <row r="484" spans="13:14">
      <c r="M484">
        <v>-0.10420656</v>
      </c>
      <c r="N484">
        <v>47.8</v>
      </c>
    </row>
    <row r="485" spans="13:14">
      <c r="M485">
        <v>-0.10060408</v>
      </c>
      <c r="N485">
        <v>47.9</v>
      </c>
    </row>
    <row r="486" spans="13:14">
      <c r="M486">
        <v>-9.8472000000000004E-2</v>
      </c>
      <c r="N486">
        <v>48</v>
      </c>
    </row>
    <row r="487" spans="13:14">
      <c r="M487">
        <v>-9.8472000000000004E-2</v>
      </c>
      <c r="N487">
        <v>48.1</v>
      </c>
    </row>
    <row r="488" spans="13:14">
      <c r="M488">
        <v>-9.8472000000000004E-2</v>
      </c>
      <c r="N488">
        <v>48.2</v>
      </c>
    </row>
    <row r="489" spans="13:14">
      <c r="M489">
        <v>-9.6163680000000099E-2</v>
      </c>
      <c r="N489">
        <v>48.3</v>
      </c>
    </row>
    <row r="490" spans="13:14">
      <c r="M490">
        <v>-9.3470639999999897E-2</v>
      </c>
      <c r="N490">
        <v>48.4</v>
      </c>
    </row>
    <row r="491" spans="13:14">
      <c r="M491">
        <v>-9.1440960000000002E-2</v>
      </c>
      <c r="N491">
        <v>48.5</v>
      </c>
    </row>
    <row r="492" spans="13:14">
      <c r="M492">
        <v>-9.0914895999999995E-2</v>
      </c>
      <c r="N492">
        <v>48.6</v>
      </c>
    </row>
    <row r="493" spans="13:14">
      <c r="M493">
        <v>-9.0388832000000002E-2</v>
      </c>
      <c r="N493">
        <v>48.7</v>
      </c>
    </row>
    <row r="494" spans="13:14">
      <c r="M494">
        <v>-8.6921416000000098E-2</v>
      </c>
      <c r="N494">
        <v>48.8</v>
      </c>
    </row>
    <row r="495" spans="13:14">
      <c r="M495">
        <v>-8.2500048000000104E-2</v>
      </c>
      <c r="N495">
        <v>48.9</v>
      </c>
    </row>
    <row r="496" spans="13:14">
      <c r="M496">
        <v>-7.8961879999999998E-2</v>
      </c>
      <c r="N496">
        <v>49</v>
      </c>
    </row>
    <row r="497" spans="13:14">
      <c r="M497">
        <v>-7.8868192000000004E-2</v>
      </c>
      <c r="N497">
        <v>49.1</v>
      </c>
    </row>
    <row r="498" spans="13:14">
      <c r="M498">
        <v>-7.8774503999999995E-2</v>
      </c>
      <c r="N498">
        <v>49.2</v>
      </c>
    </row>
    <row r="499" spans="13:14">
      <c r="M499">
        <v>-7.8595823999999995E-2</v>
      </c>
      <c r="N499">
        <v>49.3</v>
      </c>
    </row>
    <row r="500" spans="13:14">
      <c r="M500">
        <v>-7.8371992000000001E-2</v>
      </c>
      <c r="N500">
        <v>49.4</v>
      </c>
    </row>
    <row r="501" spans="13:14">
      <c r="M501">
        <v>-7.8120400000000007E-2</v>
      </c>
      <c r="N501">
        <v>49.5</v>
      </c>
    </row>
    <row r="502" spans="13:14">
      <c r="M502">
        <v>-7.7624520000000002E-2</v>
      </c>
      <c r="N502">
        <v>49.6</v>
      </c>
    </row>
    <row r="503" spans="13:14">
      <c r="M503">
        <v>-7.7128639999999998E-2</v>
      </c>
      <c r="N503">
        <v>49.7</v>
      </c>
    </row>
    <row r="504" spans="13:14">
      <c r="M504">
        <v>-7.2423135999999805E-2</v>
      </c>
      <c r="N504">
        <v>49.8</v>
      </c>
    </row>
    <row r="505" spans="13:14">
      <c r="M505">
        <v>-6.4287567999999906E-2</v>
      </c>
      <c r="N505">
        <v>49.9</v>
      </c>
    </row>
    <row r="506" spans="13:14">
      <c r="M506">
        <v>-5.6152000000000001E-2</v>
      </c>
      <c r="N506">
        <v>50</v>
      </c>
    </row>
    <row r="507" spans="13:14">
      <c r="M507">
        <v>-5.5897592000000003E-2</v>
      </c>
      <c r="N507">
        <v>50.1</v>
      </c>
    </row>
    <row r="508" spans="13:14">
      <c r="M508">
        <v>-5.5643183999999998E-2</v>
      </c>
      <c r="N508">
        <v>50.2</v>
      </c>
    </row>
    <row r="509" spans="13:14">
      <c r="M509">
        <v>-5.5502999999999997E-2</v>
      </c>
      <c r="N509">
        <v>50.3</v>
      </c>
    </row>
    <row r="510" spans="13:14">
      <c r="M510">
        <v>-5.5502999999999997E-2</v>
      </c>
      <c r="N510">
        <v>50.4</v>
      </c>
    </row>
    <row r="511" spans="13:14">
      <c r="M511">
        <v>-5.5502999999999997E-2</v>
      </c>
      <c r="N511">
        <v>50.5</v>
      </c>
    </row>
    <row r="512" spans="13:14">
      <c r="M512">
        <v>-5.2958392E-2</v>
      </c>
      <c r="N512">
        <v>50.6</v>
      </c>
    </row>
    <row r="513" spans="13:14">
      <c r="M513">
        <v>-5.0124624E-2</v>
      </c>
      <c r="N513">
        <v>50.7</v>
      </c>
    </row>
    <row r="514" spans="13:14">
      <c r="M514">
        <v>-4.8271552000000002E-2</v>
      </c>
      <c r="N514">
        <v>50.8</v>
      </c>
    </row>
    <row r="515" spans="13:14">
      <c r="M515">
        <v>-4.8264495999999997E-2</v>
      </c>
      <c r="N515">
        <v>50.9</v>
      </c>
    </row>
    <row r="516" spans="13:14">
      <c r="M516">
        <v>-4.8257439999999999E-2</v>
      </c>
      <c r="N516">
        <v>51</v>
      </c>
    </row>
    <row r="517" spans="13:14">
      <c r="M517">
        <v>-4.5692919999999901E-2</v>
      </c>
      <c r="N517">
        <v>51.1</v>
      </c>
    </row>
    <row r="518" spans="13:14">
      <c r="M518">
        <v>-4.2472639999999902E-2</v>
      </c>
      <c r="N518">
        <v>51.2</v>
      </c>
    </row>
    <row r="519" spans="13:14">
      <c r="M519">
        <v>-3.9978503999999998E-2</v>
      </c>
      <c r="N519">
        <v>51.3</v>
      </c>
    </row>
    <row r="520" spans="13:14">
      <c r="M520">
        <v>-3.9723311999999997E-2</v>
      </c>
      <c r="N520">
        <v>51.4</v>
      </c>
    </row>
    <row r="521" spans="13:14">
      <c r="M521">
        <v>-3.9468120000000002E-2</v>
      </c>
      <c r="N521">
        <v>51.5</v>
      </c>
    </row>
    <row r="522" spans="13:14">
      <c r="M522">
        <v>-3.7242832000000101E-2</v>
      </c>
      <c r="N522">
        <v>51.6</v>
      </c>
    </row>
    <row r="523" spans="13:14">
      <c r="M523">
        <v>-3.41483839999999E-2</v>
      </c>
      <c r="N523">
        <v>51.7</v>
      </c>
    </row>
    <row r="524" spans="13:14">
      <c r="M524">
        <v>-3.1496000000000003E-2</v>
      </c>
      <c r="N524">
        <v>51.8</v>
      </c>
    </row>
    <row r="525" spans="13:14">
      <c r="M525">
        <v>-3.1496000000000003E-2</v>
      </c>
      <c r="N525">
        <v>51.9</v>
      </c>
    </row>
    <row r="526" spans="13:14">
      <c r="M526">
        <v>-3.1496000000000003E-2</v>
      </c>
      <c r="N526">
        <v>52</v>
      </c>
    </row>
    <row r="527" spans="13:14">
      <c r="M527">
        <v>-3.012256E-2</v>
      </c>
      <c r="N527">
        <v>52.1</v>
      </c>
    </row>
    <row r="528" spans="13:14">
      <c r="M528">
        <v>-2.7801920000000001E-2</v>
      </c>
      <c r="N528">
        <v>52.2</v>
      </c>
    </row>
    <row r="529" spans="13:14">
      <c r="M529">
        <v>-2.5565999999999998E-2</v>
      </c>
      <c r="N529">
        <v>52.3</v>
      </c>
    </row>
    <row r="530" spans="13:14">
      <c r="M530">
        <v>-2.5321E-2</v>
      </c>
      <c r="N530">
        <v>52.4</v>
      </c>
    </row>
    <row r="531" spans="13:14">
      <c r="M531">
        <v>-2.5076000000000001E-2</v>
      </c>
      <c r="N531">
        <v>52.5</v>
      </c>
    </row>
    <row r="532" spans="13:14">
      <c r="M532">
        <v>-2.4126359999999999E-2</v>
      </c>
      <c r="N532">
        <v>52.6</v>
      </c>
    </row>
    <row r="533" spans="13:14">
      <c r="M533">
        <v>-2.2442719999999999E-2</v>
      </c>
      <c r="N533">
        <v>52.7</v>
      </c>
    </row>
    <row r="534" spans="13:14">
      <c r="M534">
        <v>-2.0759079999999999E-2</v>
      </c>
      <c r="N534">
        <v>52.8</v>
      </c>
    </row>
    <row r="535" spans="13:14">
      <c r="M535">
        <v>-1.9960848E-2</v>
      </c>
      <c r="N535">
        <v>52.9</v>
      </c>
    </row>
    <row r="536" spans="13:14">
      <c r="M536">
        <v>-1.9220359999999999E-2</v>
      </c>
      <c r="N536">
        <v>53</v>
      </c>
    </row>
    <row r="537" spans="13:14">
      <c r="M537">
        <v>-1.8727784000000001E-2</v>
      </c>
      <c r="N537">
        <v>53.1</v>
      </c>
    </row>
    <row r="538" spans="13:14">
      <c r="M538">
        <v>-1.8626647999999999E-2</v>
      </c>
      <c r="N538">
        <v>53.2</v>
      </c>
    </row>
    <row r="539" spans="13:14">
      <c r="M539">
        <v>-1.8525512000000001E-2</v>
      </c>
      <c r="N539">
        <v>53.3</v>
      </c>
    </row>
    <row r="540" spans="13:14">
      <c r="M540">
        <v>-1.8322040000000001E-2</v>
      </c>
      <c r="N540">
        <v>53.4</v>
      </c>
    </row>
    <row r="541" spans="13:14">
      <c r="M541">
        <v>-1.8098599999999999E-2</v>
      </c>
      <c r="N541">
        <v>53.5</v>
      </c>
    </row>
    <row r="542" spans="13:14">
      <c r="M542">
        <v>-1.6893703999999801E-2</v>
      </c>
      <c r="N542">
        <v>53.6</v>
      </c>
    </row>
    <row r="543" spans="13:14">
      <c r="M543">
        <v>-1.3235167999999801E-2</v>
      </c>
      <c r="N543">
        <v>53.7</v>
      </c>
    </row>
    <row r="544" spans="13:14">
      <c r="M544">
        <v>-9.5766319999998593E-3</v>
      </c>
      <c r="N544">
        <v>53.8</v>
      </c>
    </row>
    <row r="545" spans="13:14">
      <c r="M545">
        <v>-8.5550239999999996E-3</v>
      </c>
      <c r="N545">
        <v>53.9</v>
      </c>
    </row>
    <row r="546" spans="13:14">
      <c r="M546">
        <v>-8.4856399999999992E-3</v>
      </c>
      <c r="N546">
        <v>54</v>
      </c>
    </row>
    <row r="547" spans="13:14">
      <c r="M547">
        <v>-8.4235999999999998E-3</v>
      </c>
      <c r="N547">
        <v>54.1</v>
      </c>
    </row>
    <row r="548" spans="13:14">
      <c r="M548">
        <v>-8.3941999999999992E-3</v>
      </c>
      <c r="N548">
        <v>54.2</v>
      </c>
    </row>
    <row r="549" spans="13:14">
      <c r="M549">
        <v>-8.3648000000000004E-3</v>
      </c>
      <c r="N549">
        <v>54.3</v>
      </c>
    </row>
    <row r="550" spans="13:14">
      <c r="M550">
        <v>-8.0591279999999797E-3</v>
      </c>
      <c r="N550">
        <v>54.4</v>
      </c>
    </row>
    <row r="551" spans="13:14">
      <c r="M551">
        <v>-7.5930399999999797E-3</v>
      </c>
      <c r="N551">
        <v>54.5</v>
      </c>
    </row>
    <row r="552" spans="13:14">
      <c r="M552">
        <v>-7.0192719999999497E-3</v>
      </c>
      <c r="N552">
        <v>54.6</v>
      </c>
    </row>
    <row r="553" spans="13:14">
      <c r="M553">
        <v>-5.2341039999999703E-3</v>
      </c>
      <c r="N553">
        <v>54.7</v>
      </c>
    </row>
    <row r="554" spans="13:14">
      <c r="M554">
        <v>-3.44893599999986E-3</v>
      </c>
      <c r="N554">
        <v>54.8</v>
      </c>
    </row>
    <row r="555" spans="13:14">
      <c r="M555">
        <v>-1.91419999999991E-3</v>
      </c>
      <c r="N555">
        <v>54.9</v>
      </c>
    </row>
    <row r="556" spans="13:14">
      <c r="M556">
        <v>-6.0099999999992397E-4</v>
      </c>
      <c r="N556">
        <v>55</v>
      </c>
    </row>
    <row r="557" spans="13:14">
      <c r="M557">
        <v>7.1220000000006198E-4</v>
      </c>
      <c r="N557">
        <v>55.1</v>
      </c>
    </row>
    <row r="558" spans="13:14">
      <c r="M558">
        <v>1.0101040000000099E-3</v>
      </c>
      <c r="N558">
        <v>55.2</v>
      </c>
    </row>
    <row r="559" spans="13:14">
      <c r="M559">
        <v>1.28685600000001E-3</v>
      </c>
      <c r="N559">
        <v>55.3</v>
      </c>
    </row>
    <row r="560" spans="13:14">
      <c r="M560">
        <v>3.6145520000000798E-3</v>
      </c>
      <c r="N560">
        <v>55.4</v>
      </c>
    </row>
    <row r="561" spans="13:14">
      <c r="M561">
        <v>8.6768400000004006E-3</v>
      </c>
      <c r="N561">
        <v>55.5</v>
      </c>
    </row>
    <row r="562" spans="13:14">
      <c r="M562">
        <v>1.37391280000003E-2</v>
      </c>
      <c r="N562">
        <v>55.6</v>
      </c>
    </row>
    <row r="563" spans="13:14">
      <c r="M563">
        <v>1.7125792000000199E-2</v>
      </c>
      <c r="N563">
        <v>55.7</v>
      </c>
    </row>
    <row r="564" spans="13:14">
      <c r="M564">
        <v>2.02786480000001E-2</v>
      </c>
      <c r="N564">
        <v>55.8</v>
      </c>
    </row>
    <row r="565" spans="13:14">
      <c r="M565">
        <v>2.2875088000000099E-2</v>
      </c>
      <c r="N565">
        <v>55.9</v>
      </c>
    </row>
    <row r="566" spans="13:14">
      <c r="M566">
        <v>2.4323919999999999E-2</v>
      </c>
      <c r="N566">
        <v>56</v>
      </c>
    </row>
    <row r="567" spans="13:14">
      <c r="M567">
        <v>2.57727520000001E-2</v>
      </c>
      <c r="N567">
        <v>56.1</v>
      </c>
    </row>
    <row r="568" spans="13:14">
      <c r="M568">
        <v>2.7766656000000198E-2</v>
      </c>
      <c r="N568">
        <v>56.2</v>
      </c>
    </row>
    <row r="569" spans="13:14">
      <c r="M569">
        <v>2.99183440000001E-2</v>
      </c>
      <c r="N569">
        <v>56.3</v>
      </c>
    </row>
    <row r="570" spans="13:14">
      <c r="M570">
        <v>3.3482168000000499E-2</v>
      </c>
      <c r="N570">
        <v>56.4</v>
      </c>
    </row>
    <row r="571" spans="13:14">
      <c r="M571">
        <v>4.1924280000000397E-2</v>
      </c>
      <c r="N571">
        <v>56.5</v>
      </c>
    </row>
    <row r="572" spans="13:14">
      <c r="M572">
        <v>5.0366392000000301E-2</v>
      </c>
      <c r="N572">
        <v>56.6</v>
      </c>
    </row>
    <row r="573" spans="13:14">
      <c r="M573">
        <v>5.3758184000000001E-2</v>
      </c>
      <c r="N573">
        <v>56.7</v>
      </c>
    </row>
    <row r="574" spans="13:14">
      <c r="M574">
        <v>5.47013360000001E-2</v>
      </c>
      <c r="N574">
        <v>56.8</v>
      </c>
    </row>
    <row r="575" spans="13:14">
      <c r="M575">
        <v>5.5529000000000002E-2</v>
      </c>
      <c r="N575">
        <v>56.9</v>
      </c>
    </row>
    <row r="576" spans="13:14">
      <c r="M576">
        <v>5.5529000000000002E-2</v>
      </c>
      <c r="N576">
        <v>57</v>
      </c>
    </row>
    <row r="577" spans="13:14">
      <c r="M577">
        <v>5.5529000000000002E-2</v>
      </c>
      <c r="N577">
        <v>57.1</v>
      </c>
    </row>
    <row r="578" spans="13:14">
      <c r="M578">
        <v>5.8637448000000203E-2</v>
      </c>
      <c r="N578">
        <v>57.2</v>
      </c>
    </row>
    <row r="579" spans="13:14">
      <c r="M579">
        <v>6.4077232000000206E-2</v>
      </c>
      <c r="N579">
        <v>57.3</v>
      </c>
    </row>
    <row r="580" spans="13:14">
      <c r="M580">
        <v>6.94307440000001E-2</v>
      </c>
      <c r="N580">
        <v>57.4</v>
      </c>
    </row>
    <row r="581" spans="13:14">
      <c r="M581">
        <v>7.06432000000001E-2</v>
      </c>
      <c r="N581">
        <v>57.5</v>
      </c>
    </row>
    <row r="582" spans="13:14">
      <c r="M582">
        <v>7.1855656000000101E-2</v>
      </c>
      <c r="N582">
        <v>57.6</v>
      </c>
    </row>
    <row r="583" spans="13:14">
      <c r="M583">
        <v>7.2957159999999896E-2</v>
      </c>
      <c r="N583">
        <v>57.7</v>
      </c>
    </row>
    <row r="584" spans="13:14">
      <c r="M584">
        <v>7.3933239999999997E-2</v>
      </c>
      <c r="N584">
        <v>57.8</v>
      </c>
    </row>
    <row r="585" spans="13:14">
      <c r="M585">
        <v>7.4909320000000001E-2</v>
      </c>
      <c r="N585">
        <v>57.9</v>
      </c>
    </row>
    <row r="586" spans="13:14">
      <c r="M586">
        <v>7.499836E-2</v>
      </c>
      <c r="N586">
        <v>58</v>
      </c>
    </row>
    <row r="587" spans="13:14">
      <c r="M587">
        <v>7.5008552000000006E-2</v>
      </c>
      <c r="N587">
        <v>58.1</v>
      </c>
    </row>
    <row r="588" spans="13:14">
      <c r="M588">
        <v>7.5781223999999897E-2</v>
      </c>
      <c r="N588">
        <v>58.2</v>
      </c>
    </row>
    <row r="589" spans="13:14">
      <c r="M589">
        <v>7.7867055999999907E-2</v>
      </c>
      <c r="N589">
        <v>58.3</v>
      </c>
    </row>
    <row r="590" spans="13:14">
      <c r="M590">
        <v>7.9952888E-2</v>
      </c>
      <c r="N590">
        <v>58.4</v>
      </c>
    </row>
    <row r="591" spans="13:14">
      <c r="M591">
        <v>8.3095999999999906E-2</v>
      </c>
      <c r="N591">
        <v>58.5</v>
      </c>
    </row>
    <row r="592" spans="13:14">
      <c r="M592">
        <v>8.6476999999999901E-2</v>
      </c>
      <c r="N592">
        <v>58.6</v>
      </c>
    </row>
    <row r="593" spans="13:14">
      <c r="M593">
        <v>8.9458119999999905E-2</v>
      </c>
      <c r="N593">
        <v>58.7</v>
      </c>
    </row>
    <row r="594" spans="13:14">
      <c r="M594">
        <v>9.1331879999999893E-2</v>
      </c>
      <c r="N594">
        <v>58.8</v>
      </c>
    </row>
    <row r="595" spans="13:14">
      <c r="M595">
        <v>9.3205639999999895E-2</v>
      </c>
      <c r="N595">
        <v>58.9</v>
      </c>
    </row>
    <row r="596" spans="13:14">
      <c r="M596">
        <v>9.5634640000000007E-2</v>
      </c>
      <c r="N596">
        <v>59</v>
      </c>
    </row>
    <row r="597" spans="13:14">
      <c r="M597">
        <v>9.8285735999999999E-2</v>
      </c>
      <c r="N597">
        <v>59.1</v>
      </c>
    </row>
    <row r="598" spans="13:14">
      <c r="M598">
        <v>0.100504</v>
      </c>
      <c r="N598">
        <v>59.2</v>
      </c>
    </row>
    <row r="599" spans="13:14">
      <c r="M599">
        <v>0.100504</v>
      </c>
      <c r="N599">
        <v>59.3</v>
      </c>
    </row>
    <row r="600" spans="13:14">
      <c r="M600">
        <v>0.100504</v>
      </c>
      <c r="N600">
        <v>59.4</v>
      </c>
    </row>
    <row r="601" spans="13:14">
      <c r="M601">
        <v>0.10222456000000001</v>
      </c>
      <c r="N601">
        <v>59.5</v>
      </c>
    </row>
    <row r="602" spans="13:14">
      <c r="M602">
        <v>0.10503480799999999</v>
      </c>
      <c r="N602">
        <v>59.6</v>
      </c>
    </row>
    <row r="603" spans="13:14">
      <c r="M603">
        <v>0.108444024</v>
      </c>
      <c r="N603">
        <v>59.7</v>
      </c>
    </row>
    <row r="604" spans="13:14">
      <c r="M604">
        <v>0.12103741599999999</v>
      </c>
      <c r="N604">
        <v>59.8</v>
      </c>
    </row>
    <row r="605" spans="13:14">
      <c r="M605">
        <v>0.13363080799999999</v>
      </c>
      <c r="N605">
        <v>59.9</v>
      </c>
    </row>
    <row r="606" spans="13:14">
      <c r="M606">
        <v>0.14210619999999999</v>
      </c>
      <c r="N606">
        <v>60</v>
      </c>
    </row>
    <row r="607" spans="13:14">
      <c r="M607">
        <v>0.14662831200000001</v>
      </c>
      <c r="N607">
        <v>60.1</v>
      </c>
    </row>
    <row r="608" spans="13:14">
      <c r="M608">
        <v>0.15115042400000001</v>
      </c>
      <c r="N608">
        <v>60.2</v>
      </c>
    </row>
    <row r="609" spans="13:14">
      <c r="M609">
        <v>0.15177792800000001</v>
      </c>
      <c r="N609">
        <v>60.3</v>
      </c>
    </row>
    <row r="610" spans="13:14">
      <c r="M610">
        <v>0.152239704</v>
      </c>
      <c r="N610">
        <v>60.4</v>
      </c>
    </row>
    <row r="611" spans="13:14">
      <c r="M611">
        <v>0.15457172</v>
      </c>
      <c r="N611">
        <v>60.5</v>
      </c>
    </row>
    <row r="612" spans="13:14">
      <c r="M612">
        <v>0.159615584</v>
      </c>
      <c r="N612">
        <v>60.6</v>
      </c>
    </row>
    <row r="613" spans="13:14">
      <c r="M613">
        <v>0.16465944800000001</v>
      </c>
      <c r="N613">
        <v>60.7</v>
      </c>
    </row>
    <row r="614" spans="13:14">
      <c r="M614">
        <v>0.16656675200000001</v>
      </c>
      <c r="N614">
        <v>60.8</v>
      </c>
    </row>
    <row r="615" spans="13:14">
      <c r="M615">
        <v>0.167951296</v>
      </c>
      <c r="N615">
        <v>60.9</v>
      </c>
    </row>
    <row r="616" spans="13:14">
      <c r="M616">
        <v>0.16903464000000001</v>
      </c>
      <c r="N616">
        <v>61</v>
      </c>
    </row>
    <row r="617" spans="13:14">
      <c r="M617">
        <v>0.169435264</v>
      </c>
      <c r="N617">
        <v>61.1</v>
      </c>
    </row>
    <row r="618" spans="13:14">
      <c r="M618">
        <v>0.16983588799999999</v>
      </c>
      <c r="N618">
        <v>61.2</v>
      </c>
    </row>
    <row r="619" spans="13:14">
      <c r="M619">
        <v>0.172955568</v>
      </c>
      <c r="N619">
        <v>61.3</v>
      </c>
    </row>
    <row r="620" spans="13:14">
      <c r="M620">
        <v>0.176957104</v>
      </c>
      <c r="N620">
        <v>61.4</v>
      </c>
    </row>
    <row r="621" spans="13:14">
      <c r="M621">
        <v>0.18083984</v>
      </c>
      <c r="N621">
        <v>61.5</v>
      </c>
    </row>
    <row r="622" spans="13:14">
      <c r="M622">
        <v>0.18425925600000001</v>
      </c>
      <c r="N622">
        <v>61.6</v>
      </c>
    </row>
    <row r="623" spans="13:14">
      <c r="M623">
        <v>0.18767867199999999</v>
      </c>
      <c r="N623">
        <v>61.7</v>
      </c>
    </row>
    <row r="624" spans="13:14">
      <c r="M624">
        <v>0.18932042399999999</v>
      </c>
      <c r="N624">
        <v>61.8</v>
      </c>
    </row>
    <row r="625" spans="13:14">
      <c r="M625">
        <v>0.19001779199999999</v>
      </c>
      <c r="N625">
        <v>61.9</v>
      </c>
    </row>
    <row r="626" spans="13:14">
      <c r="M626">
        <v>0.19123344</v>
      </c>
      <c r="N626">
        <v>62</v>
      </c>
    </row>
    <row r="627" spans="13:14">
      <c r="M627">
        <v>0.19700995199999999</v>
      </c>
      <c r="N627">
        <v>62.1</v>
      </c>
    </row>
    <row r="628" spans="13:14">
      <c r="M628">
        <v>0.202786464</v>
      </c>
      <c r="N628">
        <v>62.2</v>
      </c>
    </row>
    <row r="629" spans="13:14">
      <c r="M629">
        <v>0.205977456</v>
      </c>
      <c r="N629">
        <v>62.3</v>
      </c>
    </row>
    <row r="630" spans="13:14">
      <c r="M630">
        <v>0.207061728</v>
      </c>
      <c r="N630">
        <v>62.4</v>
      </c>
    </row>
    <row r="631" spans="13:14">
      <c r="M631">
        <v>0.208146</v>
      </c>
      <c r="N631">
        <v>62.5</v>
      </c>
    </row>
    <row r="632" spans="13:14">
      <c r="M632">
        <v>0.21975703999999999</v>
      </c>
      <c r="N632">
        <v>62.6</v>
      </c>
    </row>
    <row r="633" spans="13:14">
      <c r="M633">
        <v>0.23136808</v>
      </c>
      <c r="N633">
        <v>62.7</v>
      </c>
    </row>
    <row r="634" spans="13:14">
      <c r="M634">
        <v>0.23776600000000001</v>
      </c>
      <c r="N634">
        <v>62.8</v>
      </c>
    </row>
    <row r="635" spans="13:14">
      <c r="M635">
        <v>0.23776600000000001</v>
      </c>
      <c r="N635">
        <v>62.9</v>
      </c>
    </row>
    <row r="636" spans="13:14">
      <c r="M636">
        <v>0.23776600000000001</v>
      </c>
      <c r="N636">
        <v>63</v>
      </c>
    </row>
    <row r="637" spans="13:14">
      <c r="M637">
        <v>0.24442478400000001</v>
      </c>
      <c r="N637">
        <v>63.1</v>
      </c>
    </row>
    <row r="638" spans="13:14">
      <c r="M638">
        <v>0.25184024799999999</v>
      </c>
      <c r="N638">
        <v>63.2</v>
      </c>
    </row>
    <row r="639" spans="13:14">
      <c r="M639">
        <v>0.258252168</v>
      </c>
      <c r="N639">
        <v>63.3</v>
      </c>
    </row>
    <row r="640" spans="13:14">
      <c r="M640">
        <v>0.262775064</v>
      </c>
      <c r="N640">
        <v>63.4</v>
      </c>
    </row>
    <row r="641" spans="13:14">
      <c r="M641">
        <v>0.26729796</v>
      </c>
      <c r="N641">
        <v>63.5</v>
      </c>
    </row>
    <row r="642" spans="13:14">
      <c r="M642">
        <v>0.26822911199999999</v>
      </c>
      <c r="N642">
        <v>63.6</v>
      </c>
    </row>
    <row r="643" spans="13:14">
      <c r="M643">
        <v>0.26823930400000001</v>
      </c>
      <c r="N643">
        <v>63.7</v>
      </c>
    </row>
    <row r="644" spans="13:14">
      <c r="M644">
        <v>0.268707896</v>
      </c>
      <c r="N644">
        <v>63.8</v>
      </c>
    </row>
    <row r="645" spans="13:14">
      <c r="M645">
        <v>0.270589888</v>
      </c>
      <c r="N645">
        <v>63.9</v>
      </c>
    </row>
    <row r="646" spans="13:14">
      <c r="M646">
        <v>0.27247188</v>
      </c>
      <c r="N646">
        <v>64</v>
      </c>
    </row>
    <row r="647" spans="13:14">
      <c r="M647">
        <v>0.27321800000000002</v>
      </c>
      <c r="N647">
        <v>64.099999999999994</v>
      </c>
    </row>
    <row r="648" spans="13:14">
      <c r="M648">
        <v>0.27346300000000001</v>
      </c>
      <c r="N648">
        <v>64.2</v>
      </c>
    </row>
    <row r="649" spans="13:14">
      <c r="M649">
        <v>0.27401443199999997</v>
      </c>
      <c r="N649">
        <v>64.3</v>
      </c>
    </row>
    <row r="650" spans="13:14">
      <c r="M650">
        <v>0.27640445600000002</v>
      </c>
      <c r="N650">
        <v>64.400000000000006</v>
      </c>
    </row>
    <row r="651" spans="13:14">
      <c r="M651">
        <v>0.27879448000000001</v>
      </c>
      <c r="N651">
        <v>64.5</v>
      </c>
    </row>
    <row r="652" spans="13:14">
      <c r="M652">
        <v>0.28126477599999999</v>
      </c>
      <c r="N652">
        <v>64.599999999999994</v>
      </c>
    </row>
    <row r="653" spans="13:14">
      <c r="M653">
        <v>0.28379043199999998</v>
      </c>
      <c r="N653">
        <v>64.7</v>
      </c>
    </row>
    <row r="654" spans="13:14">
      <c r="M654">
        <v>0.28622927199999998</v>
      </c>
      <c r="N654">
        <v>64.8</v>
      </c>
    </row>
    <row r="655" spans="13:14">
      <c r="M655">
        <v>0.28662793600000003</v>
      </c>
      <c r="N655">
        <v>64.900000000000006</v>
      </c>
    </row>
    <row r="656" spans="13:14">
      <c r="M656">
        <v>0.28702660000000002</v>
      </c>
      <c r="N656">
        <v>65</v>
      </c>
    </row>
    <row r="657" spans="13:14">
      <c r="M657">
        <v>0.28722999999999999</v>
      </c>
      <c r="N657">
        <v>65.099999999999994</v>
      </c>
    </row>
    <row r="658" spans="13:14">
      <c r="M658">
        <v>0.28722999999999999</v>
      </c>
      <c r="N658">
        <v>65.2</v>
      </c>
    </row>
    <row r="659" spans="13:14">
      <c r="M659">
        <v>0.28722999999999999</v>
      </c>
      <c r="N659">
        <v>65.3</v>
      </c>
    </row>
    <row r="660" spans="13:14">
      <c r="M660">
        <v>0.28785854399999999</v>
      </c>
      <c r="N660">
        <v>65.400000000000006</v>
      </c>
    </row>
    <row r="661" spans="13:14">
      <c r="M661">
        <v>0.28852808000000002</v>
      </c>
      <c r="N661">
        <v>65.5</v>
      </c>
    </row>
    <row r="662" spans="13:14">
      <c r="M662">
        <v>0.29023304</v>
      </c>
      <c r="N662">
        <v>65.599999999999994</v>
      </c>
    </row>
    <row r="663" spans="13:14">
      <c r="M663">
        <v>0.29357287999999998</v>
      </c>
      <c r="N663">
        <v>65.7</v>
      </c>
    </row>
    <row r="664" spans="13:14">
      <c r="M664">
        <v>0.29691272000000002</v>
      </c>
      <c r="N664">
        <v>65.8</v>
      </c>
    </row>
    <row r="665" spans="13:14">
      <c r="M665">
        <v>0.297985424</v>
      </c>
      <c r="N665">
        <v>65.900000000000006</v>
      </c>
    </row>
    <row r="666" spans="13:14">
      <c r="M666">
        <v>0.29861576000000001</v>
      </c>
      <c r="N666">
        <v>66</v>
      </c>
    </row>
    <row r="667" spans="13:14">
      <c r="M667">
        <v>0.29952710399999999</v>
      </c>
      <c r="N667">
        <v>66.099999999999994</v>
      </c>
    </row>
    <row r="668" spans="13:14">
      <c r="M668">
        <v>0.30114096800000001</v>
      </c>
      <c r="N668">
        <v>66.2</v>
      </c>
    </row>
    <row r="669" spans="13:14">
      <c r="M669">
        <v>0.30275483199999997</v>
      </c>
      <c r="N669">
        <v>66.3</v>
      </c>
    </row>
    <row r="670" spans="13:14">
      <c r="M670">
        <v>0.303387768</v>
      </c>
      <c r="N670">
        <v>66.400000000000006</v>
      </c>
    </row>
    <row r="671" spans="13:14">
      <c r="M671">
        <v>0.30366648000000002</v>
      </c>
      <c r="N671">
        <v>66.5</v>
      </c>
    </row>
    <row r="672" spans="13:14">
      <c r="M672">
        <v>0.30402208800000002</v>
      </c>
      <c r="N672">
        <v>66.599999999999994</v>
      </c>
    </row>
    <row r="673" spans="13:14">
      <c r="M673">
        <v>0.304719456</v>
      </c>
      <c r="N673">
        <v>66.7</v>
      </c>
    </row>
    <row r="674" spans="13:14">
      <c r="M674">
        <v>0.30541682399999998</v>
      </c>
      <c r="N674">
        <v>66.8</v>
      </c>
    </row>
    <row r="675" spans="13:14">
      <c r="M675">
        <v>0.30573127999999999</v>
      </c>
      <c r="N675">
        <v>66.900000000000006</v>
      </c>
    </row>
    <row r="676" spans="13:14">
      <c r="M676">
        <v>0.30582340000000002</v>
      </c>
      <c r="N676">
        <v>67</v>
      </c>
    </row>
    <row r="677" spans="13:14">
      <c r="M677">
        <v>0.30594003199999997</v>
      </c>
      <c r="N677">
        <v>67.099999999999994</v>
      </c>
    </row>
    <row r="678" spans="13:14">
      <c r="M678">
        <v>0.30633242399999999</v>
      </c>
      <c r="N678">
        <v>67.2</v>
      </c>
    </row>
    <row r="679" spans="13:14">
      <c r="M679">
        <v>0.30672481600000001</v>
      </c>
      <c r="N679">
        <v>67.3</v>
      </c>
    </row>
    <row r="680" spans="13:14">
      <c r="M680">
        <v>0.30715402400000003</v>
      </c>
      <c r="N680">
        <v>67.400000000000006</v>
      </c>
    </row>
    <row r="681" spans="13:14">
      <c r="M681">
        <v>0.30761579999999999</v>
      </c>
      <c r="N681">
        <v>67.5</v>
      </c>
    </row>
    <row r="682" spans="13:14">
      <c r="M682">
        <v>0.30807757600000002</v>
      </c>
      <c r="N682">
        <v>67.599999999999994</v>
      </c>
    </row>
    <row r="683" spans="13:14">
      <c r="M683">
        <v>0.308087</v>
      </c>
      <c r="N683">
        <v>67.7</v>
      </c>
    </row>
    <row r="684" spans="13:14">
      <c r="M684">
        <v>0.308087</v>
      </c>
      <c r="N684">
        <v>67.8</v>
      </c>
    </row>
    <row r="685" spans="13:14">
      <c r="M685">
        <v>0.309152288</v>
      </c>
      <c r="N685">
        <v>67.900000000000006</v>
      </c>
    </row>
    <row r="686" spans="13:14">
      <c r="M686">
        <v>0.31163795999999999</v>
      </c>
      <c r="N686">
        <v>68</v>
      </c>
    </row>
    <row r="687" spans="13:14">
      <c r="M687">
        <v>0.31412363199999999</v>
      </c>
      <c r="N687">
        <v>68.099999999999994</v>
      </c>
    </row>
    <row r="688" spans="13:14">
      <c r="M688">
        <v>0.31894919199999999</v>
      </c>
      <c r="N688">
        <v>68.2</v>
      </c>
    </row>
    <row r="689" spans="13:14">
      <c r="M689">
        <v>0.32410124800000101</v>
      </c>
      <c r="N689">
        <v>68.3</v>
      </c>
    </row>
    <row r="690" spans="13:14">
      <c r="M690">
        <v>0.32889631200000002</v>
      </c>
      <c r="N690">
        <v>68.400000000000006</v>
      </c>
    </row>
    <row r="691" spans="13:14">
      <c r="M691">
        <v>0.33295508000000001</v>
      </c>
      <c r="N691">
        <v>68.5</v>
      </c>
    </row>
    <row r="692" spans="13:14">
      <c r="M692">
        <v>0.337013848</v>
      </c>
      <c r="N692">
        <v>68.599999999999994</v>
      </c>
    </row>
    <row r="693" spans="13:14">
      <c r="M693">
        <v>0.33792499999999998</v>
      </c>
      <c r="N693">
        <v>68.7</v>
      </c>
    </row>
    <row r="694" spans="13:14">
      <c r="M694">
        <v>0.33792499999999998</v>
      </c>
      <c r="N694">
        <v>68.8</v>
      </c>
    </row>
    <row r="695" spans="13:14">
      <c r="M695">
        <v>0.33878748800000003</v>
      </c>
      <c r="N695">
        <v>68.900000000000006</v>
      </c>
    </row>
    <row r="696" spans="13:14">
      <c r="M696">
        <v>0.34262947999999999</v>
      </c>
      <c r="N696">
        <v>69</v>
      </c>
    </row>
    <row r="697" spans="13:14">
      <c r="M697">
        <v>0.346471472</v>
      </c>
      <c r="N697">
        <v>69.099999999999994</v>
      </c>
    </row>
    <row r="698" spans="13:14">
      <c r="M698">
        <v>0.35338431199999998</v>
      </c>
      <c r="N698">
        <v>69.2</v>
      </c>
    </row>
    <row r="699" spans="13:14">
      <c r="M699">
        <v>0.36178604800000003</v>
      </c>
      <c r="N699">
        <v>69.3</v>
      </c>
    </row>
    <row r="700" spans="13:14">
      <c r="M700">
        <v>0.369791496</v>
      </c>
      <c r="N700">
        <v>69.400000000000006</v>
      </c>
    </row>
    <row r="701" spans="13:14">
      <c r="M701">
        <v>0.37495687999999999</v>
      </c>
      <c r="N701">
        <v>69.5</v>
      </c>
    </row>
    <row r="702" spans="13:14">
      <c r="M702">
        <v>0.38012226400000099</v>
      </c>
      <c r="N702">
        <v>69.599999999999994</v>
      </c>
    </row>
    <row r="703" spans="13:14">
      <c r="M703">
        <v>0.38233600000000001</v>
      </c>
      <c r="N703">
        <v>69.7</v>
      </c>
    </row>
    <row r="704" spans="13:14">
      <c r="M704">
        <v>0.38233600000000001</v>
      </c>
      <c r="N704">
        <v>69.8</v>
      </c>
    </row>
    <row r="705" spans="13:14">
      <c r="M705">
        <v>0.38239192799999999</v>
      </c>
      <c r="N705">
        <v>69.900000000000006</v>
      </c>
    </row>
    <row r="706" spans="13:14">
      <c r="M706">
        <v>0.38513239999999999</v>
      </c>
      <c r="N706">
        <v>70</v>
      </c>
    </row>
    <row r="707" spans="13:14">
      <c r="M707">
        <v>0.38787287199999998</v>
      </c>
      <c r="N707">
        <v>70.099999999999994</v>
      </c>
    </row>
    <row r="708" spans="13:14">
      <c r="M708">
        <v>0.392369992</v>
      </c>
      <c r="N708">
        <v>70.2</v>
      </c>
    </row>
    <row r="709" spans="13:14">
      <c r="M709">
        <v>0.39885288800000002</v>
      </c>
      <c r="N709">
        <v>70.3</v>
      </c>
    </row>
    <row r="710" spans="13:14">
      <c r="M710">
        <v>0.40533578399999898</v>
      </c>
      <c r="N710">
        <v>70.400000000000006</v>
      </c>
    </row>
    <row r="711" spans="13:14">
      <c r="M711">
        <v>0.40847391999999999</v>
      </c>
      <c r="N711">
        <v>70.5</v>
      </c>
    </row>
    <row r="712" spans="13:14">
      <c r="M712">
        <v>0.41131474400000001</v>
      </c>
      <c r="N712">
        <v>70.599999999999994</v>
      </c>
    </row>
    <row r="713" spans="13:14">
      <c r="M713">
        <v>0.41429323200000001</v>
      </c>
      <c r="N713">
        <v>70.7</v>
      </c>
    </row>
    <row r="714" spans="13:14">
      <c r="M714">
        <v>0.41750880800000001</v>
      </c>
      <c r="N714">
        <v>70.8</v>
      </c>
    </row>
    <row r="715" spans="13:14">
      <c r="M715">
        <v>0.42072438400000001</v>
      </c>
      <c r="N715">
        <v>70.900000000000006</v>
      </c>
    </row>
    <row r="716" spans="13:14">
      <c r="M716">
        <v>0.42229132000000003</v>
      </c>
      <c r="N716">
        <v>71</v>
      </c>
    </row>
    <row r="717" spans="13:14">
      <c r="M717">
        <v>0.423487312</v>
      </c>
      <c r="N717">
        <v>71.099999999999994</v>
      </c>
    </row>
    <row r="718" spans="13:14">
      <c r="M718">
        <v>0.42460416000000001</v>
      </c>
      <c r="N718">
        <v>71.2</v>
      </c>
    </row>
    <row r="719" spans="13:14">
      <c r="M719">
        <v>0.42550184000000002</v>
      </c>
      <c r="N719">
        <v>71.3</v>
      </c>
    </row>
    <row r="720" spans="13:14">
      <c r="M720">
        <v>0.42639951999999998</v>
      </c>
      <c r="N720">
        <v>71.400000000000006</v>
      </c>
    </row>
    <row r="721" spans="13:14">
      <c r="M721">
        <v>0.42907603999999999</v>
      </c>
      <c r="N721">
        <v>71.5</v>
      </c>
    </row>
    <row r="722" spans="13:14">
      <c r="M722">
        <v>0.43246409600000002</v>
      </c>
      <c r="N722">
        <v>71.599999999999994</v>
      </c>
    </row>
    <row r="723" spans="13:14">
      <c r="M723">
        <v>0.43751999199999903</v>
      </c>
      <c r="N723">
        <v>71.7</v>
      </c>
    </row>
    <row r="724" spans="13:14">
      <c r="M724">
        <v>0.45112356800000097</v>
      </c>
      <c r="N724">
        <v>71.8</v>
      </c>
    </row>
    <row r="725" spans="13:14">
      <c r="M725">
        <v>0.46472714399999998</v>
      </c>
      <c r="N725">
        <v>71.900000000000006</v>
      </c>
    </row>
    <row r="726" spans="13:14">
      <c r="M726">
        <v>0.47000199999999998</v>
      </c>
      <c r="N726">
        <v>72</v>
      </c>
    </row>
    <row r="727" spans="13:14">
      <c r="M727">
        <v>0.47000199999999998</v>
      </c>
      <c r="N727">
        <v>72.099999999999994</v>
      </c>
    </row>
    <row r="728" spans="13:14">
      <c r="M728">
        <v>0.47054634400000001</v>
      </c>
      <c r="N728">
        <v>72.2</v>
      </c>
    </row>
    <row r="729" spans="13:14">
      <c r="M729">
        <v>0.47943729600000001</v>
      </c>
      <c r="N729">
        <v>72.3</v>
      </c>
    </row>
    <row r="730" spans="13:14">
      <c r="M730">
        <v>0.48832824800000002</v>
      </c>
      <c r="N730">
        <v>72.400000000000006</v>
      </c>
    </row>
    <row r="731" spans="13:14">
      <c r="M731">
        <v>0.49368099999999998</v>
      </c>
      <c r="N731">
        <v>72.5</v>
      </c>
    </row>
    <row r="732" spans="13:14">
      <c r="M732">
        <v>0.49563708000000001</v>
      </c>
      <c r="N732">
        <v>72.599999999999994</v>
      </c>
    </row>
    <row r="733" spans="13:14">
      <c r="M733">
        <v>0.49759315999999998</v>
      </c>
      <c r="N733">
        <v>72.7</v>
      </c>
    </row>
    <row r="734" spans="13:14">
      <c r="M734">
        <v>0.49814600799999997</v>
      </c>
      <c r="N734">
        <v>72.8</v>
      </c>
    </row>
    <row r="735" spans="13:14">
      <c r="M735">
        <v>0.49863914399999998</v>
      </c>
      <c r="N735">
        <v>72.900000000000006</v>
      </c>
    </row>
    <row r="736" spans="13:14">
      <c r="M736">
        <v>0.50077468000000003</v>
      </c>
      <c r="N736">
        <v>73</v>
      </c>
    </row>
    <row r="737" spans="13:14">
      <c r="M737">
        <v>0.50529169600000001</v>
      </c>
      <c r="N737">
        <v>73.099999999999994</v>
      </c>
    </row>
    <row r="738" spans="13:14">
      <c r="M738">
        <v>0.509808712</v>
      </c>
      <c r="N738">
        <v>73.2</v>
      </c>
    </row>
    <row r="739" spans="13:14">
      <c r="M739">
        <v>0.51967955200000004</v>
      </c>
      <c r="N739">
        <v>73.3</v>
      </c>
    </row>
    <row r="740" spans="13:14">
      <c r="M740">
        <v>0.53044269600000005</v>
      </c>
      <c r="N740">
        <v>73.400000000000006</v>
      </c>
    </row>
    <row r="741" spans="13:14">
      <c r="M741">
        <v>0.5380142</v>
      </c>
      <c r="N741">
        <v>73.5</v>
      </c>
    </row>
    <row r="742" spans="13:14">
      <c r="M742">
        <v>0.53835131999999997</v>
      </c>
      <c r="N742">
        <v>73.599999999999994</v>
      </c>
    </row>
    <row r="743" spans="13:14">
      <c r="M743">
        <v>0.53868844000000005</v>
      </c>
      <c r="N743">
        <v>73.7</v>
      </c>
    </row>
    <row r="744" spans="13:14">
      <c r="M744">
        <v>0.54241860799999997</v>
      </c>
      <c r="N744">
        <v>73.8</v>
      </c>
    </row>
    <row r="745" spans="13:14">
      <c r="M745">
        <v>0.54724922399999998</v>
      </c>
      <c r="N745">
        <v>73.900000000000006</v>
      </c>
    </row>
    <row r="746" spans="13:14">
      <c r="M746">
        <v>0.55166687999999997</v>
      </c>
      <c r="N746">
        <v>74</v>
      </c>
    </row>
    <row r="747" spans="13:14">
      <c r="M747">
        <v>0.55447399200000003</v>
      </c>
      <c r="N747">
        <v>74.099999999999994</v>
      </c>
    </row>
    <row r="748" spans="13:14">
      <c r="M748">
        <v>0.55728110399999997</v>
      </c>
      <c r="N748">
        <v>74.2</v>
      </c>
    </row>
    <row r="749" spans="13:14">
      <c r="M749">
        <v>0.56108072799999997</v>
      </c>
      <c r="N749">
        <v>74.3</v>
      </c>
    </row>
    <row r="750" spans="13:14">
      <c r="M750">
        <v>0.565407624</v>
      </c>
      <c r="N750">
        <v>74.400000000000006</v>
      </c>
    </row>
    <row r="751" spans="13:14">
      <c r="M751">
        <v>0.56962336000000002</v>
      </c>
      <c r="N751">
        <v>74.5</v>
      </c>
    </row>
    <row r="752" spans="13:14">
      <c r="M752">
        <v>0.57286088800000001</v>
      </c>
      <c r="N752">
        <v>74.599999999999994</v>
      </c>
    </row>
    <row r="753" spans="13:14">
      <c r="M753">
        <v>0.576098416</v>
      </c>
      <c r="N753">
        <v>74.7</v>
      </c>
    </row>
    <row r="754" spans="13:14">
      <c r="M754">
        <v>0.58310298400000005</v>
      </c>
      <c r="N754">
        <v>74.8</v>
      </c>
    </row>
    <row r="755" spans="13:14">
      <c r="M755">
        <v>0.59317699199999996</v>
      </c>
      <c r="N755">
        <v>74.900000000000006</v>
      </c>
    </row>
    <row r="756" spans="13:14">
      <c r="M756">
        <v>0.60325099999999998</v>
      </c>
      <c r="N756">
        <v>75</v>
      </c>
    </row>
    <row r="757" spans="13:14">
      <c r="M757">
        <v>0.60692521600000005</v>
      </c>
      <c r="N757">
        <v>75.099999999999994</v>
      </c>
    </row>
    <row r="758" spans="13:14">
      <c r="M758">
        <v>0.610599432</v>
      </c>
      <c r="N758">
        <v>75.2</v>
      </c>
    </row>
    <row r="759" spans="13:14">
      <c r="M759">
        <v>0.61512038400000002</v>
      </c>
      <c r="N759">
        <v>75.3</v>
      </c>
    </row>
    <row r="760" spans="13:14">
      <c r="M760">
        <v>0.62068051199999996</v>
      </c>
      <c r="N760">
        <v>75.400000000000006</v>
      </c>
    </row>
    <row r="761" spans="13:14">
      <c r="M761">
        <v>0.62624064000000002</v>
      </c>
      <c r="N761">
        <v>75.5</v>
      </c>
    </row>
    <row r="762" spans="13:14">
      <c r="M762">
        <v>0.62838988799999995</v>
      </c>
      <c r="N762">
        <v>75.599999999999994</v>
      </c>
    </row>
    <row r="763" spans="13:14">
      <c r="M763">
        <v>0.63015153599999996</v>
      </c>
      <c r="N763">
        <v>75.7</v>
      </c>
    </row>
    <row r="764" spans="13:14">
      <c r="M764">
        <v>0.63470376800000095</v>
      </c>
      <c r="N764">
        <v>75.8</v>
      </c>
    </row>
    <row r="765" spans="13:14">
      <c r="M765">
        <v>0.64450886400000096</v>
      </c>
      <c r="N765">
        <v>75.900000000000006</v>
      </c>
    </row>
    <row r="766" spans="13:14">
      <c r="M766">
        <v>0.65431395999999997</v>
      </c>
      <c r="N766">
        <v>76</v>
      </c>
    </row>
    <row r="767" spans="13:14">
      <c r="M767">
        <v>0.66065273599999996</v>
      </c>
      <c r="N767">
        <v>76.099999999999994</v>
      </c>
    </row>
    <row r="768" spans="13:14">
      <c r="M768">
        <v>0.66610271200000004</v>
      </c>
      <c r="N768">
        <v>76.2</v>
      </c>
    </row>
    <row r="769" spans="13:14">
      <c r="M769">
        <v>0.67384372800000003</v>
      </c>
      <c r="N769">
        <v>76.3</v>
      </c>
    </row>
    <row r="770" spans="13:14">
      <c r="M770">
        <v>0.68864878399999996</v>
      </c>
      <c r="N770">
        <v>76.400000000000006</v>
      </c>
    </row>
    <row r="771" spans="13:14">
      <c r="M771">
        <v>0.70345384</v>
      </c>
      <c r="N771">
        <v>76.5</v>
      </c>
    </row>
    <row r="772" spans="13:14">
      <c r="M772">
        <v>0.70891107200000003</v>
      </c>
      <c r="N772">
        <v>76.599999999999994</v>
      </c>
    </row>
    <row r="773" spans="13:14">
      <c r="M773">
        <v>0.71024426399999996</v>
      </c>
      <c r="N773">
        <v>76.7</v>
      </c>
    </row>
    <row r="774" spans="13:14">
      <c r="M774">
        <v>0.71155875199999996</v>
      </c>
      <c r="N774">
        <v>76.8</v>
      </c>
    </row>
    <row r="775" spans="13:14">
      <c r="M775">
        <v>0.71276101599999997</v>
      </c>
      <c r="N775">
        <v>76.900000000000006</v>
      </c>
    </row>
    <row r="776" spans="13:14">
      <c r="M776">
        <v>0.71396327999999998</v>
      </c>
      <c r="N776">
        <v>77</v>
      </c>
    </row>
    <row r="777" spans="13:14">
      <c r="M777">
        <v>0.71519709600000003</v>
      </c>
      <c r="N777">
        <v>77.099999999999994</v>
      </c>
    </row>
    <row r="778" spans="13:14">
      <c r="M778">
        <v>0.71645267199999996</v>
      </c>
      <c r="N778">
        <v>77.2</v>
      </c>
    </row>
    <row r="779" spans="13:14">
      <c r="M779">
        <v>0.717768344</v>
      </c>
      <c r="N779">
        <v>77.3</v>
      </c>
    </row>
    <row r="780" spans="13:14">
      <c r="M780">
        <v>0.72049627199999999</v>
      </c>
      <c r="N780">
        <v>77.400000000000006</v>
      </c>
    </row>
    <row r="781" spans="13:14">
      <c r="M781">
        <v>0.72322419999999998</v>
      </c>
      <c r="N781">
        <v>77.5</v>
      </c>
    </row>
    <row r="782" spans="13:14">
      <c r="M782">
        <v>0.72557580799999999</v>
      </c>
      <c r="N782">
        <v>77.599999999999994</v>
      </c>
    </row>
    <row r="783" spans="13:14">
      <c r="M783">
        <v>0.72753541600000005</v>
      </c>
      <c r="N783">
        <v>77.7</v>
      </c>
    </row>
    <row r="784" spans="13:14">
      <c r="M784">
        <v>0.72949502399999999</v>
      </c>
      <c r="N784">
        <v>77.8</v>
      </c>
    </row>
    <row r="785" spans="13:14">
      <c r="M785">
        <v>0.73585995999999998</v>
      </c>
      <c r="N785">
        <v>77.900000000000006</v>
      </c>
    </row>
    <row r="786" spans="13:14">
      <c r="M786">
        <v>0.74251219999999996</v>
      </c>
      <c r="N786">
        <v>78</v>
      </c>
    </row>
    <row r="787" spans="13:14">
      <c r="M787">
        <v>0.74724908800000001</v>
      </c>
      <c r="N787">
        <v>78.099999999999994</v>
      </c>
    </row>
    <row r="788" spans="13:14">
      <c r="M788">
        <v>0.74896173600000004</v>
      </c>
      <c r="N788">
        <v>78.2</v>
      </c>
    </row>
    <row r="789" spans="13:14">
      <c r="M789">
        <v>0.75067438399999997</v>
      </c>
      <c r="N789">
        <v>78.3</v>
      </c>
    </row>
    <row r="790" spans="13:14">
      <c r="M790">
        <v>0.76327499200000104</v>
      </c>
      <c r="N790">
        <v>78.400000000000006</v>
      </c>
    </row>
    <row r="791" spans="13:14">
      <c r="M791">
        <v>0.77800008000000098</v>
      </c>
      <c r="N791">
        <v>78.5</v>
      </c>
    </row>
    <row r="792" spans="13:14">
      <c r="M792">
        <v>0.79011343999999994</v>
      </c>
      <c r="N792">
        <v>78.599999999999994</v>
      </c>
    </row>
    <row r="793" spans="13:14">
      <c r="M793">
        <v>0.79569747999999996</v>
      </c>
      <c r="N793">
        <v>78.7</v>
      </c>
    </row>
    <row r="794" spans="13:14">
      <c r="M794">
        <v>0.80128151999999997</v>
      </c>
      <c r="N794">
        <v>78.8</v>
      </c>
    </row>
    <row r="795" spans="13:14">
      <c r="M795">
        <v>0.80852703199999998</v>
      </c>
      <c r="N795">
        <v>78.900000000000006</v>
      </c>
    </row>
    <row r="796" spans="13:14">
      <c r="M796">
        <v>0.81637252000000005</v>
      </c>
      <c r="N796">
        <v>79</v>
      </c>
    </row>
    <row r="797" spans="13:14">
      <c r="M797">
        <v>0.82282200000000005</v>
      </c>
      <c r="N797">
        <v>79.099999999999994</v>
      </c>
    </row>
    <row r="798" spans="13:14">
      <c r="M798">
        <v>0.82306699999999999</v>
      </c>
      <c r="N798">
        <v>79.2</v>
      </c>
    </row>
    <row r="799" spans="13:14">
      <c r="M799">
        <v>0.82331200000000004</v>
      </c>
      <c r="N799">
        <v>79.3</v>
      </c>
    </row>
    <row r="800" spans="13:14">
      <c r="M800">
        <v>0.83272407199999998</v>
      </c>
      <c r="N800">
        <v>79.400000000000006</v>
      </c>
    </row>
    <row r="801" spans="13:14">
      <c r="M801">
        <v>0.84745896000000198</v>
      </c>
      <c r="N801">
        <v>79.5</v>
      </c>
    </row>
    <row r="802" spans="13:14">
      <c r="M802">
        <v>0.86107538400000005</v>
      </c>
      <c r="N802">
        <v>79.599999999999994</v>
      </c>
    </row>
    <row r="803" spans="13:14">
      <c r="M803">
        <v>0.86210908799999997</v>
      </c>
      <c r="N803">
        <v>79.7</v>
      </c>
    </row>
    <row r="804" spans="13:14">
      <c r="M804">
        <v>0.86314279199999999</v>
      </c>
      <c r="N804">
        <v>79.8</v>
      </c>
    </row>
    <row r="805" spans="13:14">
      <c r="M805">
        <v>0.86746414400000005</v>
      </c>
      <c r="N805">
        <v>79.900000000000006</v>
      </c>
    </row>
    <row r="806" spans="13:14">
      <c r="M806">
        <v>0.87469379999999997</v>
      </c>
      <c r="N806">
        <v>80</v>
      </c>
    </row>
    <row r="807" spans="13:14">
      <c r="M807">
        <v>0.88192345599999999</v>
      </c>
      <c r="N807">
        <v>80.099999999999994</v>
      </c>
    </row>
    <row r="808" spans="13:14">
      <c r="M808">
        <v>0.88278562400000005</v>
      </c>
      <c r="N808">
        <v>80.2</v>
      </c>
    </row>
    <row r="809" spans="13:14">
      <c r="M809">
        <v>0.88351513599999998</v>
      </c>
      <c r="N809">
        <v>80.3</v>
      </c>
    </row>
    <row r="810" spans="13:14">
      <c r="M810">
        <v>0.88625930399999997</v>
      </c>
      <c r="N810">
        <v>80.400000000000006</v>
      </c>
    </row>
    <row r="811" spans="13:14">
      <c r="M811">
        <v>0.89168968000000004</v>
      </c>
      <c r="N811">
        <v>80.5</v>
      </c>
    </row>
    <row r="812" spans="13:14">
      <c r="M812">
        <v>0.897120056</v>
      </c>
      <c r="N812">
        <v>80.599999999999994</v>
      </c>
    </row>
    <row r="813" spans="13:14">
      <c r="M813">
        <v>0.89806604800000001</v>
      </c>
      <c r="N813">
        <v>80.7</v>
      </c>
    </row>
    <row r="814" spans="13:14">
      <c r="M814">
        <v>0.89838631199999996</v>
      </c>
      <c r="N814">
        <v>80.8</v>
      </c>
    </row>
    <row r="815" spans="13:14">
      <c r="M815">
        <v>0.90066958400000097</v>
      </c>
      <c r="N815">
        <v>80.900000000000006</v>
      </c>
    </row>
    <row r="816" spans="13:14">
      <c r="M816">
        <v>0.90700156000000098</v>
      </c>
      <c r="N816">
        <v>81</v>
      </c>
    </row>
    <row r="817" spans="13:14">
      <c r="M817">
        <v>0.913333536000001</v>
      </c>
      <c r="N817">
        <v>81.099999999999994</v>
      </c>
    </row>
    <row r="818" spans="13:14">
      <c r="M818">
        <v>0.91671336800000003</v>
      </c>
      <c r="N818">
        <v>81.2</v>
      </c>
    </row>
    <row r="819" spans="13:14">
      <c r="M819">
        <v>0.919238632</v>
      </c>
      <c r="N819">
        <v>81.3</v>
      </c>
    </row>
    <row r="820" spans="13:14">
      <c r="M820">
        <v>0.92207207199999996</v>
      </c>
      <c r="N820">
        <v>81.400000000000006</v>
      </c>
    </row>
    <row r="821" spans="13:14">
      <c r="M821">
        <v>0.92597012000000001</v>
      </c>
      <c r="N821">
        <v>81.5</v>
      </c>
    </row>
    <row r="822" spans="13:14">
      <c r="M822">
        <v>0.92986816800000005</v>
      </c>
      <c r="N822">
        <v>81.599999999999994</v>
      </c>
    </row>
    <row r="823" spans="13:14">
      <c r="M823">
        <v>0.94654566400000095</v>
      </c>
      <c r="N823">
        <v>81.7</v>
      </c>
    </row>
    <row r="824" spans="13:14">
      <c r="M824">
        <v>0.96941925600000001</v>
      </c>
      <c r="N824">
        <v>81.8</v>
      </c>
    </row>
    <row r="825" spans="13:14">
      <c r="M825">
        <v>0.98957004800000004</v>
      </c>
      <c r="N825">
        <v>81.900000000000006</v>
      </c>
    </row>
    <row r="826" spans="13:14">
      <c r="M826">
        <v>0.99020744000000005</v>
      </c>
      <c r="N826">
        <v>82</v>
      </c>
    </row>
    <row r="827" spans="13:14">
      <c r="M827">
        <v>0.99084483199999995</v>
      </c>
      <c r="N827">
        <v>82.1</v>
      </c>
    </row>
    <row r="828" spans="13:14">
      <c r="M828">
        <v>0.99602113600000097</v>
      </c>
      <c r="N828">
        <v>82.2</v>
      </c>
    </row>
    <row r="829" spans="13:14">
      <c r="M829">
        <v>1.004601624</v>
      </c>
      <c r="N829">
        <v>82.3</v>
      </c>
    </row>
    <row r="830" spans="13:14">
      <c r="M830">
        <v>1.0130329360000001</v>
      </c>
      <c r="N830">
        <v>82.4</v>
      </c>
    </row>
    <row r="831" spans="13:14">
      <c r="M831">
        <v>1.0143038</v>
      </c>
      <c r="N831">
        <v>82.5</v>
      </c>
    </row>
    <row r="832" spans="13:14">
      <c r="M832">
        <v>1.0155746640000001</v>
      </c>
      <c r="N832">
        <v>82.6</v>
      </c>
    </row>
    <row r="833" spans="13:14">
      <c r="M833">
        <v>1.0232110080000001</v>
      </c>
      <c r="N833">
        <v>82.7</v>
      </c>
    </row>
    <row r="834" spans="13:14">
      <c r="M834">
        <v>1.038043112</v>
      </c>
      <c r="N834">
        <v>82.8</v>
      </c>
    </row>
    <row r="835" spans="13:14">
      <c r="M835">
        <v>1.0528752159999999</v>
      </c>
      <c r="N835">
        <v>82.9</v>
      </c>
    </row>
    <row r="836" spans="13:14">
      <c r="M836">
        <v>1.0548106799999999</v>
      </c>
      <c r="N836">
        <v>83</v>
      </c>
    </row>
    <row r="837" spans="13:14">
      <c r="M837">
        <v>1.055599776</v>
      </c>
      <c r="N837">
        <v>83.1</v>
      </c>
    </row>
    <row r="838" spans="13:14">
      <c r="M838">
        <v>1.0587327600000001</v>
      </c>
      <c r="N838">
        <v>83.2</v>
      </c>
    </row>
    <row r="839" spans="13:14">
      <c r="M839">
        <v>1.0659024399999999</v>
      </c>
      <c r="N839">
        <v>83.3</v>
      </c>
    </row>
    <row r="840" spans="13:14">
      <c r="M840">
        <v>1.07307212</v>
      </c>
      <c r="N840">
        <v>83.4</v>
      </c>
    </row>
    <row r="841" spans="13:14">
      <c r="M841">
        <v>1.07608788</v>
      </c>
      <c r="N841">
        <v>83.5</v>
      </c>
    </row>
    <row r="842" spans="13:14">
      <c r="M842">
        <v>1.0781690079999999</v>
      </c>
      <c r="N842">
        <v>83.6</v>
      </c>
    </row>
    <row r="843" spans="13:14">
      <c r="M843">
        <v>1.079872824</v>
      </c>
      <c r="N843">
        <v>83.7</v>
      </c>
    </row>
    <row r="844" spans="13:14">
      <c r="M844">
        <v>1.0805317759999999</v>
      </c>
      <c r="N844">
        <v>83.8</v>
      </c>
    </row>
    <row r="845" spans="13:14">
      <c r="M845">
        <v>1.0811907279999999</v>
      </c>
      <c r="N845">
        <v>83.9</v>
      </c>
    </row>
    <row r="846" spans="13:14">
      <c r="M846">
        <v>1.08308644</v>
      </c>
      <c r="N846">
        <v>84</v>
      </c>
    </row>
    <row r="847" spans="13:14">
      <c r="M847">
        <v>1.0854768560000001</v>
      </c>
      <c r="N847">
        <v>84.1</v>
      </c>
    </row>
    <row r="848" spans="13:14">
      <c r="M848">
        <v>1.0877456720000001</v>
      </c>
      <c r="N848">
        <v>84.2</v>
      </c>
    </row>
    <row r="849" spans="13:14">
      <c r="M849">
        <v>1.0893912880000001</v>
      </c>
      <c r="N849">
        <v>84.3</v>
      </c>
    </row>
    <row r="850" spans="13:14">
      <c r="M850">
        <v>1.0910369040000001</v>
      </c>
      <c r="N850">
        <v>84.4</v>
      </c>
    </row>
    <row r="851" spans="13:14">
      <c r="M851">
        <v>1.0961365999999999</v>
      </c>
      <c r="N851">
        <v>84.5</v>
      </c>
    </row>
    <row r="852" spans="13:14">
      <c r="M852">
        <v>1.10342388</v>
      </c>
      <c r="N852">
        <v>84.6</v>
      </c>
    </row>
    <row r="853" spans="13:14">
      <c r="M853">
        <v>1.110686896</v>
      </c>
      <c r="N853">
        <v>84.7</v>
      </c>
    </row>
    <row r="854" spans="13:14">
      <c r="M854">
        <v>1.117577864</v>
      </c>
      <c r="N854">
        <v>84.8</v>
      </c>
    </row>
    <row r="855" spans="13:14">
      <c r="M855">
        <v>1.124468832</v>
      </c>
      <c r="N855">
        <v>84.9</v>
      </c>
    </row>
    <row r="856" spans="13:14">
      <c r="M856">
        <v>1.1292574</v>
      </c>
      <c r="N856">
        <v>85</v>
      </c>
    </row>
    <row r="857" spans="13:14">
      <c r="M857">
        <v>1.132027664</v>
      </c>
      <c r="N857">
        <v>85.1</v>
      </c>
    </row>
    <row r="858" spans="13:14">
      <c r="M858">
        <v>1.134797928</v>
      </c>
      <c r="N858">
        <v>85.2</v>
      </c>
    </row>
    <row r="859" spans="13:14">
      <c r="M859">
        <v>1.136408608</v>
      </c>
      <c r="N859">
        <v>85.3</v>
      </c>
    </row>
    <row r="860" spans="13:14">
      <c r="M860">
        <v>1.137969944</v>
      </c>
      <c r="N860">
        <v>85.4</v>
      </c>
    </row>
    <row r="861" spans="13:14">
      <c r="M861">
        <v>1.14091432</v>
      </c>
      <c r="N861">
        <v>85.5</v>
      </c>
    </row>
    <row r="862" spans="13:14">
      <c r="M862">
        <v>1.1458641039999999</v>
      </c>
      <c r="N862">
        <v>85.6</v>
      </c>
    </row>
    <row r="863" spans="13:14">
      <c r="M863">
        <v>1.1508138880000001</v>
      </c>
      <c r="N863">
        <v>85.7</v>
      </c>
    </row>
    <row r="864" spans="13:14">
      <c r="M864">
        <v>1.158030664</v>
      </c>
      <c r="N864">
        <v>85.8</v>
      </c>
    </row>
    <row r="865" spans="13:14">
      <c r="M865">
        <v>1.165625272</v>
      </c>
      <c r="N865">
        <v>85.9</v>
      </c>
    </row>
    <row r="866" spans="13:14">
      <c r="M866">
        <v>1.17382984</v>
      </c>
      <c r="N866">
        <v>86</v>
      </c>
    </row>
    <row r="867" spans="13:14">
      <c r="M867">
        <v>1.1834169839999999</v>
      </c>
      <c r="N867">
        <v>86.1</v>
      </c>
    </row>
    <row r="868" spans="13:14">
      <c r="M868">
        <v>1.1930041280000001</v>
      </c>
      <c r="N868">
        <v>86.2</v>
      </c>
    </row>
    <row r="869" spans="13:14">
      <c r="M869">
        <v>1.209660344</v>
      </c>
      <c r="N869">
        <v>86.3</v>
      </c>
    </row>
    <row r="870" spans="13:14">
      <c r="M870">
        <v>1.2286092319999999</v>
      </c>
      <c r="N870">
        <v>86.4</v>
      </c>
    </row>
    <row r="871" spans="13:14">
      <c r="M871">
        <v>1.24549428</v>
      </c>
      <c r="N871">
        <v>86.5</v>
      </c>
    </row>
    <row r="872" spans="13:14">
      <c r="M872">
        <v>1.254330352</v>
      </c>
      <c r="N872">
        <v>86.6</v>
      </c>
    </row>
    <row r="873" spans="13:14">
      <c r="M873">
        <v>1.263166424</v>
      </c>
      <c r="N873">
        <v>86.7</v>
      </c>
    </row>
    <row r="874" spans="13:14">
      <c r="M874">
        <v>1.273620416</v>
      </c>
      <c r="N874">
        <v>86.8</v>
      </c>
    </row>
    <row r="875" spans="13:14">
      <c r="M875">
        <v>1.2849339280000001</v>
      </c>
      <c r="N875">
        <v>86.9</v>
      </c>
    </row>
    <row r="876" spans="13:14">
      <c r="M876">
        <v>1.29547948</v>
      </c>
      <c r="N876">
        <v>87</v>
      </c>
    </row>
    <row r="877" spans="13:14">
      <c r="M877">
        <v>1.299266984</v>
      </c>
      <c r="N877">
        <v>87.1</v>
      </c>
    </row>
    <row r="878" spans="13:14">
      <c r="M878">
        <v>1.3030544879999999</v>
      </c>
      <c r="N878">
        <v>87.2</v>
      </c>
    </row>
    <row r="879" spans="13:14">
      <c r="M879">
        <v>1.306240216</v>
      </c>
      <c r="N879">
        <v>87.3</v>
      </c>
    </row>
    <row r="880" spans="13:14">
      <c r="M880">
        <v>1.3089356080000001</v>
      </c>
      <c r="N880">
        <v>87.4</v>
      </c>
    </row>
    <row r="881" spans="13:14">
      <c r="M881">
        <v>1.311631</v>
      </c>
      <c r="N881">
        <v>87.5</v>
      </c>
    </row>
    <row r="882" spans="13:14">
      <c r="M882">
        <v>1.3127525120000001</v>
      </c>
      <c r="N882">
        <v>87.6</v>
      </c>
    </row>
    <row r="883" spans="13:14">
      <c r="M883">
        <v>1.313874024</v>
      </c>
      <c r="N883">
        <v>87.7</v>
      </c>
    </row>
    <row r="884" spans="13:14">
      <c r="M884">
        <v>1.3162868480000001</v>
      </c>
      <c r="N884">
        <v>87.8</v>
      </c>
    </row>
    <row r="885" spans="13:14">
      <c r="M885">
        <v>1.320284464</v>
      </c>
      <c r="N885">
        <v>87.9</v>
      </c>
    </row>
    <row r="886" spans="13:14">
      <c r="M886">
        <v>1.3242820799999999</v>
      </c>
      <c r="N886">
        <v>88</v>
      </c>
    </row>
    <row r="887" spans="13:14">
      <c r="M887">
        <v>1.3248170720000001</v>
      </c>
      <c r="N887">
        <v>88.1</v>
      </c>
    </row>
    <row r="888" spans="13:14">
      <c r="M888">
        <v>1.324958584</v>
      </c>
      <c r="N888">
        <v>88.2</v>
      </c>
    </row>
    <row r="889" spans="13:14">
      <c r="M889">
        <v>1.327725168</v>
      </c>
      <c r="N889">
        <v>88.3</v>
      </c>
    </row>
    <row r="890" spans="13:14">
      <c r="M890">
        <v>1.3354330640000001</v>
      </c>
      <c r="N890">
        <v>88.4</v>
      </c>
    </row>
    <row r="891" spans="13:14">
      <c r="M891">
        <v>1.3431409599999999</v>
      </c>
      <c r="N891">
        <v>88.5</v>
      </c>
    </row>
    <row r="892" spans="13:14">
      <c r="M892">
        <v>1.346463384</v>
      </c>
      <c r="N892">
        <v>88.6</v>
      </c>
    </row>
    <row r="893" spans="13:14">
      <c r="M893">
        <v>1.3486613279999999</v>
      </c>
      <c r="N893">
        <v>88.7</v>
      </c>
    </row>
    <row r="894" spans="13:14">
      <c r="M894">
        <v>1.350540552</v>
      </c>
      <c r="N894">
        <v>88.8</v>
      </c>
    </row>
    <row r="895" spans="13:14">
      <c r="M895">
        <v>1.351437056</v>
      </c>
      <c r="N895">
        <v>88.9</v>
      </c>
    </row>
    <row r="896" spans="13:14">
      <c r="M896">
        <v>1.3523335599999999</v>
      </c>
      <c r="N896">
        <v>89</v>
      </c>
    </row>
    <row r="897" spans="13:14">
      <c r="M897">
        <v>1.3550448479999999</v>
      </c>
      <c r="N897">
        <v>89.1</v>
      </c>
    </row>
    <row r="898" spans="13:14">
      <c r="M898">
        <v>1.3585567759999999</v>
      </c>
      <c r="N898">
        <v>89.2</v>
      </c>
    </row>
    <row r="899" spans="13:14">
      <c r="M899">
        <v>1.3620156160000001</v>
      </c>
      <c r="N899">
        <v>89.3</v>
      </c>
    </row>
    <row r="900" spans="13:14">
      <c r="M900">
        <v>1.3651559280000001</v>
      </c>
      <c r="N900">
        <v>89.4</v>
      </c>
    </row>
    <row r="901" spans="13:14">
      <c r="M901">
        <v>1.3682962400000001</v>
      </c>
      <c r="N901">
        <v>89.5</v>
      </c>
    </row>
    <row r="902" spans="13:14">
      <c r="M902">
        <v>1.3709925039999999</v>
      </c>
      <c r="N902">
        <v>89.6</v>
      </c>
    </row>
    <row r="903" spans="13:14">
      <c r="M903">
        <v>1.373382528</v>
      </c>
      <c r="N903">
        <v>89.7</v>
      </c>
    </row>
    <row r="904" spans="13:14">
      <c r="M904">
        <v>1.37670972</v>
      </c>
      <c r="N904">
        <v>89.8</v>
      </c>
    </row>
    <row r="905" spans="13:14">
      <c r="M905">
        <v>1.4020603599999999</v>
      </c>
      <c r="N905">
        <v>89.9</v>
      </c>
    </row>
    <row r="906" spans="13:14">
      <c r="M906">
        <v>1.427411</v>
      </c>
      <c r="N906">
        <v>90</v>
      </c>
    </row>
    <row r="907" spans="13:14">
      <c r="M907">
        <v>1.443608808</v>
      </c>
      <c r="N907">
        <v>90.1</v>
      </c>
    </row>
    <row r="908" spans="13:14">
      <c r="M908">
        <v>1.450272416</v>
      </c>
      <c r="N908">
        <v>90.2</v>
      </c>
    </row>
    <row r="909" spans="13:14">
      <c r="M909">
        <v>1.456936024</v>
      </c>
      <c r="N909">
        <v>90.3</v>
      </c>
    </row>
    <row r="910" spans="13:14">
      <c r="M910">
        <v>1.4579972000000001</v>
      </c>
      <c r="N910">
        <v>90.4</v>
      </c>
    </row>
    <row r="911" spans="13:14">
      <c r="M911">
        <v>1.458693</v>
      </c>
      <c r="N911">
        <v>90.5</v>
      </c>
    </row>
    <row r="912" spans="13:14">
      <c r="M912">
        <v>1.459150768</v>
      </c>
      <c r="N912">
        <v>90.6</v>
      </c>
    </row>
    <row r="913" spans="13:14">
      <c r="M913">
        <v>1.4592326959999999</v>
      </c>
      <c r="N913">
        <v>90.7</v>
      </c>
    </row>
    <row r="914" spans="13:14">
      <c r="M914">
        <v>1.4593146239999999</v>
      </c>
      <c r="N914">
        <v>90.8</v>
      </c>
    </row>
    <row r="915" spans="13:14">
      <c r="M915">
        <v>1.4598613279999999</v>
      </c>
      <c r="N915">
        <v>90.9</v>
      </c>
    </row>
    <row r="916" spans="13:14">
      <c r="M916">
        <v>1.4604987199999999</v>
      </c>
      <c r="N916">
        <v>91</v>
      </c>
    </row>
    <row r="917" spans="13:14">
      <c r="M917">
        <v>1.4615862399999999</v>
      </c>
      <c r="N917">
        <v>91.1</v>
      </c>
    </row>
    <row r="918" spans="13:14">
      <c r="M918">
        <v>1.46379908</v>
      </c>
      <c r="N918">
        <v>91.2</v>
      </c>
    </row>
    <row r="919" spans="13:14">
      <c r="M919">
        <v>1.4660119199999999</v>
      </c>
      <c r="N919">
        <v>91.3</v>
      </c>
    </row>
    <row r="920" spans="13:14">
      <c r="M920">
        <v>1.4742114159999999</v>
      </c>
      <c r="N920">
        <v>91.4</v>
      </c>
    </row>
    <row r="921" spans="13:14">
      <c r="M921">
        <v>1.48457276</v>
      </c>
      <c r="N921">
        <v>91.5</v>
      </c>
    </row>
    <row r="922" spans="13:14">
      <c r="M922">
        <v>1.4933274240000001</v>
      </c>
      <c r="N922">
        <v>91.6</v>
      </c>
    </row>
    <row r="923" spans="13:14">
      <c r="M923">
        <v>1.4949412879999999</v>
      </c>
      <c r="N923">
        <v>91.7</v>
      </c>
    </row>
    <row r="924" spans="13:14">
      <c r="M924">
        <v>1.496555152</v>
      </c>
      <c r="N924">
        <v>91.8</v>
      </c>
    </row>
    <row r="925" spans="13:14">
      <c r="M925">
        <v>1.4972454639999999</v>
      </c>
      <c r="N925">
        <v>91.9</v>
      </c>
    </row>
    <row r="926" spans="13:14">
      <c r="M926">
        <v>1.4973995200000001</v>
      </c>
      <c r="N926">
        <v>92</v>
      </c>
    </row>
    <row r="927" spans="13:14">
      <c r="M927">
        <v>1.497907688</v>
      </c>
      <c r="N927">
        <v>92.1</v>
      </c>
    </row>
    <row r="928" spans="13:14">
      <c r="M928">
        <v>1.5023996159999999</v>
      </c>
      <c r="N928">
        <v>92.2</v>
      </c>
    </row>
    <row r="929" spans="13:14">
      <c r="M929">
        <v>1.5068915439999999</v>
      </c>
      <c r="N929">
        <v>92.3</v>
      </c>
    </row>
    <row r="930" spans="13:14">
      <c r="M930">
        <v>1.510521936</v>
      </c>
      <c r="N930">
        <v>92.4</v>
      </c>
    </row>
    <row r="931" spans="13:14">
      <c r="M931">
        <v>1.5133901999999999</v>
      </c>
      <c r="N931">
        <v>92.5</v>
      </c>
    </row>
    <row r="932" spans="13:14">
      <c r="M932">
        <v>1.5162584640000001</v>
      </c>
      <c r="N932">
        <v>92.6</v>
      </c>
    </row>
    <row r="933" spans="13:14">
      <c r="M933">
        <v>1.516518984</v>
      </c>
      <c r="N933">
        <v>92.7</v>
      </c>
    </row>
    <row r="934" spans="13:14">
      <c r="M934">
        <v>1.516725176</v>
      </c>
      <c r="N934">
        <v>92.8</v>
      </c>
    </row>
    <row r="935" spans="13:14">
      <c r="M935">
        <v>1.5194758960000001</v>
      </c>
      <c r="N935">
        <v>92.9</v>
      </c>
    </row>
    <row r="936" spans="13:14">
      <c r="M936">
        <v>1.5256193199999999</v>
      </c>
      <c r="N936">
        <v>93</v>
      </c>
    </row>
    <row r="937" spans="13:14">
      <c r="M937">
        <v>1.5317627439999999</v>
      </c>
      <c r="N937">
        <v>93.1</v>
      </c>
    </row>
    <row r="938" spans="13:14">
      <c r="M938">
        <v>1.5328810159999999</v>
      </c>
      <c r="N938">
        <v>93.2</v>
      </c>
    </row>
    <row r="939" spans="13:14">
      <c r="M939">
        <v>1.533298104</v>
      </c>
      <c r="N939">
        <v>93.3</v>
      </c>
    </row>
    <row r="940" spans="13:14">
      <c r="M940">
        <v>1.5338577840000001</v>
      </c>
      <c r="N940">
        <v>93.4</v>
      </c>
    </row>
    <row r="941" spans="13:14">
      <c r="M941">
        <v>1.5347115600000001</v>
      </c>
      <c r="N941">
        <v>93.5</v>
      </c>
    </row>
    <row r="942" spans="13:14">
      <c r="M942">
        <v>1.5355653359999999</v>
      </c>
      <c r="N942">
        <v>93.6</v>
      </c>
    </row>
    <row r="943" spans="13:14">
      <c r="M943">
        <v>1.5377506320000001</v>
      </c>
      <c r="N943">
        <v>93.7</v>
      </c>
    </row>
    <row r="944" spans="13:14">
      <c r="M944">
        <v>1.5403213680000001</v>
      </c>
      <c r="N944">
        <v>93.8</v>
      </c>
    </row>
    <row r="945" spans="13:14">
      <c r="M945">
        <v>1.5437513359999999</v>
      </c>
      <c r="N945">
        <v>93.9</v>
      </c>
    </row>
    <row r="946" spans="13:14">
      <c r="M946">
        <v>1.5501495599999999</v>
      </c>
      <c r="N946">
        <v>94</v>
      </c>
    </row>
    <row r="947" spans="13:14">
      <c r="M947">
        <v>1.5565477839999999</v>
      </c>
      <c r="N947">
        <v>94.1</v>
      </c>
    </row>
    <row r="948" spans="13:14">
      <c r="M948">
        <v>1.5586370000000001</v>
      </c>
      <c r="N948">
        <v>94.2</v>
      </c>
    </row>
    <row r="949" spans="13:14">
      <c r="M949">
        <v>1.5586370000000001</v>
      </c>
      <c r="N949">
        <v>94.3</v>
      </c>
    </row>
    <row r="950" spans="13:14">
      <c r="M950">
        <v>1.559015096</v>
      </c>
      <c r="N950">
        <v>94.4</v>
      </c>
    </row>
    <row r="951" spans="13:14">
      <c r="M951">
        <v>1.5621028800000001</v>
      </c>
      <c r="N951">
        <v>94.5</v>
      </c>
    </row>
    <row r="952" spans="13:14">
      <c r="M952">
        <v>1.565190664</v>
      </c>
      <c r="N952">
        <v>94.6</v>
      </c>
    </row>
    <row r="953" spans="13:14">
      <c r="M953">
        <v>1.586146928</v>
      </c>
      <c r="N953">
        <v>94.7</v>
      </c>
    </row>
    <row r="954" spans="13:14">
      <c r="M954">
        <v>1.6205045520000001</v>
      </c>
      <c r="N954">
        <v>94.8</v>
      </c>
    </row>
    <row r="955" spans="13:14">
      <c r="M955">
        <v>1.654312832</v>
      </c>
      <c r="N955">
        <v>94.9</v>
      </c>
    </row>
    <row r="956" spans="13:14">
      <c r="M956">
        <v>1.6617526</v>
      </c>
      <c r="N956">
        <v>95</v>
      </c>
    </row>
    <row r="957" spans="13:14">
      <c r="M957">
        <v>1.669192368</v>
      </c>
      <c r="N957">
        <v>95.1</v>
      </c>
    </row>
    <row r="958" spans="13:14">
      <c r="M958">
        <v>1.6934880080000001</v>
      </c>
      <c r="N958">
        <v>95.2</v>
      </c>
    </row>
    <row r="959" spans="13:14">
      <c r="M959">
        <v>1.736838112</v>
      </c>
      <c r="N959">
        <v>95.3</v>
      </c>
    </row>
    <row r="960" spans="13:14">
      <c r="M960">
        <v>1.780188216</v>
      </c>
      <c r="N960">
        <v>95.4</v>
      </c>
    </row>
    <row r="961" spans="13:14">
      <c r="M961">
        <v>1.7944204399999999</v>
      </c>
      <c r="N961">
        <v>95.5</v>
      </c>
    </row>
    <row r="962" spans="13:14">
      <c r="M962">
        <v>1.8060644079999999</v>
      </c>
      <c r="N962">
        <v>95.6</v>
      </c>
    </row>
    <row r="963" spans="13:14">
      <c r="M963">
        <v>1.81824132</v>
      </c>
      <c r="N963">
        <v>95.7</v>
      </c>
    </row>
    <row r="964" spans="13:14">
      <c r="M964">
        <v>1.83133608</v>
      </c>
      <c r="N964">
        <v>95.8</v>
      </c>
    </row>
    <row r="965" spans="13:14">
      <c r="M965">
        <v>1.84443084</v>
      </c>
      <c r="N965">
        <v>95.9</v>
      </c>
    </row>
    <row r="966" spans="13:14">
      <c r="M966">
        <v>1.85399376</v>
      </c>
      <c r="N966">
        <v>96</v>
      </c>
    </row>
    <row r="967" spans="13:14">
      <c r="M967">
        <v>1.862762016</v>
      </c>
      <c r="N967">
        <v>96.1</v>
      </c>
    </row>
    <row r="968" spans="13:14">
      <c r="M968">
        <v>1.870634208</v>
      </c>
      <c r="N968">
        <v>96.2</v>
      </c>
    </row>
    <row r="969" spans="13:14">
      <c r="M969">
        <v>1.8760249920000001</v>
      </c>
      <c r="N969">
        <v>96.3</v>
      </c>
    </row>
    <row r="970" spans="13:14">
      <c r="M970">
        <v>1.8814157760000001</v>
      </c>
      <c r="N970">
        <v>96.4</v>
      </c>
    </row>
    <row r="971" spans="13:14">
      <c r="M971">
        <v>1.8843226799999999</v>
      </c>
      <c r="N971">
        <v>96.5</v>
      </c>
    </row>
    <row r="972" spans="13:14">
      <c r="M972">
        <v>1.886236032</v>
      </c>
      <c r="N972">
        <v>96.6</v>
      </c>
    </row>
    <row r="973" spans="13:14">
      <c r="M973">
        <v>1.8920328399999999</v>
      </c>
      <c r="N973">
        <v>96.7</v>
      </c>
    </row>
    <row r="974" spans="13:14">
      <c r="M974">
        <v>1.91773236</v>
      </c>
      <c r="N974">
        <v>96.8</v>
      </c>
    </row>
    <row r="975" spans="13:14">
      <c r="M975">
        <v>1.9434318799999999</v>
      </c>
      <c r="N975">
        <v>96.9</v>
      </c>
    </row>
    <row r="976" spans="13:14">
      <c r="M976">
        <v>1.9548696400000001</v>
      </c>
      <c r="N976">
        <v>97</v>
      </c>
    </row>
    <row r="977" spans="13:14">
      <c r="M977">
        <v>1.9572749519999999</v>
      </c>
      <c r="N977">
        <v>97.1</v>
      </c>
    </row>
    <row r="978" spans="13:14">
      <c r="M978">
        <v>1.9609146799999999</v>
      </c>
      <c r="N978">
        <v>97.2</v>
      </c>
    </row>
    <row r="979" spans="13:14">
      <c r="M979">
        <v>1.9834821199999999</v>
      </c>
      <c r="N979">
        <v>97.3</v>
      </c>
    </row>
    <row r="980" spans="13:14">
      <c r="M980">
        <v>2.0060495600000001</v>
      </c>
      <c r="N980">
        <v>97.4</v>
      </c>
    </row>
    <row r="981" spans="13:14">
      <c r="M981">
        <v>2.0503619999999998</v>
      </c>
      <c r="N981">
        <v>97.5</v>
      </c>
    </row>
    <row r="982" spans="13:14">
      <c r="M982">
        <v>2.1155496399999998</v>
      </c>
      <c r="N982">
        <v>97.6</v>
      </c>
    </row>
    <row r="983" spans="13:14">
      <c r="M983">
        <v>2.1807372799999998</v>
      </c>
      <c r="N983">
        <v>97.7</v>
      </c>
    </row>
    <row r="984" spans="13:14">
      <c r="M984">
        <v>2.1988049759999999</v>
      </c>
      <c r="N984">
        <v>97.8</v>
      </c>
    </row>
    <row r="985" spans="13:14">
      <c r="M985">
        <v>2.2148675679999998</v>
      </c>
      <c r="N985">
        <v>97.9</v>
      </c>
    </row>
    <row r="986" spans="13:14">
      <c r="M986">
        <v>2.2362320800000002</v>
      </c>
      <c r="N986">
        <v>98</v>
      </c>
    </row>
    <row r="987" spans="13:14">
      <c r="M987">
        <v>2.2652843759999999</v>
      </c>
      <c r="N987">
        <v>98.1</v>
      </c>
    </row>
    <row r="988" spans="13:14">
      <c r="M988">
        <v>2.294336672</v>
      </c>
      <c r="N988">
        <v>98.2</v>
      </c>
    </row>
    <row r="989" spans="13:14">
      <c r="M989">
        <v>2.3426038</v>
      </c>
      <c r="N989">
        <v>98.3</v>
      </c>
    </row>
    <row r="990" spans="13:14">
      <c r="M990">
        <v>2.3940733999999999</v>
      </c>
      <c r="N990">
        <v>98.4</v>
      </c>
    </row>
    <row r="991" spans="13:14">
      <c r="M991">
        <v>2.4327603600000001</v>
      </c>
      <c r="N991">
        <v>98.5</v>
      </c>
    </row>
    <row r="992" spans="13:14">
      <c r="M992">
        <v>2.4424733359999999</v>
      </c>
      <c r="N992">
        <v>98.6</v>
      </c>
    </row>
    <row r="993" spans="13:14">
      <c r="M993">
        <v>2.4521863119999998</v>
      </c>
      <c r="N993">
        <v>98.7</v>
      </c>
    </row>
    <row r="994" spans="13:14">
      <c r="M994">
        <v>2.4849532480000001</v>
      </c>
      <c r="N994">
        <v>98.8</v>
      </c>
    </row>
    <row r="995" spans="13:14">
      <c r="M995">
        <v>2.5251971439999998</v>
      </c>
      <c r="N995">
        <v>98.9</v>
      </c>
    </row>
    <row r="996" spans="13:14">
      <c r="M996">
        <v>2.5639862400000002</v>
      </c>
      <c r="N996">
        <v>99</v>
      </c>
    </row>
    <row r="997" spans="13:14">
      <c r="M997">
        <v>2.5971016159999998</v>
      </c>
      <c r="N997">
        <v>99.1</v>
      </c>
    </row>
    <row r="998" spans="13:14">
      <c r="M998">
        <v>2.6302169919999998</v>
      </c>
      <c r="N998">
        <v>99.2</v>
      </c>
    </row>
    <row r="999" spans="13:14">
      <c r="M999">
        <v>2.6733217439999999</v>
      </c>
      <c r="N999">
        <v>99.3</v>
      </c>
    </row>
    <row r="1000" spans="13:14">
      <c r="M1000">
        <v>2.7217333520000002</v>
      </c>
      <c r="N1000">
        <v>99.4</v>
      </c>
    </row>
    <row r="1001" spans="13:14">
      <c r="M1001">
        <v>2.7675213200000002</v>
      </c>
      <c r="N1001">
        <v>99.5</v>
      </c>
    </row>
    <row r="1002" spans="13:14">
      <c r="M1002">
        <v>2.7902212560000001</v>
      </c>
      <c r="N1002">
        <v>99.6</v>
      </c>
    </row>
    <row r="1003" spans="13:14">
      <c r="M1003">
        <v>2.8129211920000001</v>
      </c>
      <c r="N1003">
        <v>99.7</v>
      </c>
    </row>
    <row r="1004" spans="13:14">
      <c r="M1004">
        <v>2.8342413199999998</v>
      </c>
      <c r="N1004">
        <v>99.8</v>
      </c>
    </row>
    <row r="1005" spans="13:14">
      <c r="M1005">
        <v>2.8544371599999998</v>
      </c>
      <c r="N1005">
        <v>99.9</v>
      </c>
    </row>
    <row r="1006" spans="13:14">
      <c r="M1006">
        <v>2.8746330000000002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topLeftCell="G1" workbookViewId="0">
      <selection activeCell="O9" sqref="O9"/>
    </sheetView>
  </sheetViews>
  <sheetFormatPr baseColWidth="10" defaultRowHeight="15.5"/>
  <cols>
    <col min="1" max="1" width="10.6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SQRT(FONO!J6)</f>
        <v>4.3349330000000004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FONO!M6</f>
        <v>-2.871918</v>
      </c>
      <c r="M5">
        <f>FONO!N6</f>
        <v>0</v>
      </c>
      <c r="O5">
        <f>ABS(L5-FONO!$C$34)</f>
        <v>0.8245946853957471</v>
      </c>
      <c r="P5">
        <f>M5</f>
        <v>0</v>
      </c>
      <c r="R5" t="s">
        <v>15</v>
      </c>
      <c r="T5">
        <f>MIN(O5:O1006)</f>
        <v>0.8245946853957471</v>
      </c>
    </row>
    <row r="6" spans="1:20">
      <c r="A6" s="2" t="s">
        <v>28</v>
      </c>
      <c r="J6" s="5"/>
      <c r="L6">
        <f>FONO!M7</f>
        <v>-2.802565752</v>
      </c>
      <c r="M6">
        <f>FONO!N7</f>
        <v>0.1</v>
      </c>
      <c r="O6">
        <f>ABS(L6-FONO!$C$34)</f>
        <v>0.89394693339574705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J7" s="5"/>
      <c r="L7">
        <f>FONO!M8</f>
        <v>-2.7332135040000001</v>
      </c>
      <c r="M7">
        <f>FONO!N8</f>
        <v>0.2</v>
      </c>
      <c r="O7">
        <f>ABS(L7-FONO!$C$34)</f>
        <v>0.963299181395747</v>
      </c>
      <c r="P7">
        <f t="shared" si="0"/>
        <v>0.2</v>
      </c>
    </row>
    <row r="8" spans="1:20">
      <c r="A8" t="s">
        <v>16</v>
      </c>
      <c r="B8">
        <f>FONO!C27</f>
        <v>17.024134824840644</v>
      </c>
      <c r="J8" s="5"/>
    </row>
    <row r="9" spans="1:20">
      <c r="J9" s="5"/>
      <c r="L9">
        <f>FONO!M9</f>
        <v>-2.624155832</v>
      </c>
      <c r="M9">
        <f>FONO!N9</f>
        <v>0.3</v>
      </c>
      <c r="O9">
        <f>ABS(L9-FONO!$C$34)</f>
        <v>1.072356853395747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FONO!M10</f>
        <v>-2.4663687759999999</v>
      </c>
      <c r="M10">
        <f>FONO!N10</f>
        <v>0.4</v>
      </c>
      <c r="O10">
        <f>ABS(L10-FONO!$C$34)</f>
        <v>1.2301439093957471</v>
      </c>
      <c r="P10">
        <f t="shared" si="0"/>
        <v>0.4</v>
      </c>
    </row>
    <row r="11" spans="1:20">
      <c r="B11">
        <f>FONO!J11</f>
        <v>0</v>
      </c>
      <c r="C11">
        <f>FONO!I11</f>
        <v>0</v>
      </c>
      <c r="J11" s="5"/>
      <c r="L11">
        <f>FONO!M11</f>
        <v>-2.3085817199999998</v>
      </c>
      <c r="M11">
        <f>FONO!N11</f>
        <v>0.5</v>
      </c>
      <c r="O11">
        <f>ABS(L11-FONO!$C$34)</f>
        <v>1.3879309653957472</v>
      </c>
      <c r="P11">
        <f t="shared" si="0"/>
        <v>0.5</v>
      </c>
    </row>
    <row r="12" spans="1:20">
      <c r="B12">
        <f>FONO!J12</f>
        <v>0</v>
      </c>
      <c r="C12">
        <f>FONO!I12</f>
        <v>0</v>
      </c>
      <c r="J12" s="5"/>
      <c r="L12">
        <f>FONO!M12</f>
        <v>-2.277989512</v>
      </c>
      <c r="M12">
        <f>FONO!N12</f>
        <v>0.6</v>
      </c>
      <c r="O12">
        <f>ABS(L12-FONO!$C$34)</f>
        <v>1.4185231733957471</v>
      </c>
      <c r="P12">
        <f t="shared" si="0"/>
        <v>0.6</v>
      </c>
    </row>
    <row r="13" spans="1:20">
      <c r="B13">
        <f>FONO!J13</f>
        <v>0</v>
      </c>
      <c r="C13">
        <f>FONO!I13</f>
        <v>0</v>
      </c>
      <c r="J13" s="5"/>
      <c r="L13">
        <f>FONO!M13</f>
        <v>-2.2618512640000001</v>
      </c>
      <c r="M13">
        <f>FONO!N13</f>
        <v>0.7</v>
      </c>
      <c r="O13">
        <f>ABS(L13-FONO!$C$34)</f>
        <v>1.4346614213957469</v>
      </c>
      <c r="P13">
        <f t="shared" si="0"/>
        <v>0.7</v>
      </c>
    </row>
    <row r="14" spans="1:20">
      <c r="B14">
        <f>FONO!J14</f>
        <v>0</v>
      </c>
      <c r="C14">
        <f>FONO!I14</f>
        <v>0</v>
      </c>
      <c r="J14" s="5"/>
      <c r="L14">
        <f>FONO!M14</f>
        <v>-2.2329363600000001</v>
      </c>
      <c r="M14">
        <f>FONO!N14</f>
        <v>0.8</v>
      </c>
      <c r="O14">
        <f>ABS(L14-FONO!$C$34)</f>
        <v>1.463576325395747</v>
      </c>
      <c r="P14">
        <f t="shared" si="0"/>
        <v>0.8</v>
      </c>
    </row>
    <row r="15" spans="1:20">
      <c r="B15">
        <f>FONO!J15</f>
        <v>0</v>
      </c>
      <c r="C15">
        <f>FONO!I15</f>
        <v>0</v>
      </c>
      <c r="J15" s="5"/>
      <c r="L15">
        <f>FONO!M15</f>
        <v>-2.1799712800000002</v>
      </c>
      <c r="M15">
        <f>FONO!N15</f>
        <v>0.9</v>
      </c>
      <c r="O15">
        <f>ABS(L15-FONO!$C$34)</f>
        <v>1.5165414053957469</v>
      </c>
      <c r="P15">
        <f t="shared" si="0"/>
        <v>0.9</v>
      </c>
    </row>
    <row r="16" spans="1:20">
      <c r="B16">
        <f>FONO!J16</f>
        <v>0</v>
      </c>
      <c r="C16">
        <f>FONO!I16</f>
        <v>0</v>
      </c>
      <c r="J16" s="5"/>
      <c r="L16">
        <f>FONO!M16</f>
        <v>-2.1270061999999998</v>
      </c>
      <c r="M16">
        <f>FONO!N16</f>
        <v>1</v>
      </c>
      <c r="O16">
        <f>ABS(L16-FONO!$C$34)</f>
        <v>1.5695064853957472</v>
      </c>
      <c r="P16">
        <f t="shared" si="0"/>
        <v>1</v>
      </c>
    </row>
    <row r="17" spans="1:16">
      <c r="B17">
        <f>FONO!J17</f>
        <v>0</v>
      </c>
      <c r="C17">
        <f>FONO!I17</f>
        <v>0</v>
      </c>
      <c r="J17" s="5"/>
      <c r="L17">
        <f>FONO!M17</f>
        <v>-2.0979624719999999</v>
      </c>
      <c r="M17">
        <f>FONO!N17</f>
        <v>1.1000000000000001</v>
      </c>
      <c r="O17">
        <f>ABS(L17-FONO!$C$34)</f>
        <v>1.5985502133957472</v>
      </c>
      <c r="P17">
        <f t="shared" si="0"/>
        <v>1.1000000000000001</v>
      </c>
    </row>
    <row r="18" spans="1:16">
      <c r="B18">
        <f>FONO!J18</f>
        <v>0</v>
      </c>
      <c r="C18">
        <f>FONO!I18</f>
        <v>0</v>
      </c>
      <c r="J18" s="5"/>
      <c r="L18">
        <f>FONO!M18</f>
        <v>-2.0750524239999999</v>
      </c>
      <c r="M18">
        <f>FONO!N18</f>
        <v>1.2</v>
      </c>
      <c r="O18">
        <f>ABS(L18-FONO!$C$34)</f>
        <v>1.6214602613957472</v>
      </c>
      <c r="P18">
        <f t="shared" si="0"/>
        <v>1.2</v>
      </c>
    </row>
    <row r="19" spans="1:16">
      <c r="B19">
        <f>FONO!J19</f>
        <v>0</v>
      </c>
      <c r="C19">
        <f>FONO!I19</f>
        <v>0</v>
      </c>
      <c r="J19" s="5"/>
      <c r="L19">
        <f>FONO!M19</f>
        <v>-2.0436432080000002</v>
      </c>
      <c r="M19">
        <f>FONO!N19</f>
        <v>1.3</v>
      </c>
      <c r="O19">
        <f>ABS(L19-FONO!$C$34)</f>
        <v>1.6528694773957469</v>
      </c>
      <c r="P19">
        <f t="shared" si="0"/>
        <v>1.3</v>
      </c>
    </row>
    <row r="20" spans="1:16">
      <c r="B20">
        <f>FONO!J20</f>
        <v>0</v>
      </c>
      <c r="C20">
        <f>FONO!I20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FONO!M20</f>
        <v>-1.986028224</v>
      </c>
      <c r="M20">
        <f>FONO!N20</f>
        <v>1.4</v>
      </c>
      <c r="O20">
        <f>ABS(L20-FONO!$C$34)</f>
        <v>1.7104844613957471</v>
      </c>
      <c r="P20">
        <f t="shared" si="0"/>
        <v>1.4</v>
      </c>
    </row>
    <row r="21" spans="1:16">
      <c r="B21">
        <f>FONO!J21</f>
        <v>0</v>
      </c>
      <c r="C21">
        <f>FONO!I21</f>
        <v>0</v>
      </c>
      <c r="E21" t="s">
        <v>38</v>
      </c>
      <c r="G21" s="21">
        <f>SQRT(G20)</f>
        <v>0</v>
      </c>
      <c r="J21" s="5"/>
      <c r="L21">
        <f>FONO!M21</f>
        <v>-1.92841324</v>
      </c>
      <c r="M21">
        <f>FONO!N21</f>
        <v>1.5</v>
      </c>
      <c r="O21">
        <f>ABS(L21-FONO!$C$34)</f>
        <v>1.768099445395747</v>
      </c>
      <c r="P21">
        <f t="shared" si="0"/>
        <v>1.5</v>
      </c>
    </row>
    <row r="22" spans="1:16">
      <c r="B22">
        <f>FONO!J22</f>
        <v>0</v>
      </c>
      <c r="C22">
        <f>FONO!I22</f>
        <v>0</v>
      </c>
      <c r="J22" s="5"/>
      <c r="L22">
        <f>FONO!M22</f>
        <v>-1.905871568</v>
      </c>
      <c r="M22">
        <f>FONO!N22</f>
        <v>1.6</v>
      </c>
      <c r="O22">
        <f>ABS(L22-FONO!$C$34)</f>
        <v>1.7906411173957471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FONO!M23</f>
        <v>-1.898803416</v>
      </c>
      <c r="M23">
        <f>FONO!N23</f>
        <v>1.7</v>
      </c>
      <c r="O23">
        <f>ABS(L23-FONO!$C$34)</f>
        <v>1.797709269395747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FONO!M24</f>
        <v>-1.8858269839999999</v>
      </c>
      <c r="M24">
        <f>FONO!N24</f>
        <v>1.8</v>
      </c>
      <c r="O24">
        <f>ABS(L24-FONO!$C$34)</f>
        <v>1.8106857013957471</v>
      </c>
      <c r="P24">
        <f t="shared" si="0"/>
        <v>1.8</v>
      </c>
    </row>
    <row r="25" spans="1:16">
      <c r="A25" s="2" t="s">
        <v>27</v>
      </c>
      <c r="J25" s="5"/>
      <c r="L25">
        <f>FONO!M25</f>
        <v>-1.8374008719999999</v>
      </c>
      <c r="M25">
        <f>FONO!N25</f>
        <v>1.9</v>
      </c>
      <c r="O25">
        <f>ABS(L25-FONO!$C$34)</f>
        <v>1.8591118133957472</v>
      </c>
      <c r="P25">
        <f t="shared" si="0"/>
        <v>1.9</v>
      </c>
    </row>
    <row r="26" spans="1:16">
      <c r="H26" s="1"/>
      <c r="J26" s="5"/>
      <c r="L26">
        <f>FONO!M26</f>
        <v>-1.7889747600000001</v>
      </c>
      <c r="M26">
        <f>FONO!N26</f>
        <v>2</v>
      </c>
      <c r="O26">
        <f>ABS(L26-FONO!$C$34)</f>
        <v>1.907537925395747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FONO!M27</f>
        <v>-1.7562288319999999</v>
      </c>
      <c r="M27">
        <f>FONO!N27</f>
        <v>2.1</v>
      </c>
      <c r="O27">
        <f>ABS(L27-FONO!$C$34)</f>
        <v>1.9402838533957472</v>
      </c>
      <c r="P27">
        <f t="shared" si="0"/>
        <v>2.1</v>
      </c>
    </row>
    <row r="28" spans="1:16">
      <c r="A28">
        <f>FONO!I27</f>
        <v>0</v>
      </c>
      <c r="B28">
        <f>FONO!J27</f>
        <v>0</v>
      </c>
      <c r="C28">
        <v>1</v>
      </c>
      <c r="D28">
        <f>B28*C28</f>
        <v>0</v>
      </c>
      <c r="J28" s="5"/>
      <c r="L28">
        <f>FONO!M28</f>
        <v>-1.7342968240000001</v>
      </c>
      <c r="M28">
        <f>FONO!N28</f>
        <v>2.2000000000000002</v>
      </c>
      <c r="O28">
        <f>ABS(L28-FONO!$C$34)</f>
        <v>1.962215861395747</v>
      </c>
      <c r="P28">
        <f t="shared" si="0"/>
        <v>2.2000000000000002</v>
      </c>
    </row>
    <row r="29" spans="1:16">
      <c r="A29">
        <f>FONO!I28</f>
        <v>0</v>
      </c>
      <c r="B29">
        <f>FONO!J28</f>
        <v>0</v>
      </c>
      <c r="C29">
        <f>B8</f>
        <v>17.024134824840644</v>
      </c>
      <c r="D29">
        <f t="shared" ref="D29:D33" si="1">B29*C29</f>
        <v>0</v>
      </c>
      <c r="J29" s="5"/>
      <c r="L29">
        <f>FONO!M29</f>
        <v>-1.712325104</v>
      </c>
      <c r="M29">
        <f>FONO!N29</f>
        <v>2.2999999999999998</v>
      </c>
      <c r="O29">
        <f>ABS(L29-FONO!$C$34)</f>
        <v>1.984187581395747</v>
      </c>
      <c r="P29">
        <f t="shared" si="0"/>
        <v>2.2999999999999998</v>
      </c>
    </row>
    <row r="30" spans="1:16">
      <c r="A30">
        <f>FONO!I29</f>
        <v>0</v>
      </c>
      <c r="B30">
        <f>FONO!J29</f>
        <v>0</v>
      </c>
      <c r="C30">
        <f>B8^2</f>
        <v>289.82116653435196</v>
      </c>
      <c r="D30">
        <f t="shared" si="1"/>
        <v>0</v>
      </c>
      <c r="J30" s="5"/>
      <c r="L30">
        <f>FONO!M30</f>
        <v>-1.6894201520000001</v>
      </c>
      <c r="M30">
        <f>FONO!N30</f>
        <v>2.4</v>
      </c>
      <c r="O30">
        <f>ABS(L30-FONO!$C$34)</f>
        <v>2.0070925333957472</v>
      </c>
      <c r="P30">
        <f t="shared" si="0"/>
        <v>2.4</v>
      </c>
    </row>
    <row r="31" spans="1:16">
      <c r="A31">
        <f>FONO!I30</f>
        <v>0</v>
      </c>
      <c r="B31">
        <f>FONO!J30</f>
        <v>0</v>
      </c>
      <c r="C31">
        <f>B8^3</f>
        <v>4933.9546141734008</v>
      </c>
      <c r="D31">
        <f t="shared" si="1"/>
        <v>0</v>
      </c>
      <c r="J31" s="5"/>
      <c r="L31">
        <f>FONO!M31</f>
        <v>-1.6665152000000001</v>
      </c>
      <c r="M31">
        <f>FONO!N31</f>
        <v>2.5</v>
      </c>
      <c r="O31">
        <f>ABS(L31-FONO!$C$34)</f>
        <v>2.029997485395747</v>
      </c>
      <c r="P31">
        <f t="shared" si="0"/>
        <v>2.5</v>
      </c>
    </row>
    <row r="32" spans="1:16">
      <c r="A32">
        <f>FONO!I31</f>
        <v>0</v>
      </c>
      <c r="B32">
        <f>FONO!J31</f>
        <v>0</v>
      </c>
      <c r="C32">
        <f>B8^4</f>
        <v>83996.308571332571</v>
      </c>
      <c r="D32">
        <f t="shared" si="1"/>
        <v>0</v>
      </c>
      <c r="J32" s="5"/>
      <c r="L32">
        <f>FONO!M32</f>
        <v>-1.639771976</v>
      </c>
      <c r="M32">
        <f>FONO!N32</f>
        <v>2.6</v>
      </c>
      <c r="O32">
        <f>ABS(L32-FONO!$C$34)</f>
        <v>2.056740709395747</v>
      </c>
      <c r="P32">
        <f t="shared" si="0"/>
        <v>2.6</v>
      </c>
    </row>
    <row r="33" spans="1:16">
      <c r="A33">
        <f>FONO!I32</f>
        <v>0</v>
      </c>
      <c r="B33">
        <f>FONO!J32</f>
        <v>0</v>
      </c>
      <c r="C33">
        <f>B8^5</f>
        <v>1429964.4819072834</v>
      </c>
      <c r="D33">
        <f t="shared" si="1"/>
        <v>0</v>
      </c>
      <c r="J33" s="5"/>
      <c r="L33">
        <f>FONO!M33</f>
        <v>-1.6090305519999999</v>
      </c>
      <c r="M33">
        <f>FONO!N33</f>
        <v>2.7</v>
      </c>
      <c r="O33">
        <f>ABS(L33-FONO!$C$34)</f>
        <v>2.0874821333957474</v>
      </c>
      <c r="P33">
        <f t="shared" si="0"/>
        <v>2.7</v>
      </c>
    </row>
    <row r="34" spans="1:16">
      <c r="G34" s="21">
        <f>SQRT(D35)</f>
        <v>0</v>
      </c>
      <c r="J34" s="5"/>
      <c r="L34">
        <f>FONO!M34</f>
        <v>-1.578289128</v>
      </c>
      <c r="M34">
        <f>FONO!N34</f>
        <v>2.8</v>
      </c>
      <c r="O34">
        <f>ABS(L34-FONO!$C$34)</f>
        <v>2.1182235573957469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FONO!M35</f>
        <v>-1.5597910639999999</v>
      </c>
      <c r="M35">
        <f>FONO!N35</f>
        <v>2.9</v>
      </c>
      <c r="O35">
        <f>ABS(L35-FONO!$C$34)</f>
        <v>2.136721621395747</v>
      </c>
      <c r="P35">
        <f t="shared" si="0"/>
        <v>2.9</v>
      </c>
    </row>
    <row r="36" spans="1:16">
      <c r="J36" s="5"/>
      <c r="L36">
        <f>FONO!M36</f>
        <v>-1.5420914800000001</v>
      </c>
      <c r="M36">
        <f>FONO!N36</f>
        <v>3</v>
      </c>
      <c r="O36">
        <f>ABS(L36-FONO!$C$34)</f>
        <v>2.1544212053957468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FONO!M37</f>
        <v>-1.5301653120000001</v>
      </c>
      <c r="M37">
        <f>FONO!N37</f>
        <v>3.1</v>
      </c>
      <c r="O37">
        <f>ABS(L37-FONO!$C$34)</f>
        <v>2.1663473733957472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4.3349330000000004</v>
      </c>
      <c r="J38" s="5"/>
      <c r="L38">
        <f>FONO!M38</f>
        <v>-1.527355064</v>
      </c>
      <c r="M38">
        <f>FONO!N38</f>
        <v>3.2</v>
      </c>
      <c r="O38">
        <f>ABS(L38-FONO!$C$34)</f>
        <v>2.1691576213957471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FONO!M39</f>
        <v>-1.5245448159999999</v>
      </c>
      <c r="M39">
        <f>FONO!N39</f>
        <v>3.3</v>
      </c>
      <c r="O39">
        <f>ABS(L39-FONO!$C$34)</f>
        <v>2.1719678693957469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FONO!M40</f>
        <v>-1.51851984</v>
      </c>
      <c r="M40">
        <f>FONO!N40</f>
        <v>3.4</v>
      </c>
      <c r="O40">
        <f>ABS(L40-FONO!$C$34)</f>
        <v>2.1779928453957469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FONO!M41</f>
        <v>-1.5118676</v>
      </c>
      <c r="M41">
        <f>FONO!N41</f>
        <v>3.5</v>
      </c>
      <c r="O41">
        <f>ABS(L41-FONO!$C$34)</f>
        <v>2.1846450853957471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FONO!M42</f>
        <v>-1.5065144479999999</v>
      </c>
      <c r="M42">
        <f>FONO!N42</f>
        <v>3.6</v>
      </c>
      <c r="O42">
        <f>ABS(L42-FONO!$C$34)</f>
        <v>2.1899982373957472</v>
      </c>
      <c r="P42">
        <f t="shared" si="0"/>
        <v>3.6</v>
      </c>
    </row>
    <row r="43" spans="1:16">
      <c r="A43" s="22"/>
      <c r="J43" s="5"/>
      <c r="L43">
        <f>FONO!M43</f>
        <v>-1.5044090160000001</v>
      </c>
      <c r="M43">
        <f>FONO!N43</f>
        <v>3.7</v>
      </c>
      <c r="O43">
        <f>ABS(L43-FONO!$C$34)</f>
        <v>2.1921036693957472</v>
      </c>
      <c r="P43">
        <f t="shared" si="0"/>
        <v>3.7</v>
      </c>
    </row>
    <row r="44" spans="1:16">
      <c r="J44" s="5"/>
      <c r="L44">
        <f>FONO!M44</f>
        <v>-1.5023035840000001</v>
      </c>
      <c r="M44">
        <f>FONO!N44</f>
        <v>3.8</v>
      </c>
      <c r="O44">
        <f>ABS(L44-FONO!$C$34)</f>
        <v>2.1942091013957468</v>
      </c>
      <c r="P44">
        <f t="shared" si="0"/>
        <v>3.8</v>
      </c>
    </row>
    <row r="45" spans="1:16">
      <c r="J45" s="5"/>
      <c r="L45">
        <f>FONO!M45</f>
        <v>-1.4942460559999999</v>
      </c>
      <c r="M45">
        <f>FONO!N45</f>
        <v>3.9</v>
      </c>
      <c r="O45">
        <f>ABS(L45-FONO!$C$34)</f>
        <v>2.2022666293957469</v>
      </c>
      <c r="P45">
        <f t="shared" si="0"/>
        <v>3.9</v>
      </c>
    </row>
    <row r="46" spans="1:16">
      <c r="J46" s="5"/>
      <c r="L46">
        <f>FONO!M46</f>
        <v>-1.48403916</v>
      </c>
      <c r="M46">
        <f>FONO!N46</f>
        <v>4</v>
      </c>
      <c r="O46">
        <f>ABS(L46-FONO!$C$34)</f>
        <v>2.212473525395747</v>
      </c>
      <c r="P46">
        <f t="shared" si="0"/>
        <v>4</v>
      </c>
    </row>
    <row r="47" spans="1:16">
      <c r="J47" s="5"/>
      <c r="L47">
        <f>FONO!M47</f>
        <v>-1.4750847039999999</v>
      </c>
      <c r="M47">
        <f>FONO!N47</f>
        <v>4.0999999999999996</v>
      </c>
      <c r="O47">
        <f>ABS(L47-FONO!$C$34)</f>
        <v>2.2214279813957472</v>
      </c>
      <c r="P47">
        <f t="shared" si="0"/>
        <v>4.0999999999999996</v>
      </c>
    </row>
    <row r="48" spans="1:16">
      <c r="J48" s="5"/>
      <c r="L48">
        <f>FONO!M48</f>
        <v>-1.471696648</v>
      </c>
      <c r="M48">
        <f>FONO!N48</f>
        <v>4.2</v>
      </c>
      <c r="O48">
        <f>ABS(L48-FONO!$C$34)</f>
        <v>2.2248160373957471</v>
      </c>
      <c r="P48">
        <f t="shared" si="0"/>
        <v>4.2</v>
      </c>
    </row>
    <row r="49" spans="10:16">
      <c r="J49" s="5"/>
      <c r="L49">
        <f>FONO!M49</f>
        <v>-1.4683085920000001</v>
      </c>
      <c r="M49">
        <f>FONO!N49</f>
        <v>4.3</v>
      </c>
      <c r="O49">
        <f>ABS(L49-FONO!$C$34)</f>
        <v>2.228204093395747</v>
      </c>
      <c r="P49">
        <f t="shared" si="0"/>
        <v>4.3</v>
      </c>
    </row>
    <row r="50" spans="10:16">
      <c r="J50" s="5"/>
      <c r="L50">
        <f>FONO!M50</f>
        <v>-1.4604674479999999</v>
      </c>
      <c r="M50">
        <f>FONO!N50</f>
        <v>4.4000000000000004</v>
      </c>
      <c r="O50">
        <f>ABS(L50-FONO!$C$34)</f>
        <v>2.2360452373957473</v>
      </c>
      <c r="P50">
        <f t="shared" si="0"/>
        <v>4.4000000000000004</v>
      </c>
    </row>
    <row r="51" spans="10:16">
      <c r="J51" s="5"/>
      <c r="L51">
        <f>FONO!M51</f>
        <v>-1.4500406400000001</v>
      </c>
      <c r="M51">
        <f>FONO!N51</f>
        <v>4.5</v>
      </c>
      <c r="O51">
        <f>ABS(L51-FONO!$C$34)</f>
        <v>2.246472045395747</v>
      </c>
      <c r="P51">
        <f t="shared" si="0"/>
        <v>4.5</v>
      </c>
    </row>
    <row r="52" spans="10:16">
      <c r="J52" s="5"/>
      <c r="L52">
        <f>FONO!M52</f>
        <v>-1.4404583120000001</v>
      </c>
      <c r="M52">
        <f>FONO!N52</f>
        <v>4.5999999999999996</v>
      </c>
      <c r="O52">
        <f>ABS(L52-FONO!$C$34)</f>
        <v>2.256054373395747</v>
      </c>
      <c r="P52">
        <f t="shared" si="0"/>
        <v>4.5999999999999996</v>
      </c>
    </row>
    <row r="53" spans="10:16">
      <c r="J53" s="5"/>
      <c r="L53">
        <f>FONO!M53</f>
        <v>-1.4403763839999999</v>
      </c>
      <c r="M53">
        <f>FONO!N53</f>
        <v>4.7</v>
      </c>
      <c r="O53">
        <f>ABS(L53-FONO!$C$34)</f>
        <v>2.2561363013957472</v>
      </c>
      <c r="P53">
        <f t="shared" si="0"/>
        <v>4.7</v>
      </c>
    </row>
    <row r="54" spans="10:16">
      <c r="J54" s="5"/>
      <c r="L54">
        <f>FONO!M54</f>
        <v>-1.4402944559999999</v>
      </c>
      <c r="M54">
        <f>FONO!N54</f>
        <v>4.8</v>
      </c>
      <c r="O54">
        <f>ABS(L54-FONO!$C$34)</f>
        <v>2.2562182293957473</v>
      </c>
      <c r="P54">
        <f t="shared" si="0"/>
        <v>4.8</v>
      </c>
    </row>
    <row r="55" spans="10:16">
      <c r="J55" s="5"/>
      <c r="L55">
        <f>FONO!M55</f>
        <v>-1.440256</v>
      </c>
      <c r="M55">
        <f>FONO!N55</f>
        <v>4.9000000000000004</v>
      </c>
      <c r="O55">
        <f>ABS(L55-FONO!$C$34)</f>
        <v>2.2562566853957469</v>
      </c>
      <c r="P55">
        <f t="shared" si="0"/>
        <v>4.9000000000000004</v>
      </c>
    </row>
    <row r="56" spans="10:16">
      <c r="J56" s="5"/>
      <c r="L56">
        <f>FONO!M56</f>
        <v>-1.440256</v>
      </c>
      <c r="M56">
        <f>FONO!N56</f>
        <v>5</v>
      </c>
      <c r="O56">
        <f>ABS(L56-FONO!$C$34)</f>
        <v>2.2562566853957469</v>
      </c>
      <c r="P56">
        <f t="shared" si="0"/>
        <v>5</v>
      </c>
    </row>
    <row r="57" spans="10:16">
      <c r="J57" s="5"/>
      <c r="L57">
        <f>FONO!M57</f>
        <v>-1.440256</v>
      </c>
      <c r="M57">
        <f>FONO!N57</f>
        <v>5.0999999999999996</v>
      </c>
      <c r="O57">
        <f>ABS(L57-FONO!$C$34)</f>
        <v>2.2562566853957469</v>
      </c>
      <c r="P57">
        <f t="shared" si="0"/>
        <v>5.0999999999999996</v>
      </c>
    </row>
    <row r="58" spans="10:16">
      <c r="J58" s="5"/>
      <c r="L58">
        <f>FONO!M58</f>
        <v>-1.435505152</v>
      </c>
      <c r="M58">
        <f>FONO!N58</f>
        <v>5.2</v>
      </c>
      <c r="O58">
        <f>ABS(L58-FONO!$C$34)</f>
        <v>2.2610075333957473</v>
      </c>
      <c r="P58">
        <f t="shared" si="0"/>
        <v>5.2</v>
      </c>
    </row>
    <row r="59" spans="10:16">
      <c r="J59" s="5"/>
      <c r="L59">
        <f>FONO!M59</f>
        <v>-1.4306553280000001</v>
      </c>
      <c r="M59">
        <f>FONO!N59</f>
        <v>5.3</v>
      </c>
      <c r="O59">
        <f>ABS(L59-FONO!$C$34)</f>
        <v>2.2658573573957472</v>
      </c>
      <c r="P59">
        <f t="shared" si="0"/>
        <v>5.3</v>
      </c>
    </row>
    <row r="60" spans="10:16">
      <c r="J60" s="5"/>
      <c r="L60">
        <f>FONO!M60</f>
        <v>-1.4271466479999999</v>
      </c>
      <c r="M60">
        <f>FONO!N60</f>
        <v>5.4</v>
      </c>
      <c r="O60">
        <f>ABS(L60-FONO!$C$34)</f>
        <v>2.2693660373957472</v>
      </c>
      <c r="P60">
        <f t="shared" si="0"/>
        <v>5.4</v>
      </c>
    </row>
    <row r="61" spans="10:16">
      <c r="J61" s="5"/>
      <c r="L61">
        <f>FONO!M61</f>
        <v>-1.42542616</v>
      </c>
      <c r="M61">
        <f>FONO!N61</f>
        <v>5.5</v>
      </c>
      <c r="O61">
        <f>ABS(L61-FONO!$C$34)</f>
        <v>2.2710865253957468</v>
      </c>
      <c r="P61">
        <f t="shared" si="0"/>
        <v>5.5</v>
      </c>
    </row>
    <row r="62" spans="10:16">
      <c r="J62" s="5"/>
      <c r="L62">
        <f>FONO!M62</f>
        <v>-1.4237056720000001</v>
      </c>
      <c r="M62">
        <f>FONO!N62</f>
        <v>5.6</v>
      </c>
      <c r="O62">
        <f>ABS(L62-FONO!$C$34)</f>
        <v>2.272807013395747</v>
      </c>
      <c r="P62">
        <f t="shared" si="0"/>
        <v>5.6</v>
      </c>
    </row>
    <row r="63" spans="10:16">
      <c r="J63" s="5"/>
      <c r="L63">
        <f>FONO!M63</f>
        <v>-1.418527984</v>
      </c>
      <c r="M63">
        <f>FONO!N63</f>
        <v>5.7</v>
      </c>
      <c r="O63">
        <f>ABS(L63-FONO!$C$34)</f>
        <v>2.2779847013957468</v>
      </c>
      <c r="P63">
        <f t="shared" si="0"/>
        <v>5.7</v>
      </c>
    </row>
    <row r="64" spans="10:16">
      <c r="J64" s="5"/>
      <c r="L64">
        <f>FONO!M64</f>
        <v>-1.4128678960000001</v>
      </c>
      <c r="M64">
        <f>FONO!N64</f>
        <v>5.8</v>
      </c>
      <c r="O64">
        <f>ABS(L64-FONO!$C$34)</f>
        <v>2.2836447893957468</v>
      </c>
      <c r="P64">
        <f t="shared" si="0"/>
        <v>5.8</v>
      </c>
    </row>
    <row r="65" spans="10:16">
      <c r="J65" s="5"/>
      <c r="L65">
        <f>FONO!M65</f>
        <v>-1.408747008</v>
      </c>
      <c r="M65">
        <f>FONO!N65</f>
        <v>5.9</v>
      </c>
      <c r="O65">
        <f>ABS(L65-FONO!$C$34)</f>
        <v>2.2877656773957469</v>
      </c>
      <c r="P65">
        <f t="shared" si="0"/>
        <v>5.9</v>
      </c>
    </row>
    <row r="66" spans="10:16">
      <c r="J66" s="5"/>
      <c r="L66">
        <f>FONO!M66</f>
        <v>-1.40780072</v>
      </c>
      <c r="M66">
        <f>FONO!N66</f>
        <v>6</v>
      </c>
      <c r="O66">
        <f>ABS(L66-FONO!$C$34)</f>
        <v>2.2887119653957471</v>
      </c>
      <c r="P66">
        <f t="shared" si="0"/>
        <v>6</v>
      </c>
    </row>
    <row r="67" spans="10:16">
      <c r="J67" s="5"/>
      <c r="L67">
        <f>FONO!M67</f>
        <v>-1.406854432</v>
      </c>
      <c r="M67">
        <f>FONO!N67</f>
        <v>6.1</v>
      </c>
      <c r="O67">
        <f>ABS(L67-FONO!$C$34)</f>
        <v>2.2896582533957472</v>
      </c>
      <c r="P67">
        <f t="shared" si="0"/>
        <v>6.1</v>
      </c>
    </row>
    <row r="68" spans="10:16">
      <c r="J68" s="5"/>
      <c r="L68">
        <f>FONO!M68</f>
        <v>-1.406433456</v>
      </c>
      <c r="M68">
        <f>FONO!N68</f>
        <v>6.2</v>
      </c>
      <c r="O68">
        <f>ABS(L68-FONO!$C$34)</f>
        <v>2.2900792293957473</v>
      </c>
      <c r="P68">
        <f t="shared" si="0"/>
        <v>6.2</v>
      </c>
    </row>
    <row r="69" spans="10:16">
      <c r="J69" s="5"/>
      <c r="L69">
        <f>FONO!M69</f>
        <v>-1.4061645439999999</v>
      </c>
      <c r="M69">
        <f>FONO!N69</f>
        <v>6.3</v>
      </c>
      <c r="O69">
        <f>ABS(L69-FONO!$C$34)</f>
        <v>2.2903481413957474</v>
      </c>
      <c r="P69">
        <f t="shared" si="0"/>
        <v>6.3</v>
      </c>
    </row>
    <row r="70" spans="10:16">
      <c r="J70" s="5"/>
      <c r="L70">
        <f>FONO!M70</f>
        <v>-1.404774776</v>
      </c>
      <c r="M70">
        <f>FONO!N70</f>
        <v>6.4</v>
      </c>
      <c r="O70">
        <f>ABS(L70-FONO!$C$34)</f>
        <v>2.2917379093957471</v>
      </c>
      <c r="P70">
        <f t="shared" si="0"/>
        <v>6.4</v>
      </c>
    </row>
    <row r="71" spans="10:16">
      <c r="J71" s="5"/>
      <c r="L71">
        <f>FONO!M71</f>
        <v>-1.39951296</v>
      </c>
      <c r="M71">
        <f>FONO!N71</f>
        <v>6.5</v>
      </c>
      <c r="O71">
        <f>ABS(L71-FONO!$C$34)</f>
        <v>2.296999725395747</v>
      </c>
      <c r="P71">
        <f t="shared" ref="P71:P134" si="2">M71</f>
        <v>6.5</v>
      </c>
    </row>
    <row r="72" spans="10:16">
      <c r="J72" s="5"/>
      <c r="L72">
        <f>FONO!M72</f>
        <v>-1.3942511440000001</v>
      </c>
      <c r="M72">
        <f>FONO!N72</f>
        <v>6.6</v>
      </c>
      <c r="O72">
        <f>ABS(L72-FONO!$C$34)</f>
        <v>2.302261541395747</v>
      </c>
      <c r="P72">
        <f t="shared" si="2"/>
        <v>6.6</v>
      </c>
    </row>
    <row r="73" spans="10:16">
      <c r="J73" s="5"/>
      <c r="L73">
        <f>FONO!M73</f>
        <v>-1.380723224</v>
      </c>
      <c r="M73">
        <f>FONO!N73</f>
        <v>6.7</v>
      </c>
      <c r="O73">
        <f>ABS(L73-FONO!$C$34)</f>
        <v>2.315789461395747</v>
      </c>
      <c r="P73">
        <f t="shared" si="2"/>
        <v>6.7</v>
      </c>
    </row>
    <row r="74" spans="10:16">
      <c r="J74" s="5"/>
      <c r="L74">
        <f>FONO!M74</f>
        <v>-1.3631874960000001</v>
      </c>
      <c r="M74">
        <f>FONO!N74</f>
        <v>6.8</v>
      </c>
      <c r="O74">
        <f>ABS(L74-FONO!$C$34)</f>
        <v>2.333325189395747</v>
      </c>
      <c r="P74">
        <f t="shared" si="2"/>
        <v>6.8</v>
      </c>
    </row>
    <row r="75" spans="10:16">
      <c r="J75" s="5"/>
      <c r="L75">
        <f>FONO!M75</f>
        <v>-1.3475081680000001</v>
      </c>
      <c r="M75">
        <f>FONO!N75</f>
        <v>6.9</v>
      </c>
      <c r="O75">
        <f>ABS(L75-FONO!$C$34)</f>
        <v>2.349004517395747</v>
      </c>
      <c r="P75">
        <f t="shared" si="2"/>
        <v>6.9</v>
      </c>
    </row>
    <row r="76" spans="10:16">
      <c r="J76" s="5"/>
      <c r="L76">
        <f>FONO!M76</f>
        <v>-1.3451330399999999</v>
      </c>
      <c r="M76">
        <f>FONO!N76</f>
        <v>7</v>
      </c>
      <c r="O76">
        <f>ABS(L76-FONO!$C$34)</f>
        <v>2.3513796453957472</v>
      </c>
      <c r="P76">
        <f t="shared" si="2"/>
        <v>7</v>
      </c>
    </row>
    <row r="77" spans="10:16">
      <c r="J77" s="5"/>
      <c r="L77">
        <f>FONO!M77</f>
        <v>-1.3427579119999999</v>
      </c>
      <c r="M77">
        <f>FONO!N77</f>
        <v>7.1</v>
      </c>
      <c r="O77">
        <f>ABS(L77-FONO!$C$34)</f>
        <v>2.3537547733957469</v>
      </c>
      <c r="P77">
        <f t="shared" si="2"/>
        <v>7.1</v>
      </c>
    </row>
    <row r="78" spans="10:16">
      <c r="J78" s="5"/>
      <c r="L78">
        <f>FONO!M78</f>
        <v>-1.339210816</v>
      </c>
      <c r="M78">
        <f>FONO!N78</f>
        <v>7.2</v>
      </c>
      <c r="O78">
        <f>ABS(L78-FONO!$C$34)</f>
        <v>2.357301869395747</v>
      </c>
      <c r="P78">
        <f t="shared" si="2"/>
        <v>7.2</v>
      </c>
    </row>
    <row r="79" spans="10:16">
      <c r="J79" s="5"/>
      <c r="L79">
        <f>FONO!M79</f>
        <v>-1.334784744</v>
      </c>
      <c r="M79">
        <f>FONO!N79</f>
        <v>7.3</v>
      </c>
      <c r="O79">
        <f>ABS(L79-FONO!$C$34)</f>
        <v>2.3617279413957473</v>
      </c>
      <c r="P79">
        <f t="shared" si="2"/>
        <v>7.3</v>
      </c>
    </row>
    <row r="80" spans="10:16">
      <c r="J80" s="5"/>
      <c r="L80">
        <f>FONO!M80</f>
        <v>-1.3302923280000001</v>
      </c>
      <c r="M80">
        <f>FONO!N80</f>
        <v>7.4</v>
      </c>
      <c r="O80">
        <f>ABS(L80-FONO!$C$34)</f>
        <v>2.366220357395747</v>
      </c>
      <c r="P80">
        <f t="shared" si="2"/>
        <v>7.4</v>
      </c>
    </row>
    <row r="81" spans="10:16">
      <c r="J81" s="5"/>
      <c r="L81">
        <f>FONO!M81</f>
        <v>-1.3226154000000001</v>
      </c>
      <c r="M81">
        <f>FONO!N81</f>
        <v>7.5</v>
      </c>
      <c r="O81">
        <f>ABS(L81-FONO!$C$34)</f>
        <v>2.373897285395747</v>
      </c>
      <c r="P81">
        <f t="shared" si="2"/>
        <v>7.5</v>
      </c>
    </row>
    <row r="82" spans="10:16">
      <c r="J82" s="5"/>
      <c r="L82">
        <f>FONO!M82</f>
        <v>-1.3149384719999999</v>
      </c>
      <c r="M82">
        <f>FONO!N82</f>
        <v>7.6</v>
      </c>
      <c r="O82">
        <f>ABS(L82-FONO!$C$34)</f>
        <v>2.3815742133957469</v>
      </c>
      <c r="P82">
        <f t="shared" si="2"/>
        <v>7.6</v>
      </c>
    </row>
    <row r="83" spans="10:16">
      <c r="J83" s="5"/>
      <c r="L83">
        <f>FONO!M83</f>
        <v>-1.3095624640000001</v>
      </c>
      <c r="M83">
        <f>FONO!N83</f>
        <v>7.7</v>
      </c>
      <c r="O83">
        <f>ABS(L83-FONO!$C$34)</f>
        <v>2.3869502213957468</v>
      </c>
      <c r="P83">
        <f t="shared" si="2"/>
        <v>7.7</v>
      </c>
    </row>
    <row r="84" spans="10:16">
      <c r="J84" s="5"/>
      <c r="L84">
        <f>FONO!M84</f>
        <v>-1.3067874960000001</v>
      </c>
      <c r="M84">
        <f>FONO!N84</f>
        <v>7.8</v>
      </c>
      <c r="O84">
        <f>ABS(L84-FONO!$C$34)</f>
        <v>2.389725189395747</v>
      </c>
      <c r="P84">
        <f t="shared" si="2"/>
        <v>7.8</v>
      </c>
    </row>
    <row r="85" spans="10:16">
      <c r="J85" s="5"/>
      <c r="L85">
        <f>FONO!M85</f>
        <v>-1.3040125279999999</v>
      </c>
      <c r="M85">
        <f>FONO!N85</f>
        <v>7.9</v>
      </c>
      <c r="O85">
        <f>ABS(L85-FONO!$C$34)</f>
        <v>2.3925001573957472</v>
      </c>
      <c r="P85">
        <f t="shared" si="2"/>
        <v>7.9</v>
      </c>
    </row>
    <row r="86" spans="10:16">
      <c r="J86" s="5"/>
      <c r="L86">
        <f>FONO!M86</f>
        <v>-1.29409408</v>
      </c>
      <c r="M86">
        <f>FONO!N86</f>
        <v>8</v>
      </c>
      <c r="O86">
        <f>ABS(L86-FONO!$C$34)</f>
        <v>2.4024186053957468</v>
      </c>
      <c r="P86">
        <f t="shared" si="2"/>
        <v>8</v>
      </c>
    </row>
    <row r="87" spans="10:16">
      <c r="J87" s="5"/>
      <c r="L87">
        <f>FONO!M87</f>
        <v>-1.283540656</v>
      </c>
      <c r="M87">
        <f>FONO!N87</f>
        <v>8.1</v>
      </c>
      <c r="O87">
        <f>ABS(L87-FONO!$C$34)</f>
        <v>2.4129720293957471</v>
      </c>
      <c r="P87">
        <f t="shared" si="2"/>
        <v>8.1</v>
      </c>
    </row>
    <row r="88" spans="10:16">
      <c r="J88" s="5"/>
      <c r="L88">
        <f>FONO!M88</f>
        <v>-1.276364176</v>
      </c>
      <c r="M88">
        <f>FONO!N88</f>
        <v>8.1999999999999993</v>
      </c>
      <c r="O88">
        <f>ABS(L88-FONO!$C$34)</f>
        <v>2.4201485093957471</v>
      </c>
      <c r="P88">
        <f t="shared" si="2"/>
        <v>8.1999999999999993</v>
      </c>
    </row>
    <row r="89" spans="10:16">
      <c r="J89" s="5"/>
      <c r="L89">
        <f>FONO!M89</f>
        <v>-1.275003544</v>
      </c>
      <c r="M89">
        <f>FONO!N89</f>
        <v>8.3000000000000007</v>
      </c>
      <c r="O89">
        <f>ABS(L89-FONO!$C$34)</f>
        <v>2.421509141395747</v>
      </c>
      <c r="P89">
        <f t="shared" si="2"/>
        <v>8.3000000000000007</v>
      </c>
    </row>
    <row r="90" spans="10:16">
      <c r="J90" s="5"/>
      <c r="L90">
        <f>FONO!M90</f>
        <v>-1.2736429119999999</v>
      </c>
      <c r="M90">
        <f>FONO!N90</f>
        <v>8.4</v>
      </c>
      <c r="O90">
        <f>ABS(L90-FONO!$C$34)</f>
        <v>2.4228697733957469</v>
      </c>
      <c r="P90">
        <f t="shared" si="2"/>
        <v>8.4</v>
      </c>
    </row>
    <row r="91" spans="10:16">
      <c r="J91" s="5"/>
      <c r="L91">
        <f>FONO!M91</f>
        <v>-1.2722192400000001</v>
      </c>
      <c r="M91">
        <f>FONO!N91</f>
        <v>8.5</v>
      </c>
      <c r="O91">
        <f>ABS(L91-FONO!$C$34)</f>
        <v>2.424293445395747</v>
      </c>
      <c r="P91">
        <f t="shared" si="2"/>
        <v>8.5</v>
      </c>
    </row>
    <row r="92" spans="10:16">
      <c r="J92" s="5"/>
      <c r="L92">
        <f>FONO!M92</f>
        <v>-1.270781384</v>
      </c>
      <c r="M92">
        <f>FONO!N92</f>
        <v>8.6</v>
      </c>
      <c r="O92">
        <f>ABS(L92-FONO!$C$34)</f>
        <v>2.4257313013957473</v>
      </c>
      <c r="P92">
        <f t="shared" si="2"/>
        <v>8.6</v>
      </c>
    </row>
    <row r="93" spans="10:16">
      <c r="J93" s="5"/>
      <c r="L93">
        <f>FONO!M93</f>
        <v>-1.2678373999999999</v>
      </c>
      <c r="M93">
        <f>FONO!N93</f>
        <v>8.6999999999999993</v>
      </c>
      <c r="O93">
        <f>ABS(L93-FONO!$C$34)</f>
        <v>2.4286752853957472</v>
      </c>
      <c r="P93">
        <f t="shared" si="2"/>
        <v>8.6999999999999993</v>
      </c>
    </row>
    <row r="94" spans="10:16">
      <c r="J94" s="5"/>
      <c r="L94">
        <f>FONO!M94</f>
        <v>-1.2607226</v>
      </c>
      <c r="M94">
        <f>FONO!N94</f>
        <v>8.8000000000000007</v>
      </c>
      <c r="O94">
        <f>ABS(L94-FONO!$C$34)</f>
        <v>2.4357900853957473</v>
      </c>
      <c r="P94">
        <f t="shared" si="2"/>
        <v>8.8000000000000007</v>
      </c>
    </row>
    <row r="95" spans="10:16">
      <c r="J95" s="5"/>
      <c r="L95">
        <f>FONO!M95</f>
        <v>-1.2536077999999999</v>
      </c>
      <c r="M95">
        <f>FONO!N95</f>
        <v>8.9</v>
      </c>
      <c r="O95">
        <f>ABS(L95-FONO!$C$34)</f>
        <v>2.4429048853957473</v>
      </c>
      <c r="P95">
        <f t="shared" si="2"/>
        <v>8.9</v>
      </c>
    </row>
    <row r="96" spans="10:16">
      <c r="J96" s="5"/>
      <c r="L96">
        <f>FONO!M96</f>
        <v>-1.2453783199999999</v>
      </c>
      <c r="M96">
        <f>FONO!N96</f>
        <v>9</v>
      </c>
      <c r="O96">
        <f>ABS(L96-FONO!$C$34)</f>
        <v>2.4511343653957471</v>
      </c>
      <c r="P96">
        <f t="shared" si="2"/>
        <v>9</v>
      </c>
    </row>
    <row r="97" spans="10:16">
      <c r="J97" s="5"/>
      <c r="L97">
        <f>FONO!M97</f>
        <v>-1.2367029679999999</v>
      </c>
      <c r="M97">
        <f>FONO!N97</f>
        <v>9.1</v>
      </c>
      <c r="O97">
        <f>ABS(L97-FONO!$C$34)</f>
        <v>2.4598097173957472</v>
      </c>
      <c r="P97">
        <f t="shared" si="2"/>
        <v>9.1</v>
      </c>
    </row>
    <row r="98" spans="10:16">
      <c r="J98" s="5"/>
      <c r="L98">
        <f>FONO!M98</f>
        <v>-1.22836144</v>
      </c>
      <c r="M98">
        <f>FONO!N98</f>
        <v>9.1999999999999993</v>
      </c>
      <c r="O98">
        <f>ABS(L98-FONO!$C$34)</f>
        <v>2.468151245395747</v>
      </c>
      <c r="P98">
        <f t="shared" si="2"/>
        <v>9.1999999999999993</v>
      </c>
    </row>
    <row r="99" spans="10:16">
      <c r="J99" s="5"/>
      <c r="L99">
        <f>FONO!M99</f>
        <v>-1.22173076</v>
      </c>
      <c r="M99">
        <f>FONO!N99</f>
        <v>9.3000000000000007</v>
      </c>
      <c r="O99">
        <f>ABS(L99-FONO!$C$34)</f>
        <v>2.4747819253957468</v>
      </c>
      <c r="P99">
        <f t="shared" si="2"/>
        <v>9.3000000000000007</v>
      </c>
    </row>
    <row r="100" spans="10:16">
      <c r="J100" s="5"/>
      <c r="L100">
        <f>FONO!M100</f>
        <v>-1.21510008</v>
      </c>
      <c r="M100">
        <f>FONO!N100</f>
        <v>9.4</v>
      </c>
      <c r="O100">
        <f>ABS(L100-FONO!$C$34)</f>
        <v>2.481412605395747</v>
      </c>
      <c r="P100">
        <f t="shared" si="2"/>
        <v>9.4</v>
      </c>
    </row>
    <row r="101" spans="10:16">
      <c r="J101" s="5"/>
      <c r="L101">
        <f>FONO!M101</f>
        <v>-1.2124524400000001</v>
      </c>
      <c r="M101">
        <f>FONO!N101</f>
        <v>9.5</v>
      </c>
      <c r="O101">
        <f>ABS(L101-FONO!$C$34)</f>
        <v>2.4840602453957468</v>
      </c>
      <c r="P101">
        <f t="shared" si="2"/>
        <v>9.5</v>
      </c>
    </row>
    <row r="102" spans="10:16">
      <c r="J102" s="5"/>
      <c r="L102">
        <f>FONO!M102</f>
        <v>-1.2123273919999999</v>
      </c>
      <c r="M102">
        <f>FONO!N102</f>
        <v>9.6</v>
      </c>
      <c r="O102">
        <f>ABS(L102-FONO!$C$34)</f>
        <v>2.4841852933957469</v>
      </c>
      <c r="P102">
        <f t="shared" si="2"/>
        <v>9.6</v>
      </c>
    </row>
    <row r="103" spans="10:16">
      <c r="J103" s="5"/>
      <c r="L103">
        <f>FONO!M103</f>
        <v>-1.212131136</v>
      </c>
      <c r="M103">
        <f>FONO!N103</f>
        <v>9.6999999999999993</v>
      </c>
      <c r="O103">
        <f>ABS(L103-FONO!$C$34)</f>
        <v>2.4843815493957471</v>
      </c>
      <c r="P103">
        <f t="shared" si="2"/>
        <v>9.6999999999999993</v>
      </c>
    </row>
    <row r="104" spans="10:16">
      <c r="J104" s="5"/>
      <c r="L104">
        <f>FONO!M104</f>
        <v>-1.2108430240000001</v>
      </c>
      <c r="M104">
        <f>FONO!N104</f>
        <v>9.8000000000000007</v>
      </c>
      <c r="O104">
        <f>ABS(L104-FONO!$C$34)</f>
        <v>2.4856696613957467</v>
      </c>
      <c r="P104">
        <f t="shared" si="2"/>
        <v>9.8000000000000007</v>
      </c>
    </row>
    <row r="105" spans="10:16">
      <c r="J105" s="5"/>
      <c r="L105">
        <f>FONO!M105</f>
        <v>-1.209554912</v>
      </c>
      <c r="M105">
        <f>FONO!N105</f>
        <v>9.9</v>
      </c>
      <c r="O105">
        <f>ABS(L105-FONO!$C$34)</f>
        <v>2.4869577733957469</v>
      </c>
      <c r="P105">
        <f t="shared" si="2"/>
        <v>9.9</v>
      </c>
    </row>
    <row r="106" spans="10:16">
      <c r="J106" s="5"/>
      <c r="L106">
        <f>FONO!M106</f>
        <v>-1.2055984</v>
      </c>
      <c r="M106">
        <f>FONO!N106</f>
        <v>10</v>
      </c>
      <c r="O106">
        <f>ABS(L106-FONO!$C$34)</f>
        <v>2.4909142853957471</v>
      </c>
      <c r="P106">
        <f t="shared" si="2"/>
        <v>10</v>
      </c>
    </row>
    <row r="107" spans="10:16">
      <c r="J107" s="5"/>
      <c r="L107">
        <f>FONO!M107</f>
        <v>-1.199080224</v>
      </c>
      <c r="M107">
        <f>FONO!N107</f>
        <v>10.1</v>
      </c>
      <c r="O107">
        <f>ABS(L107-FONO!$C$34)</f>
        <v>2.4974324613957473</v>
      </c>
      <c r="P107">
        <f t="shared" si="2"/>
        <v>10.1</v>
      </c>
    </row>
    <row r="108" spans="10:16">
      <c r="J108" s="5"/>
      <c r="L108">
        <f>FONO!M108</f>
        <v>-1.1925620480000001</v>
      </c>
      <c r="M108">
        <f>FONO!N108</f>
        <v>10.199999999999999</v>
      </c>
      <c r="O108">
        <f>ABS(L108-FONO!$C$34)</f>
        <v>2.503950637395747</v>
      </c>
      <c r="P108">
        <f t="shared" si="2"/>
        <v>10.199999999999999</v>
      </c>
    </row>
    <row r="109" spans="10:16">
      <c r="J109" s="5"/>
      <c r="L109">
        <f>FONO!M109</f>
        <v>-1.185888584</v>
      </c>
      <c r="M109">
        <f>FONO!N109</f>
        <v>10.3</v>
      </c>
      <c r="O109">
        <f>ABS(L109-FONO!$C$34)</f>
        <v>2.5106241013957469</v>
      </c>
      <c r="P109">
        <f t="shared" si="2"/>
        <v>10.3</v>
      </c>
    </row>
    <row r="110" spans="10:16">
      <c r="J110" s="5"/>
      <c r="L110">
        <f>FONO!M110</f>
        <v>-1.179208512</v>
      </c>
      <c r="M110">
        <f>FONO!N110</f>
        <v>10.4</v>
      </c>
      <c r="O110">
        <f>ABS(L110-FONO!$C$34)</f>
        <v>2.5173041733957469</v>
      </c>
      <c r="P110">
        <f t="shared" si="2"/>
        <v>10.4</v>
      </c>
    </row>
    <row r="111" spans="10:16">
      <c r="J111" s="5"/>
      <c r="L111">
        <f>FONO!M111</f>
        <v>-1.1746318</v>
      </c>
      <c r="M111">
        <f>FONO!N111</f>
        <v>10.5</v>
      </c>
      <c r="O111">
        <f>ABS(L111-FONO!$C$34)</f>
        <v>2.5218808853957473</v>
      </c>
      <c r="P111">
        <f t="shared" si="2"/>
        <v>10.5</v>
      </c>
    </row>
    <row r="112" spans="10:16">
      <c r="J112" s="5"/>
      <c r="L112">
        <f>FONO!M112</f>
        <v>-1.1731049600000001</v>
      </c>
      <c r="M112">
        <f>FONO!N112</f>
        <v>10.6</v>
      </c>
      <c r="O112">
        <f>ABS(L112-FONO!$C$34)</f>
        <v>2.5234077253957468</v>
      </c>
      <c r="P112">
        <f t="shared" si="2"/>
        <v>10.6</v>
      </c>
    </row>
    <row r="113" spans="10:16">
      <c r="J113" s="5"/>
      <c r="L113">
        <f>FONO!M113</f>
        <v>-1.1715781199999999</v>
      </c>
      <c r="M113">
        <f>FONO!N113</f>
        <v>10.7</v>
      </c>
      <c r="O113">
        <f>ABS(L113-FONO!$C$34)</f>
        <v>2.5249345653957471</v>
      </c>
      <c r="P113">
        <f t="shared" si="2"/>
        <v>10.7</v>
      </c>
    </row>
    <row r="114" spans="10:16">
      <c r="J114" s="5"/>
      <c r="L114">
        <f>FONO!M114</f>
        <v>-1.168164304</v>
      </c>
      <c r="M114">
        <f>FONO!N114</f>
        <v>10.8</v>
      </c>
      <c r="O114">
        <f>ABS(L114-FONO!$C$34)</f>
        <v>2.5283483813957472</v>
      </c>
      <c r="P114">
        <f t="shared" si="2"/>
        <v>10.8</v>
      </c>
    </row>
    <row r="115" spans="10:16">
      <c r="J115" s="5"/>
      <c r="L115">
        <f>FONO!M115</f>
        <v>-1.164435992</v>
      </c>
      <c r="M115">
        <f>FONO!N115</f>
        <v>10.9</v>
      </c>
      <c r="O115">
        <f>ABS(L115-FONO!$C$34)</f>
        <v>2.532076693395747</v>
      </c>
      <c r="P115">
        <f t="shared" si="2"/>
        <v>10.9</v>
      </c>
    </row>
    <row r="116" spans="10:16">
      <c r="J116" s="5"/>
      <c r="L116">
        <f>FONO!M116</f>
        <v>-1.1599877999999999</v>
      </c>
      <c r="M116">
        <f>FONO!N116</f>
        <v>11</v>
      </c>
      <c r="O116">
        <f>ABS(L116-FONO!$C$34)</f>
        <v>2.5365248853957469</v>
      </c>
      <c r="P116">
        <f t="shared" si="2"/>
        <v>11</v>
      </c>
    </row>
    <row r="117" spans="10:16">
      <c r="J117" s="5"/>
      <c r="L117">
        <f>FONO!M117</f>
        <v>-1.15390788</v>
      </c>
      <c r="M117">
        <f>FONO!N117</f>
        <v>11.1</v>
      </c>
      <c r="O117">
        <f>ABS(L117-FONO!$C$34)</f>
        <v>2.5426048053957473</v>
      </c>
      <c r="P117">
        <f t="shared" si="2"/>
        <v>11.1</v>
      </c>
    </row>
    <row r="118" spans="10:16">
      <c r="J118" s="5"/>
      <c r="L118">
        <f>FONO!M118</f>
        <v>-1.1478279600000001</v>
      </c>
      <c r="M118">
        <f>FONO!N118</f>
        <v>11.2</v>
      </c>
      <c r="O118">
        <f>ABS(L118-FONO!$C$34)</f>
        <v>2.5486847253957468</v>
      </c>
      <c r="P118">
        <f t="shared" si="2"/>
        <v>11.2</v>
      </c>
    </row>
    <row r="119" spans="10:16">
      <c r="J119" s="5"/>
      <c r="L119">
        <f>FONO!M119</f>
        <v>-1.1459068400000001</v>
      </c>
      <c r="M119">
        <f>FONO!N119</f>
        <v>11.3</v>
      </c>
      <c r="O119">
        <f>ABS(L119-FONO!$C$34)</f>
        <v>2.5506058453957472</v>
      </c>
      <c r="P119">
        <f t="shared" si="2"/>
        <v>11.3</v>
      </c>
    </row>
    <row r="120" spans="10:16">
      <c r="J120" s="5"/>
      <c r="L120">
        <f>FONO!M120</f>
        <v>-1.14533452</v>
      </c>
      <c r="M120">
        <f>FONO!N120</f>
        <v>11.4</v>
      </c>
      <c r="O120">
        <f>ABS(L120-FONO!$C$34)</f>
        <v>2.551178165395747</v>
      </c>
      <c r="P120">
        <f t="shared" si="2"/>
        <v>11.4</v>
      </c>
    </row>
    <row r="121" spans="10:16">
      <c r="J121" s="5"/>
      <c r="L121">
        <f>FONO!M121</f>
        <v>-1.14435668</v>
      </c>
      <c r="M121">
        <f>FONO!N121</f>
        <v>11.5</v>
      </c>
      <c r="O121">
        <f>ABS(L121-FONO!$C$34)</f>
        <v>2.5521560053957471</v>
      </c>
      <c r="P121">
        <f t="shared" si="2"/>
        <v>11.5</v>
      </c>
    </row>
    <row r="122" spans="10:16">
      <c r="J122" s="5"/>
      <c r="L122">
        <f>FONO!M122</f>
        <v>-1.141797312</v>
      </c>
      <c r="M122">
        <f>FONO!N122</f>
        <v>11.6</v>
      </c>
      <c r="O122">
        <f>ABS(L122-FONO!$C$34)</f>
        <v>2.5547153733957471</v>
      </c>
      <c r="P122">
        <f t="shared" si="2"/>
        <v>11.6</v>
      </c>
    </row>
    <row r="123" spans="10:16">
      <c r="J123" s="5"/>
      <c r="L123">
        <f>FONO!M123</f>
        <v>-1.139237944</v>
      </c>
      <c r="M123">
        <f>FONO!N123</f>
        <v>11.7</v>
      </c>
      <c r="O123">
        <f>ABS(L123-FONO!$C$34)</f>
        <v>2.5572747413957471</v>
      </c>
      <c r="P123">
        <f t="shared" si="2"/>
        <v>11.7</v>
      </c>
    </row>
    <row r="124" spans="10:16">
      <c r="J124" s="5"/>
      <c r="L124">
        <f>FONO!M124</f>
        <v>-1.1325917919999999</v>
      </c>
      <c r="M124">
        <f>FONO!N124</f>
        <v>11.8</v>
      </c>
      <c r="O124">
        <f>ABS(L124-FONO!$C$34)</f>
        <v>2.5639208933957471</v>
      </c>
      <c r="P124">
        <f t="shared" si="2"/>
        <v>11.8</v>
      </c>
    </row>
    <row r="125" spans="10:16">
      <c r="J125" s="5"/>
      <c r="L125">
        <f>FONO!M125</f>
        <v>-1.123774536</v>
      </c>
      <c r="M125">
        <f>FONO!N125</f>
        <v>11.9</v>
      </c>
      <c r="O125">
        <f>ABS(L125-FONO!$C$34)</f>
        <v>2.5727381493957471</v>
      </c>
      <c r="P125">
        <f t="shared" si="2"/>
        <v>11.9</v>
      </c>
    </row>
    <row r="126" spans="10:16">
      <c r="J126" s="5"/>
      <c r="L126">
        <f>FONO!M126</f>
        <v>-1.1152032000000001</v>
      </c>
      <c r="M126">
        <f>FONO!N126</f>
        <v>12</v>
      </c>
      <c r="O126">
        <f>ABS(L126-FONO!$C$34)</f>
        <v>2.5813094853957468</v>
      </c>
      <c r="P126">
        <f t="shared" si="2"/>
        <v>12</v>
      </c>
    </row>
    <row r="127" spans="10:16">
      <c r="J127" s="5"/>
      <c r="L127">
        <f>FONO!M127</f>
        <v>-1.1087959599999999</v>
      </c>
      <c r="M127">
        <f>FONO!N127</f>
        <v>12.1</v>
      </c>
      <c r="O127">
        <f>ABS(L127-FONO!$C$34)</f>
        <v>2.5877167253957474</v>
      </c>
      <c r="P127">
        <f t="shared" si="2"/>
        <v>12.1</v>
      </c>
    </row>
    <row r="128" spans="10:16">
      <c r="J128" s="5"/>
      <c r="L128">
        <f>FONO!M128</f>
        <v>-1.10238872</v>
      </c>
      <c r="M128">
        <f>FONO!N128</f>
        <v>12.2</v>
      </c>
      <c r="O128">
        <f>ABS(L128-FONO!$C$34)</f>
        <v>2.5941239653957471</v>
      </c>
      <c r="P128">
        <f t="shared" si="2"/>
        <v>12.2</v>
      </c>
    </row>
    <row r="129" spans="10:16">
      <c r="J129" s="5"/>
      <c r="L129">
        <f>FONO!M129</f>
        <v>-1.0990082880000001</v>
      </c>
      <c r="M129">
        <f>FONO!N129</f>
        <v>12.3</v>
      </c>
      <c r="O129">
        <f>ABS(L129-FONO!$C$34)</f>
        <v>2.5975043973957472</v>
      </c>
      <c r="P129">
        <f t="shared" si="2"/>
        <v>12.3</v>
      </c>
    </row>
    <row r="130" spans="10:16">
      <c r="J130" s="5"/>
      <c r="L130">
        <f>FONO!M130</f>
        <v>-1.098094144</v>
      </c>
      <c r="M130">
        <f>FONO!N130</f>
        <v>12.4</v>
      </c>
      <c r="O130">
        <f>ABS(L130-FONO!$C$34)</f>
        <v>2.598418541395747</v>
      </c>
      <c r="P130">
        <f t="shared" si="2"/>
        <v>12.4</v>
      </c>
    </row>
    <row r="131" spans="10:16">
      <c r="J131" s="5"/>
      <c r="L131">
        <f>FONO!M131</f>
        <v>-1.09718</v>
      </c>
      <c r="M131">
        <f>FONO!N131</f>
        <v>12.5</v>
      </c>
      <c r="O131">
        <f>ABS(L131-FONO!$C$34)</f>
        <v>2.5993326853957468</v>
      </c>
      <c r="P131">
        <f t="shared" si="2"/>
        <v>12.5</v>
      </c>
    </row>
    <row r="132" spans="10:16">
      <c r="J132" s="5"/>
      <c r="L132">
        <f>FONO!M132</f>
        <v>-1.0898201999999999</v>
      </c>
      <c r="M132">
        <f>FONO!N132</f>
        <v>12.6</v>
      </c>
      <c r="O132">
        <f>ABS(L132-FONO!$C$34)</f>
        <v>2.6066924853957474</v>
      </c>
      <c r="P132">
        <f t="shared" si="2"/>
        <v>12.6</v>
      </c>
    </row>
    <row r="133" spans="10:16">
      <c r="J133" s="5"/>
      <c r="L133">
        <f>FONO!M133</f>
        <v>-1.0824604</v>
      </c>
      <c r="M133">
        <f>FONO!N133</f>
        <v>12.7</v>
      </c>
      <c r="O133">
        <f>ABS(L133-FONO!$C$34)</f>
        <v>2.6140522853957471</v>
      </c>
      <c r="P133">
        <f t="shared" si="2"/>
        <v>12.7</v>
      </c>
    </row>
    <row r="134" spans="10:16">
      <c r="J134" s="5"/>
      <c r="L134">
        <f>FONO!M134</f>
        <v>-1.0716332239999999</v>
      </c>
      <c r="M134">
        <f>FONO!N134</f>
        <v>12.8</v>
      </c>
      <c r="O134">
        <f>ABS(L134-FONO!$C$34)</f>
        <v>2.6248794613957473</v>
      </c>
      <c r="P134">
        <f t="shared" si="2"/>
        <v>12.8</v>
      </c>
    </row>
    <row r="135" spans="10:16">
      <c r="J135" s="5"/>
      <c r="L135">
        <f>FONO!M135</f>
        <v>-1.056550632</v>
      </c>
      <c r="M135">
        <f>FONO!N135</f>
        <v>12.9</v>
      </c>
      <c r="O135">
        <f>ABS(L135-FONO!$C$34)</f>
        <v>2.6399620533957471</v>
      </c>
      <c r="P135">
        <f t="shared" ref="P135:P198" si="3">M135</f>
        <v>12.9</v>
      </c>
    </row>
    <row r="136" spans="10:16">
      <c r="J136" s="5"/>
      <c r="L136">
        <f>FONO!M136</f>
        <v>-1.04146804</v>
      </c>
      <c r="M136">
        <f>FONO!N136</f>
        <v>13</v>
      </c>
      <c r="O136">
        <f>ABS(L136-FONO!$C$34)</f>
        <v>2.6550446453957468</v>
      </c>
      <c r="P136">
        <f t="shared" si="3"/>
        <v>13</v>
      </c>
    </row>
    <row r="137" spans="10:16">
      <c r="J137" s="5"/>
      <c r="L137">
        <f>FONO!M137</f>
        <v>-1.033119208</v>
      </c>
      <c r="M137">
        <f>FONO!N137</f>
        <v>13.1</v>
      </c>
      <c r="O137">
        <f>ABS(L137-FONO!$C$34)</f>
        <v>2.6633934773957471</v>
      </c>
      <c r="P137">
        <f t="shared" si="3"/>
        <v>13.1</v>
      </c>
    </row>
    <row r="138" spans="10:16">
      <c r="J138" s="5"/>
      <c r="L138">
        <f>FONO!M138</f>
        <v>-1.025535576</v>
      </c>
      <c r="M138">
        <f>FONO!N138</f>
        <v>13.2</v>
      </c>
      <c r="O138">
        <f>ABS(L138-FONO!$C$34)</f>
        <v>2.6709771093957473</v>
      </c>
      <c r="P138">
        <f t="shared" si="3"/>
        <v>13.2</v>
      </c>
    </row>
    <row r="139" spans="10:16">
      <c r="J139" s="5"/>
      <c r="L139">
        <f>FONO!M139</f>
        <v>-1.018152272</v>
      </c>
      <c r="M139">
        <f>FONO!N139</f>
        <v>13.3</v>
      </c>
      <c r="O139">
        <f>ABS(L139-FONO!$C$34)</f>
        <v>2.678360413395747</v>
      </c>
      <c r="P139">
        <f t="shared" si="3"/>
        <v>13.3</v>
      </c>
    </row>
    <row r="140" spans="10:16">
      <c r="J140" s="5"/>
      <c r="L140">
        <f>FONO!M140</f>
        <v>-1.0111460560000001</v>
      </c>
      <c r="M140">
        <f>FONO!N140</f>
        <v>13.4</v>
      </c>
      <c r="O140">
        <f>ABS(L140-FONO!$C$34)</f>
        <v>2.6853666293957472</v>
      </c>
      <c r="P140">
        <f t="shared" si="3"/>
        <v>13.4</v>
      </c>
    </row>
    <row r="141" spans="10:16">
      <c r="J141" s="5"/>
      <c r="L141">
        <f>FONO!M141</f>
        <v>-1.0041398399999999</v>
      </c>
      <c r="M141">
        <f>FONO!N141</f>
        <v>13.5</v>
      </c>
      <c r="O141">
        <f>ABS(L141-FONO!$C$34)</f>
        <v>2.6923728453957469</v>
      </c>
      <c r="P141">
        <f t="shared" si="3"/>
        <v>13.5</v>
      </c>
    </row>
    <row r="142" spans="10:16">
      <c r="J142" s="5"/>
      <c r="L142">
        <f>FONO!M142</f>
        <v>-1.0017530960000001</v>
      </c>
      <c r="M142">
        <f>FONO!N142</f>
        <v>13.6</v>
      </c>
      <c r="O142">
        <f>ABS(L142-FONO!$C$34)</f>
        <v>2.6947595893957468</v>
      </c>
      <c r="P142">
        <f t="shared" si="3"/>
        <v>13.6</v>
      </c>
    </row>
    <row r="143" spans="10:16">
      <c r="J143" s="5"/>
      <c r="L143">
        <f>FONO!M143</f>
        <v>-1.0005508320000001</v>
      </c>
      <c r="M143">
        <f>FONO!N143</f>
        <v>13.7</v>
      </c>
      <c r="O143">
        <f>ABS(L143-FONO!$C$34)</f>
        <v>2.695961853395747</v>
      </c>
      <c r="P143">
        <f t="shared" si="3"/>
        <v>13.7</v>
      </c>
    </row>
    <row r="144" spans="10:16">
      <c r="J144" s="5"/>
      <c r="L144">
        <f>FONO!M144</f>
        <v>-0.99921743200000002</v>
      </c>
      <c r="M144">
        <f>FONO!N144</f>
        <v>13.8</v>
      </c>
      <c r="O144">
        <f>ABS(L144-FONO!$C$34)</f>
        <v>2.6972952533957471</v>
      </c>
      <c r="P144">
        <f t="shared" si="3"/>
        <v>13.8</v>
      </c>
    </row>
    <row r="145" spans="10:16">
      <c r="J145" s="5"/>
      <c r="L145">
        <f>FONO!M145</f>
        <v>-0.99747969599999997</v>
      </c>
      <c r="M145">
        <f>FONO!N145</f>
        <v>13.9</v>
      </c>
      <c r="O145">
        <f>ABS(L145-FONO!$C$34)</f>
        <v>2.699032989395747</v>
      </c>
      <c r="P145">
        <f t="shared" si="3"/>
        <v>13.9</v>
      </c>
    </row>
    <row r="146" spans="10:16">
      <c r="J146" s="5"/>
      <c r="L146">
        <f>FONO!M146</f>
        <v>-0.99574196000000004</v>
      </c>
      <c r="M146">
        <f>FONO!N146</f>
        <v>14</v>
      </c>
      <c r="O146">
        <f>ABS(L146-FONO!$C$34)</f>
        <v>2.7007707253957469</v>
      </c>
      <c r="P146">
        <f t="shared" si="3"/>
        <v>14</v>
      </c>
    </row>
    <row r="147" spans="10:16">
      <c r="J147" s="5"/>
      <c r="L147">
        <f>FONO!M147</f>
        <v>-0.99509249600000005</v>
      </c>
      <c r="M147">
        <f>FONO!N147</f>
        <v>14.1</v>
      </c>
      <c r="O147">
        <f>ABS(L147-FONO!$C$34)</f>
        <v>2.7014201893957468</v>
      </c>
      <c r="P147">
        <f t="shared" si="3"/>
        <v>14.1</v>
      </c>
    </row>
    <row r="148" spans="10:16">
      <c r="J148" s="5"/>
      <c r="L148">
        <f>FONO!M148</f>
        <v>-0.99492315200000003</v>
      </c>
      <c r="M148">
        <f>FONO!N148</f>
        <v>14.2</v>
      </c>
      <c r="O148">
        <f>ABS(L148-FONO!$C$34)</f>
        <v>2.7015895333957469</v>
      </c>
      <c r="P148">
        <f t="shared" si="3"/>
        <v>14.2</v>
      </c>
    </row>
    <row r="149" spans="10:16">
      <c r="J149" s="5"/>
      <c r="L149">
        <f>FONO!M149</f>
        <v>-0.99440067200000004</v>
      </c>
      <c r="M149">
        <f>FONO!N149</f>
        <v>14.3</v>
      </c>
      <c r="O149">
        <f>ABS(L149-FONO!$C$34)</f>
        <v>2.7021120133957472</v>
      </c>
      <c r="P149">
        <f t="shared" si="3"/>
        <v>14.3</v>
      </c>
    </row>
    <row r="150" spans="10:16">
      <c r="J150" s="5"/>
      <c r="L150">
        <f>FONO!M150</f>
        <v>-0.99175937599999997</v>
      </c>
      <c r="M150">
        <f>FONO!N150</f>
        <v>14.4</v>
      </c>
      <c r="O150">
        <f>ABS(L150-FONO!$C$34)</f>
        <v>2.704753309395747</v>
      </c>
      <c r="P150">
        <f t="shared" si="3"/>
        <v>14.4</v>
      </c>
    </row>
    <row r="151" spans="10:16">
      <c r="J151" s="5"/>
      <c r="L151">
        <f>FONO!M151</f>
        <v>-0.98911808000000001</v>
      </c>
      <c r="M151">
        <f>FONO!N151</f>
        <v>14.5</v>
      </c>
      <c r="O151">
        <f>ABS(L151-FONO!$C$34)</f>
        <v>2.7073946053957472</v>
      </c>
      <c r="P151">
        <f t="shared" si="3"/>
        <v>14.5</v>
      </c>
    </row>
    <row r="152" spans="10:16">
      <c r="J152" s="5"/>
      <c r="L152">
        <f>FONO!M152</f>
        <v>-0.98722057600000002</v>
      </c>
      <c r="M152">
        <f>FONO!N152</f>
        <v>14.6</v>
      </c>
      <c r="O152">
        <f>ABS(L152-FONO!$C$34)</f>
        <v>2.7092921093957472</v>
      </c>
      <c r="P152">
        <f t="shared" si="3"/>
        <v>14.6</v>
      </c>
    </row>
    <row r="153" spans="10:16">
      <c r="J153" s="5"/>
      <c r="L153">
        <f>FONO!M153</f>
        <v>-0.98583603200000003</v>
      </c>
      <c r="M153">
        <f>FONO!N153</f>
        <v>14.7</v>
      </c>
      <c r="O153">
        <f>ABS(L153-FONO!$C$34)</f>
        <v>2.7106766533957471</v>
      </c>
      <c r="P153">
        <f t="shared" si="3"/>
        <v>14.7</v>
      </c>
    </row>
    <row r="154" spans="10:16">
      <c r="J154" s="5"/>
      <c r="L154">
        <f>FONO!M154</f>
        <v>-0.98433320000000002</v>
      </c>
      <c r="M154">
        <f>FONO!N154</f>
        <v>14.8</v>
      </c>
      <c r="O154">
        <f>ABS(L154-FONO!$C$34)</f>
        <v>2.712179485395747</v>
      </c>
      <c r="P154">
        <f t="shared" si="3"/>
        <v>14.8</v>
      </c>
    </row>
    <row r="155" spans="10:16">
      <c r="J155" s="5"/>
      <c r="L155">
        <f>FONO!M155</f>
        <v>-0.98005059999999999</v>
      </c>
      <c r="M155">
        <f>FONO!N155</f>
        <v>14.9</v>
      </c>
      <c r="O155">
        <f>ABS(L155-FONO!$C$34)</f>
        <v>2.7164620853957473</v>
      </c>
      <c r="P155">
        <f t="shared" si="3"/>
        <v>14.9</v>
      </c>
    </row>
    <row r="156" spans="10:16">
      <c r="J156" s="5"/>
      <c r="L156">
        <f>FONO!M156</f>
        <v>-0.97576799999999997</v>
      </c>
      <c r="M156">
        <f>FONO!N156</f>
        <v>15</v>
      </c>
      <c r="O156">
        <f>ABS(L156-FONO!$C$34)</f>
        <v>2.7207446853957471</v>
      </c>
      <c r="P156">
        <f t="shared" si="3"/>
        <v>15</v>
      </c>
    </row>
    <row r="157" spans="10:16">
      <c r="J157" s="5"/>
      <c r="L157">
        <f>FONO!M157</f>
        <v>-0.97334319199999997</v>
      </c>
      <c r="M157">
        <f>FONO!N157</f>
        <v>15.1</v>
      </c>
      <c r="O157">
        <f>ABS(L157-FONO!$C$34)</f>
        <v>2.7231694933957469</v>
      </c>
      <c r="P157">
        <f t="shared" si="3"/>
        <v>15.1</v>
      </c>
    </row>
    <row r="158" spans="10:16">
      <c r="J158" s="5"/>
      <c r="L158">
        <f>FONO!M158</f>
        <v>-0.97285358399999999</v>
      </c>
      <c r="M158">
        <f>FONO!N158</f>
        <v>15.2</v>
      </c>
      <c r="O158">
        <f>ABS(L158-FONO!$C$34)</f>
        <v>2.723659101395747</v>
      </c>
      <c r="P158">
        <f t="shared" si="3"/>
        <v>15.2</v>
      </c>
    </row>
    <row r="159" spans="10:16">
      <c r="J159" s="5"/>
      <c r="L159">
        <f>FONO!M159</f>
        <v>-0.97236397600000002</v>
      </c>
      <c r="M159">
        <f>FONO!N159</f>
        <v>15.3</v>
      </c>
      <c r="O159">
        <f>ABS(L159-FONO!$C$34)</f>
        <v>2.724148709395747</v>
      </c>
      <c r="P159">
        <f t="shared" si="3"/>
        <v>15.3</v>
      </c>
    </row>
    <row r="160" spans="10:16">
      <c r="J160" s="5"/>
      <c r="L160">
        <f>FONO!M160</f>
        <v>-0.97233400000000003</v>
      </c>
      <c r="M160">
        <f>FONO!N160</f>
        <v>15.4</v>
      </c>
      <c r="O160">
        <f>ABS(L160-FONO!$C$34)</f>
        <v>2.724178685395747</v>
      </c>
      <c r="P160">
        <f t="shared" si="3"/>
        <v>15.4</v>
      </c>
    </row>
    <row r="161" spans="10:16">
      <c r="J161" s="5"/>
      <c r="L161">
        <f>FONO!M161</f>
        <v>-0.97233400000000003</v>
      </c>
      <c r="M161">
        <f>FONO!N161</f>
        <v>15.5</v>
      </c>
      <c r="O161">
        <f>ABS(L161-FONO!$C$34)</f>
        <v>2.724178685395747</v>
      </c>
      <c r="P161">
        <f t="shared" si="3"/>
        <v>15.5</v>
      </c>
    </row>
    <row r="162" spans="10:16">
      <c r="J162" s="5"/>
      <c r="L162">
        <f>FONO!M162</f>
        <v>-0.97191159199999999</v>
      </c>
      <c r="M162">
        <f>FONO!N162</f>
        <v>15.6</v>
      </c>
      <c r="O162">
        <f>ABS(L162-FONO!$C$34)</f>
        <v>2.724601093395747</v>
      </c>
      <c r="P162">
        <f t="shared" si="3"/>
        <v>15.6</v>
      </c>
    </row>
    <row r="163" spans="10:16">
      <c r="J163" s="5"/>
      <c r="L163">
        <f>FONO!M163</f>
        <v>-0.97082222399999996</v>
      </c>
      <c r="M163">
        <f>FONO!N163</f>
        <v>15.7</v>
      </c>
      <c r="O163">
        <f>ABS(L163-FONO!$C$34)</f>
        <v>2.7256904613957471</v>
      </c>
      <c r="P163">
        <f t="shared" si="3"/>
        <v>15.7</v>
      </c>
    </row>
    <row r="164" spans="10:16">
      <c r="J164" s="5"/>
      <c r="L164">
        <f>FONO!M164</f>
        <v>-0.96973285600000003</v>
      </c>
      <c r="M164">
        <f>FONO!N164</f>
        <v>15.8</v>
      </c>
      <c r="O164">
        <f>ABS(L164-FONO!$C$34)</f>
        <v>2.7267798293957473</v>
      </c>
      <c r="P164">
        <f t="shared" si="3"/>
        <v>15.8</v>
      </c>
    </row>
    <row r="165" spans="10:16">
      <c r="J165" s="5"/>
      <c r="L165">
        <f>FONO!M165</f>
        <v>-0.96452938399999999</v>
      </c>
      <c r="M165">
        <f>FONO!N165</f>
        <v>15.9</v>
      </c>
      <c r="O165">
        <f>ABS(L165-FONO!$C$34)</f>
        <v>2.7319833013957471</v>
      </c>
      <c r="P165">
        <f t="shared" si="3"/>
        <v>15.9</v>
      </c>
    </row>
    <row r="166" spans="10:16">
      <c r="J166" s="5"/>
      <c r="L166">
        <f>FONO!M166</f>
        <v>-0.95852316000000004</v>
      </c>
      <c r="M166">
        <f>FONO!N166</f>
        <v>16</v>
      </c>
      <c r="O166">
        <f>ABS(L166-FONO!$C$34)</f>
        <v>2.7379895253957471</v>
      </c>
      <c r="P166">
        <f t="shared" si="3"/>
        <v>16</v>
      </c>
    </row>
    <row r="167" spans="10:16">
      <c r="J167" s="5"/>
      <c r="L167">
        <f>FONO!M167</f>
        <v>-0.95362506400000002</v>
      </c>
      <c r="M167">
        <f>FONO!N167</f>
        <v>16.100000000000001</v>
      </c>
      <c r="O167">
        <f>ABS(L167-FONO!$C$34)</f>
        <v>2.7428876213957469</v>
      </c>
      <c r="P167">
        <f t="shared" si="3"/>
        <v>16.100000000000001</v>
      </c>
    </row>
    <row r="168" spans="10:16">
      <c r="J168" s="5"/>
      <c r="L168">
        <f>FONO!M168</f>
        <v>-0.951497288</v>
      </c>
      <c r="M168">
        <f>FONO!N168</f>
        <v>16.2</v>
      </c>
      <c r="O168">
        <f>ABS(L168-FONO!$C$34)</f>
        <v>2.745015397395747</v>
      </c>
      <c r="P168">
        <f t="shared" si="3"/>
        <v>16.2</v>
      </c>
    </row>
    <row r="169" spans="10:16">
      <c r="J169" s="5"/>
      <c r="L169">
        <f>FONO!M169</f>
        <v>-0.94936951199999997</v>
      </c>
      <c r="M169">
        <f>FONO!N169</f>
        <v>16.3</v>
      </c>
      <c r="O169">
        <f>ABS(L169-FONO!$C$34)</f>
        <v>2.747143173395747</v>
      </c>
      <c r="P169">
        <f t="shared" si="3"/>
        <v>16.3</v>
      </c>
    </row>
    <row r="170" spans="10:16">
      <c r="J170" s="5"/>
      <c r="L170">
        <f>FONO!M170</f>
        <v>-0.94880500000000001</v>
      </c>
      <c r="M170">
        <f>FONO!N170</f>
        <v>16.399999999999999</v>
      </c>
      <c r="O170">
        <f>ABS(L170-FONO!$C$34)</f>
        <v>2.7477076853957469</v>
      </c>
      <c r="P170">
        <f t="shared" si="3"/>
        <v>16.399999999999999</v>
      </c>
    </row>
    <row r="171" spans="10:16">
      <c r="J171" s="5"/>
      <c r="L171">
        <f>FONO!M171</f>
        <v>-0.94880500000000001</v>
      </c>
      <c r="M171">
        <f>FONO!N171</f>
        <v>16.5</v>
      </c>
      <c r="O171">
        <f>ABS(L171-FONO!$C$34)</f>
        <v>2.7477076853957469</v>
      </c>
      <c r="P171">
        <f t="shared" si="3"/>
        <v>16.5</v>
      </c>
    </row>
    <row r="172" spans="10:16">
      <c r="J172" s="5"/>
      <c r="L172">
        <f>FONO!M172</f>
        <v>-0.94872457600000004</v>
      </c>
      <c r="M172">
        <f>FONO!N172</f>
        <v>16.600000000000001</v>
      </c>
      <c r="O172">
        <f>ABS(L172-FONO!$C$34)</f>
        <v>2.747788109395747</v>
      </c>
      <c r="P172">
        <f t="shared" si="3"/>
        <v>16.600000000000001</v>
      </c>
    </row>
    <row r="173" spans="10:16">
      <c r="J173" s="5"/>
      <c r="L173">
        <f>FONO!M173</f>
        <v>-0.94828671200000003</v>
      </c>
      <c r="M173">
        <f>FONO!N173</f>
        <v>16.7</v>
      </c>
      <c r="O173">
        <f>ABS(L173-FONO!$C$34)</f>
        <v>2.7482259733957468</v>
      </c>
      <c r="P173">
        <f t="shared" si="3"/>
        <v>16.7</v>
      </c>
    </row>
    <row r="174" spans="10:16">
      <c r="J174" s="5"/>
      <c r="L174">
        <f>FONO!M174</f>
        <v>-0.94784884800000002</v>
      </c>
      <c r="M174">
        <f>FONO!N174</f>
        <v>16.8</v>
      </c>
      <c r="O174">
        <f>ABS(L174-FONO!$C$34)</f>
        <v>2.748663837395747</v>
      </c>
      <c r="P174">
        <f t="shared" si="3"/>
        <v>16.8</v>
      </c>
    </row>
    <row r="175" spans="10:16">
      <c r="J175" s="5"/>
      <c r="L175">
        <f>FONO!M175</f>
        <v>-0.94708932800000001</v>
      </c>
      <c r="M175">
        <f>FONO!N175</f>
        <v>16.899999999999999</v>
      </c>
      <c r="O175">
        <f>ABS(L175-FONO!$C$34)</f>
        <v>2.7494233573957469</v>
      </c>
      <c r="P175">
        <f t="shared" si="3"/>
        <v>16.899999999999999</v>
      </c>
    </row>
    <row r="176" spans="10:16">
      <c r="J176" s="5"/>
      <c r="L176">
        <f>FONO!M176</f>
        <v>-0.94614304000000005</v>
      </c>
      <c r="M176">
        <f>FONO!N176</f>
        <v>17</v>
      </c>
      <c r="O176">
        <f>ABS(L176-FONO!$C$34)</f>
        <v>2.7503696453957471</v>
      </c>
      <c r="P176">
        <f t="shared" si="3"/>
        <v>17</v>
      </c>
    </row>
    <row r="177" spans="10:16">
      <c r="J177" s="5"/>
      <c r="L177">
        <f>FONO!M177</f>
        <v>-0.94525150400000002</v>
      </c>
      <c r="M177">
        <f>FONO!N177</f>
        <v>17.100000000000001</v>
      </c>
      <c r="O177">
        <f>ABS(L177-FONO!$C$34)</f>
        <v>2.7512611813957468</v>
      </c>
      <c r="P177">
        <f t="shared" si="3"/>
        <v>17.100000000000001</v>
      </c>
    </row>
    <row r="178" spans="10:16">
      <c r="J178" s="5"/>
      <c r="L178">
        <f>FONO!M178</f>
        <v>-0.94497592799999997</v>
      </c>
      <c r="M178">
        <f>FONO!N178</f>
        <v>17.2</v>
      </c>
      <c r="O178">
        <f>ABS(L178-FONO!$C$34)</f>
        <v>2.7515367573957472</v>
      </c>
      <c r="P178">
        <f t="shared" si="3"/>
        <v>17.2</v>
      </c>
    </row>
    <row r="179" spans="10:16">
      <c r="J179" s="5"/>
      <c r="L179">
        <f>FONO!M179</f>
        <v>-0.94470035200000002</v>
      </c>
      <c r="M179">
        <f>FONO!N179</f>
        <v>17.3</v>
      </c>
      <c r="O179">
        <f>ABS(L179-FONO!$C$34)</f>
        <v>2.7518123333957472</v>
      </c>
      <c r="P179">
        <f t="shared" si="3"/>
        <v>17.3</v>
      </c>
    </row>
    <row r="180" spans="10:16">
      <c r="J180" s="5"/>
      <c r="L180">
        <f>FONO!M180</f>
        <v>-0.94178255200000005</v>
      </c>
      <c r="M180">
        <f>FONO!N180</f>
        <v>17.399999999999999</v>
      </c>
      <c r="O180">
        <f>ABS(L180-FONO!$C$34)</f>
        <v>2.7547301333957472</v>
      </c>
      <c r="P180">
        <f t="shared" si="3"/>
        <v>17.399999999999999</v>
      </c>
    </row>
    <row r="181" spans="10:16">
      <c r="J181" s="5"/>
      <c r="L181">
        <f>FONO!M181</f>
        <v>-0.93652740000000001</v>
      </c>
      <c r="M181">
        <f>FONO!N181</f>
        <v>17.5</v>
      </c>
      <c r="O181">
        <f>ABS(L181-FONO!$C$34)</f>
        <v>2.7599852853957469</v>
      </c>
      <c r="P181">
        <f t="shared" si="3"/>
        <v>17.5</v>
      </c>
    </row>
    <row r="182" spans="10:16">
      <c r="J182" s="5"/>
      <c r="L182">
        <f>FONO!M182</f>
        <v>-0.93127224799999997</v>
      </c>
      <c r="M182">
        <f>FONO!N182</f>
        <v>17.600000000000001</v>
      </c>
      <c r="O182">
        <f>ABS(L182-FONO!$C$34)</f>
        <v>2.7652404373957471</v>
      </c>
      <c r="P182">
        <f t="shared" si="3"/>
        <v>17.600000000000001</v>
      </c>
    </row>
    <row r="183" spans="10:16">
      <c r="J183" s="5"/>
      <c r="L183">
        <f>FONO!M183</f>
        <v>-0.92241440799999996</v>
      </c>
      <c r="M183">
        <f>FONO!N183</f>
        <v>17.7</v>
      </c>
      <c r="O183">
        <f>ABS(L183-FONO!$C$34)</f>
        <v>2.7740982773957472</v>
      </c>
      <c r="P183">
        <f t="shared" si="3"/>
        <v>17.7</v>
      </c>
    </row>
    <row r="184" spans="10:16">
      <c r="J184" s="5"/>
      <c r="L184">
        <f>FONO!M184</f>
        <v>-0.91348151200000005</v>
      </c>
      <c r="M184">
        <f>FONO!N184</f>
        <v>17.8</v>
      </c>
      <c r="O184">
        <f>ABS(L184-FONO!$C$34)</f>
        <v>2.7830311733957469</v>
      </c>
      <c r="P184">
        <f t="shared" si="3"/>
        <v>17.8</v>
      </c>
    </row>
    <row r="185" spans="10:16">
      <c r="J185" s="5"/>
      <c r="L185">
        <f>FONO!M185</f>
        <v>-0.90754103200000003</v>
      </c>
      <c r="M185">
        <f>FONO!N185</f>
        <v>17.899999999999999</v>
      </c>
      <c r="O185">
        <f>ABS(L185-FONO!$C$34)</f>
        <v>2.7889716533957469</v>
      </c>
      <c r="P185">
        <f t="shared" si="3"/>
        <v>17.899999999999999</v>
      </c>
    </row>
    <row r="186" spans="10:16">
      <c r="J186" s="5"/>
      <c r="L186">
        <f>FONO!M186</f>
        <v>-0.90559044</v>
      </c>
      <c r="M186">
        <f>FONO!N186</f>
        <v>18</v>
      </c>
      <c r="O186">
        <f>ABS(L186-FONO!$C$34)</f>
        <v>2.790922245395747</v>
      </c>
      <c r="P186">
        <f t="shared" si="3"/>
        <v>18</v>
      </c>
    </row>
    <row r="187" spans="10:16">
      <c r="J187" s="5"/>
      <c r="L187">
        <f>FONO!M187</f>
        <v>-0.90363984799999997</v>
      </c>
      <c r="M187">
        <f>FONO!N187</f>
        <v>18.100000000000001</v>
      </c>
      <c r="O187">
        <f>ABS(L187-FONO!$C$34)</f>
        <v>2.792872837395747</v>
      </c>
      <c r="P187">
        <f t="shared" si="3"/>
        <v>18.100000000000001</v>
      </c>
    </row>
    <row r="188" spans="10:16">
      <c r="J188" s="5"/>
      <c r="L188">
        <f>FONO!M188</f>
        <v>-0.89902015999999996</v>
      </c>
      <c r="M188">
        <f>FONO!N188</f>
        <v>18.2</v>
      </c>
      <c r="O188">
        <f>ABS(L188-FONO!$C$34)</f>
        <v>2.797492525395747</v>
      </c>
      <c r="P188">
        <f t="shared" si="3"/>
        <v>18.2</v>
      </c>
    </row>
    <row r="189" spans="10:16">
      <c r="J189" s="5"/>
      <c r="L189">
        <f>FONO!M189</f>
        <v>-0.89402804000000002</v>
      </c>
      <c r="M189">
        <f>FONO!N189</f>
        <v>18.3</v>
      </c>
      <c r="O189">
        <f>ABS(L189-FONO!$C$34)</f>
        <v>2.8024846453957473</v>
      </c>
      <c r="P189">
        <f t="shared" si="3"/>
        <v>18.3</v>
      </c>
    </row>
    <row r="190" spans="10:16">
      <c r="J190" s="5"/>
      <c r="L190">
        <f>FONO!M190</f>
        <v>-0.89012391999999996</v>
      </c>
      <c r="M190">
        <f>FONO!N190</f>
        <v>18.399999999999999</v>
      </c>
      <c r="O190">
        <f>ABS(L190-FONO!$C$34)</f>
        <v>2.8063887653957469</v>
      </c>
      <c r="P190">
        <f t="shared" si="3"/>
        <v>18.399999999999999</v>
      </c>
    </row>
    <row r="191" spans="10:16">
      <c r="J191" s="5"/>
      <c r="L191">
        <f>FONO!M191</f>
        <v>-0.88846380000000003</v>
      </c>
      <c r="M191">
        <f>FONO!N191</f>
        <v>18.5</v>
      </c>
      <c r="O191">
        <f>ABS(L191-FONO!$C$34)</f>
        <v>2.8080488853957473</v>
      </c>
      <c r="P191">
        <f t="shared" si="3"/>
        <v>18.5</v>
      </c>
    </row>
    <row r="192" spans="10:16">
      <c r="J192" s="5"/>
      <c r="L192">
        <f>FONO!M192</f>
        <v>-0.88680367999999998</v>
      </c>
      <c r="M192">
        <f>FONO!N192</f>
        <v>18.600000000000001</v>
      </c>
      <c r="O192">
        <f>ABS(L192-FONO!$C$34)</f>
        <v>2.8097090053957472</v>
      </c>
      <c r="P192">
        <f t="shared" si="3"/>
        <v>18.600000000000001</v>
      </c>
    </row>
    <row r="193" spans="10:16">
      <c r="J193" s="5"/>
      <c r="L193">
        <f>FONO!M193</f>
        <v>-0.88579989599999998</v>
      </c>
      <c r="M193">
        <f>FONO!N193</f>
        <v>18.7</v>
      </c>
      <c r="O193">
        <f>ABS(L193-FONO!$C$34)</f>
        <v>2.8107127893957471</v>
      </c>
      <c r="P193">
        <f t="shared" si="3"/>
        <v>18.7</v>
      </c>
    </row>
    <row r="194" spans="10:16">
      <c r="J194" s="5"/>
      <c r="L194">
        <f>FONO!M194</f>
        <v>-0.884986104</v>
      </c>
      <c r="M194">
        <f>FONO!N194</f>
        <v>18.8</v>
      </c>
      <c r="O194">
        <f>ABS(L194-FONO!$C$34)</f>
        <v>2.8115265813957473</v>
      </c>
      <c r="P194">
        <f t="shared" si="3"/>
        <v>18.8</v>
      </c>
    </row>
    <row r="195" spans="10:16">
      <c r="J195" s="5"/>
      <c r="L195">
        <f>FONO!M195</f>
        <v>-0.88404251199999995</v>
      </c>
      <c r="M195">
        <f>FONO!N195</f>
        <v>18.899999999999999</v>
      </c>
      <c r="O195">
        <f>ABS(L195-FONO!$C$34)</f>
        <v>2.8124701733957469</v>
      </c>
      <c r="P195">
        <f t="shared" si="3"/>
        <v>18.899999999999999</v>
      </c>
    </row>
    <row r="196" spans="10:16">
      <c r="J196" s="5"/>
      <c r="L196">
        <f>FONO!M196</f>
        <v>-0.88265051999999999</v>
      </c>
      <c r="M196">
        <f>FONO!N196</f>
        <v>19</v>
      </c>
      <c r="O196">
        <f>ABS(L196-FONO!$C$34)</f>
        <v>2.8138621653957472</v>
      </c>
      <c r="P196">
        <f t="shared" si="3"/>
        <v>19</v>
      </c>
    </row>
    <row r="197" spans="10:16">
      <c r="J197" s="5"/>
      <c r="L197">
        <f>FONO!M197</f>
        <v>-0.88125852800000004</v>
      </c>
      <c r="M197">
        <f>FONO!N197</f>
        <v>19.100000000000001</v>
      </c>
      <c r="O197">
        <f>ABS(L197-FONO!$C$34)</f>
        <v>2.815254157395747</v>
      </c>
      <c r="P197">
        <f t="shared" si="3"/>
        <v>19.100000000000001</v>
      </c>
    </row>
    <row r="198" spans="10:16">
      <c r="J198" s="5"/>
      <c r="L198">
        <f>FONO!M198</f>
        <v>-0.877477336</v>
      </c>
      <c r="M198">
        <f>FONO!N198</f>
        <v>19.2</v>
      </c>
      <c r="O198">
        <f>ABS(L198-FONO!$C$34)</f>
        <v>2.819035349395747</v>
      </c>
      <c r="P198">
        <f t="shared" si="3"/>
        <v>19.2</v>
      </c>
    </row>
    <row r="199" spans="10:16">
      <c r="J199" s="5"/>
      <c r="L199">
        <f>FONO!M199</f>
        <v>-0.87253774399999995</v>
      </c>
      <c r="M199">
        <f>FONO!N199</f>
        <v>19.3</v>
      </c>
      <c r="O199">
        <f>ABS(L199-FONO!$C$34)</f>
        <v>2.8239749413957469</v>
      </c>
      <c r="P199">
        <f t="shared" ref="P199:P262" si="4">M199</f>
        <v>19.3</v>
      </c>
    </row>
    <row r="200" spans="10:16">
      <c r="J200" s="5"/>
      <c r="L200">
        <f>FONO!M200</f>
        <v>-0.86801973600000004</v>
      </c>
      <c r="M200">
        <f>FONO!N200</f>
        <v>19.399999999999999</v>
      </c>
      <c r="O200">
        <f>ABS(L200-FONO!$C$34)</f>
        <v>2.8284929493957471</v>
      </c>
      <c r="P200">
        <f t="shared" si="4"/>
        <v>19.399999999999999</v>
      </c>
    </row>
    <row r="201" spans="10:16">
      <c r="J201" s="5"/>
      <c r="L201">
        <f>FONO!M201</f>
        <v>-0.86652308</v>
      </c>
      <c r="M201">
        <f>FONO!N201</f>
        <v>19.5</v>
      </c>
      <c r="O201">
        <f>ABS(L201-FONO!$C$34)</f>
        <v>2.8299896053957472</v>
      </c>
      <c r="P201">
        <f t="shared" si="4"/>
        <v>19.5</v>
      </c>
    </row>
    <row r="202" spans="10:16">
      <c r="J202" s="5"/>
      <c r="L202">
        <f>FONO!M202</f>
        <v>-0.86502642399999996</v>
      </c>
      <c r="M202">
        <f>FONO!N202</f>
        <v>19.600000000000001</v>
      </c>
      <c r="O202">
        <f>ABS(L202-FONO!$C$34)</f>
        <v>2.8314862613957472</v>
      </c>
      <c r="P202">
        <f t="shared" si="4"/>
        <v>19.600000000000001</v>
      </c>
    </row>
    <row r="203" spans="10:16">
      <c r="J203" s="5"/>
      <c r="L203">
        <f>FONO!M203</f>
        <v>-0.86279908000000005</v>
      </c>
      <c r="M203">
        <f>FONO!N203</f>
        <v>19.7</v>
      </c>
      <c r="O203">
        <f>ABS(L203-FONO!$C$34)</f>
        <v>2.8337136053957472</v>
      </c>
      <c r="P203">
        <f t="shared" si="4"/>
        <v>19.7</v>
      </c>
    </row>
    <row r="204" spans="10:16">
      <c r="J204" s="5"/>
      <c r="L204">
        <f>FONO!M204</f>
        <v>-0.86002372000000005</v>
      </c>
      <c r="M204">
        <f>FONO!N204</f>
        <v>19.8</v>
      </c>
      <c r="O204">
        <f>ABS(L204-FONO!$C$34)</f>
        <v>2.836488965395747</v>
      </c>
      <c r="P204">
        <f t="shared" si="4"/>
        <v>19.8</v>
      </c>
    </row>
    <row r="205" spans="10:16">
      <c r="J205" s="5"/>
      <c r="L205">
        <f>FONO!M205</f>
        <v>-0.85722666400000003</v>
      </c>
      <c r="M205">
        <f>FONO!N205</f>
        <v>19.899999999999999</v>
      </c>
      <c r="O205">
        <f>ABS(L205-FONO!$C$34)</f>
        <v>2.8392860213957469</v>
      </c>
      <c r="P205">
        <f t="shared" si="4"/>
        <v>19.899999999999999</v>
      </c>
    </row>
    <row r="206" spans="10:16">
      <c r="J206" s="5"/>
      <c r="L206">
        <f>FONO!M206</f>
        <v>-0.85338820000000004</v>
      </c>
      <c r="M206">
        <f>FONO!N206</f>
        <v>20</v>
      </c>
      <c r="O206">
        <f>ABS(L206-FONO!$C$34)</f>
        <v>2.8431244853957471</v>
      </c>
      <c r="P206">
        <f t="shared" si="4"/>
        <v>20</v>
      </c>
    </row>
    <row r="207" spans="10:16">
      <c r="J207" s="5"/>
      <c r="L207">
        <f>FONO!M207</f>
        <v>-0.84954973600000006</v>
      </c>
      <c r="M207">
        <f>FONO!N207</f>
        <v>20.100000000000001</v>
      </c>
      <c r="O207">
        <f>ABS(L207-FONO!$C$34)</f>
        <v>2.8469629493957469</v>
      </c>
      <c r="P207">
        <f t="shared" si="4"/>
        <v>20.100000000000001</v>
      </c>
    </row>
    <row r="208" spans="10:16">
      <c r="J208" s="5"/>
      <c r="L208">
        <f>FONO!M208</f>
        <v>-0.84726073599999996</v>
      </c>
      <c r="M208">
        <f>FONO!N208</f>
        <v>20.2</v>
      </c>
      <c r="O208">
        <f>ABS(L208-FONO!$C$34)</f>
        <v>2.8492519493957471</v>
      </c>
      <c r="P208">
        <f t="shared" si="4"/>
        <v>20.2</v>
      </c>
    </row>
    <row r="209" spans="10:16">
      <c r="J209" s="5"/>
      <c r="L209">
        <f>FONO!M209</f>
        <v>-0.84672330399999995</v>
      </c>
      <c r="M209">
        <f>FONO!N209</f>
        <v>20.3</v>
      </c>
      <c r="O209">
        <f>ABS(L209-FONO!$C$34)</f>
        <v>2.8497893813957473</v>
      </c>
      <c r="P209">
        <f t="shared" si="4"/>
        <v>20.3</v>
      </c>
    </row>
    <row r="210" spans="10:16">
      <c r="J210" s="5"/>
      <c r="L210">
        <f>FONO!M210</f>
        <v>-0.84618587199999995</v>
      </c>
      <c r="M210">
        <f>FONO!N210</f>
        <v>20.399999999999999</v>
      </c>
      <c r="O210">
        <f>ABS(L210-FONO!$C$34)</f>
        <v>2.8503268133957471</v>
      </c>
      <c r="P210">
        <f t="shared" si="4"/>
        <v>20.399999999999999</v>
      </c>
    </row>
    <row r="211" spans="10:16">
      <c r="J211" s="5"/>
      <c r="L211">
        <f>FONO!M211</f>
        <v>-0.84364395999999997</v>
      </c>
      <c r="M211">
        <f>FONO!N211</f>
        <v>20.5</v>
      </c>
      <c r="O211">
        <f>ABS(L211-FONO!$C$34)</f>
        <v>2.852868725395747</v>
      </c>
      <c r="P211">
        <f t="shared" si="4"/>
        <v>20.5</v>
      </c>
    </row>
    <row r="212" spans="10:16">
      <c r="J212" s="5"/>
      <c r="L212">
        <f>FONO!M212</f>
        <v>-0.84092387199999996</v>
      </c>
      <c r="M212">
        <f>FONO!N212</f>
        <v>20.6</v>
      </c>
      <c r="O212">
        <f>ABS(L212-FONO!$C$34)</f>
        <v>2.8555888133957472</v>
      </c>
      <c r="P212">
        <f t="shared" si="4"/>
        <v>20.6</v>
      </c>
    </row>
    <row r="213" spans="10:16">
      <c r="J213" s="5"/>
      <c r="L213">
        <f>FONO!M213</f>
        <v>-0.83851136800000003</v>
      </c>
      <c r="M213">
        <f>FONO!N213</f>
        <v>20.7</v>
      </c>
      <c r="O213">
        <f>ABS(L213-FONO!$C$34)</f>
        <v>2.8580013173957468</v>
      </c>
      <c r="P213">
        <f t="shared" si="4"/>
        <v>20.7</v>
      </c>
    </row>
    <row r="214" spans="10:16">
      <c r="J214" s="5"/>
      <c r="L214">
        <f>FONO!M214</f>
        <v>-0.83662859199999995</v>
      </c>
      <c r="M214">
        <f>FONO!N214</f>
        <v>20.8</v>
      </c>
      <c r="O214">
        <f>ABS(L214-FONO!$C$34)</f>
        <v>2.8598840933957472</v>
      </c>
      <c r="P214">
        <f t="shared" si="4"/>
        <v>20.8</v>
      </c>
    </row>
    <row r="215" spans="10:16">
      <c r="J215" s="5"/>
      <c r="L215">
        <f>FONO!M215</f>
        <v>-0.83474581599999997</v>
      </c>
      <c r="M215">
        <f>FONO!N215</f>
        <v>20.9</v>
      </c>
      <c r="O215">
        <f>ABS(L215-FONO!$C$34)</f>
        <v>2.8617668693957472</v>
      </c>
      <c r="P215">
        <f t="shared" si="4"/>
        <v>20.9</v>
      </c>
    </row>
    <row r="216" spans="10:16">
      <c r="J216" s="5"/>
      <c r="L216">
        <f>FONO!M216</f>
        <v>-0.83159872000000001</v>
      </c>
      <c r="M216">
        <f>FONO!N216</f>
        <v>21</v>
      </c>
      <c r="O216">
        <f>ABS(L216-FONO!$C$34)</f>
        <v>2.8649139653957469</v>
      </c>
      <c r="P216">
        <f t="shared" si="4"/>
        <v>21</v>
      </c>
    </row>
    <row r="217" spans="10:16">
      <c r="J217" s="5"/>
      <c r="L217">
        <f>FONO!M217</f>
        <v>-0.82816715200000002</v>
      </c>
      <c r="M217">
        <f>FONO!N217</f>
        <v>21.1</v>
      </c>
      <c r="O217">
        <f>ABS(L217-FONO!$C$34)</f>
        <v>2.8683455333957468</v>
      </c>
      <c r="P217">
        <f t="shared" si="4"/>
        <v>21.1</v>
      </c>
    </row>
    <row r="218" spans="10:16">
      <c r="J218" s="5"/>
      <c r="L218">
        <f>FONO!M218</f>
        <v>-0.82214494400000004</v>
      </c>
      <c r="M218">
        <f>FONO!N218</f>
        <v>21.2</v>
      </c>
      <c r="O218">
        <f>ABS(L218-FONO!$C$34)</f>
        <v>2.8743677413957469</v>
      </c>
      <c r="P218">
        <f t="shared" si="4"/>
        <v>21.2</v>
      </c>
    </row>
    <row r="219" spans="10:16">
      <c r="J219" s="5"/>
      <c r="L219">
        <f>FONO!M219</f>
        <v>-0.80894865599999999</v>
      </c>
      <c r="M219">
        <f>FONO!N219</f>
        <v>21.3</v>
      </c>
      <c r="O219">
        <f>ABS(L219-FONO!$C$34)</f>
        <v>2.887564029395747</v>
      </c>
      <c r="P219">
        <f t="shared" si="4"/>
        <v>21.3</v>
      </c>
    </row>
    <row r="220" spans="10:16">
      <c r="J220" s="5"/>
      <c r="L220">
        <f>FONO!M220</f>
        <v>-0.79575236800000004</v>
      </c>
      <c r="M220">
        <f>FONO!N220</f>
        <v>21.4</v>
      </c>
      <c r="O220">
        <f>ABS(L220-FONO!$C$34)</f>
        <v>2.900760317395747</v>
      </c>
      <c r="P220">
        <f t="shared" si="4"/>
        <v>21.4</v>
      </c>
    </row>
    <row r="221" spans="10:16">
      <c r="J221" s="5"/>
      <c r="L221">
        <f>FONO!M221</f>
        <v>-0.79198199999999996</v>
      </c>
      <c r="M221">
        <f>FONO!N221</f>
        <v>21.5</v>
      </c>
      <c r="O221">
        <f>ABS(L221-FONO!$C$34)</f>
        <v>2.9045306853957471</v>
      </c>
      <c r="P221">
        <f t="shared" si="4"/>
        <v>21.5</v>
      </c>
    </row>
    <row r="222" spans="10:16">
      <c r="J222" s="5"/>
      <c r="L222">
        <f>FONO!M222</f>
        <v>-0.79198199999999996</v>
      </c>
      <c r="M222">
        <f>FONO!N222</f>
        <v>21.6</v>
      </c>
      <c r="O222">
        <f>ABS(L222-FONO!$C$34)</f>
        <v>2.9045306853957471</v>
      </c>
      <c r="P222">
        <f t="shared" si="4"/>
        <v>21.6</v>
      </c>
    </row>
    <row r="223" spans="10:16">
      <c r="J223" s="5"/>
      <c r="L223">
        <f>FONO!M223</f>
        <v>-0.79186999999999996</v>
      </c>
      <c r="M223">
        <f>FONO!N223</f>
        <v>21.7</v>
      </c>
      <c r="O223">
        <f>ABS(L223-FONO!$C$34)</f>
        <v>2.9046426853957472</v>
      </c>
      <c r="P223">
        <f t="shared" si="4"/>
        <v>21.7</v>
      </c>
    </row>
    <row r="224" spans="10:16">
      <c r="J224" s="5"/>
      <c r="L224">
        <f>FONO!M224</f>
        <v>-0.791184</v>
      </c>
      <c r="M224">
        <f>FONO!N224</f>
        <v>21.8</v>
      </c>
      <c r="O224">
        <f>ABS(L224-FONO!$C$34)</f>
        <v>2.9053286853957472</v>
      </c>
      <c r="P224">
        <f t="shared" si="4"/>
        <v>21.8</v>
      </c>
    </row>
    <row r="225" spans="10:16">
      <c r="J225" s="5"/>
      <c r="L225">
        <f>FONO!M225</f>
        <v>-0.79049800000000003</v>
      </c>
      <c r="M225">
        <f>FONO!N225</f>
        <v>21.9</v>
      </c>
      <c r="O225">
        <f>ABS(L225-FONO!$C$34)</f>
        <v>2.9060146853957471</v>
      </c>
      <c r="P225">
        <f t="shared" si="4"/>
        <v>21.9</v>
      </c>
    </row>
    <row r="226" spans="10:16">
      <c r="J226" s="5"/>
      <c r="L226">
        <f>FONO!M226</f>
        <v>-0.78970927999999996</v>
      </c>
      <c r="M226">
        <f>FONO!N226</f>
        <v>22</v>
      </c>
      <c r="O226">
        <f>ABS(L226-FONO!$C$34)</f>
        <v>2.9068034053957472</v>
      </c>
      <c r="P226">
        <f t="shared" si="4"/>
        <v>22</v>
      </c>
    </row>
    <row r="227" spans="10:16">
      <c r="J227" s="5"/>
      <c r="L227">
        <f>FONO!M227</f>
        <v>-0.78885550400000004</v>
      </c>
      <c r="M227">
        <f>FONO!N227</f>
        <v>22.1</v>
      </c>
      <c r="O227">
        <f>ABS(L227-FONO!$C$34)</f>
        <v>2.9076571813957468</v>
      </c>
      <c r="P227">
        <f t="shared" si="4"/>
        <v>22.1</v>
      </c>
    </row>
    <row r="228" spans="10:16">
      <c r="J228" s="5"/>
      <c r="L228">
        <f>FONO!M228</f>
        <v>-0.78709759999999995</v>
      </c>
      <c r="M228">
        <f>FONO!N228</f>
        <v>22.2</v>
      </c>
      <c r="O228">
        <f>ABS(L228-FONO!$C$34)</f>
        <v>2.909415085395747</v>
      </c>
      <c r="P228">
        <f t="shared" si="4"/>
        <v>22.2</v>
      </c>
    </row>
    <row r="229" spans="10:16">
      <c r="J229" s="5"/>
      <c r="L229">
        <f>FONO!M229</f>
        <v>-0.77147639999999995</v>
      </c>
      <c r="M229">
        <f>FONO!N229</f>
        <v>22.3</v>
      </c>
      <c r="O229">
        <f>ABS(L229-FONO!$C$34)</f>
        <v>2.925036285395747</v>
      </c>
      <c r="P229">
        <f t="shared" si="4"/>
        <v>22.3</v>
      </c>
    </row>
    <row r="230" spans="10:16">
      <c r="J230" s="5"/>
      <c r="L230">
        <f>FONO!M230</f>
        <v>-0.75585519999999995</v>
      </c>
      <c r="M230">
        <f>FONO!N230</f>
        <v>22.4</v>
      </c>
      <c r="O230">
        <f>ABS(L230-FONO!$C$34)</f>
        <v>2.940657485395747</v>
      </c>
      <c r="P230">
        <f t="shared" si="4"/>
        <v>22.4</v>
      </c>
    </row>
    <row r="231" spans="10:16">
      <c r="J231" s="5"/>
      <c r="L231">
        <f>FONO!M231</f>
        <v>-0.74687820000000005</v>
      </c>
      <c r="M231">
        <f>FONO!N231</f>
        <v>22.5</v>
      </c>
      <c r="O231">
        <f>ABS(L231-FONO!$C$34)</f>
        <v>2.9496344853957472</v>
      </c>
      <c r="P231">
        <f t="shared" si="4"/>
        <v>22.5</v>
      </c>
    </row>
    <row r="232" spans="10:16">
      <c r="J232" s="5"/>
      <c r="L232">
        <f>FONO!M232</f>
        <v>-0.74427963200000002</v>
      </c>
      <c r="M232">
        <f>FONO!N232</f>
        <v>22.6</v>
      </c>
      <c r="O232">
        <f>ABS(L232-FONO!$C$34)</f>
        <v>2.952233053395747</v>
      </c>
      <c r="P232">
        <f t="shared" si="4"/>
        <v>22.6</v>
      </c>
    </row>
    <row r="233" spans="10:16">
      <c r="J233" s="5"/>
      <c r="L233">
        <f>FONO!M233</f>
        <v>-0.741681064</v>
      </c>
      <c r="M233">
        <f>FONO!N233</f>
        <v>22.7</v>
      </c>
      <c r="O233">
        <f>ABS(L233-FONO!$C$34)</f>
        <v>2.9548316213957468</v>
      </c>
      <c r="P233">
        <f t="shared" si="4"/>
        <v>22.7</v>
      </c>
    </row>
    <row r="234" spans="10:16">
      <c r="J234" s="5"/>
      <c r="L234">
        <f>FONO!M234</f>
        <v>-0.73941563200000004</v>
      </c>
      <c r="M234">
        <f>FONO!N234</f>
        <v>22.8</v>
      </c>
      <c r="O234">
        <f>ABS(L234-FONO!$C$34)</f>
        <v>2.957097053395747</v>
      </c>
      <c r="P234">
        <f t="shared" si="4"/>
        <v>22.8</v>
      </c>
    </row>
    <row r="235" spans="10:16">
      <c r="J235" s="5"/>
      <c r="L235">
        <f>FONO!M235</f>
        <v>-0.73716437599999995</v>
      </c>
      <c r="M235">
        <f>FONO!N235</f>
        <v>22.9</v>
      </c>
      <c r="O235">
        <f>ABS(L235-FONO!$C$34)</f>
        <v>2.9593483093957471</v>
      </c>
      <c r="P235">
        <f t="shared" si="4"/>
        <v>22.9</v>
      </c>
    </row>
    <row r="236" spans="10:16">
      <c r="J236" s="5"/>
      <c r="L236">
        <f>FONO!M236</f>
        <v>-0.73519615999999999</v>
      </c>
      <c r="M236">
        <f>FONO!N236</f>
        <v>23</v>
      </c>
      <c r="O236">
        <f>ABS(L236-FONO!$C$34)</f>
        <v>2.961316525395747</v>
      </c>
      <c r="P236">
        <f t="shared" si="4"/>
        <v>23</v>
      </c>
    </row>
    <row r="237" spans="10:16">
      <c r="J237" s="5"/>
      <c r="L237">
        <f>FONO!M237</f>
        <v>-0.73363835200000005</v>
      </c>
      <c r="M237">
        <f>FONO!N237</f>
        <v>23.1</v>
      </c>
      <c r="O237">
        <f>ABS(L237-FONO!$C$34)</f>
        <v>2.9628743333957468</v>
      </c>
      <c r="P237">
        <f t="shared" si="4"/>
        <v>23.1</v>
      </c>
    </row>
    <row r="238" spans="10:16">
      <c r="J238" s="5"/>
      <c r="L238">
        <f>FONO!M238</f>
        <v>-0.732080544</v>
      </c>
      <c r="M238">
        <f>FONO!N238</f>
        <v>23.2</v>
      </c>
      <c r="O238">
        <f>ABS(L238-FONO!$C$34)</f>
        <v>2.9644321413957471</v>
      </c>
      <c r="P238">
        <f t="shared" si="4"/>
        <v>23.2</v>
      </c>
    </row>
    <row r="239" spans="10:16">
      <c r="J239" s="5"/>
      <c r="L239">
        <f>FONO!M239</f>
        <v>-0.73185800000000001</v>
      </c>
      <c r="M239">
        <f>FONO!N239</f>
        <v>23.3</v>
      </c>
      <c r="O239">
        <f>ABS(L239-FONO!$C$34)</f>
        <v>2.9646546853957472</v>
      </c>
      <c r="P239">
        <f t="shared" si="4"/>
        <v>23.3</v>
      </c>
    </row>
    <row r="240" spans="10:16">
      <c r="J240" s="5"/>
      <c r="L240">
        <f>FONO!M240</f>
        <v>-0.73185800000000001</v>
      </c>
      <c r="M240">
        <f>FONO!N240</f>
        <v>23.4</v>
      </c>
      <c r="O240">
        <f>ABS(L240-FONO!$C$34)</f>
        <v>2.9646546853957472</v>
      </c>
      <c r="P240">
        <f t="shared" si="4"/>
        <v>23.4</v>
      </c>
    </row>
    <row r="241" spans="10:16">
      <c r="J241" s="5"/>
      <c r="L241">
        <f>FONO!M241</f>
        <v>-0.72997747999999996</v>
      </c>
      <c r="M241">
        <f>FONO!N241</f>
        <v>23.5</v>
      </c>
      <c r="O241">
        <f>ABS(L241-FONO!$C$34)</f>
        <v>2.966535205395747</v>
      </c>
      <c r="P241">
        <f t="shared" si="4"/>
        <v>23.5</v>
      </c>
    </row>
    <row r="242" spans="10:16">
      <c r="J242" s="5"/>
      <c r="L242">
        <f>FONO!M242</f>
        <v>-0.72383444799999996</v>
      </c>
      <c r="M242">
        <f>FONO!N242</f>
        <v>23.6</v>
      </c>
      <c r="O242">
        <f>ABS(L242-FONO!$C$34)</f>
        <v>2.9726782373957472</v>
      </c>
      <c r="P242">
        <f t="shared" si="4"/>
        <v>23.6</v>
      </c>
    </row>
    <row r="243" spans="10:16">
      <c r="J243" s="5"/>
      <c r="L243">
        <f>FONO!M243</f>
        <v>-0.71769141599999997</v>
      </c>
      <c r="M243">
        <f>FONO!N243</f>
        <v>23.7</v>
      </c>
      <c r="O243">
        <f>ABS(L243-FONO!$C$34)</f>
        <v>2.978821269395747</v>
      </c>
      <c r="P243">
        <f t="shared" si="4"/>
        <v>23.7</v>
      </c>
    </row>
    <row r="244" spans="10:16">
      <c r="J244" s="5"/>
      <c r="L244">
        <f>FONO!M244</f>
        <v>-0.71552928800000004</v>
      </c>
      <c r="M244">
        <f>FONO!N244</f>
        <v>23.8</v>
      </c>
      <c r="O244">
        <f>ABS(L244-FONO!$C$34)</f>
        <v>2.9809833973957471</v>
      </c>
      <c r="P244">
        <f t="shared" si="4"/>
        <v>23.8</v>
      </c>
    </row>
    <row r="245" spans="10:16">
      <c r="J245" s="5"/>
      <c r="L245">
        <f>FONO!M245</f>
        <v>-0.71465826399999999</v>
      </c>
      <c r="M245">
        <f>FONO!N245</f>
        <v>23.9</v>
      </c>
      <c r="O245">
        <f>ABS(L245-FONO!$C$34)</f>
        <v>2.981854421395747</v>
      </c>
      <c r="P245">
        <f t="shared" si="4"/>
        <v>23.9</v>
      </c>
    </row>
    <row r="246" spans="10:16">
      <c r="J246" s="5"/>
      <c r="L246">
        <f>FONO!M246</f>
        <v>-0.71381452000000001</v>
      </c>
      <c r="M246">
        <f>FONO!N246</f>
        <v>24</v>
      </c>
      <c r="O246">
        <f>ABS(L246-FONO!$C$34)</f>
        <v>2.9826981653957469</v>
      </c>
      <c r="P246">
        <f t="shared" si="4"/>
        <v>24</v>
      </c>
    </row>
    <row r="247" spans="10:16">
      <c r="J247" s="5"/>
      <c r="L247">
        <f>FONO!M247</f>
        <v>-0.71307716799999998</v>
      </c>
      <c r="M247">
        <f>FONO!N247</f>
        <v>24.1</v>
      </c>
      <c r="O247">
        <f>ABS(L247-FONO!$C$34)</f>
        <v>2.9834355173957472</v>
      </c>
      <c r="P247">
        <f t="shared" si="4"/>
        <v>24.1</v>
      </c>
    </row>
    <row r="248" spans="10:16">
      <c r="J248" s="5"/>
      <c r="L248">
        <f>FONO!M248</f>
        <v>-0.71233981599999996</v>
      </c>
      <c r="M248">
        <f>FONO!N248</f>
        <v>24.2</v>
      </c>
      <c r="O248">
        <f>ABS(L248-FONO!$C$34)</f>
        <v>2.984172869395747</v>
      </c>
      <c r="P248">
        <f t="shared" si="4"/>
        <v>24.2</v>
      </c>
    </row>
    <row r="249" spans="10:16">
      <c r="J249" s="5"/>
      <c r="L249">
        <f>FONO!M249</f>
        <v>-0.70915894400000001</v>
      </c>
      <c r="M249">
        <f>FONO!N249</f>
        <v>24.3</v>
      </c>
      <c r="O249">
        <f>ABS(L249-FONO!$C$34)</f>
        <v>2.9873537413957472</v>
      </c>
      <c r="P249">
        <f t="shared" si="4"/>
        <v>24.3</v>
      </c>
    </row>
    <row r="250" spans="10:16">
      <c r="J250" s="5"/>
      <c r="L250">
        <f>FONO!M250</f>
        <v>-0.704679952</v>
      </c>
      <c r="M250">
        <f>FONO!N250</f>
        <v>24.4</v>
      </c>
      <c r="O250">
        <f>ABS(L250-FONO!$C$34)</f>
        <v>2.9918327333957473</v>
      </c>
      <c r="P250">
        <f t="shared" si="4"/>
        <v>24.4</v>
      </c>
    </row>
    <row r="251" spans="10:16">
      <c r="J251" s="5"/>
      <c r="L251">
        <f>FONO!M251</f>
        <v>-0.70065091999999995</v>
      </c>
      <c r="M251">
        <f>FONO!N251</f>
        <v>24.5</v>
      </c>
      <c r="O251">
        <f>ABS(L251-FONO!$C$34)</f>
        <v>2.9958617653957473</v>
      </c>
      <c r="P251">
        <f t="shared" si="4"/>
        <v>24.5</v>
      </c>
    </row>
    <row r="252" spans="10:16">
      <c r="J252" s="5"/>
      <c r="L252">
        <f>FONO!M252</f>
        <v>-0.70058153599999995</v>
      </c>
      <c r="M252">
        <f>FONO!N252</f>
        <v>24.6</v>
      </c>
      <c r="O252">
        <f>ABS(L252-FONO!$C$34)</f>
        <v>2.995931149395747</v>
      </c>
      <c r="P252">
        <f t="shared" si="4"/>
        <v>24.6</v>
      </c>
    </row>
    <row r="253" spans="10:16">
      <c r="J253" s="5"/>
      <c r="L253">
        <f>FONO!M253</f>
        <v>-0.70051215200000005</v>
      </c>
      <c r="M253">
        <f>FONO!N253</f>
        <v>24.7</v>
      </c>
      <c r="O253">
        <f>ABS(L253-FONO!$C$34)</f>
        <v>2.9960005333957471</v>
      </c>
      <c r="P253">
        <f t="shared" si="4"/>
        <v>24.7</v>
      </c>
    </row>
    <row r="254" spans="10:16">
      <c r="J254" s="5"/>
      <c r="L254">
        <f>FONO!M254</f>
        <v>-0.7004648</v>
      </c>
      <c r="M254">
        <f>FONO!N254</f>
        <v>24.8</v>
      </c>
      <c r="O254">
        <f>ABS(L254-FONO!$C$34)</f>
        <v>2.9960478853957468</v>
      </c>
      <c r="P254">
        <f t="shared" si="4"/>
        <v>24.8</v>
      </c>
    </row>
    <row r="255" spans="10:16">
      <c r="J255" s="5"/>
      <c r="L255">
        <f>FONO!M255</f>
        <v>-0.70043540000000004</v>
      </c>
      <c r="M255">
        <f>FONO!N255</f>
        <v>24.9</v>
      </c>
      <c r="O255">
        <f>ABS(L255-FONO!$C$34)</f>
        <v>2.9960772853957471</v>
      </c>
      <c r="P255">
        <f t="shared" si="4"/>
        <v>24.9</v>
      </c>
    </row>
    <row r="256" spans="10:16">
      <c r="J256" s="5"/>
      <c r="L256">
        <f>FONO!M256</f>
        <v>-0.70040599999999997</v>
      </c>
      <c r="M256">
        <f>FONO!N256</f>
        <v>25</v>
      </c>
      <c r="O256">
        <f>ABS(L256-FONO!$C$34)</f>
        <v>2.996106685395747</v>
      </c>
      <c r="P256">
        <f t="shared" si="4"/>
        <v>25</v>
      </c>
    </row>
    <row r="257" spans="10:16">
      <c r="J257" s="5"/>
      <c r="L257">
        <f>FONO!M257</f>
        <v>-0.69002662400000003</v>
      </c>
      <c r="M257">
        <f>FONO!N257</f>
        <v>25.1</v>
      </c>
      <c r="O257">
        <f>ABS(L257-FONO!$C$34)</f>
        <v>3.0064860613957469</v>
      </c>
      <c r="P257">
        <f t="shared" si="4"/>
        <v>25.1</v>
      </c>
    </row>
    <row r="258" spans="10:16">
      <c r="J258" s="5"/>
      <c r="L258">
        <f>FONO!M258</f>
        <v>-0.67964724799999998</v>
      </c>
      <c r="M258">
        <f>FONO!N258</f>
        <v>25.2</v>
      </c>
      <c r="O258">
        <f>ABS(L258-FONO!$C$34)</f>
        <v>3.0168654373957473</v>
      </c>
      <c r="P258">
        <f t="shared" si="4"/>
        <v>25.2</v>
      </c>
    </row>
    <row r="259" spans="10:16">
      <c r="J259" s="5"/>
      <c r="L259">
        <f>FONO!M259</f>
        <v>-0.67365907199999997</v>
      </c>
      <c r="M259">
        <f>FONO!N259</f>
        <v>25.3</v>
      </c>
      <c r="O259">
        <f>ABS(L259-FONO!$C$34)</f>
        <v>3.0228536133957471</v>
      </c>
      <c r="P259">
        <f t="shared" si="4"/>
        <v>25.3</v>
      </c>
    </row>
    <row r="260" spans="10:16">
      <c r="J260" s="5"/>
      <c r="L260">
        <f>FONO!M260</f>
        <v>-0.67306009600000005</v>
      </c>
      <c r="M260">
        <f>FONO!N260</f>
        <v>25.4</v>
      </c>
      <c r="O260">
        <f>ABS(L260-FONO!$C$34)</f>
        <v>3.0234525893957471</v>
      </c>
      <c r="P260">
        <f t="shared" si="4"/>
        <v>25.4</v>
      </c>
    </row>
    <row r="261" spans="10:16">
      <c r="J261" s="5"/>
      <c r="L261">
        <f>FONO!M261</f>
        <v>-0.67246112000000002</v>
      </c>
      <c r="M261">
        <f>FONO!N261</f>
        <v>25.5</v>
      </c>
      <c r="O261">
        <f>ABS(L261-FONO!$C$34)</f>
        <v>3.0240515653957472</v>
      </c>
      <c r="P261">
        <f t="shared" si="4"/>
        <v>25.5</v>
      </c>
    </row>
    <row r="262" spans="10:16">
      <c r="J262" s="5"/>
      <c r="L262">
        <f>FONO!M262</f>
        <v>-0.67037881600000004</v>
      </c>
      <c r="M262">
        <f>FONO!N262</f>
        <v>25.6</v>
      </c>
      <c r="O262">
        <f>ABS(L262-FONO!$C$34)</f>
        <v>3.0261338693957471</v>
      </c>
      <c r="P262">
        <f t="shared" si="4"/>
        <v>25.6</v>
      </c>
    </row>
    <row r="263" spans="10:16">
      <c r="J263" s="5"/>
      <c r="L263">
        <f>FONO!M263</f>
        <v>-0.66812795199999997</v>
      </c>
      <c r="M263">
        <f>FONO!N263</f>
        <v>25.7</v>
      </c>
      <c r="O263">
        <f>ABS(L263-FONO!$C$34)</f>
        <v>3.0283847333957472</v>
      </c>
      <c r="P263">
        <f t="shared" ref="P263:P326" si="5">M263</f>
        <v>25.7</v>
      </c>
    </row>
    <row r="264" spans="10:16">
      <c r="J264" s="5"/>
      <c r="L264">
        <f>FONO!M264</f>
        <v>-0.66665799999999997</v>
      </c>
      <c r="M264">
        <f>FONO!N264</f>
        <v>25.8</v>
      </c>
      <c r="O264">
        <f>ABS(L264-FONO!$C$34)</f>
        <v>3.0298546853957471</v>
      </c>
      <c r="P264">
        <f t="shared" si="5"/>
        <v>25.8</v>
      </c>
    </row>
    <row r="265" spans="10:16">
      <c r="J265" s="5"/>
      <c r="L265">
        <f>FONO!M265</f>
        <v>-0.66665799999999997</v>
      </c>
      <c r="M265">
        <f>FONO!N265</f>
        <v>25.9</v>
      </c>
      <c r="O265">
        <f>ABS(L265-FONO!$C$34)</f>
        <v>3.0298546853957471</v>
      </c>
      <c r="P265">
        <f t="shared" si="5"/>
        <v>25.9</v>
      </c>
    </row>
    <row r="266" spans="10:16">
      <c r="J266" s="5"/>
      <c r="L266">
        <f>FONO!M266</f>
        <v>-0.66665799999999997</v>
      </c>
      <c r="M266">
        <f>FONO!N266</f>
        <v>26</v>
      </c>
      <c r="O266">
        <f>ABS(L266-FONO!$C$34)</f>
        <v>3.0298546853957471</v>
      </c>
      <c r="P266">
        <f t="shared" si="5"/>
        <v>26</v>
      </c>
    </row>
    <row r="267" spans="10:16">
      <c r="J267" s="5"/>
      <c r="L267">
        <f>FONO!M267</f>
        <v>-0.66442127200000001</v>
      </c>
      <c r="M267">
        <f>FONO!N267</f>
        <v>26.1</v>
      </c>
      <c r="O267">
        <f>ABS(L267-FONO!$C$34)</f>
        <v>3.0320914133957473</v>
      </c>
      <c r="P267">
        <f t="shared" si="5"/>
        <v>26.1</v>
      </c>
    </row>
    <row r="268" spans="10:16">
      <c r="J268" s="5"/>
      <c r="L268">
        <f>FONO!M268</f>
        <v>-0.66161102400000005</v>
      </c>
      <c r="M268">
        <f>FONO!N268</f>
        <v>26.2</v>
      </c>
      <c r="O268">
        <f>ABS(L268-FONO!$C$34)</f>
        <v>3.0349016613957471</v>
      </c>
      <c r="P268">
        <f t="shared" si="5"/>
        <v>26.2</v>
      </c>
    </row>
    <row r="269" spans="10:16">
      <c r="J269" s="5"/>
      <c r="L269">
        <f>FONO!M269</f>
        <v>-0.65767949599999997</v>
      </c>
      <c r="M269">
        <f>FONO!N269</f>
        <v>26.3</v>
      </c>
      <c r="O269">
        <f>ABS(L269-FONO!$C$34)</f>
        <v>3.038833189395747</v>
      </c>
      <c r="P269">
        <f t="shared" si="5"/>
        <v>26.3</v>
      </c>
    </row>
    <row r="270" spans="10:16">
      <c r="J270" s="5"/>
      <c r="L270">
        <f>FONO!M270</f>
        <v>-0.65029068800000001</v>
      </c>
      <c r="M270">
        <f>FONO!N270</f>
        <v>26.4</v>
      </c>
      <c r="O270">
        <f>ABS(L270-FONO!$C$34)</f>
        <v>3.0462219973957469</v>
      </c>
      <c r="P270">
        <f t="shared" si="5"/>
        <v>26.4</v>
      </c>
    </row>
    <row r="271" spans="10:16">
      <c r="J271" s="5"/>
      <c r="L271">
        <f>FONO!M271</f>
        <v>-0.64290188000000004</v>
      </c>
      <c r="M271">
        <f>FONO!N271</f>
        <v>26.5</v>
      </c>
      <c r="O271">
        <f>ABS(L271-FONO!$C$34)</f>
        <v>3.0536108053957469</v>
      </c>
      <c r="P271">
        <f t="shared" si="5"/>
        <v>26.5</v>
      </c>
    </row>
    <row r="272" spans="10:16">
      <c r="J272" s="5"/>
      <c r="L272">
        <f>FONO!M272</f>
        <v>-0.635244064</v>
      </c>
      <c r="M272">
        <f>FONO!N272</f>
        <v>26.6</v>
      </c>
      <c r="O272">
        <f>ABS(L272-FONO!$C$34)</f>
        <v>3.061268621395747</v>
      </c>
      <c r="P272">
        <f t="shared" si="5"/>
        <v>26.6</v>
      </c>
    </row>
    <row r="273" spans="10:16">
      <c r="J273" s="5"/>
      <c r="L273">
        <f>FONO!M273</f>
        <v>-0.62746756800000003</v>
      </c>
      <c r="M273">
        <f>FONO!N273</f>
        <v>26.7</v>
      </c>
      <c r="O273">
        <f>ABS(L273-FONO!$C$34)</f>
        <v>3.0690451173957469</v>
      </c>
      <c r="P273">
        <f t="shared" si="5"/>
        <v>26.7</v>
      </c>
    </row>
    <row r="274" spans="10:16">
      <c r="J274" s="5"/>
      <c r="L274">
        <f>FONO!M274</f>
        <v>-0.62072556000000001</v>
      </c>
      <c r="M274">
        <f>FONO!N274</f>
        <v>26.8</v>
      </c>
      <c r="O274">
        <f>ABS(L274-FONO!$C$34)</f>
        <v>3.0757871253957472</v>
      </c>
      <c r="P274">
        <f t="shared" si="5"/>
        <v>26.8</v>
      </c>
    </row>
    <row r="275" spans="10:16">
      <c r="J275" s="5"/>
      <c r="L275">
        <f>FONO!M275</f>
        <v>-0.62019047999999999</v>
      </c>
      <c r="M275">
        <f>FONO!N275</f>
        <v>26.9</v>
      </c>
      <c r="O275">
        <f>ABS(L275-FONO!$C$34)</f>
        <v>3.0763222053957469</v>
      </c>
      <c r="P275">
        <f t="shared" si="5"/>
        <v>26.9</v>
      </c>
    </row>
    <row r="276" spans="10:16">
      <c r="J276" s="5"/>
      <c r="L276">
        <f>FONO!M276</f>
        <v>-0.61965539999999997</v>
      </c>
      <c r="M276">
        <f>FONO!N276</f>
        <v>27</v>
      </c>
      <c r="O276">
        <f>ABS(L276-FONO!$C$34)</f>
        <v>3.076857285395747</v>
      </c>
      <c r="P276">
        <f t="shared" si="5"/>
        <v>27</v>
      </c>
    </row>
    <row r="277" spans="10:16">
      <c r="J277" s="5"/>
      <c r="L277">
        <f>FONO!M277</f>
        <v>-0.61883171199999998</v>
      </c>
      <c r="M277">
        <f>FONO!N277</f>
        <v>27.1</v>
      </c>
      <c r="O277">
        <f>ABS(L277-FONO!$C$34)</f>
        <v>3.0776809733957471</v>
      </c>
      <c r="P277">
        <f t="shared" si="5"/>
        <v>27.1</v>
      </c>
    </row>
    <row r="278" spans="10:16">
      <c r="J278" s="5"/>
      <c r="L278">
        <f>FONO!M278</f>
        <v>-0.61780898399999995</v>
      </c>
      <c r="M278">
        <f>FONO!N278</f>
        <v>27.2</v>
      </c>
      <c r="O278">
        <f>ABS(L278-FONO!$C$34)</f>
        <v>3.0787037013957472</v>
      </c>
      <c r="P278">
        <f t="shared" si="5"/>
        <v>27.2</v>
      </c>
    </row>
    <row r="279" spans="10:16">
      <c r="J279" s="5"/>
      <c r="L279">
        <f>FONO!M279</f>
        <v>-0.61669169599999996</v>
      </c>
      <c r="M279">
        <f>FONO!N279</f>
        <v>27.3</v>
      </c>
      <c r="O279">
        <f>ABS(L279-FONO!$C$34)</f>
        <v>3.0798209893957473</v>
      </c>
      <c r="P279">
        <f t="shared" si="5"/>
        <v>27.3</v>
      </c>
    </row>
    <row r="280" spans="10:16">
      <c r="J280" s="5"/>
      <c r="L280">
        <f>FONO!M280</f>
        <v>-0.61335224799999999</v>
      </c>
      <c r="M280">
        <f>FONO!N280</f>
        <v>27.4</v>
      </c>
      <c r="O280">
        <f>ABS(L280-FONO!$C$34)</f>
        <v>3.0831604373957471</v>
      </c>
      <c r="P280">
        <f t="shared" si="5"/>
        <v>27.4</v>
      </c>
    </row>
    <row r="281" spans="10:16">
      <c r="J281" s="5"/>
      <c r="L281">
        <f>FONO!M281</f>
        <v>-0.61001280000000002</v>
      </c>
      <c r="M281">
        <f>FONO!N281</f>
        <v>27.5</v>
      </c>
      <c r="O281">
        <f>ABS(L281-FONO!$C$34)</f>
        <v>3.0864998853957468</v>
      </c>
      <c r="P281">
        <f t="shared" si="5"/>
        <v>27.5</v>
      </c>
    </row>
    <row r="282" spans="10:16">
      <c r="J282" s="5"/>
      <c r="L282">
        <f>FONO!M282</f>
        <v>-0.60830899999999999</v>
      </c>
      <c r="M282">
        <f>FONO!N282</f>
        <v>27.6</v>
      </c>
      <c r="O282">
        <f>ABS(L282-FONO!$C$34)</f>
        <v>3.0882036853957473</v>
      </c>
      <c r="P282">
        <f t="shared" si="5"/>
        <v>27.6</v>
      </c>
    </row>
    <row r="283" spans="10:16">
      <c r="J283" s="5"/>
      <c r="L283">
        <f>FONO!M283</f>
        <v>-0.60830899999999999</v>
      </c>
      <c r="M283">
        <f>FONO!N283</f>
        <v>27.7</v>
      </c>
      <c r="O283">
        <f>ABS(L283-FONO!$C$34)</f>
        <v>3.0882036853957473</v>
      </c>
      <c r="P283">
        <f t="shared" si="5"/>
        <v>27.7</v>
      </c>
    </row>
    <row r="284" spans="10:16">
      <c r="J284" s="5"/>
      <c r="L284">
        <f>FONO!M284</f>
        <v>-0.60830899999999999</v>
      </c>
      <c r="M284">
        <f>FONO!N284</f>
        <v>27.8</v>
      </c>
      <c r="O284">
        <f>ABS(L284-FONO!$C$34)</f>
        <v>3.0882036853957473</v>
      </c>
      <c r="P284">
        <f t="shared" si="5"/>
        <v>27.8</v>
      </c>
    </row>
    <row r="285" spans="10:16">
      <c r="J285" s="5"/>
      <c r="L285">
        <f>FONO!M285</f>
        <v>-0.60230029600000001</v>
      </c>
      <c r="M285">
        <f>FONO!N285</f>
        <v>27.9</v>
      </c>
      <c r="O285">
        <f>ABS(L285-FONO!$C$34)</f>
        <v>3.0942123893957469</v>
      </c>
      <c r="P285">
        <f t="shared" si="5"/>
        <v>27.9</v>
      </c>
    </row>
    <row r="286" spans="10:16">
      <c r="J286" s="5"/>
      <c r="L286">
        <f>FONO!M286</f>
        <v>-0.59589972000000002</v>
      </c>
      <c r="M286">
        <f>FONO!N286</f>
        <v>28</v>
      </c>
      <c r="O286">
        <f>ABS(L286-FONO!$C$34)</f>
        <v>3.1006129653957473</v>
      </c>
      <c r="P286">
        <f t="shared" si="5"/>
        <v>28</v>
      </c>
    </row>
    <row r="287" spans="10:16">
      <c r="J287" s="5"/>
      <c r="L287">
        <f>FONO!M287</f>
        <v>-0.59191533600000001</v>
      </c>
      <c r="M287">
        <f>FONO!N287</f>
        <v>28.1</v>
      </c>
      <c r="O287">
        <f>ABS(L287-FONO!$C$34)</f>
        <v>3.1045973493957471</v>
      </c>
      <c r="P287">
        <f t="shared" si="5"/>
        <v>28.1</v>
      </c>
    </row>
    <row r="288" spans="10:16">
      <c r="J288" s="5"/>
      <c r="L288">
        <f>FONO!M288</f>
        <v>-0.591745992</v>
      </c>
      <c r="M288">
        <f>FONO!N288</f>
        <v>28.2</v>
      </c>
      <c r="O288">
        <f>ABS(L288-FONO!$C$34)</f>
        <v>3.1047666933957472</v>
      </c>
      <c r="P288">
        <f t="shared" si="5"/>
        <v>28.2</v>
      </c>
    </row>
    <row r="289" spans="10:16">
      <c r="J289" s="5"/>
      <c r="L289">
        <f>FONO!M289</f>
        <v>-0.59157664799999998</v>
      </c>
      <c r="M289">
        <f>FONO!N289</f>
        <v>28.3</v>
      </c>
      <c r="O289">
        <f>ABS(L289-FONO!$C$34)</f>
        <v>3.1049360373957473</v>
      </c>
      <c r="P289">
        <f t="shared" si="5"/>
        <v>28.3</v>
      </c>
    </row>
    <row r="290" spans="10:16">
      <c r="J290" s="5"/>
      <c r="L290">
        <f>FONO!M290</f>
        <v>-0.58933893599999998</v>
      </c>
      <c r="M290">
        <f>FONO!N290</f>
        <v>28.4</v>
      </c>
      <c r="O290">
        <f>ABS(L290-FONO!$C$34)</f>
        <v>3.1071737493957472</v>
      </c>
      <c r="P290">
        <f t="shared" si="5"/>
        <v>28.4</v>
      </c>
    </row>
    <row r="291" spans="10:16">
      <c r="J291" s="5"/>
      <c r="L291">
        <f>FONO!M291</f>
        <v>-0.58669764000000002</v>
      </c>
      <c r="M291">
        <f>FONO!N291</f>
        <v>28.5</v>
      </c>
      <c r="O291">
        <f>ABS(L291-FONO!$C$34)</f>
        <v>3.1098150453957469</v>
      </c>
      <c r="P291">
        <f t="shared" si="5"/>
        <v>28.5</v>
      </c>
    </row>
    <row r="292" spans="10:16">
      <c r="J292" s="5"/>
      <c r="L292">
        <f>FONO!M292</f>
        <v>-0.58476272799999995</v>
      </c>
      <c r="M292">
        <f>FONO!N292</f>
        <v>28.6</v>
      </c>
      <c r="O292">
        <f>ABS(L292-FONO!$C$34)</f>
        <v>3.1117499573957472</v>
      </c>
      <c r="P292">
        <f t="shared" si="5"/>
        <v>28.6</v>
      </c>
    </row>
    <row r="293" spans="10:16">
      <c r="J293" s="5"/>
      <c r="L293">
        <f>FONO!M293</f>
        <v>-0.58459377599999995</v>
      </c>
      <c r="M293">
        <f>FONO!N293</f>
        <v>28.7</v>
      </c>
      <c r="O293">
        <f>ABS(L293-FONO!$C$34)</f>
        <v>3.1119189093957473</v>
      </c>
      <c r="P293">
        <f t="shared" si="5"/>
        <v>28.7</v>
      </c>
    </row>
    <row r="294" spans="10:16">
      <c r="J294" s="5"/>
      <c r="L294">
        <f>FONO!M294</f>
        <v>-0.58442482399999995</v>
      </c>
      <c r="M294">
        <f>FONO!N294</f>
        <v>28.8</v>
      </c>
      <c r="O294">
        <f>ABS(L294-FONO!$C$34)</f>
        <v>3.112087861395747</v>
      </c>
      <c r="P294">
        <f t="shared" si="5"/>
        <v>28.8</v>
      </c>
    </row>
    <row r="295" spans="10:16">
      <c r="J295" s="5"/>
      <c r="L295">
        <f>FONO!M295</f>
        <v>-0.58270412800000004</v>
      </c>
      <c r="M295">
        <f>FONO!N295</f>
        <v>28.9</v>
      </c>
      <c r="O295">
        <f>ABS(L295-FONO!$C$34)</f>
        <v>3.113808557395747</v>
      </c>
      <c r="P295">
        <f t="shared" si="5"/>
        <v>28.9</v>
      </c>
    </row>
    <row r="296" spans="10:16">
      <c r="J296" s="5"/>
      <c r="L296">
        <f>FONO!M296</f>
        <v>-0.58042307999999998</v>
      </c>
      <c r="M296">
        <f>FONO!N296</f>
        <v>29</v>
      </c>
      <c r="O296">
        <f>ABS(L296-FONO!$C$34)</f>
        <v>3.116089605395747</v>
      </c>
      <c r="P296">
        <f t="shared" si="5"/>
        <v>29</v>
      </c>
    </row>
    <row r="297" spans="10:16">
      <c r="J297" s="5"/>
      <c r="L297">
        <f>FONO!M297</f>
        <v>-0.57830539999999997</v>
      </c>
      <c r="M297">
        <f>FONO!N297</f>
        <v>29.1</v>
      </c>
      <c r="O297">
        <f>ABS(L297-FONO!$C$34)</f>
        <v>3.118207285395747</v>
      </c>
      <c r="P297">
        <f t="shared" si="5"/>
        <v>29.1</v>
      </c>
    </row>
    <row r="298" spans="10:16">
      <c r="J298" s="5"/>
      <c r="L298">
        <f>FONO!M298</f>
        <v>-0.57691380000000003</v>
      </c>
      <c r="M298">
        <f>FONO!N298</f>
        <v>29.2</v>
      </c>
      <c r="O298">
        <f>ABS(L298-FONO!$C$34)</f>
        <v>3.1195988853957468</v>
      </c>
      <c r="P298">
        <f t="shared" si="5"/>
        <v>29.2</v>
      </c>
    </row>
    <row r="299" spans="10:16">
      <c r="J299" s="5"/>
      <c r="L299">
        <f>FONO!M299</f>
        <v>-0.57552219999999998</v>
      </c>
      <c r="M299">
        <f>FONO!N299</f>
        <v>29.3</v>
      </c>
      <c r="O299">
        <f>ABS(L299-FONO!$C$34)</f>
        <v>3.1209904853957471</v>
      </c>
      <c r="P299">
        <f t="shared" si="5"/>
        <v>29.3</v>
      </c>
    </row>
    <row r="300" spans="10:16">
      <c r="J300" s="5"/>
      <c r="L300">
        <f>FONO!M300</f>
        <v>-0.57354656000000004</v>
      </c>
      <c r="M300">
        <f>FONO!N300</f>
        <v>29.4</v>
      </c>
      <c r="O300">
        <f>ABS(L300-FONO!$C$34)</f>
        <v>3.122966125395747</v>
      </c>
      <c r="P300">
        <f t="shared" si="5"/>
        <v>29.4</v>
      </c>
    </row>
    <row r="301" spans="10:16">
      <c r="J301" s="5"/>
      <c r="L301">
        <f>FONO!M301</f>
        <v>-0.57123179999999996</v>
      </c>
      <c r="M301">
        <f>FONO!N301</f>
        <v>29.5</v>
      </c>
      <c r="O301">
        <f>ABS(L301-FONO!$C$34)</f>
        <v>3.125280885395747</v>
      </c>
      <c r="P301">
        <f t="shared" si="5"/>
        <v>29.5</v>
      </c>
    </row>
    <row r="302" spans="10:16">
      <c r="J302" s="5"/>
      <c r="L302">
        <f>FONO!M302</f>
        <v>-0.56876059199999995</v>
      </c>
      <c r="M302">
        <f>FONO!N302</f>
        <v>29.6</v>
      </c>
      <c r="O302">
        <f>ABS(L302-FONO!$C$34)</f>
        <v>3.1277520933957472</v>
      </c>
      <c r="P302">
        <f t="shared" si="5"/>
        <v>29.6</v>
      </c>
    </row>
    <row r="303" spans="10:16">
      <c r="J303" s="5"/>
      <c r="L303">
        <f>FONO!M303</f>
        <v>-0.56452934399999999</v>
      </c>
      <c r="M303">
        <f>FONO!N303</f>
        <v>29.7</v>
      </c>
      <c r="O303">
        <f>ABS(L303-FONO!$C$34)</f>
        <v>3.1319833413957472</v>
      </c>
      <c r="P303">
        <f t="shared" si="5"/>
        <v>29.7</v>
      </c>
    </row>
    <row r="304" spans="10:16">
      <c r="J304" s="5"/>
      <c r="L304">
        <f>FONO!M304</f>
        <v>-0.56029809600000002</v>
      </c>
      <c r="M304">
        <f>FONO!N304</f>
        <v>29.8</v>
      </c>
      <c r="O304">
        <f>ABS(L304-FONO!$C$34)</f>
        <v>3.1362145893957472</v>
      </c>
      <c r="P304">
        <f t="shared" si="5"/>
        <v>29.8</v>
      </c>
    </row>
    <row r="305" spans="10:16">
      <c r="J305" s="5"/>
      <c r="L305">
        <f>FONO!M305</f>
        <v>-0.55824585599999998</v>
      </c>
      <c r="M305">
        <f>FONO!N305</f>
        <v>29.9</v>
      </c>
      <c r="O305">
        <f>ABS(L305-FONO!$C$34)</f>
        <v>3.138266829395747</v>
      </c>
      <c r="P305">
        <f t="shared" si="5"/>
        <v>29.9</v>
      </c>
    </row>
    <row r="306" spans="10:16">
      <c r="J306" s="5"/>
      <c r="L306">
        <f>FONO!M306</f>
        <v>-0.55812119999999998</v>
      </c>
      <c r="M306">
        <f>FONO!N306</f>
        <v>30</v>
      </c>
      <c r="O306">
        <f>ABS(L306-FONO!$C$34)</f>
        <v>3.1383914853957471</v>
      </c>
      <c r="P306">
        <f t="shared" si="5"/>
        <v>30</v>
      </c>
    </row>
    <row r="307" spans="10:16">
      <c r="J307" s="5"/>
      <c r="L307">
        <f>FONO!M307</f>
        <v>-0.55799654399999998</v>
      </c>
      <c r="M307">
        <f>FONO!N307</f>
        <v>30.1</v>
      </c>
      <c r="O307">
        <f>ABS(L307-FONO!$C$34)</f>
        <v>3.1385161413957472</v>
      </c>
      <c r="P307">
        <f t="shared" si="5"/>
        <v>30.1</v>
      </c>
    </row>
    <row r="308" spans="10:16">
      <c r="J308" s="5"/>
      <c r="L308">
        <f>FONO!M308</f>
        <v>-0.557876496</v>
      </c>
      <c r="M308">
        <f>FONO!N308</f>
        <v>30.2</v>
      </c>
      <c r="O308">
        <f>ABS(L308-FONO!$C$34)</f>
        <v>3.1386361893957471</v>
      </c>
      <c r="P308">
        <f t="shared" si="5"/>
        <v>30.2</v>
      </c>
    </row>
    <row r="309" spans="10:16">
      <c r="J309" s="5"/>
      <c r="L309">
        <f>FONO!M309</f>
        <v>-0.55775654399999997</v>
      </c>
      <c r="M309">
        <f>FONO!N309</f>
        <v>30.3</v>
      </c>
      <c r="O309">
        <f>ABS(L309-FONO!$C$34)</f>
        <v>3.138756141395747</v>
      </c>
      <c r="P309">
        <f t="shared" si="5"/>
        <v>30.3</v>
      </c>
    </row>
    <row r="310" spans="10:16">
      <c r="J310" s="5"/>
      <c r="L310">
        <f>FONO!M310</f>
        <v>-0.55483687199999998</v>
      </c>
      <c r="M310">
        <f>FONO!N310</f>
        <v>30.4</v>
      </c>
      <c r="O310">
        <f>ABS(L310-FONO!$C$34)</f>
        <v>3.141675813395747</v>
      </c>
      <c r="P310">
        <f t="shared" si="5"/>
        <v>30.4</v>
      </c>
    </row>
    <row r="311" spans="10:16">
      <c r="J311" s="5"/>
      <c r="L311">
        <f>FONO!M311</f>
        <v>-0.54818423999999999</v>
      </c>
      <c r="M311">
        <f>FONO!N311</f>
        <v>30.5</v>
      </c>
      <c r="O311">
        <f>ABS(L311-FONO!$C$34)</f>
        <v>3.1483284453957472</v>
      </c>
      <c r="P311">
        <f t="shared" si="5"/>
        <v>30.5</v>
      </c>
    </row>
    <row r="312" spans="10:16">
      <c r="J312" s="5"/>
      <c r="L312">
        <f>FONO!M312</f>
        <v>-0.541531608</v>
      </c>
      <c r="M312">
        <f>FONO!N312</f>
        <v>30.6</v>
      </c>
      <c r="O312">
        <f>ABS(L312-FONO!$C$34)</f>
        <v>3.154981077395747</v>
      </c>
      <c r="P312">
        <f t="shared" si="5"/>
        <v>30.6</v>
      </c>
    </row>
    <row r="313" spans="10:16">
      <c r="J313" s="5"/>
      <c r="L313">
        <f>FONO!M313</f>
        <v>-0.54049924800000004</v>
      </c>
      <c r="M313">
        <f>FONO!N313</f>
        <v>30.7</v>
      </c>
      <c r="O313">
        <f>ABS(L313-FONO!$C$34)</f>
        <v>3.1560134373957469</v>
      </c>
      <c r="P313">
        <f t="shared" si="5"/>
        <v>30.7</v>
      </c>
    </row>
    <row r="314" spans="10:16">
      <c r="J314" s="5"/>
      <c r="L314">
        <f>FONO!M314</f>
        <v>-0.54025111199999998</v>
      </c>
      <c r="M314">
        <f>FONO!N314</f>
        <v>30.8</v>
      </c>
      <c r="O314">
        <f>ABS(L314-FONO!$C$34)</f>
        <v>3.1562615733957471</v>
      </c>
      <c r="P314">
        <f t="shared" si="5"/>
        <v>30.8</v>
      </c>
    </row>
    <row r="315" spans="10:16">
      <c r="J315" s="5"/>
      <c r="L315">
        <f>FONO!M315</f>
        <v>-0.54001436800000002</v>
      </c>
      <c r="M315">
        <f>FONO!N315</f>
        <v>30.9</v>
      </c>
      <c r="O315">
        <f>ABS(L315-FONO!$C$34)</f>
        <v>3.156498317395747</v>
      </c>
      <c r="P315">
        <f t="shared" si="5"/>
        <v>30.9</v>
      </c>
    </row>
    <row r="316" spans="10:16">
      <c r="J316" s="5"/>
      <c r="L316">
        <f>FONO!M316</f>
        <v>-0.53980112000000002</v>
      </c>
      <c r="M316">
        <f>FONO!N316</f>
        <v>31</v>
      </c>
      <c r="O316">
        <f>ABS(L316-FONO!$C$34)</f>
        <v>3.1567115653957472</v>
      </c>
      <c r="P316">
        <f t="shared" si="5"/>
        <v>31</v>
      </c>
    </row>
    <row r="317" spans="10:16">
      <c r="J317" s="5"/>
      <c r="L317">
        <f>FONO!M317</f>
        <v>-0.53958787200000002</v>
      </c>
      <c r="M317">
        <f>FONO!N317</f>
        <v>31.1</v>
      </c>
      <c r="O317">
        <f>ABS(L317-FONO!$C$34)</f>
        <v>3.1569248133957473</v>
      </c>
      <c r="P317">
        <f t="shared" si="5"/>
        <v>31.1</v>
      </c>
    </row>
    <row r="318" spans="10:16">
      <c r="J318" s="5"/>
      <c r="L318">
        <f>FONO!M318</f>
        <v>-0.53914236800000004</v>
      </c>
      <c r="M318">
        <f>FONO!N318</f>
        <v>31.2</v>
      </c>
      <c r="O318">
        <f>ABS(L318-FONO!$C$34)</f>
        <v>3.1573703173957473</v>
      </c>
      <c r="P318">
        <f t="shared" si="5"/>
        <v>31.2</v>
      </c>
    </row>
    <row r="319" spans="10:16">
      <c r="J319" s="5"/>
      <c r="L319">
        <f>FONO!M319</f>
        <v>-0.53862963200000002</v>
      </c>
      <c r="M319">
        <f>FONO!N319</f>
        <v>31.3</v>
      </c>
      <c r="O319">
        <f>ABS(L319-FONO!$C$34)</f>
        <v>3.1578830533957469</v>
      </c>
      <c r="P319">
        <f t="shared" si="5"/>
        <v>31.3</v>
      </c>
    </row>
    <row r="320" spans="10:16">
      <c r="J320" s="5"/>
      <c r="L320">
        <f>FONO!M320</f>
        <v>-0.53723170399999998</v>
      </c>
      <c r="M320">
        <f>FONO!N320</f>
        <v>31.4</v>
      </c>
      <c r="O320">
        <f>ABS(L320-FONO!$C$34)</f>
        <v>3.1592809813957472</v>
      </c>
      <c r="P320">
        <f t="shared" si="5"/>
        <v>31.4</v>
      </c>
    </row>
    <row r="321" spans="10:16">
      <c r="J321" s="5"/>
      <c r="L321">
        <f>FONO!M321</f>
        <v>-0.53277584</v>
      </c>
      <c r="M321">
        <f>FONO!N321</f>
        <v>31.5</v>
      </c>
      <c r="O321">
        <f>ABS(L321-FONO!$C$34)</f>
        <v>3.1637368453957473</v>
      </c>
      <c r="P321">
        <f t="shared" si="5"/>
        <v>31.5</v>
      </c>
    </row>
    <row r="322" spans="10:16">
      <c r="J322" s="5"/>
      <c r="L322">
        <f>FONO!M322</f>
        <v>-0.52831997600000002</v>
      </c>
      <c r="M322">
        <f>FONO!N322</f>
        <v>31.6</v>
      </c>
      <c r="O322">
        <f>ABS(L322-FONO!$C$34)</f>
        <v>3.1681927093957469</v>
      </c>
      <c r="P322">
        <f t="shared" si="5"/>
        <v>31.6</v>
      </c>
    </row>
    <row r="323" spans="10:16">
      <c r="J323" s="5"/>
      <c r="L323">
        <f>FONO!M323</f>
        <v>-0.52570973600000004</v>
      </c>
      <c r="M323">
        <f>FONO!N323</f>
        <v>31.7</v>
      </c>
      <c r="O323">
        <f>ABS(L323-FONO!$C$34)</f>
        <v>3.170802949395747</v>
      </c>
      <c r="P323">
        <f t="shared" si="5"/>
        <v>31.7</v>
      </c>
    </row>
    <row r="324" spans="10:16">
      <c r="J324" s="5"/>
      <c r="L324">
        <f>FONO!M324</f>
        <v>-0.523994344</v>
      </c>
      <c r="M324">
        <f>FONO!N324</f>
        <v>31.8</v>
      </c>
      <c r="O324">
        <f>ABS(L324-FONO!$C$34)</f>
        <v>3.172518341395747</v>
      </c>
      <c r="P324">
        <f t="shared" si="5"/>
        <v>31.8</v>
      </c>
    </row>
    <row r="325" spans="10:16">
      <c r="J325" s="5"/>
      <c r="L325">
        <f>FONO!M325</f>
        <v>-0.52244124000000003</v>
      </c>
      <c r="M325">
        <f>FONO!N325</f>
        <v>31.9</v>
      </c>
      <c r="O325">
        <f>ABS(L325-FONO!$C$34)</f>
        <v>3.174071445395747</v>
      </c>
      <c r="P325">
        <f t="shared" si="5"/>
        <v>31.9</v>
      </c>
    </row>
    <row r="326" spans="10:16">
      <c r="J326" s="5"/>
      <c r="L326">
        <f>FONO!M326</f>
        <v>-0.52205120000000005</v>
      </c>
      <c r="M326">
        <f>FONO!N326</f>
        <v>32</v>
      </c>
      <c r="O326">
        <f>ABS(L326-FONO!$C$34)</f>
        <v>3.1744614853957471</v>
      </c>
      <c r="P326">
        <f t="shared" si="5"/>
        <v>32</v>
      </c>
    </row>
    <row r="327" spans="10:16">
      <c r="J327" s="5"/>
      <c r="L327">
        <f>FONO!M327</f>
        <v>-0.52166115999999996</v>
      </c>
      <c r="M327">
        <f>FONO!N327</f>
        <v>32.1</v>
      </c>
      <c r="O327">
        <f>ABS(L327-FONO!$C$34)</f>
        <v>3.1748515253957472</v>
      </c>
      <c r="P327">
        <f t="shared" ref="P327:P390" si="6">M327</f>
        <v>32.1</v>
      </c>
    </row>
    <row r="328" spans="10:16">
      <c r="J328" s="5"/>
      <c r="L328">
        <f>FONO!M328</f>
        <v>-0.52060382400000005</v>
      </c>
      <c r="M328">
        <f>FONO!N328</f>
        <v>32.200000000000003</v>
      </c>
      <c r="O328">
        <f>ABS(L328-FONO!$C$34)</f>
        <v>3.1759088613957469</v>
      </c>
      <c r="P328">
        <f t="shared" si="6"/>
        <v>32.200000000000003</v>
      </c>
    </row>
    <row r="329" spans="10:16">
      <c r="J329" s="5"/>
      <c r="L329">
        <f>FONO!M329</f>
        <v>-0.519046016</v>
      </c>
      <c r="M329">
        <f>FONO!N329</f>
        <v>32.299999999999997</v>
      </c>
      <c r="O329">
        <f>ABS(L329-FONO!$C$34)</f>
        <v>3.1774666693957472</v>
      </c>
      <c r="P329">
        <f t="shared" si="6"/>
        <v>32.299999999999997</v>
      </c>
    </row>
    <row r="330" spans="10:16">
      <c r="J330" s="5"/>
      <c r="L330">
        <f>FONO!M330</f>
        <v>-0.51745683200000003</v>
      </c>
      <c r="M330">
        <f>FONO!N330</f>
        <v>32.4</v>
      </c>
      <c r="O330">
        <f>ABS(L330-FONO!$C$34)</f>
        <v>3.1790558533957469</v>
      </c>
      <c r="P330">
        <f t="shared" si="6"/>
        <v>32.4</v>
      </c>
    </row>
    <row r="331" spans="10:16">
      <c r="J331" s="5"/>
      <c r="L331">
        <f>FONO!M331</f>
        <v>-0.51436159999999997</v>
      </c>
      <c r="M331">
        <f>FONO!N331</f>
        <v>32.5</v>
      </c>
      <c r="O331">
        <f>ABS(L331-FONO!$C$34)</f>
        <v>3.1821510853957471</v>
      </c>
      <c r="P331">
        <f t="shared" si="6"/>
        <v>32.5</v>
      </c>
    </row>
    <row r="332" spans="10:16">
      <c r="J332" s="5"/>
      <c r="L332">
        <f>FONO!M332</f>
        <v>-0.51126636800000003</v>
      </c>
      <c r="M332">
        <f>FONO!N332</f>
        <v>32.6</v>
      </c>
      <c r="O332">
        <f>ABS(L332-FONO!$C$34)</f>
        <v>3.1852463173957473</v>
      </c>
      <c r="P332">
        <f t="shared" si="6"/>
        <v>32.6</v>
      </c>
    </row>
    <row r="333" spans="10:16">
      <c r="J333" s="5"/>
      <c r="L333">
        <f>FONO!M333</f>
        <v>-0.50880041600000003</v>
      </c>
      <c r="M333">
        <f>FONO!N333</f>
        <v>32.700000000000003</v>
      </c>
      <c r="O333">
        <f>ABS(L333-FONO!$C$34)</f>
        <v>3.1877122693957469</v>
      </c>
      <c r="P333">
        <f t="shared" si="6"/>
        <v>32.700000000000003</v>
      </c>
    </row>
    <row r="334" spans="10:16">
      <c r="J334" s="5"/>
      <c r="L334">
        <f>FONO!M334</f>
        <v>-0.50704582399999998</v>
      </c>
      <c r="M334">
        <f>FONO!N334</f>
        <v>32.799999999999997</v>
      </c>
      <c r="O334">
        <f>ABS(L334-FONO!$C$34)</f>
        <v>3.1894668613957471</v>
      </c>
      <c r="P334">
        <f t="shared" si="6"/>
        <v>32.799999999999997</v>
      </c>
    </row>
    <row r="335" spans="10:16">
      <c r="J335" s="5"/>
      <c r="L335">
        <f>FONO!M335</f>
        <v>-0.50529123200000003</v>
      </c>
      <c r="M335">
        <f>FONO!N335</f>
        <v>32.9</v>
      </c>
      <c r="O335">
        <f>ABS(L335-FONO!$C$34)</f>
        <v>3.1912214533957473</v>
      </c>
      <c r="P335">
        <f t="shared" si="6"/>
        <v>32.9</v>
      </c>
    </row>
    <row r="336" spans="10:16">
      <c r="J336" s="5"/>
      <c r="L336">
        <f>FONO!M336</f>
        <v>-0.50390672000000003</v>
      </c>
      <c r="M336">
        <f>FONO!N336</f>
        <v>33</v>
      </c>
      <c r="O336">
        <f>ABS(L336-FONO!$C$34)</f>
        <v>3.1926059653957468</v>
      </c>
      <c r="P336">
        <f t="shared" si="6"/>
        <v>33</v>
      </c>
    </row>
    <row r="337" spans="10:16">
      <c r="J337" s="5"/>
      <c r="L337">
        <f>FONO!M337</f>
        <v>-0.50255510400000003</v>
      </c>
      <c r="M337">
        <f>FONO!N337</f>
        <v>33.1</v>
      </c>
      <c r="O337">
        <f>ABS(L337-FONO!$C$34)</f>
        <v>3.1939575813957468</v>
      </c>
      <c r="P337">
        <f t="shared" si="6"/>
        <v>33.1</v>
      </c>
    </row>
    <row r="338" spans="10:16">
      <c r="J338" s="5"/>
      <c r="L338">
        <f>FONO!M338</f>
        <v>-0.50156449599999997</v>
      </c>
      <c r="M338">
        <f>FONO!N338</f>
        <v>33.200000000000003</v>
      </c>
      <c r="O338">
        <f>ABS(L338-FONO!$C$34)</f>
        <v>3.1949481893957472</v>
      </c>
      <c r="P338">
        <f t="shared" si="6"/>
        <v>33.200000000000003</v>
      </c>
    </row>
    <row r="339" spans="10:16">
      <c r="J339" s="5"/>
      <c r="L339">
        <f>FONO!M339</f>
        <v>-0.50119562399999995</v>
      </c>
      <c r="M339">
        <f>FONO!N339</f>
        <v>33.299999999999997</v>
      </c>
      <c r="O339">
        <f>ABS(L339-FONO!$C$34)</f>
        <v>3.1953170613957473</v>
      </c>
      <c r="P339">
        <f t="shared" si="6"/>
        <v>33.299999999999997</v>
      </c>
    </row>
    <row r="340" spans="10:16">
      <c r="J340" s="5"/>
      <c r="L340">
        <f>FONO!M340</f>
        <v>-0.50082675200000004</v>
      </c>
      <c r="M340">
        <f>FONO!N340</f>
        <v>33.4</v>
      </c>
      <c r="O340">
        <f>ABS(L340-FONO!$C$34)</f>
        <v>3.195685933395747</v>
      </c>
      <c r="P340">
        <f t="shared" si="6"/>
        <v>33.4</v>
      </c>
    </row>
    <row r="341" spans="10:16">
      <c r="J341" s="5"/>
      <c r="L341">
        <f>FONO!M341</f>
        <v>-0.49816539999999998</v>
      </c>
      <c r="M341">
        <f>FONO!N341</f>
        <v>33.5</v>
      </c>
      <c r="O341">
        <f>ABS(L341-FONO!$C$34)</f>
        <v>3.1983472853957471</v>
      </c>
      <c r="P341">
        <f t="shared" si="6"/>
        <v>33.5</v>
      </c>
    </row>
    <row r="342" spans="10:16">
      <c r="J342" s="5"/>
      <c r="L342">
        <f>FONO!M342</f>
        <v>-0.49498824000000002</v>
      </c>
      <c r="M342">
        <f>FONO!N342</f>
        <v>33.6</v>
      </c>
      <c r="O342">
        <f>ABS(L342-FONO!$C$34)</f>
        <v>3.201524445395747</v>
      </c>
      <c r="P342">
        <f t="shared" si="6"/>
        <v>33.6</v>
      </c>
    </row>
    <row r="343" spans="10:16">
      <c r="J343" s="5"/>
      <c r="L343">
        <f>FONO!M343</f>
        <v>-0.492161768</v>
      </c>
      <c r="M343">
        <f>FONO!N343</f>
        <v>33.700000000000003</v>
      </c>
      <c r="O343">
        <f>ABS(L343-FONO!$C$34)</f>
        <v>3.2043509173957472</v>
      </c>
      <c r="P343">
        <f t="shared" si="6"/>
        <v>33.700000000000003</v>
      </c>
    </row>
    <row r="344" spans="10:16">
      <c r="J344" s="5"/>
      <c r="L344">
        <f>FONO!M344</f>
        <v>-0.49030643200000001</v>
      </c>
      <c r="M344">
        <f>FONO!N344</f>
        <v>33.799999999999997</v>
      </c>
      <c r="O344">
        <f>ABS(L344-FONO!$C$34)</f>
        <v>3.2062062533957469</v>
      </c>
      <c r="P344">
        <f t="shared" si="6"/>
        <v>33.799999999999997</v>
      </c>
    </row>
    <row r="345" spans="10:16">
      <c r="J345" s="5"/>
      <c r="L345">
        <f>FONO!M345</f>
        <v>-0.48845109599999997</v>
      </c>
      <c r="M345">
        <f>FONO!N345</f>
        <v>33.9</v>
      </c>
      <c r="O345">
        <f>ABS(L345-FONO!$C$34)</f>
        <v>3.2080615893957471</v>
      </c>
      <c r="P345">
        <f t="shared" si="6"/>
        <v>33.9</v>
      </c>
    </row>
    <row r="346" spans="10:16">
      <c r="J346" s="5"/>
      <c r="L346">
        <f>FONO!M346</f>
        <v>-0.48778547999999999</v>
      </c>
      <c r="M346">
        <f>FONO!N346</f>
        <v>34</v>
      </c>
      <c r="O346">
        <f>ABS(L346-FONO!$C$34)</f>
        <v>3.2087272053957472</v>
      </c>
      <c r="P346">
        <f t="shared" si="6"/>
        <v>34</v>
      </c>
    </row>
    <row r="347" spans="10:16">
      <c r="J347" s="5"/>
      <c r="L347">
        <f>FONO!M347</f>
        <v>-0.48759575199999999</v>
      </c>
      <c r="M347">
        <f>FONO!N347</f>
        <v>34.1</v>
      </c>
      <c r="O347">
        <f>ABS(L347-FONO!$C$34)</f>
        <v>3.2089169333957472</v>
      </c>
      <c r="P347">
        <f t="shared" si="6"/>
        <v>34.1</v>
      </c>
    </row>
    <row r="348" spans="10:16">
      <c r="J348" s="5"/>
      <c r="L348">
        <f>FONO!M348</f>
        <v>-0.48738804000000002</v>
      </c>
      <c r="M348">
        <f>FONO!N348</f>
        <v>34.200000000000003</v>
      </c>
      <c r="O348">
        <f>ABS(L348-FONO!$C$34)</f>
        <v>3.2091246453957472</v>
      </c>
      <c r="P348">
        <f t="shared" si="6"/>
        <v>34.200000000000003</v>
      </c>
    </row>
    <row r="349" spans="10:16">
      <c r="J349" s="5"/>
      <c r="L349">
        <f>FONO!M349</f>
        <v>-0.48708815999999999</v>
      </c>
      <c r="M349">
        <f>FONO!N349</f>
        <v>34.299999999999997</v>
      </c>
      <c r="O349">
        <f>ABS(L349-FONO!$C$34)</f>
        <v>3.2094245253957472</v>
      </c>
      <c r="P349">
        <f t="shared" si="6"/>
        <v>34.299999999999997</v>
      </c>
    </row>
    <row r="350" spans="10:16">
      <c r="J350" s="5"/>
      <c r="L350">
        <f>FONO!M350</f>
        <v>-0.48678828000000002</v>
      </c>
      <c r="M350">
        <f>FONO!N350</f>
        <v>34.4</v>
      </c>
      <c r="O350">
        <f>ABS(L350-FONO!$C$34)</f>
        <v>3.2097244053957472</v>
      </c>
      <c r="P350">
        <f t="shared" si="6"/>
        <v>34.4</v>
      </c>
    </row>
    <row r="351" spans="10:16">
      <c r="J351" s="5"/>
      <c r="L351">
        <f>FONO!M351</f>
        <v>-0.48553728000000002</v>
      </c>
      <c r="M351">
        <f>FONO!N351</f>
        <v>34.5</v>
      </c>
      <c r="O351">
        <f>ABS(L351-FONO!$C$34)</f>
        <v>3.2109754053957471</v>
      </c>
      <c r="P351">
        <f t="shared" si="6"/>
        <v>34.5</v>
      </c>
    </row>
    <row r="352" spans="10:16">
      <c r="J352" s="5"/>
      <c r="L352">
        <f>FONO!M352</f>
        <v>-0.483683904</v>
      </c>
      <c r="M352">
        <f>FONO!N352</f>
        <v>34.6</v>
      </c>
      <c r="O352">
        <f>ABS(L352-FONO!$C$34)</f>
        <v>3.2128287813957472</v>
      </c>
      <c r="P352">
        <f t="shared" si="6"/>
        <v>34.6</v>
      </c>
    </row>
    <row r="353" spans="10:16">
      <c r="J353" s="5"/>
      <c r="L353">
        <f>FONO!M353</f>
        <v>-0.481809192</v>
      </c>
      <c r="M353">
        <f>FONO!N353</f>
        <v>34.700000000000003</v>
      </c>
      <c r="O353">
        <f>ABS(L353-FONO!$C$34)</f>
        <v>3.214703493395747</v>
      </c>
      <c r="P353">
        <f t="shared" si="6"/>
        <v>34.700000000000003</v>
      </c>
    </row>
    <row r="354" spans="10:16">
      <c r="J354" s="5"/>
      <c r="L354">
        <f>FONO!M354</f>
        <v>-0.479607328</v>
      </c>
      <c r="M354">
        <f>FONO!N354</f>
        <v>34.799999999999997</v>
      </c>
      <c r="O354">
        <f>ABS(L354-FONO!$C$34)</f>
        <v>3.2169053573957469</v>
      </c>
      <c r="P354">
        <f t="shared" si="6"/>
        <v>34.799999999999997</v>
      </c>
    </row>
    <row r="355" spans="10:16">
      <c r="J355" s="5"/>
      <c r="L355">
        <f>FONO!M355</f>
        <v>-0.477405464</v>
      </c>
      <c r="M355">
        <f>FONO!N355</f>
        <v>34.9</v>
      </c>
      <c r="O355">
        <f>ABS(L355-FONO!$C$34)</f>
        <v>3.2191072213957472</v>
      </c>
      <c r="P355">
        <f t="shared" si="6"/>
        <v>34.9</v>
      </c>
    </row>
    <row r="356" spans="10:16">
      <c r="J356" s="5"/>
      <c r="L356">
        <f>FONO!M356</f>
        <v>-0.47318260000000001</v>
      </c>
      <c r="M356">
        <f>FONO!N356</f>
        <v>35</v>
      </c>
      <c r="O356">
        <f>ABS(L356-FONO!$C$34)</f>
        <v>3.2233300853957472</v>
      </c>
      <c r="P356">
        <f t="shared" si="6"/>
        <v>35</v>
      </c>
    </row>
    <row r="357" spans="10:16">
      <c r="J357" s="5"/>
      <c r="L357">
        <f>FONO!M357</f>
        <v>-0.46701957599999999</v>
      </c>
      <c r="M357">
        <f>FONO!N357</f>
        <v>35.1</v>
      </c>
      <c r="O357">
        <f>ABS(L357-FONO!$C$34)</f>
        <v>3.2294931093957473</v>
      </c>
      <c r="P357">
        <f t="shared" si="6"/>
        <v>35.1</v>
      </c>
    </row>
    <row r="358" spans="10:16">
      <c r="J358" s="5"/>
      <c r="L358">
        <f>FONO!M358</f>
        <v>-0.46085655199999997</v>
      </c>
      <c r="M358">
        <f>FONO!N358</f>
        <v>35.200000000000003</v>
      </c>
      <c r="O358">
        <f>ABS(L358-FONO!$C$34)</f>
        <v>3.235656133395747</v>
      </c>
      <c r="P358">
        <f t="shared" si="6"/>
        <v>35.200000000000003</v>
      </c>
    </row>
    <row r="359" spans="10:16">
      <c r="J359" s="5"/>
      <c r="L359">
        <f>FONO!M359</f>
        <v>-0.46057717599999998</v>
      </c>
      <c r="M359">
        <f>FONO!N359</f>
        <v>35.299999999999997</v>
      </c>
      <c r="O359">
        <f>ABS(L359-FONO!$C$34)</f>
        <v>3.2359355093957469</v>
      </c>
      <c r="P359">
        <f t="shared" si="6"/>
        <v>35.299999999999997</v>
      </c>
    </row>
    <row r="360" spans="10:16">
      <c r="J360" s="5"/>
      <c r="L360">
        <f>FONO!M360</f>
        <v>-0.46054816799999998</v>
      </c>
      <c r="M360">
        <f>FONO!N360</f>
        <v>35.4</v>
      </c>
      <c r="O360">
        <f>ABS(L360-FONO!$C$34)</f>
        <v>3.2359645173957472</v>
      </c>
      <c r="P360">
        <f t="shared" si="6"/>
        <v>35.4</v>
      </c>
    </row>
    <row r="361" spans="10:16">
      <c r="J361" s="5"/>
      <c r="L361">
        <f>FONO!M361</f>
        <v>-0.45928636</v>
      </c>
      <c r="M361">
        <f>FONO!N361</f>
        <v>35.5</v>
      </c>
      <c r="O361">
        <f>ABS(L361-FONO!$C$34)</f>
        <v>3.237226325395747</v>
      </c>
      <c r="P361">
        <f t="shared" si="6"/>
        <v>35.5</v>
      </c>
    </row>
    <row r="362" spans="10:16">
      <c r="J362" s="5"/>
      <c r="L362">
        <f>FONO!M362</f>
        <v>-0.45623699200000001</v>
      </c>
      <c r="M362">
        <f>FONO!N362</f>
        <v>35.6</v>
      </c>
      <c r="O362">
        <f>ABS(L362-FONO!$C$34)</f>
        <v>3.2402756933957471</v>
      </c>
      <c r="P362">
        <f t="shared" si="6"/>
        <v>35.6</v>
      </c>
    </row>
    <row r="363" spans="10:16">
      <c r="J363" s="5"/>
      <c r="L363">
        <f>FONO!M363</f>
        <v>-0.45318762400000001</v>
      </c>
      <c r="M363">
        <f>FONO!N363</f>
        <v>35.700000000000003</v>
      </c>
      <c r="O363">
        <f>ABS(L363-FONO!$C$34)</f>
        <v>3.2433250613957472</v>
      </c>
      <c r="P363">
        <f t="shared" si="6"/>
        <v>35.700000000000003</v>
      </c>
    </row>
    <row r="364" spans="10:16">
      <c r="J364" s="5"/>
      <c r="L364">
        <f>FONO!M364</f>
        <v>-0.447120976</v>
      </c>
      <c r="M364">
        <f>FONO!N364</f>
        <v>35.799999999999997</v>
      </c>
      <c r="O364">
        <f>ABS(L364-FONO!$C$34)</f>
        <v>3.2493917093957472</v>
      </c>
      <c r="P364">
        <f t="shared" si="6"/>
        <v>35.799999999999997</v>
      </c>
    </row>
    <row r="365" spans="10:16">
      <c r="J365" s="5"/>
      <c r="L365">
        <f>FONO!M365</f>
        <v>-0.44055144800000001</v>
      </c>
      <c r="M365">
        <f>FONO!N365</f>
        <v>35.9</v>
      </c>
      <c r="O365">
        <f>ABS(L365-FONO!$C$34)</f>
        <v>3.2559612373957472</v>
      </c>
      <c r="P365">
        <f t="shared" si="6"/>
        <v>35.9</v>
      </c>
    </row>
    <row r="366" spans="10:16">
      <c r="J366" s="5"/>
      <c r="L366">
        <f>FONO!M366</f>
        <v>-0.43596552</v>
      </c>
      <c r="M366">
        <f>FONO!N366</f>
        <v>36</v>
      </c>
      <c r="O366">
        <f>ABS(L366-FONO!$C$34)</f>
        <v>3.2605471653957472</v>
      </c>
      <c r="P366">
        <f t="shared" si="6"/>
        <v>36</v>
      </c>
    </row>
    <row r="367" spans="10:16">
      <c r="J367" s="5"/>
      <c r="L367">
        <f>FONO!M367</f>
        <v>-0.43587575200000001</v>
      </c>
      <c r="M367">
        <f>FONO!N367</f>
        <v>36.1</v>
      </c>
      <c r="O367">
        <f>ABS(L367-FONO!$C$34)</f>
        <v>3.2606369333957472</v>
      </c>
      <c r="P367">
        <f t="shared" si="6"/>
        <v>36.1</v>
      </c>
    </row>
    <row r="368" spans="10:16">
      <c r="J368" s="5"/>
      <c r="L368">
        <f>FONO!M368</f>
        <v>-0.43578598400000002</v>
      </c>
      <c r="M368">
        <f>FONO!N368</f>
        <v>36.200000000000003</v>
      </c>
      <c r="O368">
        <f>ABS(L368-FONO!$C$34)</f>
        <v>3.2607267013957468</v>
      </c>
      <c r="P368">
        <f t="shared" si="6"/>
        <v>36.200000000000003</v>
      </c>
    </row>
    <row r="369" spans="10:16">
      <c r="J369" s="5"/>
      <c r="L369">
        <f>FONO!M369</f>
        <v>-0.43080304000000003</v>
      </c>
      <c r="M369">
        <f>FONO!N369</f>
        <v>36.299999999999997</v>
      </c>
      <c r="O369">
        <f>ABS(L369-FONO!$C$34)</f>
        <v>3.2657096453957468</v>
      </c>
      <c r="P369">
        <f t="shared" si="6"/>
        <v>36.299999999999997</v>
      </c>
    </row>
    <row r="370" spans="10:16">
      <c r="J370" s="5"/>
      <c r="L370">
        <f>FONO!M370</f>
        <v>-0.42423312000000002</v>
      </c>
      <c r="M370">
        <f>FONO!N370</f>
        <v>36.4</v>
      </c>
      <c r="O370">
        <f>ABS(L370-FONO!$C$34)</f>
        <v>3.2722795653957473</v>
      </c>
      <c r="P370">
        <f t="shared" si="6"/>
        <v>36.4</v>
      </c>
    </row>
    <row r="371" spans="10:16">
      <c r="J371" s="5"/>
      <c r="L371">
        <f>FONO!M371</f>
        <v>-0.41851023999999998</v>
      </c>
      <c r="M371">
        <f>FONO!N371</f>
        <v>36.5</v>
      </c>
      <c r="O371">
        <f>ABS(L371-FONO!$C$34)</f>
        <v>3.2780024453957473</v>
      </c>
      <c r="P371">
        <f t="shared" si="6"/>
        <v>36.5</v>
      </c>
    </row>
    <row r="372" spans="10:16">
      <c r="J372" s="5"/>
      <c r="L372">
        <f>FONO!M372</f>
        <v>-0.41609081599999997</v>
      </c>
      <c r="M372">
        <f>FONO!N372</f>
        <v>36.6</v>
      </c>
      <c r="O372">
        <f>ABS(L372-FONO!$C$34)</f>
        <v>3.280421869395747</v>
      </c>
      <c r="P372">
        <f t="shared" si="6"/>
        <v>36.6</v>
      </c>
    </row>
    <row r="373" spans="10:16">
      <c r="J373" s="5"/>
      <c r="L373">
        <f>FONO!M373</f>
        <v>-0.41367139200000003</v>
      </c>
      <c r="M373">
        <f>FONO!N373</f>
        <v>36.700000000000003</v>
      </c>
      <c r="O373">
        <f>ABS(L373-FONO!$C$34)</f>
        <v>3.2828412933957472</v>
      </c>
      <c r="P373">
        <f t="shared" si="6"/>
        <v>36.700000000000003</v>
      </c>
    </row>
    <row r="374" spans="10:16">
      <c r="J374" s="5"/>
      <c r="L374">
        <f>FONO!M374</f>
        <v>-0.41085977600000001</v>
      </c>
      <c r="M374">
        <f>FONO!N374</f>
        <v>36.799999999999997</v>
      </c>
      <c r="O374">
        <f>ABS(L374-FONO!$C$34)</f>
        <v>3.2856529093957469</v>
      </c>
      <c r="P374">
        <f t="shared" si="6"/>
        <v>36.799999999999997</v>
      </c>
    </row>
    <row r="375" spans="10:16">
      <c r="J375" s="5"/>
      <c r="L375">
        <f>FONO!M375</f>
        <v>-0.40783980800000003</v>
      </c>
      <c r="M375">
        <f>FONO!N375</f>
        <v>36.9</v>
      </c>
      <c r="O375">
        <f>ABS(L375-FONO!$C$34)</f>
        <v>3.2886728773957472</v>
      </c>
      <c r="P375">
        <f t="shared" si="6"/>
        <v>36.9</v>
      </c>
    </row>
    <row r="376" spans="10:16">
      <c r="J376" s="5"/>
      <c r="L376">
        <f>FONO!M376</f>
        <v>-0.40502152000000002</v>
      </c>
      <c r="M376">
        <f>FONO!N376</f>
        <v>37</v>
      </c>
      <c r="O376">
        <f>ABS(L376-FONO!$C$34)</f>
        <v>3.291491165395747</v>
      </c>
      <c r="P376">
        <f t="shared" si="6"/>
        <v>37</v>
      </c>
    </row>
    <row r="377" spans="10:16">
      <c r="J377" s="5"/>
      <c r="L377">
        <f>FONO!M377</f>
        <v>-0.403978016</v>
      </c>
      <c r="M377">
        <f>FONO!N377</f>
        <v>37.1</v>
      </c>
      <c r="O377">
        <f>ABS(L377-FONO!$C$34)</f>
        <v>3.2925346693957471</v>
      </c>
      <c r="P377">
        <f t="shared" si="6"/>
        <v>37.1</v>
      </c>
    </row>
    <row r="378" spans="10:16">
      <c r="J378" s="5"/>
      <c r="L378">
        <f>FONO!M378</f>
        <v>-0.40293451200000002</v>
      </c>
      <c r="M378">
        <f>FONO!N378</f>
        <v>37.200000000000003</v>
      </c>
      <c r="O378">
        <f>ABS(L378-FONO!$C$34)</f>
        <v>3.2935781733957472</v>
      </c>
      <c r="P378">
        <f t="shared" si="6"/>
        <v>37.200000000000003</v>
      </c>
    </row>
    <row r="379" spans="10:16">
      <c r="J379" s="5"/>
      <c r="L379">
        <f>FONO!M379</f>
        <v>-0.39714570399999999</v>
      </c>
      <c r="M379">
        <f>FONO!N379</f>
        <v>37.299999999999997</v>
      </c>
      <c r="O379">
        <f>ABS(L379-FONO!$C$34)</f>
        <v>3.2993669813957469</v>
      </c>
      <c r="P379">
        <f t="shared" si="6"/>
        <v>37.299999999999997</v>
      </c>
    </row>
    <row r="380" spans="10:16">
      <c r="J380" s="5"/>
      <c r="L380">
        <f>FONO!M380</f>
        <v>-0.38749035199999998</v>
      </c>
      <c r="M380">
        <f>FONO!N380</f>
        <v>37.4</v>
      </c>
      <c r="O380">
        <f>ABS(L380-FONO!$C$34)</f>
        <v>3.3090223333957471</v>
      </c>
      <c r="P380">
        <f t="shared" si="6"/>
        <v>37.4</v>
      </c>
    </row>
    <row r="381" spans="10:16">
      <c r="J381" s="5"/>
      <c r="L381">
        <f>FONO!M381</f>
        <v>-0.37783499999999998</v>
      </c>
      <c r="M381">
        <f>FONO!N381</f>
        <v>37.5</v>
      </c>
      <c r="O381">
        <f>ABS(L381-FONO!$C$34)</f>
        <v>3.3186776853957469</v>
      </c>
      <c r="P381">
        <f t="shared" si="6"/>
        <v>37.5</v>
      </c>
    </row>
    <row r="382" spans="10:16">
      <c r="J382" s="5"/>
      <c r="L382">
        <f>FONO!M382</f>
        <v>-0.37334072000000001</v>
      </c>
      <c r="M382">
        <f>FONO!N382</f>
        <v>37.6</v>
      </c>
      <c r="O382">
        <f>ABS(L382-FONO!$C$34)</f>
        <v>3.3231719653957472</v>
      </c>
      <c r="P382">
        <f t="shared" si="6"/>
        <v>37.6</v>
      </c>
    </row>
    <row r="383" spans="10:16">
      <c r="J383" s="5"/>
      <c r="L383">
        <f>FONO!M383</f>
        <v>-0.36884644</v>
      </c>
      <c r="M383">
        <f>FONO!N383</f>
        <v>37.700000000000003</v>
      </c>
      <c r="O383">
        <f>ABS(L383-FONO!$C$34)</f>
        <v>3.3276662453957471</v>
      </c>
      <c r="P383">
        <f t="shared" si="6"/>
        <v>37.700000000000003</v>
      </c>
    </row>
    <row r="384" spans="10:16">
      <c r="J384" s="5"/>
      <c r="L384">
        <f>FONO!M384</f>
        <v>-0.36611163200000002</v>
      </c>
      <c r="M384">
        <f>FONO!N384</f>
        <v>37.799999999999997</v>
      </c>
      <c r="O384">
        <f>ABS(L384-FONO!$C$34)</f>
        <v>3.3304010533957471</v>
      </c>
      <c r="P384">
        <f t="shared" si="6"/>
        <v>37.799999999999997</v>
      </c>
    </row>
    <row r="385" spans="10:16">
      <c r="J385" s="5"/>
      <c r="L385">
        <f>FONO!M385</f>
        <v>-0.36553617599999999</v>
      </c>
      <c r="M385">
        <f>FONO!N385</f>
        <v>37.9</v>
      </c>
      <c r="O385">
        <f>ABS(L385-FONO!$C$34)</f>
        <v>3.3309765093957471</v>
      </c>
      <c r="P385">
        <f t="shared" si="6"/>
        <v>37.9</v>
      </c>
    </row>
    <row r="386" spans="10:16">
      <c r="J386" s="5"/>
      <c r="L386">
        <f>FONO!M386</f>
        <v>-0.36496072000000002</v>
      </c>
      <c r="M386">
        <f>FONO!N386</f>
        <v>38</v>
      </c>
      <c r="O386">
        <f>ABS(L386-FONO!$C$34)</f>
        <v>3.3315519653957471</v>
      </c>
      <c r="P386">
        <f t="shared" si="6"/>
        <v>38</v>
      </c>
    </row>
    <row r="387" spans="10:16">
      <c r="J387" s="5"/>
      <c r="L387">
        <f>FONO!M387</f>
        <v>-0.35988776</v>
      </c>
      <c r="M387">
        <f>FONO!N387</f>
        <v>38.1</v>
      </c>
      <c r="O387">
        <f>ABS(L387-FONO!$C$34)</f>
        <v>3.3366249253957472</v>
      </c>
      <c r="P387">
        <f t="shared" si="6"/>
        <v>38.1</v>
      </c>
    </row>
    <row r="388" spans="10:16">
      <c r="J388" s="5"/>
      <c r="L388">
        <f>FONO!M388</f>
        <v>-0.35430371999999999</v>
      </c>
      <c r="M388">
        <f>FONO!N388</f>
        <v>38.200000000000003</v>
      </c>
      <c r="O388">
        <f>ABS(L388-FONO!$C$34)</f>
        <v>3.3422089653957472</v>
      </c>
      <c r="P388">
        <f t="shared" si="6"/>
        <v>38.200000000000003</v>
      </c>
    </row>
    <row r="389" spans="10:16">
      <c r="J389" s="5"/>
      <c r="L389">
        <f>FONO!M389</f>
        <v>-0.350657</v>
      </c>
      <c r="M389">
        <f>FONO!N389</f>
        <v>38.299999999999997</v>
      </c>
      <c r="O389">
        <f>ABS(L389-FONO!$C$34)</f>
        <v>3.3458556853957471</v>
      </c>
      <c r="P389">
        <f t="shared" si="6"/>
        <v>38.299999999999997</v>
      </c>
    </row>
    <row r="390" spans="10:16">
      <c r="J390" s="5"/>
      <c r="L390">
        <f>FONO!M390</f>
        <v>-0.350657</v>
      </c>
      <c r="M390">
        <f>FONO!N390</f>
        <v>38.4</v>
      </c>
      <c r="O390">
        <f>ABS(L390-FONO!$C$34)</f>
        <v>3.3458556853957471</v>
      </c>
      <c r="P390">
        <f t="shared" si="6"/>
        <v>38.4</v>
      </c>
    </row>
    <row r="391" spans="10:16">
      <c r="J391" s="5"/>
      <c r="L391">
        <f>FONO!M391</f>
        <v>-0.350657</v>
      </c>
      <c r="M391">
        <f>FONO!N391</f>
        <v>38.5</v>
      </c>
      <c r="O391">
        <f>ABS(L391-FONO!$C$34)</f>
        <v>3.3458556853957471</v>
      </c>
      <c r="P391">
        <f t="shared" ref="P391:P454" si="7">M391</f>
        <v>38.5</v>
      </c>
    </row>
    <row r="392" spans="10:16">
      <c r="J392" s="5"/>
      <c r="L392">
        <f>FONO!M392</f>
        <v>-0.350657</v>
      </c>
      <c r="M392">
        <f>FONO!N392</f>
        <v>38.6</v>
      </c>
      <c r="O392">
        <f>ABS(L392-FONO!$C$34)</f>
        <v>3.3458556853957471</v>
      </c>
      <c r="P392">
        <f t="shared" si="7"/>
        <v>38.6</v>
      </c>
    </row>
    <row r="393" spans="10:16">
      <c r="J393" s="5"/>
      <c r="L393">
        <f>FONO!M393</f>
        <v>-0.350657</v>
      </c>
      <c r="M393">
        <f>FONO!N393</f>
        <v>38.700000000000003</v>
      </c>
      <c r="O393">
        <f>ABS(L393-FONO!$C$34)</f>
        <v>3.3458556853957471</v>
      </c>
      <c r="P393">
        <f t="shared" si="7"/>
        <v>38.700000000000003</v>
      </c>
    </row>
    <row r="394" spans="10:16">
      <c r="J394" s="5"/>
      <c r="L394">
        <f>FONO!M394</f>
        <v>-0.35043312799999998</v>
      </c>
      <c r="M394">
        <f>FONO!N394</f>
        <v>38.799999999999997</v>
      </c>
      <c r="O394">
        <f>ABS(L394-FONO!$C$34)</f>
        <v>3.3460795573957469</v>
      </c>
      <c r="P394">
        <f t="shared" si="7"/>
        <v>38.799999999999997</v>
      </c>
    </row>
    <row r="395" spans="10:16">
      <c r="J395" s="5"/>
      <c r="L395">
        <f>FONO!M395</f>
        <v>-0.34951898399999998</v>
      </c>
      <c r="M395">
        <f>FONO!N395</f>
        <v>38.9</v>
      </c>
      <c r="O395">
        <f>ABS(L395-FONO!$C$34)</f>
        <v>3.3469937013957471</v>
      </c>
      <c r="P395">
        <f t="shared" si="7"/>
        <v>38.9</v>
      </c>
    </row>
    <row r="396" spans="10:16">
      <c r="J396" s="5"/>
      <c r="L396">
        <f>FONO!M396</f>
        <v>-0.34860484000000003</v>
      </c>
      <c r="M396">
        <f>FONO!N396</f>
        <v>39</v>
      </c>
      <c r="O396">
        <f>ABS(L396-FONO!$C$34)</f>
        <v>3.3479078453957469</v>
      </c>
      <c r="P396">
        <f t="shared" si="7"/>
        <v>39</v>
      </c>
    </row>
    <row r="397" spans="10:16">
      <c r="J397" s="5"/>
      <c r="L397">
        <f>FONO!M397</f>
        <v>-0.34509635999999999</v>
      </c>
      <c r="M397">
        <f>FONO!N397</f>
        <v>39.1</v>
      </c>
      <c r="O397">
        <f>ABS(L397-FONO!$C$34)</f>
        <v>3.3514163253957472</v>
      </c>
      <c r="P397">
        <f t="shared" si="7"/>
        <v>39.1</v>
      </c>
    </row>
    <row r="398" spans="10:16">
      <c r="J398" s="5"/>
      <c r="L398">
        <f>FONO!M398</f>
        <v>-0.34044331999999999</v>
      </c>
      <c r="M398">
        <f>FONO!N398</f>
        <v>39.200000000000003</v>
      </c>
      <c r="O398">
        <f>ABS(L398-FONO!$C$34)</f>
        <v>3.3560693653957472</v>
      </c>
      <c r="P398">
        <f t="shared" si="7"/>
        <v>39.200000000000003</v>
      </c>
    </row>
    <row r="399" spans="10:16">
      <c r="J399" s="5"/>
      <c r="L399">
        <f>FONO!M399</f>
        <v>-0.33602990399999999</v>
      </c>
      <c r="M399">
        <f>FONO!N399</f>
        <v>39.299999999999997</v>
      </c>
      <c r="O399">
        <f>ABS(L399-FONO!$C$34)</f>
        <v>3.360482781395747</v>
      </c>
      <c r="P399">
        <f t="shared" si="7"/>
        <v>39.299999999999997</v>
      </c>
    </row>
    <row r="400" spans="10:16">
      <c r="J400" s="5"/>
      <c r="L400">
        <f>FONO!M400</f>
        <v>-0.33305423200000001</v>
      </c>
      <c r="M400">
        <f>FONO!N400</f>
        <v>39.4</v>
      </c>
      <c r="O400">
        <f>ABS(L400-FONO!$C$34)</f>
        <v>3.3634584533957472</v>
      </c>
      <c r="P400">
        <f t="shared" si="7"/>
        <v>39.4</v>
      </c>
    </row>
    <row r="401" spans="10:16">
      <c r="J401" s="5"/>
      <c r="L401">
        <f>FONO!M401</f>
        <v>-0.33007856000000002</v>
      </c>
      <c r="M401">
        <f>FONO!N401</f>
        <v>39.5</v>
      </c>
      <c r="O401">
        <f>ABS(L401-FONO!$C$34)</f>
        <v>3.366434125395747</v>
      </c>
      <c r="P401">
        <f t="shared" si="7"/>
        <v>39.5</v>
      </c>
    </row>
    <row r="402" spans="10:16">
      <c r="J402" s="5"/>
      <c r="L402">
        <f>FONO!M402</f>
        <v>-0.32748290400000002</v>
      </c>
      <c r="M402">
        <f>FONO!N402</f>
        <v>39.6</v>
      </c>
      <c r="O402">
        <f>ABS(L402-FONO!$C$34)</f>
        <v>3.369029781395747</v>
      </c>
      <c r="P402">
        <f t="shared" si="7"/>
        <v>39.6</v>
      </c>
    </row>
    <row r="403" spans="10:16">
      <c r="J403" s="5"/>
      <c r="L403">
        <f>FONO!M403</f>
        <v>-0.32514932800000002</v>
      </c>
      <c r="M403">
        <f>FONO!N403</f>
        <v>39.700000000000003</v>
      </c>
      <c r="O403">
        <f>ABS(L403-FONO!$C$34)</f>
        <v>3.3713633573957469</v>
      </c>
      <c r="P403">
        <f t="shared" si="7"/>
        <v>39.700000000000003</v>
      </c>
    </row>
    <row r="404" spans="10:16">
      <c r="J404" s="5"/>
      <c r="L404">
        <f>FONO!M404</f>
        <v>-0.322859544</v>
      </c>
      <c r="M404">
        <f>FONO!N404</f>
        <v>39.799999999999997</v>
      </c>
      <c r="O404">
        <f>ABS(L404-FONO!$C$34)</f>
        <v>3.3736531413957471</v>
      </c>
      <c r="P404">
        <f t="shared" si="7"/>
        <v>39.799999999999997</v>
      </c>
    </row>
    <row r="405" spans="10:16">
      <c r="J405" s="5"/>
      <c r="L405">
        <f>FONO!M405</f>
        <v>-0.32159887199999998</v>
      </c>
      <c r="M405">
        <f>FONO!N405</f>
        <v>39.9</v>
      </c>
      <c r="O405">
        <f>ABS(L405-FONO!$C$34)</f>
        <v>3.374913813395747</v>
      </c>
      <c r="P405">
        <f t="shared" si="7"/>
        <v>39.9</v>
      </c>
    </row>
    <row r="406" spans="10:16">
      <c r="J406" s="5"/>
      <c r="L406">
        <f>FONO!M406</f>
        <v>-0.32033820000000002</v>
      </c>
      <c r="M406">
        <f>FONO!N406</f>
        <v>40</v>
      </c>
      <c r="O406">
        <f>ABS(L406-FONO!$C$34)</f>
        <v>3.3761744853957469</v>
      </c>
      <c r="P406">
        <f t="shared" si="7"/>
        <v>40</v>
      </c>
    </row>
    <row r="407" spans="10:16">
      <c r="J407" s="5"/>
      <c r="L407">
        <f>FONO!M407</f>
        <v>-0.31538594399999997</v>
      </c>
      <c r="M407">
        <f>FONO!N407</f>
        <v>40.1</v>
      </c>
      <c r="O407">
        <f>ABS(L407-FONO!$C$34)</f>
        <v>3.3811267413957471</v>
      </c>
      <c r="P407">
        <f t="shared" si="7"/>
        <v>40.1</v>
      </c>
    </row>
    <row r="408" spans="10:16">
      <c r="J408" s="5"/>
      <c r="L408">
        <f>FONO!M408</f>
        <v>-0.30658828799999999</v>
      </c>
      <c r="M408">
        <f>FONO!N408</f>
        <v>40.200000000000003</v>
      </c>
      <c r="O408">
        <f>ABS(L408-FONO!$C$34)</f>
        <v>3.3899243973957471</v>
      </c>
      <c r="P408">
        <f t="shared" si="7"/>
        <v>40.200000000000003</v>
      </c>
    </row>
    <row r="409" spans="10:16">
      <c r="J409" s="5"/>
      <c r="L409">
        <f>FONO!M409</f>
        <v>-0.297790632</v>
      </c>
      <c r="M409">
        <f>FONO!N409</f>
        <v>40.299999999999997</v>
      </c>
      <c r="O409">
        <f>ABS(L409-FONO!$C$34)</f>
        <v>3.3987220533957472</v>
      </c>
      <c r="P409">
        <f t="shared" si="7"/>
        <v>40.299999999999997</v>
      </c>
    </row>
    <row r="410" spans="10:16">
      <c r="J410" s="5"/>
      <c r="L410">
        <f>FONO!M410</f>
        <v>-0.29511097600000002</v>
      </c>
      <c r="M410">
        <f>FONO!N410</f>
        <v>40.4</v>
      </c>
      <c r="O410">
        <f>ABS(L410-FONO!$C$34)</f>
        <v>3.4014017093957469</v>
      </c>
      <c r="P410">
        <f t="shared" si="7"/>
        <v>40.4</v>
      </c>
    </row>
    <row r="411" spans="10:16">
      <c r="J411" s="5"/>
      <c r="L411">
        <f>FONO!M411</f>
        <v>-0.29283031999999998</v>
      </c>
      <c r="M411">
        <f>FONO!N411</f>
        <v>40.5</v>
      </c>
      <c r="O411">
        <f>ABS(L411-FONO!$C$34)</f>
        <v>3.4036823653957473</v>
      </c>
      <c r="P411">
        <f t="shared" si="7"/>
        <v>40.5</v>
      </c>
    </row>
    <row r="412" spans="10:16">
      <c r="J412" s="5"/>
      <c r="L412">
        <f>FONO!M412</f>
        <v>-0.29063645599999999</v>
      </c>
      <c r="M412">
        <f>FONO!N412</f>
        <v>40.6</v>
      </c>
      <c r="O412">
        <f>ABS(L412-FONO!$C$34)</f>
        <v>3.405876229395747</v>
      </c>
      <c r="P412">
        <f t="shared" si="7"/>
        <v>40.6</v>
      </c>
    </row>
    <row r="413" spans="10:16">
      <c r="J413" s="5"/>
      <c r="L413">
        <f>FONO!M413</f>
        <v>-0.28857963199999997</v>
      </c>
      <c r="M413">
        <f>FONO!N413</f>
        <v>40.700000000000003</v>
      </c>
      <c r="O413">
        <f>ABS(L413-FONO!$C$34)</f>
        <v>3.4079330533957473</v>
      </c>
      <c r="P413">
        <f t="shared" si="7"/>
        <v>40.700000000000003</v>
      </c>
    </row>
    <row r="414" spans="10:16">
      <c r="J414" s="5"/>
      <c r="L414">
        <f>FONO!M414</f>
        <v>-0.28652280800000002</v>
      </c>
      <c r="M414">
        <f>FONO!N414</f>
        <v>40.799999999999997</v>
      </c>
      <c r="O414">
        <f>ABS(L414-FONO!$C$34)</f>
        <v>3.4099898773957471</v>
      </c>
      <c r="P414">
        <f t="shared" si="7"/>
        <v>40.799999999999997</v>
      </c>
    </row>
    <row r="415" spans="10:16">
      <c r="J415" s="5"/>
      <c r="L415">
        <f>FONO!M415</f>
        <v>-0.27589829599999999</v>
      </c>
      <c r="M415">
        <f>FONO!N415</f>
        <v>40.9</v>
      </c>
      <c r="O415">
        <f>ABS(L415-FONO!$C$34)</f>
        <v>3.4206143893957472</v>
      </c>
      <c r="P415">
        <f t="shared" si="7"/>
        <v>40.9</v>
      </c>
    </row>
    <row r="416" spans="10:16">
      <c r="J416" s="5"/>
      <c r="L416">
        <f>FONO!M416</f>
        <v>-0.26360203999999998</v>
      </c>
      <c r="M416">
        <f>FONO!N416</f>
        <v>41</v>
      </c>
      <c r="O416">
        <f>ABS(L416-FONO!$C$34)</f>
        <v>3.4329106453957472</v>
      </c>
      <c r="P416">
        <f t="shared" si="7"/>
        <v>41</v>
      </c>
    </row>
    <row r="417" spans="10:16">
      <c r="J417" s="5"/>
      <c r="L417">
        <f>FONO!M417</f>
        <v>-0.25481900000000002</v>
      </c>
      <c r="M417">
        <f>FONO!N417</f>
        <v>41.1</v>
      </c>
      <c r="O417">
        <f>ABS(L417-FONO!$C$34)</f>
        <v>3.4416936853957472</v>
      </c>
      <c r="P417">
        <f t="shared" si="7"/>
        <v>41.1</v>
      </c>
    </row>
    <row r="418" spans="10:16">
      <c r="J418" s="5"/>
      <c r="L418">
        <f>FONO!M418</f>
        <v>-0.25481900000000002</v>
      </c>
      <c r="M418">
        <f>FONO!N418</f>
        <v>41.2</v>
      </c>
      <c r="O418">
        <f>ABS(L418-FONO!$C$34)</f>
        <v>3.4416936853957472</v>
      </c>
      <c r="P418">
        <f t="shared" si="7"/>
        <v>41.2</v>
      </c>
    </row>
    <row r="419" spans="10:16">
      <c r="J419" s="5"/>
      <c r="L419">
        <f>FONO!M419</f>
        <v>-0.25481900000000002</v>
      </c>
      <c r="M419">
        <f>FONO!N419</f>
        <v>41.3</v>
      </c>
      <c r="O419">
        <f>ABS(L419-FONO!$C$34)</f>
        <v>3.4416936853957472</v>
      </c>
      <c r="P419">
        <f t="shared" si="7"/>
        <v>41.3</v>
      </c>
    </row>
    <row r="420" spans="10:16">
      <c r="J420" s="5"/>
      <c r="L420">
        <f>FONO!M420</f>
        <v>-0.25381704799999999</v>
      </c>
      <c r="M420">
        <f>FONO!N420</f>
        <v>41.4</v>
      </c>
      <c r="O420">
        <f>ABS(L420-FONO!$C$34)</f>
        <v>3.4426956373957469</v>
      </c>
      <c r="P420">
        <f t="shared" si="7"/>
        <v>41.4</v>
      </c>
    </row>
    <row r="421" spans="10:16">
      <c r="J421" s="5"/>
      <c r="L421">
        <f>FONO!M421</f>
        <v>-0.25245328</v>
      </c>
      <c r="M421">
        <f>FONO!N421</f>
        <v>41.5</v>
      </c>
      <c r="O421">
        <f>ABS(L421-FONO!$C$34)</f>
        <v>3.444059405395747</v>
      </c>
      <c r="P421">
        <f t="shared" si="7"/>
        <v>41.5</v>
      </c>
    </row>
    <row r="422" spans="10:16">
      <c r="J422" s="5"/>
      <c r="L422">
        <f>FONO!M422</f>
        <v>-0.25036864800000003</v>
      </c>
      <c r="M422">
        <f>FONO!N422</f>
        <v>41.6</v>
      </c>
      <c r="O422">
        <f>ABS(L422-FONO!$C$34)</f>
        <v>3.4461440373957473</v>
      </c>
      <c r="P422">
        <f t="shared" si="7"/>
        <v>41.6</v>
      </c>
    </row>
    <row r="423" spans="10:16">
      <c r="J423" s="5"/>
      <c r="L423">
        <f>FONO!M423</f>
        <v>-0.24508017600000001</v>
      </c>
      <c r="M423">
        <f>FONO!N423</f>
        <v>41.7</v>
      </c>
      <c r="O423">
        <f>ABS(L423-FONO!$C$34)</f>
        <v>3.451432509395747</v>
      </c>
      <c r="P423">
        <f t="shared" si="7"/>
        <v>41.7</v>
      </c>
    </row>
    <row r="424" spans="10:16">
      <c r="J424" s="5"/>
      <c r="L424">
        <f>FONO!M424</f>
        <v>-0.23979170399999999</v>
      </c>
      <c r="M424">
        <f>FONO!N424</f>
        <v>41.8</v>
      </c>
      <c r="O424">
        <f>ABS(L424-FONO!$C$34)</f>
        <v>3.4567209813957471</v>
      </c>
      <c r="P424">
        <f t="shared" si="7"/>
        <v>41.8</v>
      </c>
    </row>
    <row r="425" spans="10:16">
      <c r="J425" s="5"/>
      <c r="L425">
        <f>FONO!M425</f>
        <v>-0.23645375199999999</v>
      </c>
      <c r="M425">
        <f>FONO!N425</f>
        <v>41.9</v>
      </c>
      <c r="O425">
        <f>ABS(L425-FONO!$C$34)</f>
        <v>3.460058933395747</v>
      </c>
      <c r="P425">
        <f t="shared" si="7"/>
        <v>41.9</v>
      </c>
    </row>
    <row r="426" spans="10:16">
      <c r="J426" s="5"/>
      <c r="L426">
        <f>FONO!M426</f>
        <v>-0.23424835999999999</v>
      </c>
      <c r="M426">
        <f>FONO!N426</f>
        <v>42</v>
      </c>
      <c r="O426">
        <f>ABS(L426-FONO!$C$34)</f>
        <v>3.462264325395747</v>
      </c>
      <c r="P426">
        <f t="shared" si="7"/>
        <v>42</v>
      </c>
    </row>
    <row r="427" spans="10:16">
      <c r="J427" s="5"/>
      <c r="L427">
        <f>FONO!M427</f>
        <v>-0.23213682399999999</v>
      </c>
      <c r="M427">
        <f>FONO!N427</f>
        <v>42.1</v>
      </c>
      <c r="O427">
        <f>ABS(L427-FONO!$C$34)</f>
        <v>3.4643758613957472</v>
      </c>
      <c r="P427">
        <f t="shared" si="7"/>
        <v>42.1</v>
      </c>
    </row>
    <row r="428" spans="10:16">
      <c r="J428" s="5"/>
      <c r="L428">
        <f>FONO!M428</f>
        <v>-0.231081168</v>
      </c>
      <c r="M428">
        <f>FONO!N428</f>
        <v>42.2</v>
      </c>
      <c r="O428">
        <f>ABS(L428-FONO!$C$34)</f>
        <v>3.4654315173957473</v>
      </c>
      <c r="P428">
        <f t="shared" si="7"/>
        <v>42.2</v>
      </c>
    </row>
    <row r="429" spans="10:16">
      <c r="J429" s="5"/>
      <c r="L429">
        <f>FONO!M429</f>
        <v>-0.23002551199999999</v>
      </c>
      <c r="M429">
        <f>FONO!N429</f>
        <v>42.3</v>
      </c>
      <c r="O429">
        <f>ABS(L429-FONO!$C$34)</f>
        <v>3.466487173395747</v>
      </c>
      <c r="P429">
        <f t="shared" si="7"/>
        <v>42.3</v>
      </c>
    </row>
    <row r="430" spans="10:16">
      <c r="J430" s="5"/>
      <c r="L430">
        <f>FONO!M430</f>
        <v>-0.229486528</v>
      </c>
      <c r="M430">
        <f>FONO!N430</f>
        <v>42.4</v>
      </c>
      <c r="O430">
        <f>ABS(L430-FONO!$C$34)</f>
        <v>3.4670261573957473</v>
      </c>
      <c r="P430">
        <f t="shared" si="7"/>
        <v>42.4</v>
      </c>
    </row>
    <row r="431" spans="10:16">
      <c r="J431" s="5"/>
      <c r="L431">
        <f>FONO!M431</f>
        <v>-0.22940459999999999</v>
      </c>
      <c r="M431">
        <f>FONO!N431</f>
        <v>42.5</v>
      </c>
      <c r="O431">
        <f>ABS(L431-FONO!$C$34)</f>
        <v>3.467108085395747</v>
      </c>
      <c r="P431">
        <f t="shared" si="7"/>
        <v>42.5</v>
      </c>
    </row>
    <row r="432" spans="10:16">
      <c r="J432" s="5"/>
      <c r="L432">
        <f>FONO!M432</f>
        <v>-0.22932267200000001</v>
      </c>
      <c r="M432">
        <f>FONO!N432</f>
        <v>42.6</v>
      </c>
      <c r="O432">
        <f>ABS(L432-FONO!$C$34)</f>
        <v>3.4671900133957472</v>
      </c>
      <c r="P432">
        <f t="shared" si="7"/>
        <v>42.6</v>
      </c>
    </row>
    <row r="433" spans="10:16">
      <c r="J433" s="5"/>
      <c r="L433">
        <f>FONO!M433</f>
        <v>-0.22652893599999999</v>
      </c>
      <c r="M433">
        <f>FONO!N433</f>
        <v>42.7</v>
      </c>
      <c r="O433">
        <f>ABS(L433-FONO!$C$34)</f>
        <v>3.4699837493957473</v>
      </c>
      <c r="P433">
        <f t="shared" si="7"/>
        <v>42.7</v>
      </c>
    </row>
    <row r="434" spans="10:16">
      <c r="J434" s="5"/>
      <c r="L434">
        <f>FONO!M434</f>
        <v>-0.22367870400000001</v>
      </c>
      <c r="M434">
        <f>FONO!N434</f>
        <v>42.8</v>
      </c>
      <c r="O434">
        <f>ABS(L434-FONO!$C$34)</f>
        <v>3.4728339813957469</v>
      </c>
      <c r="P434">
        <f t="shared" si="7"/>
        <v>42.8</v>
      </c>
    </row>
    <row r="435" spans="10:16">
      <c r="J435" s="5"/>
      <c r="L435">
        <f>FONO!M435</f>
        <v>-0.22050893599999999</v>
      </c>
      <c r="M435">
        <f>FONO!N435</f>
        <v>42.9</v>
      </c>
      <c r="O435">
        <f>ABS(L435-FONO!$C$34)</f>
        <v>3.4760037493957472</v>
      </c>
      <c r="P435">
        <f t="shared" si="7"/>
        <v>42.9</v>
      </c>
    </row>
    <row r="436" spans="10:16">
      <c r="J436" s="5"/>
      <c r="L436">
        <f>FONO!M436</f>
        <v>-0.21691311999999999</v>
      </c>
      <c r="M436">
        <f>FONO!N436</f>
        <v>43</v>
      </c>
      <c r="O436">
        <f>ABS(L436-FONO!$C$34)</f>
        <v>3.479599565395747</v>
      </c>
      <c r="P436">
        <f t="shared" si="7"/>
        <v>43</v>
      </c>
    </row>
    <row r="437" spans="10:16">
      <c r="J437" s="5"/>
      <c r="L437">
        <f>FONO!M437</f>
        <v>-0.21331730400000001</v>
      </c>
      <c r="M437">
        <f>FONO!N437</f>
        <v>43.1</v>
      </c>
      <c r="O437">
        <f>ABS(L437-FONO!$C$34)</f>
        <v>3.4831953813957472</v>
      </c>
      <c r="P437">
        <f t="shared" si="7"/>
        <v>43.1</v>
      </c>
    </row>
    <row r="438" spans="10:16">
      <c r="J438" s="5"/>
      <c r="L438">
        <f>FONO!M438</f>
        <v>-0.21194613600000001</v>
      </c>
      <c r="M438">
        <f>FONO!N438</f>
        <v>43.2</v>
      </c>
      <c r="O438">
        <f>ABS(L438-FONO!$C$34)</f>
        <v>3.4845665493957472</v>
      </c>
      <c r="P438">
        <f t="shared" si="7"/>
        <v>43.2</v>
      </c>
    </row>
    <row r="439" spans="10:16">
      <c r="J439" s="5"/>
      <c r="L439">
        <f>FONO!M439</f>
        <v>-0.21088538400000001</v>
      </c>
      <c r="M439">
        <f>FONO!N439</f>
        <v>43.3</v>
      </c>
      <c r="O439">
        <f>ABS(L439-FONO!$C$34)</f>
        <v>3.4856273013957471</v>
      </c>
      <c r="P439">
        <f t="shared" si="7"/>
        <v>43.3</v>
      </c>
    </row>
    <row r="440" spans="10:16">
      <c r="J440" s="5"/>
      <c r="L440">
        <f>FONO!M440</f>
        <v>-0.20823960799999999</v>
      </c>
      <c r="M440">
        <f>FONO!N440</f>
        <v>43.4</v>
      </c>
      <c r="O440">
        <f>ABS(L440-FONO!$C$34)</f>
        <v>3.4882730773957471</v>
      </c>
      <c r="P440">
        <f t="shared" si="7"/>
        <v>43.4</v>
      </c>
    </row>
    <row r="441" spans="10:16">
      <c r="J441" s="5"/>
      <c r="L441">
        <f>FONO!M441</f>
        <v>-0.20232472000000001</v>
      </c>
      <c r="M441">
        <f>FONO!N441</f>
        <v>43.5</v>
      </c>
      <c r="O441">
        <f>ABS(L441-FONO!$C$34)</f>
        <v>3.4941879653957471</v>
      </c>
      <c r="P441">
        <f t="shared" si="7"/>
        <v>43.5</v>
      </c>
    </row>
    <row r="442" spans="10:16">
      <c r="J442" s="5"/>
      <c r="L442">
        <f>FONO!M442</f>
        <v>-0.19640983200000001</v>
      </c>
      <c r="M442">
        <f>FONO!N442</f>
        <v>43.6</v>
      </c>
      <c r="O442">
        <f>ABS(L442-FONO!$C$34)</f>
        <v>3.500102853395747</v>
      </c>
      <c r="P442">
        <f t="shared" si="7"/>
        <v>43.6</v>
      </c>
    </row>
    <row r="443" spans="10:16">
      <c r="J443" s="5"/>
      <c r="L443">
        <f>FONO!M443</f>
        <v>-0.194700176</v>
      </c>
      <c r="M443">
        <f>FONO!N443</f>
        <v>43.7</v>
      </c>
      <c r="O443">
        <f>ABS(L443-FONO!$C$34)</f>
        <v>3.5018125093957471</v>
      </c>
      <c r="P443">
        <f t="shared" si="7"/>
        <v>43.7</v>
      </c>
    </row>
    <row r="444" spans="10:16">
      <c r="J444" s="5"/>
      <c r="L444">
        <f>FONO!M444</f>
        <v>-0.194207824</v>
      </c>
      <c r="M444">
        <f>FONO!N444</f>
        <v>43.8</v>
      </c>
      <c r="O444">
        <f>ABS(L444-FONO!$C$34)</f>
        <v>3.5023048613957473</v>
      </c>
      <c r="P444">
        <f t="shared" si="7"/>
        <v>43.8</v>
      </c>
    </row>
    <row r="445" spans="10:16">
      <c r="J445" s="5"/>
      <c r="L445">
        <f>FONO!M445</f>
        <v>-0.19358681599999999</v>
      </c>
      <c r="M445">
        <f>FONO!N445</f>
        <v>43.9</v>
      </c>
      <c r="O445">
        <f>ABS(L445-FONO!$C$34)</f>
        <v>3.5029258693957472</v>
      </c>
      <c r="P445">
        <f t="shared" si="7"/>
        <v>43.9</v>
      </c>
    </row>
    <row r="446" spans="10:16">
      <c r="J446" s="5"/>
      <c r="L446">
        <f>FONO!M446</f>
        <v>-0.19252136</v>
      </c>
      <c r="M446">
        <f>FONO!N446</f>
        <v>44</v>
      </c>
      <c r="O446">
        <f>ABS(L446-FONO!$C$34)</f>
        <v>3.5039913253957469</v>
      </c>
      <c r="P446">
        <f t="shared" si="7"/>
        <v>44</v>
      </c>
    </row>
    <row r="447" spans="10:16">
      <c r="J447" s="5"/>
      <c r="L447">
        <f>FONO!M447</f>
        <v>-0.19145590400000001</v>
      </c>
      <c r="M447">
        <f>FONO!N447</f>
        <v>44.1</v>
      </c>
      <c r="O447">
        <f>ABS(L447-FONO!$C$34)</f>
        <v>3.5050567813957469</v>
      </c>
      <c r="P447">
        <f t="shared" si="7"/>
        <v>44.1</v>
      </c>
    </row>
    <row r="448" spans="10:16">
      <c r="J448" s="5"/>
      <c r="L448">
        <f>FONO!M448</f>
        <v>-0.18769870399999999</v>
      </c>
      <c r="M448">
        <f>FONO!N448</f>
        <v>44.2</v>
      </c>
      <c r="O448">
        <f>ABS(L448-FONO!$C$34)</f>
        <v>3.5088139813957469</v>
      </c>
      <c r="P448">
        <f t="shared" si="7"/>
        <v>44.2</v>
      </c>
    </row>
    <row r="449" spans="10:16">
      <c r="J449" s="5"/>
      <c r="L449">
        <f>FONO!M449</f>
        <v>-0.182636416</v>
      </c>
      <c r="M449">
        <f>FONO!N449</f>
        <v>44.3</v>
      </c>
      <c r="O449">
        <f>ABS(L449-FONO!$C$34)</f>
        <v>3.5138762693957473</v>
      </c>
      <c r="P449">
        <f t="shared" si="7"/>
        <v>44.3</v>
      </c>
    </row>
    <row r="450" spans="10:16">
      <c r="J450" s="5"/>
      <c r="L450">
        <f>FONO!M450</f>
        <v>-0.17791732800000001</v>
      </c>
      <c r="M450">
        <f>FONO!N450</f>
        <v>44.4</v>
      </c>
      <c r="O450">
        <f>ABS(L450-FONO!$C$34)</f>
        <v>3.5185953573957471</v>
      </c>
      <c r="P450">
        <f t="shared" si="7"/>
        <v>44.4</v>
      </c>
    </row>
    <row r="451" spans="10:16">
      <c r="J451" s="5"/>
      <c r="L451">
        <f>FONO!M451</f>
        <v>-0.17565784000000001</v>
      </c>
      <c r="M451">
        <f>FONO!N451</f>
        <v>44.5</v>
      </c>
      <c r="O451">
        <f>ABS(L451-FONO!$C$34)</f>
        <v>3.5208548453957471</v>
      </c>
      <c r="P451">
        <f t="shared" si="7"/>
        <v>44.5</v>
      </c>
    </row>
    <row r="452" spans="10:16">
      <c r="J452" s="5"/>
      <c r="L452">
        <f>FONO!M452</f>
        <v>-0.17339835200000001</v>
      </c>
      <c r="M452">
        <f>FONO!N452</f>
        <v>44.6</v>
      </c>
      <c r="O452">
        <f>ABS(L452-FONO!$C$34)</f>
        <v>3.5231143333957471</v>
      </c>
      <c r="P452">
        <f t="shared" si="7"/>
        <v>44.6</v>
      </c>
    </row>
    <row r="453" spans="10:16">
      <c r="J453" s="5"/>
      <c r="L453">
        <f>FONO!M453</f>
        <v>-0.16923911999999999</v>
      </c>
      <c r="M453">
        <f>FONO!N453</f>
        <v>44.7</v>
      </c>
      <c r="O453">
        <f>ABS(L453-FONO!$C$34)</f>
        <v>3.5272735653957472</v>
      </c>
      <c r="P453">
        <f t="shared" si="7"/>
        <v>44.7</v>
      </c>
    </row>
    <row r="454" spans="10:16">
      <c r="J454" s="5"/>
      <c r="L454">
        <f>FONO!M454</f>
        <v>-0.16365508000000001</v>
      </c>
      <c r="M454">
        <f>FONO!N454</f>
        <v>44.8</v>
      </c>
      <c r="O454">
        <f>ABS(L454-FONO!$C$34)</f>
        <v>3.5328576053957472</v>
      </c>
      <c r="P454">
        <f t="shared" si="7"/>
        <v>44.8</v>
      </c>
    </row>
    <row r="455" spans="10:16">
      <c r="J455" s="5"/>
      <c r="L455">
        <f>FONO!M455</f>
        <v>-0.15816487200000001</v>
      </c>
      <c r="M455">
        <f>FONO!N455</f>
        <v>44.9</v>
      </c>
      <c r="O455">
        <f>ABS(L455-FONO!$C$34)</f>
        <v>3.5383478133957471</v>
      </c>
      <c r="P455">
        <f t="shared" ref="P455:P518" si="8">M455</f>
        <v>44.9</v>
      </c>
    </row>
    <row r="456" spans="10:16">
      <c r="J456" s="5"/>
      <c r="L456">
        <f>FONO!M456</f>
        <v>-0.1571786</v>
      </c>
      <c r="M456">
        <f>FONO!N456</f>
        <v>45</v>
      </c>
      <c r="O456">
        <f>ABS(L456-FONO!$C$34)</f>
        <v>3.5393340853957471</v>
      </c>
      <c r="P456">
        <f t="shared" si="8"/>
        <v>45</v>
      </c>
    </row>
    <row r="457" spans="10:16">
      <c r="J457" s="5"/>
      <c r="L457">
        <f>FONO!M457</f>
        <v>-0.15619232799999999</v>
      </c>
      <c r="M457">
        <f>FONO!N457</f>
        <v>45.1</v>
      </c>
      <c r="O457">
        <f>ABS(L457-FONO!$C$34)</f>
        <v>3.5403203573957471</v>
      </c>
      <c r="P457">
        <f t="shared" si="8"/>
        <v>45.1</v>
      </c>
    </row>
    <row r="458" spans="10:16">
      <c r="J458" s="5"/>
      <c r="L458">
        <f>FONO!M458</f>
        <v>-0.15563054400000001</v>
      </c>
      <c r="M458">
        <f>FONO!N458</f>
        <v>45.2</v>
      </c>
      <c r="O458">
        <f>ABS(L458-FONO!$C$34)</f>
        <v>3.540882141395747</v>
      </c>
      <c r="P458">
        <f t="shared" si="8"/>
        <v>45.2</v>
      </c>
    </row>
    <row r="459" spans="10:16">
      <c r="J459" s="5"/>
      <c r="L459">
        <f>FONO!M459</f>
        <v>-0.155548616</v>
      </c>
      <c r="M459">
        <f>FONO!N459</f>
        <v>45.3</v>
      </c>
      <c r="O459">
        <f>ABS(L459-FONO!$C$34)</f>
        <v>3.5409640693957471</v>
      </c>
      <c r="P459">
        <f t="shared" si="8"/>
        <v>45.3</v>
      </c>
    </row>
    <row r="460" spans="10:16">
      <c r="J460" s="5"/>
      <c r="L460">
        <f>FONO!M460</f>
        <v>-0.15546668799999999</v>
      </c>
      <c r="M460">
        <f>FONO!N460</f>
        <v>45.4</v>
      </c>
      <c r="O460">
        <f>ABS(L460-FONO!$C$34)</f>
        <v>3.5410459973957469</v>
      </c>
      <c r="P460">
        <f t="shared" si="8"/>
        <v>45.4</v>
      </c>
    </row>
    <row r="461" spans="10:16">
      <c r="J461" s="5"/>
      <c r="L461">
        <f>FONO!M461</f>
        <v>-0.15545999999999999</v>
      </c>
      <c r="M461">
        <f>FONO!N461</f>
        <v>45.5</v>
      </c>
      <c r="O461">
        <f>ABS(L461-FONO!$C$34)</f>
        <v>3.5410526853957469</v>
      </c>
      <c r="P461">
        <f t="shared" si="8"/>
        <v>45.5</v>
      </c>
    </row>
    <row r="462" spans="10:16">
      <c r="J462" s="5"/>
      <c r="L462">
        <f>FONO!M462</f>
        <v>-0.15545999999999999</v>
      </c>
      <c r="M462">
        <f>FONO!N462</f>
        <v>45.6</v>
      </c>
      <c r="O462">
        <f>ABS(L462-FONO!$C$34)</f>
        <v>3.5410526853957469</v>
      </c>
      <c r="P462">
        <f t="shared" si="8"/>
        <v>45.6</v>
      </c>
    </row>
    <row r="463" spans="10:16">
      <c r="J463" s="5"/>
      <c r="L463">
        <f>FONO!M463</f>
        <v>-0.155445888</v>
      </c>
      <c r="M463">
        <f>FONO!N463</f>
        <v>45.7</v>
      </c>
      <c r="O463">
        <f>ABS(L463-FONO!$C$34)</f>
        <v>3.541066797395747</v>
      </c>
      <c r="P463">
        <f t="shared" si="8"/>
        <v>45.7</v>
      </c>
    </row>
    <row r="464" spans="10:16">
      <c r="J464" s="5"/>
      <c r="L464">
        <f>FONO!M464</f>
        <v>-0.15540747199999999</v>
      </c>
      <c r="M464">
        <f>FONO!N464</f>
        <v>45.8</v>
      </c>
      <c r="O464">
        <f>ABS(L464-FONO!$C$34)</f>
        <v>3.5411052133957472</v>
      </c>
      <c r="P464">
        <f t="shared" si="8"/>
        <v>45.8</v>
      </c>
    </row>
    <row r="465" spans="10:16">
      <c r="J465" s="5"/>
      <c r="L465">
        <f>FONO!M465</f>
        <v>-0.15536905600000001</v>
      </c>
      <c r="M465">
        <f>FONO!N465</f>
        <v>45.9</v>
      </c>
      <c r="O465">
        <f>ABS(L465-FONO!$C$34)</f>
        <v>3.541143629395747</v>
      </c>
      <c r="P465">
        <f t="shared" si="8"/>
        <v>45.9</v>
      </c>
    </row>
    <row r="466" spans="10:16">
      <c r="J466" s="5"/>
      <c r="L466">
        <f>FONO!M466</f>
        <v>-0.15250920000000001</v>
      </c>
      <c r="M466">
        <f>FONO!N466</f>
        <v>46</v>
      </c>
      <c r="O466">
        <f>ABS(L466-FONO!$C$34)</f>
        <v>3.5440034853957472</v>
      </c>
      <c r="P466">
        <f t="shared" si="8"/>
        <v>46</v>
      </c>
    </row>
    <row r="467" spans="10:16">
      <c r="J467" s="5"/>
      <c r="L467">
        <f>FONO!M467</f>
        <v>-0.14901452000000001</v>
      </c>
      <c r="M467">
        <f>FONO!N467</f>
        <v>46.1</v>
      </c>
      <c r="O467">
        <f>ABS(L467-FONO!$C$34)</f>
        <v>3.5474981653957469</v>
      </c>
      <c r="P467">
        <f t="shared" si="8"/>
        <v>46.1</v>
      </c>
    </row>
    <row r="468" spans="10:16">
      <c r="J468" s="5"/>
      <c r="L468">
        <f>FONO!M468</f>
        <v>-0.14577453600000001</v>
      </c>
      <c r="M468">
        <f>FONO!N468</f>
        <v>46.2</v>
      </c>
      <c r="O468">
        <f>ABS(L468-FONO!$C$34)</f>
        <v>3.5507381493957473</v>
      </c>
      <c r="P468">
        <f t="shared" si="8"/>
        <v>46.2</v>
      </c>
    </row>
    <row r="469" spans="10:16">
      <c r="J469" s="5"/>
      <c r="L469">
        <f>FONO!M469</f>
        <v>-0.14323986399999999</v>
      </c>
      <c r="M469">
        <f>FONO!N469</f>
        <v>46.3</v>
      </c>
      <c r="O469">
        <f>ABS(L469-FONO!$C$34)</f>
        <v>3.5532728213957472</v>
      </c>
      <c r="P469">
        <f t="shared" si="8"/>
        <v>46.3</v>
      </c>
    </row>
    <row r="470" spans="10:16">
      <c r="J470" s="5"/>
      <c r="L470">
        <f>FONO!M470</f>
        <v>-0.14070519200000001</v>
      </c>
      <c r="M470">
        <f>FONO!N470</f>
        <v>46.4</v>
      </c>
      <c r="O470">
        <f>ABS(L470-FONO!$C$34)</f>
        <v>3.5558074933957471</v>
      </c>
      <c r="P470">
        <f t="shared" si="8"/>
        <v>46.4</v>
      </c>
    </row>
    <row r="471" spans="10:16">
      <c r="J471" s="5"/>
      <c r="L471">
        <f>FONO!M471</f>
        <v>-0.13910823999999999</v>
      </c>
      <c r="M471">
        <f>FONO!N471</f>
        <v>46.5</v>
      </c>
      <c r="O471">
        <f>ABS(L471-FONO!$C$34)</f>
        <v>3.557404445395747</v>
      </c>
      <c r="P471">
        <f t="shared" si="8"/>
        <v>46.5</v>
      </c>
    </row>
    <row r="472" spans="10:16">
      <c r="J472" s="5"/>
      <c r="L472">
        <f>FONO!M472</f>
        <v>-0.137886376</v>
      </c>
      <c r="M472">
        <f>FONO!N472</f>
        <v>46.6</v>
      </c>
      <c r="O472">
        <f>ABS(L472-FONO!$C$34)</f>
        <v>3.5586263093957471</v>
      </c>
      <c r="P472">
        <f t="shared" si="8"/>
        <v>46.6</v>
      </c>
    </row>
    <row r="473" spans="10:16">
      <c r="J473" s="5"/>
      <c r="L473">
        <f>FONO!M473</f>
        <v>-0.13678348800000001</v>
      </c>
      <c r="M473">
        <f>FONO!N473</f>
        <v>46.7</v>
      </c>
      <c r="O473">
        <f>ABS(L473-FONO!$C$34)</f>
        <v>3.5597291973957472</v>
      </c>
      <c r="P473">
        <f t="shared" si="8"/>
        <v>46.7</v>
      </c>
    </row>
    <row r="474" spans="10:16">
      <c r="J474" s="5"/>
      <c r="L474">
        <f>FONO!M474</f>
        <v>-0.136290352</v>
      </c>
      <c r="M474">
        <f>FONO!N474</f>
        <v>46.8</v>
      </c>
      <c r="O474">
        <f>ABS(L474-FONO!$C$34)</f>
        <v>3.560222333395747</v>
      </c>
      <c r="P474">
        <f t="shared" si="8"/>
        <v>46.8</v>
      </c>
    </row>
    <row r="475" spans="10:16">
      <c r="J475" s="5"/>
      <c r="L475">
        <f>FONO!M475</f>
        <v>-0.135797216</v>
      </c>
      <c r="M475">
        <f>FONO!N475</f>
        <v>46.9</v>
      </c>
      <c r="O475">
        <f>ABS(L475-FONO!$C$34)</f>
        <v>3.5607154693957472</v>
      </c>
      <c r="P475">
        <f t="shared" si="8"/>
        <v>46.9</v>
      </c>
    </row>
    <row r="476" spans="10:16">
      <c r="J476" s="5"/>
      <c r="L476">
        <f>FONO!M476</f>
        <v>-0.13118688000000001</v>
      </c>
      <c r="M476">
        <f>FONO!N476</f>
        <v>47</v>
      </c>
      <c r="O476">
        <f>ABS(L476-FONO!$C$34)</f>
        <v>3.5653258053957471</v>
      </c>
      <c r="P476">
        <f t="shared" si="8"/>
        <v>47</v>
      </c>
    </row>
    <row r="477" spans="10:16">
      <c r="J477" s="5"/>
      <c r="L477">
        <f>FONO!M477</f>
        <v>-0.123968984</v>
      </c>
      <c r="M477">
        <f>FONO!N477</f>
        <v>47.1</v>
      </c>
      <c r="O477">
        <f>ABS(L477-FONO!$C$34)</f>
        <v>3.5725437013957473</v>
      </c>
      <c r="P477">
        <f t="shared" si="8"/>
        <v>47.1</v>
      </c>
    </row>
    <row r="478" spans="10:16">
      <c r="J478" s="5"/>
      <c r="L478">
        <f>FONO!M478</f>
        <v>-0.1171078</v>
      </c>
      <c r="M478">
        <f>FONO!N478</f>
        <v>47.2</v>
      </c>
      <c r="O478">
        <f>ABS(L478-FONO!$C$34)</f>
        <v>3.5794048853957472</v>
      </c>
      <c r="P478">
        <f t="shared" si="8"/>
        <v>47.2</v>
      </c>
    </row>
    <row r="479" spans="10:16">
      <c r="J479" s="5"/>
      <c r="L479">
        <f>FONO!M479</f>
        <v>-0.11571620000000001</v>
      </c>
      <c r="M479">
        <f>FONO!N479</f>
        <v>47.3</v>
      </c>
      <c r="O479">
        <f>ABS(L479-FONO!$C$34)</f>
        <v>3.580796485395747</v>
      </c>
      <c r="P479">
        <f t="shared" si="8"/>
        <v>47.3</v>
      </c>
    </row>
    <row r="480" spans="10:16">
      <c r="J480" s="5"/>
      <c r="L480">
        <f>FONO!M480</f>
        <v>-0.1143246</v>
      </c>
      <c r="M480">
        <f>FONO!N480</f>
        <v>47.4</v>
      </c>
      <c r="O480">
        <f>ABS(L480-FONO!$C$34)</f>
        <v>3.5821880853957468</v>
      </c>
      <c r="P480">
        <f t="shared" si="8"/>
        <v>47.4</v>
      </c>
    </row>
    <row r="481" spans="10:16">
      <c r="J481" s="5"/>
      <c r="L481">
        <f>FONO!M481</f>
        <v>-0.1124468</v>
      </c>
      <c r="M481">
        <f>FONO!N481</f>
        <v>47.5</v>
      </c>
      <c r="O481">
        <f>ABS(L481-FONO!$C$34)</f>
        <v>3.5840658853957472</v>
      </c>
      <c r="P481">
        <f t="shared" si="8"/>
        <v>47.5</v>
      </c>
    </row>
    <row r="482" spans="10:16">
      <c r="J482" s="5"/>
      <c r="L482">
        <f>FONO!M482</f>
        <v>-0.110102248</v>
      </c>
      <c r="M482">
        <f>FONO!N482</f>
        <v>47.6</v>
      </c>
      <c r="O482">
        <f>ABS(L482-FONO!$C$34)</f>
        <v>3.5864104373957471</v>
      </c>
      <c r="P482">
        <f t="shared" si="8"/>
        <v>47.6</v>
      </c>
    </row>
    <row r="483" spans="10:16">
      <c r="J483" s="5"/>
      <c r="L483">
        <f>FONO!M483</f>
        <v>-0.107757696</v>
      </c>
      <c r="M483">
        <f>FONO!N483</f>
        <v>47.7</v>
      </c>
      <c r="O483">
        <f>ABS(L483-FONO!$C$34)</f>
        <v>3.5887549893957469</v>
      </c>
      <c r="P483">
        <f t="shared" si="8"/>
        <v>47.7</v>
      </c>
    </row>
    <row r="484" spans="10:16">
      <c r="J484" s="5"/>
      <c r="L484">
        <f>FONO!M484</f>
        <v>-0.10420656</v>
      </c>
      <c r="M484">
        <f>FONO!N484</f>
        <v>47.8</v>
      </c>
      <c r="O484">
        <f>ABS(L484-FONO!$C$34)</f>
        <v>3.5923061253957469</v>
      </c>
      <c r="P484">
        <f t="shared" si="8"/>
        <v>47.8</v>
      </c>
    </row>
    <row r="485" spans="10:16">
      <c r="J485" s="5"/>
      <c r="L485">
        <f>FONO!M485</f>
        <v>-0.10060408</v>
      </c>
      <c r="M485">
        <f>FONO!N485</f>
        <v>47.9</v>
      </c>
      <c r="O485">
        <f>ABS(L485-FONO!$C$34)</f>
        <v>3.595908605395747</v>
      </c>
      <c r="P485">
        <f t="shared" si="8"/>
        <v>47.9</v>
      </c>
    </row>
    <row r="486" spans="10:16">
      <c r="J486" s="5"/>
      <c r="L486">
        <f>FONO!M486</f>
        <v>-9.8472000000000004E-2</v>
      </c>
      <c r="M486">
        <f>FONO!N486</f>
        <v>48</v>
      </c>
      <c r="O486">
        <f>ABS(L486-FONO!$C$34)</f>
        <v>3.598040685395747</v>
      </c>
      <c r="P486">
        <f t="shared" si="8"/>
        <v>48</v>
      </c>
    </row>
    <row r="487" spans="10:16">
      <c r="J487" s="5"/>
      <c r="L487">
        <f>FONO!M487</f>
        <v>-9.8472000000000004E-2</v>
      </c>
      <c r="M487">
        <f>FONO!N487</f>
        <v>48.1</v>
      </c>
      <c r="O487">
        <f>ABS(L487-FONO!$C$34)</f>
        <v>3.598040685395747</v>
      </c>
      <c r="P487">
        <f t="shared" si="8"/>
        <v>48.1</v>
      </c>
    </row>
    <row r="488" spans="10:16">
      <c r="J488" s="5"/>
      <c r="L488">
        <f>FONO!M488</f>
        <v>-9.8472000000000004E-2</v>
      </c>
      <c r="M488">
        <f>FONO!N488</f>
        <v>48.2</v>
      </c>
      <c r="O488">
        <f>ABS(L488-FONO!$C$34)</f>
        <v>3.598040685395747</v>
      </c>
      <c r="P488">
        <f t="shared" si="8"/>
        <v>48.2</v>
      </c>
    </row>
    <row r="489" spans="10:16">
      <c r="J489" s="5"/>
      <c r="L489">
        <f>FONO!M489</f>
        <v>-9.6163680000000099E-2</v>
      </c>
      <c r="M489">
        <f>FONO!N489</f>
        <v>48.3</v>
      </c>
      <c r="O489">
        <f>ABS(L489-FONO!$C$34)</f>
        <v>3.600349005395747</v>
      </c>
      <c r="P489">
        <f t="shared" si="8"/>
        <v>48.3</v>
      </c>
    </row>
    <row r="490" spans="10:16">
      <c r="J490" s="5"/>
      <c r="L490">
        <f>FONO!M490</f>
        <v>-9.3470639999999897E-2</v>
      </c>
      <c r="M490">
        <f>FONO!N490</f>
        <v>48.4</v>
      </c>
      <c r="O490">
        <f>ABS(L490-FONO!$C$34)</f>
        <v>3.603042045395747</v>
      </c>
      <c r="P490">
        <f t="shared" si="8"/>
        <v>48.4</v>
      </c>
    </row>
    <row r="491" spans="10:16">
      <c r="J491" s="5"/>
      <c r="L491">
        <f>FONO!M491</f>
        <v>-9.1440960000000002E-2</v>
      </c>
      <c r="M491">
        <f>FONO!N491</f>
        <v>48.5</v>
      </c>
      <c r="O491">
        <f>ABS(L491-FONO!$C$34)</f>
        <v>3.6050717253957472</v>
      </c>
      <c r="P491">
        <f t="shared" si="8"/>
        <v>48.5</v>
      </c>
    </row>
    <row r="492" spans="10:16">
      <c r="J492" s="5"/>
      <c r="L492">
        <f>FONO!M492</f>
        <v>-9.0914895999999995E-2</v>
      </c>
      <c r="M492">
        <f>FONO!N492</f>
        <v>48.6</v>
      </c>
      <c r="O492">
        <f>ABS(L492-FONO!$C$34)</f>
        <v>3.6055977893957469</v>
      </c>
      <c r="P492">
        <f t="shared" si="8"/>
        <v>48.6</v>
      </c>
    </row>
    <row r="493" spans="10:16">
      <c r="J493" s="5"/>
      <c r="L493">
        <f>FONO!M493</f>
        <v>-9.0388832000000002E-2</v>
      </c>
      <c r="M493">
        <f>FONO!N493</f>
        <v>48.7</v>
      </c>
      <c r="O493">
        <f>ABS(L493-FONO!$C$34)</f>
        <v>3.6061238533957471</v>
      </c>
      <c r="P493">
        <f t="shared" si="8"/>
        <v>48.7</v>
      </c>
    </row>
    <row r="494" spans="10:16">
      <c r="J494" s="5"/>
      <c r="L494">
        <f>FONO!M494</f>
        <v>-8.6921416000000098E-2</v>
      </c>
      <c r="M494">
        <f>FONO!N494</f>
        <v>48.8</v>
      </c>
      <c r="O494">
        <f>ABS(L494-FONO!$C$34)</f>
        <v>3.609591269395747</v>
      </c>
      <c r="P494">
        <f t="shared" si="8"/>
        <v>48.8</v>
      </c>
    </row>
    <row r="495" spans="10:16">
      <c r="J495" s="5"/>
      <c r="L495">
        <f>FONO!M495</f>
        <v>-8.2500048000000104E-2</v>
      </c>
      <c r="M495">
        <f>FONO!N495</f>
        <v>48.9</v>
      </c>
      <c r="O495">
        <f>ABS(L495-FONO!$C$34)</f>
        <v>3.6140126373957471</v>
      </c>
      <c r="P495">
        <f t="shared" si="8"/>
        <v>48.9</v>
      </c>
    </row>
    <row r="496" spans="10:16">
      <c r="J496" s="5"/>
      <c r="L496">
        <f>FONO!M496</f>
        <v>-7.8961879999999998E-2</v>
      </c>
      <c r="M496">
        <f>FONO!N496</f>
        <v>49</v>
      </c>
      <c r="O496">
        <f>ABS(L496-FONO!$C$34)</f>
        <v>3.617550805395747</v>
      </c>
      <c r="P496">
        <f t="shared" si="8"/>
        <v>49</v>
      </c>
    </row>
    <row r="497" spans="10:16">
      <c r="J497" s="5"/>
      <c r="L497">
        <f>FONO!M497</f>
        <v>-7.8868192000000004E-2</v>
      </c>
      <c r="M497">
        <f>FONO!N497</f>
        <v>49.1</v>
      </c>
      <c r="O497">
        <f>ABS(L497-FONO!$C$34)</f>
        <v>3.6176444933957472</v>
      </c>
      <c r="P497">
        <f t="shared" si="8"/>
        <v>49.1</v>
      </c>
    </row>
    <row r="498" spans="10:16">
      <c r="J498" s="5"/>
      <c r="L498">
        <f>FONO!M498</f>
        <v>-7.8774503999999995E-2</v>
      </c>
      <c r="M498">
        <f>FONO!N498</f>
        <v>49.2</v>
      </c>
      <c r="O498">
        <f>ABS(L498-FONO!$C$34)</f>
        <v>3.617738181395747</v>
      </c>
      <c r="P498">
        <f t="shared" si="8"/>
        <v>49.2</v>
      </c>
    </row>
    <row r="499" spans="10:16">
      <c r="J499" s="5"/>
      <c r="L499">
        <f>FONO!M499</f>
        <v>-7.8595823999999995E-2</v>
      </c>
      <c r="M499">
        <f>FONO!N499</f>
        <v>49.3</v>
      </c>
      <c r="O499">
        <f>ABS(L499-FONO!$C$34)</f>
        <v>3.6179168613957469</v>
      </c>
      <c r="P499">
        <f t="shared" si="8"/>
        <v>49.3</v>
      </c>
    </row>
    <row r="500" spans="10:16">
      <c r="J500" s="5"/>
      <c r="L500">
        <f>FONO!M500</f>
        <v>-7.8371992000000001E-2</v>
      </c>
      <c r="M500">
        <f>FONO!N500</f>
        <v>49.4</v>
      </c>
      <c r="O500">
        <f>ABS(L500-FONO!$C$34)</f>
        <v>3.618140693395747</v>
      </c>
      <c r="P500">
        <f t="shared" si="8"/>
        <v>49.4</v>
      </c>
    </row>
    <row r="501" spans="10:16">
      <c r="J501" s="5"/>
      <c r="L501">
        <f>FONO!M501</f>
        <v>-7.8120400000000007E-2</v>
      </c>
      <c r="M501">
        <f>FONO!N501</f>
        <v>49.5</v>
      </c>
      <c r="O501">
        <f>ABS(L501-FONO!$C$34)</f>
        <v>3.6183922853957471</v>
      </c>
      <c r="P501">
        <f t="shared" si="8"/>
        <v>49.5</v>
      </c>
    </row>
    <row r="502" spans="10:16">
      <c r="J502" s="5"/>
      <c r="L502">
        <f>FONO!M502</f>
        <v>-7.7624520000000002E-2</v>
      </c>
      <c r="M502">
        <f>FONO!N502</f>
        <v>49.6</v>
      </c>
      <c r="O502">
        <f>ABS(L502-FONO!$C$34)</f>
        <v>3.618888165395747</v>
      </c>
      <c r="P502">
        <f t="shared" si="8"/>
        <v>49.6</v>
      </c>
    </row>
    <row r="503" spans="10:16">
      <c r="J503" s="5"/>
      <c r="L503">
        <f>FONO!M503</f>
        <v>-7.7128639999999998E-2</v>
      </c>
      <c r="M503">
        <f>FONO!N503</f>
        <v>49.7</v>
      </c>
      <c r="O503">
        <f>ABS(L503-FONO!$C$34)</f>
        <v>3.6193840453957469</v>
      </c>
      <c r="P503">
        <f t="shared" si="8"/>
        <v>49.7</v>
      </c>
    </row>
    <row r="504" spans="10:16">
      <c r="J504" s="5"/>
      <c r="L504">
        <f>FONO!M504</f>
        <v>-7.2423135999999805E-2</v>
      </c>
      <c r="M504">
        <f>FONO!N504</f>
        <v>49.8</v>
      </c>
      <c r="O504">
        <f>ABS(L504-FONO!$C$34)</f>
        <v>3.6240895493957472</v>
      </c>
      <c r="P504">
        <f t="shared" si="8"/>
        <v>49.8</v>
      </c>
    </row>
    <row r="505" spans="10:16">
      <c r="J505" s="5"/>
      <c r="L505">
        <f>FONO!M505</f>
        <v>-6.4287567999999906E-2</v>
      </c>
      <c r="M505">
        <f>FONO!N505</f>
        <v>49.9</v>
      </c>
      <c r="O505">
        <f>ABS(L505-FONO!$C$34)</f>
        <v>3.6322251173957474</v>
      </c>
      <c r="P505">
        <f t="shared" si="8"/>
        <v>49.9</v>
      </c>
    </row>
    <row r="506" spans="10:16">
      <c r="J506" s="5"/>
      <c r="L506">
        <f>FONO!M506</f>
        <v>-5.6152000000000001E-2</v>
      </c>
      <c r="M506">
        <f>FONO!N506</f>
        <v>50</v>
      </c>
      <c r="O506">
        <f>ABS(L506-FONO!$C$34)</f>
        <v>3.6403606853957471</v>
      </c>
      <c r="P506">
        <f t="shared" si="8"/>
        <v>50</v>
      </c>
    </row>
    <row r="507" spans="10:16">
      <c r="J507" s="5"/>
      <c r="L507">
        <f>FONO!M507</f>
        <v>-5.5897592000000003E-2</v>
      </c>
      <c r="M507">
        <f>FONO!N507</f>
        <v>50.1</v>
      </c>
      <c r="O507">
        <f>ABS(L507-FONO!$C$34)</f>
        <v>3.6406150933957471</v>
      </c>
      <c r="P507">
        <f t="shared" si="8"/>
        <v>50.1</v>
      </c>
    </row>
    <row r="508" spans="10:16">
      <c r="J508" s="5"/>
      <c r="L508">
        <f>FONO!M508</f>
        <v>-5.5643183999999998E-2</v>
      </c>
      <c r="M508">
        <f>FONO!N508</f>
        <v>50.2</v>
      </c>
      <c r="O508">
        <f>ABS(L508-FONO!$C$34)</f>
        <v>3.6408695013957471</v>
      </c>
      <c r="P508">
        <f t="shared" si="8"/>
        <v>50.2</v>
      </c>
    </row>
    <row r="509" spans="10:16">
      <c r="J509" s="5"/>
      <c r="L509">
        <f>FONO!M509</f>
        <v>-5.5502999999999997E-2</v>
      </c>
      <c r="M509">
        <f>FONO!N509</f>
        <v>50.3</v>
      </c>
      <c r="O509">
        <f>ABS(L509-FONO!$C$34)</f>
        <v>3.6410096853957472</v>
      </c>
      <c r="P509">
        <f t="shared" si="8"/>
        <v>50.3</v>
      </c>
    </row>
    <row r="510" spans="10:16">
      <c r="J510" s="5"/>
      <c r="L510">
        <f>FONO!M510</f>
        <v>-5.5502999999999997E-2</v>
      </c>
      <c r="M510">
        <f>FONO!N510</f>
        <v>50.4</v>
      </c>
      <c r="O510">
        <f>ABS(L510-FONO!$C$34)</f>
        <v>3.6410096853957472</v>
      </c>
      <c r="P510">
        <f t="shared" si="8"/>
        <v>50.4</v>
      </c>
    </row>
    <row r="511" spans="10:16">
      <c r="J511" s="5"/>
      <c r="L511">
        <f>FONO!M511</f>
        <v>-5.5502999999999997E-2</v>
      </c>
      <c r="M511">
        <f>FONO!N511</f>
        <v>50.5</v>
      </c>
      <c r="O511">
        <f>ABS(L511-FONO!$C$34)</f>
        <v>3.6410096853957472</v>
      </c>
      <c r="P511">
        <f t="shared" si="8"/>
        <v>50.5</v>
      </c>
    </row>
    <row r="512" spans="10:16">
      <c r="J512" s="5"/>
      <c r="L512">
        <f>FONO!M512</f>
        <v>-5.2958392E-2</v>
      </c>
      <c r="M512">
        <f>FONO!N512</f>
        <v>50.6</v>
      </c>
      <c r="O512">
        <f>ABS(L512-FONO!$C$34)</f>
        <v>3.6435542933957472</v>
      </c>
      <c r="P512">
        <f t="shared" si="8"/>
        <v>50.6</v>
      </c>
    </row>
    <row r="513" spans="10:16">
      <c r="J513" s="5"/>
      <c r="L513">
        <f>FONO!M513</f>
        <v>-5.0124624E-2</v>
      </c>
      <c r="M513">
        <f>FONO!N513</f>
        <v>50.7</v>
      </c>
      <c r="O513">
        <f>ABS(L513-FONO!$C$34)</f>
        <v>3.6463880613957471</v>
      </c>
      <c r="P513">
        <f t="shared" si="8"/>
        <v>50.7</v>
      </c>
    </row>
    <row r="514" spans="10:16">
      <c r="J514" s="5"/>
      <c r="L514">
        <f>FONO!M514</f>
        <v>-4.8271552000000002E-2</v>
      </c>
      <c r="M514">
        <f>FONO!N514</f>
        <v>50.8</v>
      </c>
      <c r="O514">
        <f>ABS(L514-FONO!$C$34)</f>
        <v>3.648241133395747</v>
      </c>
      <c r="P514">
        <f t="shared" si="8"/>
        <v>50.8</v>
      </c>
    </row>
    <row r="515" spans="10:16">
      <c r="J515" s="5"/>
      <c r="L515">
        <f>FONO!M515</f>
        <v>-4.8264495999999997E-2</v>
      </c>
      <c r="M515">
        <f>FONO!N515</f>
        <v>50.9</v>
      </c>
      <c r="O515">
        <f>ABS(L515-FONO!$C$34)</f>
        <v>3.6482481893957472</v>
      </c>
      <c r="P515">
        <f t="shared" si="8"/>
        <v>50.9</v>
      </c>
    </row>
    <row r="516" spans="10:16">
      <c r="J516" s="5"/>
      <c r="L516">
        <f>FONO!M516</f>
        <v>-4.8257439999999999E-2</v>
      </c>
      <c r="M516">
        <f>FONO!N516</f>
        <v>51</v>
      </c>
      <c r="O516">
        <f>ABS(L516-FONO!$C$34)</f>
        <v>3.6482552453957471</v>
      </c>
      <c r="P516">
        <f t="shared" si="8"/>
        <v>51</v>
      </c>
    </row>
    <row r="517" spans="10:16">
      <c r="J517" s="5"/>
      <c r="L517">
        <f>FONO!M517</f>
        <v>-4.5692919999999901E-2</v>
      </c>
      <c r="M517">
        <f>FONO!N517</f>
        <v>51.1</v>
      </c>
      <c r="O517">
        <f>ABS(L517-FONO!$C$34)</f>
        <v>3.650819765395747</v>
      </c>
      <c r="P517">
        <f t="shared" si="8"/>
        <v>51.1</v>
      </c>
    </row>
    <row r="518" spans="10:16">
      <c r="J518" s="5"/>
      <c r="L518">
        <f>FONO!M518</f>
        <v>-4.2472639999999902E-2</v>
      </c>
      <c r="M518">
        <f>FONO!N518</f>
        <v>51.2</v>
      </c>
      <c r="O518">
        <f>ABS(L518-FONO!$C$34)</f>
        <v>3.6540400453957473</v>
      </c>
      <c r="P518">
        <f t="shared" si="8"/>
        <v>51.2</v>
      </c>
    </row>
    <row r="519" spans="10:16">
      <c r="J519" s="5"/>
      <c r="L519">
        <f>FONO!M519</f>
        <v>-3.9978503999999998E-2</v>
      </c>
      <c r="M519">
        <f>FONO!N519</f>
        <v>51.3</v>
      </c>
      <c r="O519">
        <f>ABS(L519-FONO!$C$34)</f>
        <v>3.656534181395747</v>
      </c>
      <c r="P519">
        <f t="shared" ref="P519:P582" si="9">M519</f>
        <v>51.3</v>
      </c>
    </row>
    <row r="520" spans="10:16">
      <c r="J520" s="5"/>
      <c r="L520">
        <f>FONO!M520</f>
        <v>-3.9723311999999997E-2</v>
      </c>
      <c r="M520">
        <f>FONO!N520</f>
        <v>51.4</v>
      </c>
      <c r="O520">
        <f>ABS(L520-FONO!$C$34)</f>
        <v>3.6567893733957471</v>
      </c>
      <c r="P520">
        <f t="shared" si="9"/>
        <v>51.4</v>
      </c>
    </row>
    <row r="521" spans="10:16">
      <c r="J521" s="5"/>
      <c r="L521">
        <f>FONO!M521</f>
        <v>-3.9468120000000002E-2</v>
      </c>
      <c r="M521">
        <f>FONO!N521</f>
        <v>51.5</v>
      </c>
      <c r="O521">
        <f>ABS(L521-FONO!$C$34)</f>
        <v>3.6570445653957471</v>
      </c>
      <c r="P521">
        <f t="shared" si="9"/>
        <v>51.5</v>
      </c>
    </row>
    <row r="522" spans="10:16">
      <c r="J522" s="5"/>
      <c r="L522">
        <f>FONO!M522</f>
        <v>-3.7242832000000101E-2</v>
      </c>
      <c r="M522">
        <f>FONO!N522</f>
        <v>51.6</v>
      </c>
      <c r="O522">
        <f>ABS(L522-FONO!$C$34)</f>
        <v>3.6592698533957471</v>
      </c>
      <c r="P522">
        <f t="shared" si="9"/>
        <v>51.6</v>
      </c>
    </row>
    <row r="523" spans="10:16">
      <c r="J523" s="5"/>
      <c r="L523">
        <f>FONO!M523</f>
        <v>-3.41483839999999E-2</v>
      </c>
      <c r="M523">
        <f>FONO!N523</f>
        <v>51.7</v>
      </c>
      <c r="O523">
        <f>ABS(L523-FONO!$C$34)</f>
        <v>3.6623643013957472</v>
      </c>
      <c r="P523">
        <f t="shared" si="9"/>
        <v>51.7</v>
      </c>
    </row>
    <row r="524" spans="10:16">
      <c r="J524" s="5"/>
      <c r="L524">
        <f>FONO!M524</f>
        <v>-3.1496000000000003E-2</v>
      </c>
      <c r="M524">
        <f>FONO!N524</f>
        <v>51.8</v>
      </c>
      <c r="O524">
        <f>ABS(L524-FONO!$C$34)</f>
        <v>3.6650166853957469</v>
      </c>
      <c r="P524">
        <f t="shared" si="9"/>
        <v>51.8</v>
      </c>
    </row>
    <row r="525" spans="10:16">
      <c r="J525" s="5"/>
      <c r="L525">
        <f>FONO!M525</f>
        <v>-3.1496000000000003E-2</v>
      </c>
      <c r="M525">
        <f>FONO!N525</f>
        <v>51.9</v>
      </c>
      <c r="O525">
        <f>ABS(L525-FONO!$C$34)</f>
        <v>3.6650166853957469</v>
      </c>
      <c r="P525">
        <f t="shared" si="9"/>
        <v>51.9</v>
      </c>
    </row>
    <row r="526" spans="10:16">
      <c r="J526" s="5"/>
      <c r="L526">
        <f>FONO!M526</f>
        <v>-3.1496000000000003E-2</v>
      </c>
      <c r="M526">
        <f>FONO!N526</f>
        <v>52</v>
      </c>
      <c r="O526">
        <f>ABS(L526-FONO!$C$34)</f>
        <v>3.6650166853957469</v>
      </c>
      <c r="P526">
        <f t="shared" si="9"/>
        <v>52</v>
      </c>
    </row>
    <row r="527" spans="10:16">
      <c r="J527" s="5"/>
      <c r="L527">
        <f>FONO!M527</f>
        <v>-3.012256E-2</v>
      </c>
      <c r="M527">
        <f>FONO!N527</f>
        <v>52.1</v>
      </c>
      <c r="O527">
        <f>ABS(L527-FONO!$C$34)</f>
        <v>3.6663901253957469</v>
      </c>
      <c r="P527">
        <f t="shared" si="9"/>
        <v>52.1</v>
      </c>
    </row>
    <row r="528" spans="10:16">
      <c r="J528" s="5"/>
      <c r="L528">
        <f>FONO!M528</f>
        <v>-2.7801920000000001E-2</v>
      </c>
      <c r="M528">
        <f>FONO!N528</f>
        <v>52.2</v>
      </c>
      <c r="O528">
        <f>ABS(L528-FONO!$C$34)</f>
        <v>3.6687107653957471</v>
      </c>
      <c r="P528">
        <f t="shared" si="9"/>
        <v>52.2</v>
      </c>
    </row>
    <row r="529" spans="10:16">
      <c r="J529" s="5"/>
      <c r="L529">
        <f>FONO!M529</f>
        <v>-2.5565999999999998E-2</v>
      </c>
      <c r="M529">
        <f>FONO!N529</f>
        <v>52.3</v>
      </c>
      <c r="O529">
        <f>ABS(L529-FONO!$C$34)</f>
        <v>3.6709466853957471</v>
      </c>
      <c r="P529">
        <f t="shared" si="9"/>
        <v>52.3</v>
      </c>
    </row>
    <row r="530" spans="10:16">
      <c r="J530" s="5"/>
      <c r="L530">
        <f>FONO!M530</f>
        <v>-2.5321E-2</v>
      </c>
      <c r="M530">
        <f>FONO!N530</f>
        <v>52.4</v>
      </c>
      <c r="O530">
        <f>ABS(L530-FONO!$C$34)</f>
        <v>3.6711916853957471</v>
      </c>
      <c r="P530">
        <f t="shared" si="9"/>
        <v>52.4</v>
      </c>
    </row>
    <row r="531" spans="10:16">
      <c r="J531" s="5"/>
      <c r="L531">
        <f>FONO!M531</f>
        <v>-2.5076000000000001E-2</v>
      </c>
      <c r="M531">
        <f>FONO!N531</f>
        <v>52.5</v>
      </c>
      <c r="O531">
        <f>ABS(L531-FONO!$C$34)</f>
        <v>3.6714366853957472</v>
      </c>
      <c r="P531">
        <f t="shared" si="9"/>
        <v>52.5</v>
      </c>
    </row>
    <row r="532" spans="10:16">
      <c r="J532" s="5"/>
      <c r="L532">
        <f>FONO!M532</f>
        <v>-2.4126359999999999E-2</v>
      </c>
      <c r="M532">
        <f>FONO!N532</f>
        <v>52.6</v>
      </c>
      <c r="O532">
        <f>ABS(L532-FONO!$C$34)</f>
        <v>3.6723863253957472</v>
      </c>
      <c r="P532">
        <f t="shared" si="9"/>
        <v>52.6</v>
      </c>
    </row>
    <row r="533" spans="10:16">
      <c r="J533" s="5"/>
      <c r="L533">
        <f>FONO!M533</f>
        <v>-2.2442719999999999E-2</v>
      </c>
      <c r="M533">
        <f>FONO!N533</f>
        <v>52.7</v>
      </c>
      <c r="O533">
        <f>ABS(L533-FONO!$C$34)</f>
        <v>3.6740699653957472</v>
      </c>
      <c r="P533">
        <f t="shared" si="9"/>
        <v>52.7</v>
      </c>
    </row>
    <row r="534" spans="10:16">
      <c r="J534" s="5"/>
      <c r="L534">
        <f>FONO!M534</f>
        <v>-2.0759079999999999E-2</v>
      </c>
      <c r="M534">
        <f>FONO!N534</f>
        <v>52.8</v>
      </c>
      <c r="O534">
        <f>ABS(L534-FONO!$C$34)</f>
        <v>3.6757536053957471</v>
      </c>
      <c r="P534">
        <f t="shared" si="9"/>
        <v>52.8</v>
      </c>
    </row>
    <row r="535" spans="10:16">
      <c r="J535" s="5"/>
      <c r="L535">
        <f>FONO!M535</f>
        <v>-1.9960848E-2</v>
      </c>
      <c r="M535">
        <f>FONO!N535</f>
        <v>52.9</v>
      </c>
      <c r="O535">
        <f>ABS(L535-FONO!$C$34)</f>
        <v>3.6765518373957469</v>
      </c>
      <c r="P535">
        <f t="shared" si="9"/>
        <v>52.9</v>
      </c>
    </row>
    <row r="536" spans="10:16">
      <c r="J536" s="5"/>
      <c r="L536">
        <f>FONO!M536</f>
        <v>-1.9220359999999999E-2</v>
      </c>
      <c r="M536">
        <f>FONO!N536</f>
        <v>53</v>
      </c>
      <c r="O536">
        <f>ABS(L536-FONO!$C$34)</f>
        <v>3.6772923253957472</v>
      </c>
      <c r="P536">
        <f t="shared" si="9"/>
        <v>53</v>
      </c>
    </row>
    <row r="537" spans="10:16">
      <c r="J537" s="5"/>
      <c r="L537">
        <f>FONO!M537</f>
        <v>-1.8727784000000001E-2</v>
      </c>
      <c r="M537">
        <f>FONO!N537</f>
        <v>53.1</v>
      </c>
      <c r="O537">
        <f>ABS(L537-FONO!$C$34)</f>
        <v>3.6777849013957469</v>
      </c>
      <c r="P537">
        <f t="shared" si="9"/>
        <v>53.1</v>
      </c>
    </row>
    <row r="538" spans="10:16">
      <c r="J538" s="5"/>
      <c r="L538">
        <f>FONO!M538</f>
        <v>-1.8626647999999999E-2</v>
      </c>
      <c r="M538">
        <f>FONO!N538</f>
        <v>53.2</v>
      </c>
      <c r="O538">
        <f>ABS(L538-FONO!$C$34)</f>
        <v>3.6778860373957469</v>
      </c>
      <c r="P538">
        <f t="shared" si="9"/>
        <v>53.2</v>
      </c>
    </row>
    <row r="539" spans="10:16">
      <c r="J539" s="5"/>
      <c r="L539">
        <f>FONO!M539</f>
        <v>-1.8525512000000001E-2</v>
      </c>
      <c r="M539">
        <f>FONO!N539</f>
        <v>53.3</v>
      </c>
      <c r="O539">
        <f>ABS(L539-FONO!$C$34)</f>
        <v>3.677987173395747</v>
      </c>
      <c r="P539">
        <f t="shared" si="9"/>
        <v>53.3</v>
      </c>
    </row>
    <row r="540" spans="10:16">
      <c r="J540" s="5"/>
      <c r="L540">
        <f>FONO!M540</f>
        <v>-1.8322040000000001E-2</v>
      </c>
      <c r="M540">
        <f>FONO!N540</f>
        <v>53.4</v>
      </c>
      <c r="O540">
        <f>ABS(L540-FONO!$C$34)</f>
        <v>3.6781906453957469</v>
      </c>
      <c r="P540">
        <f t="shared" si="9"/>
        <v>53.4</v>
      </c>
    </row>
    <row r="541" spans="10:16">
      <c r="J541" s="5"/>
      <c r="L541">
        <f>FONO!M541</f>
        <v>-1.8098599999999999E-2</v>
      </c>
      <c r="M541">
        <f>FONO!N541</f>
        <v>53.5</v>
      </c>
      <c r="O541">
        <f>ABS(L541-FONO!$C$34)</f>
        <v>3.678414085395747</v>
      </c>
      <c r="P541">
        <f t="shared" si="9"/>
        <v>53.5</v>
      </c>
    </row>
    <row r="542" spans="10:16">
      <c r="J542" s="5"/>
      <c r="L542">
        <f>FONO!M542</f>
        <v>-1.6893703999999801E-2</v>
      </c>
      <c r="M542">
        <f>FONO!N542</f>
        <v>53.6</v>
      </c>
      <c r="O542">
        <f>ABS(L542-FONO!$C$34)</f>
        <v>3.6796189813957474</v>
      </c>
      <c r="P542">
        <f t="shared" si="9"/>
        <v>53.6</v>
      </c>
    </row>
    <row r="543" spans="10:16">
      <c r="J543" s="5"/>
      <c r="L543">
        <f>FONO!M543</f>
        <v>-1.3235167999999801E-2</v>
      </c>
      <c r="M543">
        <f>FONO!N543</f>
        <v>53.7</v>
      </c>
      <c r="O543">
        <f>ABS(L543-FONO!$C$34)</f>
        <v>3.683277517395747</v>
      </c>
      <c r="P543">
        <f t="shared" si="9"/>
        <v>53.7</v>
      </c>
    </row>
    <row r="544" spans="10:16">
      <c r="J544" s="5"/>
      <c r="L544">
        <f>FONO!M544</f>
        <v>-9.5766319999998593E-3</v>
      </c>
      <c r="M544">
        <f>FONO!N544</f>
        <v>53.8</v>
      </c>
      <c r="O544">
        <f>ABS(L544-FONO!$C$34)</f>
        <v>3.6869360533957471</v>
      </c>
      <c r="P544">
        <f t="shared" si="9"/>
        <v>53.8</v>
      </c>
    </row>
    <row r="545" spans="10:16">
      <c r="J545" s="5"/>
      <c r="L545">
        <f>FONO!M545</f>
        <v>-8.5550239999999996E-3</v>
      </c>
      <c r="M545">
        <f>FONO!N545</f>
        <v>53.9</v>
      </c>
      <c r="O545">
        <f>ABS(L545-FONO!$C$34)</f>
        <v>3.687957661395747</v>
      </c>
      <c r="P545">
        <f t="shared" si="9"/>
        <v>53.9</v>
      </c>
    </row>
    <row r="546" spans="10:16">
      <c r="J546" s="5"/>
      <c r="L546">
        <f>FONO!M546</f>
        <v>-8.4856399999999992E-3</v>
      </c>
      <c r="M546">
        <f>FONO!N546</f>
        <v>54</v>
      </c>
      <c r="O546">
        <f>ABS(L546-FONO!$C$34)</f>
        <v>3.6880270453957471</v>
      </c>
      <c r="P546">
        <f t="shared" si="9"/>
        <v>54</v>
      </c>
    </row>
    <row r="547" spans="10:16">
      <c r="J547" s="5"/>
      <c r="L547">
        <f>FONO!M547</f>
        <v>-8.4235999999999998E-3</v>
      </c>
      <c r="M547">
        <f>FONO!N547</f>
        <v>54.1</v>
      </c>
      <c r="O547">
        <f>ABS(L547-FONO!$C$34)</f>
        <v>3.6880890853957471</v>
      </c>
      <c r="P547">
        <f t="shared" si="9"/>
        <v>54.1</v>
      </c>
    </row>
    <row r="548" spans="10:16">
      <c r="J548" s="5"/>
      <c r="L548">
        <f>FONO!M548</f>
        <v>-8.3941999999999992E-3</v>
      </c>
      <c r="M548">
        <f>FONO!N548</f>
        <v>54.2</v>
      </c>
      <c r="O548">
        <f>ABS(L548-FONO!$C$34)</f>
        <v>3.6881184853957469</v>
      </c>
      <c r="P548">
        <f t="shared" si="9"/>
        <v>54.2</v>
      </c>
    </row>
    <row r="549" spans="10:16">
      <c r="J549" s="5"/>
      <c r="L549">
        <f>FONO!M549</f>
        <v>-8.3648000000000004E-3</v>
      </c>
      <c r="M549">
        <f>FONO!N549</f>
        <v>54.3</v>
      </c>
      <c r="O549">
        <f>ABS(L549-FONO!$C$34)</f>
        <v>3.6881478853957472</v>
      </c>
      <c r="P549">
        <f t="shared" si="9"/>
        <v>54.3</v>
      </c>
    </row>
    <row r="550" spans="10:16">
      <c r="J550" s="5"/>
      <c r="L550">
        <f>FONO!M550</f>
        <v>-8.0591279999999797E-3</v>
      </c>
      <c r="M550">
        <f>FONO!N550</f>
        <v>54.4</v>
      </c>
      <c r="O550">
        <f>ABS(L550-FONO!$C$34)</f>
        <v>3.6884535573957469</v>
      </c>
      <c r="P550">
        <f t="shared" si="9"/>
        <v>54.4</v>
      </c>
    </row>
    <row r="551" spans="10:16">
      <c r="J551" s="5"/>
      <c r="L551">
        <f>FONO!M551</f>
        <v>-7.5930399999999797E-3</v>
      </c>
      <c r="M551">
        <f>FONO!N551</f>
        <v>54.5</v>
      </c>
      <c r="O551">
        <f>ABS(L551-FONO!$C$34)</f>
        <v>3.6889196453957469</v>
      </c>
      <c r="P551">
        <f t="shared" si="9"/>
        <v>54.5</v>
      </c>
    </row>
    <row r="552" spans="10:16">
      <c r="J552" s="5"/>
      <c r="L552">
        <f>FONO!M552</f>
        <v>-7.0192719999999497E-3</v>
      </c>
      <c r="M552">
        <f>FONO!N552</f>
        <v>54.6</v>
      </c>
      <c r="O552">
        <f>ABS(L552-FONO!$C$34)</f>
        <v>3.6894934133957471</v>
      </c>
      <c r="P552">
        <f t="shared" si="9"/>
        <v>54.6</v>
      </c>
    </row>
    <row r="553" spans="10:16">
      <c r="J553" s="5"/>
      <c r="L553">
        <f>FONO!M553</f>
        <v>-5.2341039999999703E-3</v>
      </c>
      <c r="M553">
        <f>FONO!N553</f>
        <v>54.7</v>
      </c>
      <c r="O553">
        <f>ABS(L553-FONO!$C$34)</f>
        <v>3.6912785813957472</v>
      </c>
      <c r="P553">
        <f t="shared" si="9"/>
        <v>54.7</v>
      </c>
    </row>
    <row r="554" spans="10:16">
      <c r="J554" s="5"/>
      <c r="L554">
        <f>FONO!M554</f>
        <v>-3.44893599999986E-3</v>
      </c>
      <c r="M554">
        <f>FONO!N554</f>
        <v>54.8</v>
      </c>
      <c r="O554">
        <f>ABS(L554-FONO!$C$34)</f>
        <v>3.6930637493957472</v>
      </c>
      <c r="P554">
        <f t="shared" si="9"/>
        <v>54.8</v>
      </c>
    </row>
    <row r="555" spans="10:16">
      <c r="J555" s="5"/>
      <c r="L555">
        <f>FONO!M555</f>
        <v>-1.91419999999991E-3</v>
      </c>
      <c r="M555">
        <f>FONO!N555</f>
        <v>54.9</v>
      </c>
      <c r="O555">
        <f>ABS(L555-FONO!$C$34)</f>
        <v>3.6945984853957472</v>
      </c>
      <c r="P555">
        <f t="shared" si="9"/>
        <v>54.9</v>
      </c>
    </row>
    <row r="556" spans="10:16">
      <c r="J556" s="5"/>
      <c r="L556">
        <f>FONO!M556</f>
        <v>-6.0099999999992397E-4</v>
      </c>
      <c r="M556">
        <f>FONO!N556</f>
        <v>55</v>
      </c>
      <c r="O556">
        <f>ABS(L556-FONO!$C$34)</f>
        <v>3.695911685395747</v>
      </c>
      <c r="P556">
        <f t="shared" si="9"/>
        <v>55</v>
      </c>
    </row>
    <row r="557" spans="10:16">
      <c r="J557" s="5"/>
      <c r="L557">
        <f>FONO!M557</f>
        <v>7.1220000000006198E-4</v>
      </c>
      <c r="M557">
        <f>FONO!N557</f>
        <v>55.1</v>
      </c>
      <c r="O557">
        <f>ABS(L557-FONO!$C$34)</f>
        <v>3.6972248853957472</v>
      </c>
      <c r="P557">
        <f t="shared" si="9"/>
        <v>55.1</v>
      </c>
    </row>
    <row r="558" spans="10:16">
      <c r="J558" s="5"/>
      <c r="L558">
        <f>FONO!M558</f>
        <v>1.0101040000000099E-3</v>
      </c>
      <c r="M558">
        <f>FONO!N558</f>
        <v>55.2</v>
      </c>
      <c r="O558">
        <f>ABS(L558-FONO!$C$34)</f>
        <v>3.6975227893957472</v>
      </c>
      <c r="P558">
        <f t="shared" si="9"/>
        <v>55.2</v>
      </c>
    </row>
    <row r="559" spans="10:16">
      <c r="J559" s="5"/>
      <c r="L559">
        <f>FONO!M559</f>
        <v>1.28685600000001E-3</v>
      </c>
      <c r="M559">
        <f>FONO!N559</f>
        <v>55.3</v>
      </c>
      <c r="O559">
        <f>ABS(L559-FONO!$C$34)</f>
        <v>3.6977995413957472</v>
      </c>
      <c r="P559">
        <f t="shared" si="9"/>
        <v>55.3</v>
      </c>
    </row>
    <row r="560" spans="10:16">
      <c r="J560" s="5"/>
      <c r="L560">
        <f>FONO!M560</f>
        <v>3.6145520000000798E-3</v>
      </c>
      <c r="M560">
        <f>FONO!N560</f>
        <v>55.4</v>
      </c>
      <c r="O560">
        <f>ABS(L560-FONO!$C$34)</f>
        <v>3.7001272373957472</v>
      </c>
      <c r="P560">
        <f t="shared" si="9"/>
        <v>55.4</v>
      </c>
    </row>
    <row r="561" spans="10:16">
      <c r="J561" s="5"/>
      <c r="L561">
        <f>FONO!M561</f>
        <v>8.6768400000004006E-3</v>
      </c>
      <c r="M561">
        <f>FONO!N561</f>
        <v>55.5</v>
      </c>
      <c r="O561">
        <f>ABS(L561-FONO!$C$34)</f>
        <v>3.7051895253957476</v>
      </c>
      <c r="P561">
        <f t="shared" si="9"/>
        <v>55.5</v>
      </c>
    </row>
    <row r="562" spans="10:16">
      <c r="J562" s="5"/>
      <c r="L562">
        <f>FONO!M562</f>
        <v>1.37391280000003E-2</v>
      </c>
      <c r="M562">
        <f>FONO!N562</f>
        <v>55.6</v>
      </c>
      <c r="O562">
        <f>ABS(L562-FONO!$C$34)</f>
        <v>3.7102518133957472</v>
      </c>
      <c r="P562">
        <f t="shared" si="9"/>
        <v>55.6</v>
      </c>
    </row>
    <row r="563" spans="10:16">
      <c r="J563" s="5"/>
      <c r="L563">
        <f>FONO!M563</f>
        <v>1.7125792000000199E-2</v>
      </c>
      <c r="M563">
        <f>FONO!N563</f>
        <v>55.7</v>
      </c>
      <c r="O563">
        <f>ABS(L563-FONO!$C$34)</f>
        <v>3.7136384773957474</v>
      </c>
      <c r="P563">
        <f t="shared" si="9"/>
        <v>55.7</v>
      </c>
    </row>
    <row r="564" spans="10:16">
      <c r="J564" s="5"/>
      <c r="L564">
        <f>FONO!M564</f>
        <v>2.02786480000001E-2</v>
      </c>
      <c r="M564">
        <f>FONO!N564</f>
        <v>55.8</v>
      </c>
      <c r="O564">
        <f>ABS(L564-FONO!$C$34)</f>
        <v>3.7167913333957472</v>
      </c>
      <c r="P564">
        <f t="shared" si="9"/>
        <v>55.8</v>
      </c>
    </row>
    <row r="565" spans="10:16">
      <c r="J565" s="5"/>
      <c r="L565">
        <f>FONO!M565</f>
        <v>2.2875088000000099E-2</v>
      </c>
      <c r="M565">
        <f>FONO!N565</f>
        <v>55.9</v>
      </c>
      <c r="O565">
        <f>ABS(L565-FONO!$C$34)</f>
        <v>3.7193877733957472</v>
      </c>
      <c r="P565">
        <f t="shared" si="9"/>
        <v>55.9</v>
      </c>
    </row>
    <row r="566" spans="10:16">
      <c r="J566" s="5"/>
      <c r="L566">
        <f>FONO!M566</f>
        <v>2.4323919999999999E-2</v>
      </c>
      <c r="M566">
        <f>FONO!N566</f>
        <v>56</v>
      </c>
      <c r="O566">
        <f>ABS(L566-FONO!$C$34)</f>
        <v>3.7208366053957471</v>
      </c>
      <c r="P566">
        <f t="shared" si="9"/>
        <v>56</v>
      </c>
    </row>
    <row r="567" spans="10:16">
      <c r="J567" s="5"/>
      <c r="L567">
        <f>FONO!M567</f>
        <v>2.57727520000001E-2</v>
      </c>
      <c r="M567">
        <f>FONO!N567</f>
        <v>56.1</v>
      </c>
      <c r="O567">
        <f>ABS(L567-FONO!$C$34)</f>
        <v>3.722285437395747</v>
      </c>
      <c r="P567">
        <f t="shared" si="9"/>
        <v>56.1</v>
      </c>
    </row>
    <row r="568" spans="10:16">
      <c r="J568" s="5"/>
      <c r="L568">
        <f>FONO!M568</f>
        <v>2.7766656000000198E-2</v>
      </c>
      <c r="M568">
        <f>FONO!N568</f>
        <v>56.2</v>
      </c>
      <c r="O568">
        <f>ABS(L568-FONO!$C$34)</f>
        <v>3.7242793413957473</v>
      </c>
      <c r="P568">
        <f t="shared" si="9"/>
        <v>56.2</v>
      </c>
    </row>
    <row r="569" spans="10:16">
      <c r="J569" s="5"/>
      <c r="L569">
        <f>FONO!M569</f>
        <v>2.99183440000001E-2</v>
      </c>
      <c r="M569">
        <f>FONO!N569</f>
        <v>56.3</v>
      </c>
      <c r="O569">
        <f>ABS(L569-FONO!$C$34)</f>
        <v>3.726431029395747</v>
      </c>
      <c r="P569">
        <f t="shared" si="9"/>
        <v>56.3</v>
      </c>
    </row>
    <row r="570" spans="10:16">
      <c r="J570" s="5"/>
      <c r="L570">
        <f>FONO!M570</f>
        <v>3.3482168000000499E-2</v>
      </c>
      <c r="M570">
        <f>FONO!N570</f>
        <v>56.4</v>
      </c>
      <c r="O570">
        <f>ABS(L570-FONO!$C$34)</f>
        <v>3.7299948533957474</v>
      </c>
      <c r="P570">
        <f t="shared" si="9"/>
        <v>56.4</v>
      </c>
    </row>
    <row r="571" spans="10:16">
      <c r="J571" s="5"/>
      <c r="L571">
        <f>FONO!M571</f>
        <v>4.1924280000000397E-2</v>
      </c>
      <c r="M571">
        <f>FONO!N571</f>
        <v>56.5</v>
      </c>
      <c r="O571">
        <f>ABS(L571-FONO!$C$34)</f>
        <v>3.7384369653957474</v>
      </c>
      <c r="P571">
        <f t="shared" si="9"/>
        <v>56.5</v>
      </c>
    </row>
    <row r="572" spans="10:16">
      <c r="J572" s="5"/>
      <c r="L572">
        <f>FONO!M572</f>
        <v>5.0366392000000301E-2</v>
      </c>
      <c r="M572">
        <f>FONO!N572</f>
        <v>56.6</v>
      </c>
      <c r="O572">
        <f>ABS(L572-FONO!$C$34)</f>
        <v>3.7468790773957474</v>
      </c>
      <c r="P572">
        <f t="shared" si="9"/>
        <v>56.6</v>
      </c>
    </row>
    <row r="573" spans="10:16">
      <c r="J573" s="5"/>
      <c r="L573">
        <f>FONO!M573</f>
        <v>5.3758184000000001E-2</v>
      </c>
      <c r="M573">
        <f>FONO!N573</f>
        <v>56.7</v>
      </c>
      <c r="O573">
        <f>ABS(L573-FONO!$C$34)</f>
        <v>3.7502708693957469</v>
      </c>
      <c r="P573">
        <f t="shared" si="9"/>
        <v>56.7</v>
      </c>
    </row>
    <row r="574" spans="10:16">
      <c r="J574" s="5"/>
      <c r="L574">
        <f>FONO!M574</f>
        <v>5.47013360000001E-2</v>
      </c>
      <c r="M574">
        <f>FONO!N574</f>
        <v>56.8</v>
      </c>
      <c r="O574">
        <f>ABS(L574-FONO!$C$34)</f>
        <v>3.751214021395747</v>
      </c>
      <c r="P574">
        <f t="shared" si="9"/>
        <v>56.8</v>
      </c>
    </row>
    <row r="575" spans="10:16">
      <c r="J575" s="5"/>
      <c r="L575">
        <f>FONO!M575</f>
        <v>5.5529000000000002E-2</v>
      </c>
      <c r="M575">
        <f>FONO!N575</f>
        <v>56.9</v>
      </c>
      <c r="O575">
        <f>ABS(L575-FONO!$C$34)</f>
        <v>3.752041685395747</v>
      </c>
      <c r="P575">
        <f t="shared" si="9"/>
        <v>56.9</v>
      </c>
    </row>
    <row r="576" spans="10:16">
      <c r="J576" s="5"/>
      <c r="L576">
        <f>FONO!M576</f>
        <v>5.5529000000000002E-2</v>
      </c>
      <c r="M576">
        <f>FONO!N576</f>
        <v>57</v>
      </c>
      <c r="O576">
        <f>ABS(L576-FONO!$C$34)</f>
        <v>3.752041685395747</v>
      </c>
      <c r="P576">
        <f t="shared" si="9"/>
        <v>57</v>
      </c>
    </row>
    <row r="577" spans="10:16">
      <c r="J577" s="5"/>
      <c r="L577">
        <f>FONO!M577</f>
        <v>5.5529000000000002E-2</v>
      </c>
      <c r="M577">
        <f>FONO!N577</f>
        <v>57.1</v>
      </c>
      <c r="O577">
        <f>ABS(L577-FONO!$C$34)</f>
        <v>3.752041685395747</v>
      </c>
      <c r="P577">
        <f t="shared" si="9"/>
        <v>57.1</v>
      </c>
    </row>
    <row r="578" spans="10:16">
      <c r="J578" s="5"/>
      <c r="L578">
        <f>FONO!M578</f>
        <v>5.8637448000000203E-2</v>
      </c>
      <c r="M578">
        <f>FONO!N578</f>
        <v>57.2</v>
      </c>
      <c r="O578">
        <f>ABS(L578-FONO!$C$34)</f>
        <v>3.7551501333957473</v>
      </c>
      <c r="P578">
        <f t="shared" si="9"/>
        <v>57.2</v>
      </c>
    </row>
    <row r="579" spans="10:16">
      <c r="J579" s="5"/>
      <c r="L579">
        <f>FONO!M579</f>
        <v>6.4077232000000206E-2</v>
      </c>
      <c r="M579">
        <f>FONO!N579</f>
        <v>57.3</v>
      </c>
      <c r="O579">
        <f>ABS(L579-FONO!$C$34)</f>
        <v>3.7605899173957473</v>
      </c>
      <c r="P579">
        <f t="shared" si="9"/>
        <v>57.3</v>
      </c>
    </row>
    <row r="580" spans="10:16">
      <c r="J580" s="5"/>
      <c r="L580">
        <f>FONO!M580</f>
        <v>6.94307440000001E-2</v>
      </c>
      <c r="M580">
        <f>FONO!N580</f>
        <v>57.4</v>
      </c>
      <c r="O580">
        <f>ABS(L580-FONO!$C$34)</f>
        <v>3.765943429395747</v>
      </c>
      <c r="P580">
        <f t="shared" si="9"/>
        <v>57.4</v>
      </c>
    </row>
    <row r="581" spans="10:16">
      <c r="J581" s="5"/>
      <c r="L581">
        <f>FONO!M581</f>
        <v>7.06432000000001E-2</v>
      </c>
      <c r="M581">
        <f>FONO!N581</f>
        <v>57.5</v>
      </c>
      <c r="O581">
        <f>ABS(L581-FONO!$C$34)</f>
        <v>3.7671558853957472</v>
      </c>
      <c r="P581">
        <f t="shared" si="9"/>
        <v>57.5</v>
      </c>
    </row>
    <row r="582" spans="10:16">
      <c r="J582" s="5"/>
      <c r="L582">
        <f>FONO!M582</f>
        <v>7.1855656000000101E-2</v>
      </c>
      <c r="M582">
        <f>FONO!N582</f>
        <v>57.6</v>
      </c>
      <c r="O582">
        <f>ABS(L582-FONO!$C$34)</f>
        <v>3.7683683413957469</v>
      </c>
      <c r="P582">
        <f t="shared" si="9"/>
        <v>57.6</v>
      </c>
    </row>
    <row r="583" spans="10:16">
      <c r="J583" s="5"/>
      <c r="L583">
        <f>FONO!M583</f>
        <v>7.2957159999999896E-2</v>
      </c>
      <c r="M583">
        <f>FONO!N583</f>
        <v>57.7</v>
      </c>
      <c r="O583">
        <f>ABS(L583-FONO!$C$34)</f>
        <v>3.7694698453957471</v>
      </c>
      <c r="P583">
        <f t="shared" ref="P583:P646" si="10">M583</f>
        <v>57.7</v>
      </c>
    </row>
    <row r="584" spans="10:16">
      <c r="J584" s="5"/>
      <c r="L584">
        <f>FONO!M584</f>
        <v>7.3933239999999997E-2</v>
      </c>
      <c r="M584">
        <f>FONO!N584</f>
        <v>57.8</v>
      </c>
      <c r="O584">
        <f>ABS(L584-FONO!$C$34)</f>
        <v>3.7704459253957472</v>
      </c>
      <c r="P584">
        <f t="shared" si="10"/>
        <v>57.8</v>
      </c>
    </row>
    <row r="585" spans="10:16">
      <c r="J585" s="5"/>
      <c r="L585">
        <f>FONO!M585</f>
        <v>7.4909320000000001E-2</v>
      </c>
      <c r="M585">
        <f>FONO!N585</f>
        <v>57.9</v>
      </c>
      <c r="O585">
        <f>ABS(L585-FONO!$C$34)</f>
        <v>3.7714220053957472</v>
      </c>
      <c r="P585">
        <f t="shared" si="10"/>
        <v>57.9</v>
      </c>
    </row>
    <row r="586" spans="10:16">
      <c r="J586" s="5"/>
      <c r="L586">
        <f>FONO!M586</f>
        <v>7.499836E-2</v>
      </c>
      <c r="M586">
        <f>FONO!N586</f>
        <v>58</v>
      </c>
      <c r="O586">
        <f>ABS(L586-FONO!$C$34)</f>
        <v>3.771511045395747</v>
      </c>
      <c r="P586">
        <f t="shared" si="10"/>
        <v>58</v>
      </c>
    </row>
    <row r="587" spans="10:16">
      <c r="J587" s="5"/>
      <c r="L587">
        <f>FONO!M587</f>
        <v>7.5008552000000006E-2</v>
      </c>
      <c r="M587">
        <f>FONO!N587</f>
        <v>58.1</v>
      </c>
      <c r="O587">
        <f>ABS(L587-FONO!$C$34)</f>
        <v>3.771521237395747</v>
      </c>
      <c r="P587">
        <f t="shared" si="10"/>
        <v>58.1</v>
      </c>
    </row>
    <row r="588" spans="10:16">
      <c r="J588" s="5"/>
      <c r="L588">
        <f>FONO!M588</f>
        <v>7.5781223999999897E-2</v>
      </c>
      <c r="M588">
        <f>FONO!N588</f>
        <v>58.2</v>
      </c>
      <c r="O588">
        <f>ABS(L588-FONO!$C$34)</f>
        <v>3.772293909395747</v>
      </c>
      <c r="P588">
        <f t="shared" si="10"/>
        <v>58.2</v>
      </c>
    </row>
    <row r="589" spans="10:16">
      <c r="J589" s="5"/>
      <c r="L589">
        <f>FONO!M589</f>
        <v>7.7867055999999907E-2</v>
      </c>
      <c r="M589">
        <f>FONO!N589</f>
        <v>58.3</v>
      </c>
      <c r="O589">
        <f>ABS(L589-FONO!$C$34)</f>
        <v>3.7743797413957472</v>
      </c>
      <c r="P589">
        <f t="shared" si="10"/>
        <v>58.3</v>
      </c>
    </row>
    <row r="590" spans="10:16">
      <c r="J590" s="5"/>
      <c r="L590">
        <f>FONO!M590</f>
        <v>7.9952888E-2</v>
      </c>
      <c r="M590">
        <f>FONO!N590</f>
        <v>58.4</v>
      </c>
      <c r="O590">
        <f>ABS(L590-FONO!$C$34)</f>
        <v>3.7764655733957468</v>
      </c>
      <c r="P590">
        <f t="shared" si="10"/>
        <v>58.4</v>
      </c>
    </row>
    <row r="591" spans="10:16">
      <c r="J591" s="5"/>
      <c r="L591">
        <f>FONO!M591</f>
        <v>8.3095999999999906E-2</v>
      </c>
      <c r="M591">
        <f>FONO!N591</f>
        <v>58.5</v>
      </c>
      <c r="O591">
        <f>ABS(L591-FONO!$C$34)</f>
        <v>3.7796086853957469</v>
      </c>
      <c r="P591">
        <f t="shared" si="10"/>
        <v>58.5</v>
      </c>
    </row>
    <row r="592" spans="10:16">
      <c r="J592" s="5"/>
      <c r="L592">
        <f>FONO!M592</f>
        <v>8.6476999999999901E-2</v>
      </c>
      <c r="M592">
        <f>FONO!N592</f>
        <v>58.6</v>
      </c>
      <c r="O592">
        <f>ABS(L592-FONO!$C$34)</f>
        <v>3.782989685395747</v>
      </c>
      <c r="P592">
        <f t="shared" si="10"/>
        <v>58.6</v>
      </c>
    </row>
    <row r="593" spans="10:16">
      <c r="J593" s="5"/>
      <c r="L593">
        <f>FONO!M593</f>
        <v>8.9458119999999905E-2</v>
      </c>
      <c r="M593">
        <f>FONO!N593</f>
        <v>58.7</v>
      </c>
      <c r="O593">
        <f>ABS(L593-FONO!$C$34)</f>
        <v>3.7859708053957468</v>
      </c>
      <c r="P593">
        <f t="shared" si="10"/>
        <v>58.7</v>
      </c>
    </row>
    <row r="594" spans="10:16">
      <c r="J594" s="5"/>
      <c r="L594">
        <f>FONO!M594</f>
        <v>9.1331879999999893E-2</v>
      </c>
      <c r="M594">
        <f>FONO!N594</f>
        <v>58.8</v>
      </c>
      <c r="O594">
        <f>ABS(L594-FONO!$C$34)</f>
        <v>3.7878445653957469</v>
      </c>
      <c r="P594">
        <f t="shared" si="10"/>
        <v>58.8</v>
      </c>
    </row>
    <row r="595" spans="10:16">
      <c r="J595" s="5"/>
      <c r="L595">
        <f>FONO!M595</f>
        <v>9.3205639999999895E-2</v>
      </c>
      <c r="M595">
        <f>FONO!N595</f>
        <v>58.9</v>
      </c>
      <c r="O595">
        <f>ABS(L595-FONO!$C$34)</f>
        <v>3.7897183253957469</v>
      </c>
      <c r="P595">
        <f t="shared" si="10"/>
        <v>58.9</v>
      </c>
    </row>
    <row r="596" spans="10:16">
      <c r="J596" s="5"/>
      <c r="L596">
        <f>FONO!M596</f>
        <v>9.5634640000000007E-2</v>
      </c>
      <c r="M596">
        <f>FONO!N596</f>
        <v>59</v>
      </c>
      <c r="O596">
        <f>ABS(L596-FONO!$C$34)</f>
        <v>3.7921473253957472</v>
      </c>
      <c r="P596">
        <f t="shared" si="10"/>
        <v>59</v>
      </c>
    </row>
    <row r="597" spans="10:16">
      <c r="J597" s="5"/>
      <c r="L597">
        <f>FONO!M597</f>
        <v>9.8285735999999999E-2</v>
      </c>
      <c r="M597">
        <f>FONO!N597</f>
        <v>59.1</v>
      </c>
      <c r="O597">
        <f>ABS(L597-FONO!$C$34)</f>
        <v>3.7947984213957469</v>
      </c>
      <c r="P597">
        <f t="shared" si="10"/>
        <v>59.1</v>
      </c>
    </row>
    <row r="598" spans="10:16">
      <c r="J598" s="5"/>
      <c r="L598">
        <f>FONO!M598</f>
        <v>0.100504</v>
      </c>
      <c r="M598">
        <f>FONO!N598</f>
        <v>59.2</v>
      </c>
      <c r="O598">
        <f>ABS(L598-FONO!$C$34)</f>
        <v>3.797016685395747</v>
      </c>
      <c r="P598">
        <f t="shared" si="10"/>
        <v>59.2</v>
      </c>
    </row>
    <row r="599" spans="10:16">
      <c r="J599" s="5"/>
      <c r="L599">
        <f>FONO!M599</f>
        <v>0.100504</v>
      </c>
      <c r="M599">
        <f>FONO!N599</f>
        <v>59.3</v>
      </c>
      <c r="O599">
        <f>ABS(L599-FONO!$C$34)</f>
        <v>3.797016685395747</v>
      </c>
      <c r="P599">
        <f t="shared" si="10"/>
        <v>59.3</v>
      </c>
    </row>
    <row r="600" spans="10:16">
      <c r="J600" s="5"/>
      <c r="L600">
        <f>FONO!M600</f>
        <v>0.100504</v>
      </c>
      <c r="M600">
        <f>FONO!N600</f>
        <v>59.4</v>
      </c>
      <c r="O600">
        <f>ABS(L600-FONO!$C$34)</f>
        <v>3.797016685395747</v>
      </c>
      <c r="P600">
        <f t="shared" si="10"/>
        <v>59.4</v>
      </c>
    </row>
    <row r="601" spans="10:16">
      <c r="J601" s="5"/>
      <c r="L601">
        <f>FONO!M601</f>
        <v>0.10222456000000001</v>
      </c>
      <c r="M601">
        <f>FONO!N601</f>
        <v>59.5</v>
      </c>
      <c r="O601">
        <f>ABS(L601-FONO!$C$34)</f>
        <v>3.7987372453957469</v>
      </c>
      <c r="P601">
        <f t="shared" si="10"/>
        <v>59.5</v>
      </c>
    </row>
    <row r="602" spans="10:16">
      <c r="J602" s="5"/>
      <c r="L602">
        <f>FONO!M602</f>
        <v>0.10503480799999999</v>
      </c>
      <c r="M602">
        <f>FONO!N602</f>
        <v>59.6</v>
      </c>
      <c r="O602">
        <f>ABS(L602-FONO!$C$34)</f>
        <v>3.8015474933957472</v>
      </c>
      <c r="P602">
        <f t="shared" si="10"/>
        <v>59.6</v>
      </c>
    </row>
    <row r="603" spans="10:16">
      <c r="J603" s="5"/>
      <c r="L603">
        <f>FONO!M603</f>
        <v>0.108444024</v>
      </c>
      <c r="M603">
        <f>FONO!N603</f>
        <v>59.7</v>
      </c>
      <c r="O603">
        <f>ABS(L603-FONO!$C$34)</f>
        <v>3.8049567093957473</v>
      </c>
      <c r="P603">
        <f t="shared" si="10"/>
        <v>59.7</v>
      </c>
    </row>
    <row r="604" spans="10:16">
      <c r="J604" s="5"/>
      <c r="L604">
        <f>FONO!M604</f>
        <v>0.12103741599999999</v>
      </c>
      <c r="M604">
        <f>FONO!N604</f>
        <v>59.8</v>
      </c>
      <c r="O604">
        <f>ABS(L604-FONO!$C$34)</f>
        <v>3.8175501013957471</v>
      </c>
      <c r="P604">
        <f t="shared" si="10"/>
        <v>59.8</v>
      </c>
    </row>
    <row r="605" spans="10:16">
      <c r="J605" s="5"/>
      <c r="L605">
        <f>FONO!M605</f>
        <v>0.13363080799999999</v>
      </c>
      <c r="M605">
        <f>FONO!N605</f>
        <v>59.9</v>
      </c>
      <c r="O605">
        <f>ABS(L605-FONO!$C$34)</f>
        <v>3.830143493395747</v>
      </c>
      <c r="P605">
        <f t="shared" si="10"/>
        <v>59.9</v>
      </c>
    </row>
    <row r="606" spans="10:16">
      <c r="J606" s="5"/>
      <c r="L606">
        <f>FONO!M606</f>
        <v>0.14210619999999999</v>
      </c>
      <c r="M606">
        <f>FONO!N606</f>
        <v>60</v>
      </c>
      <c r="O606">
        <f>ABS(L606-FONO!$C$34)</f>
        <v>3.8386188853957472</v>
      </c>
      <c r="P606">
        <f t="shared" si="10"/>
        <v>60</v>
      </c>
    </row>
    <row r="607" spans="10:16">
      <c r="J607" s="5"/>
      <c r="L607">
        <f>FONO!M607</f>
        <v>0.14662831200000001</v>
      </c>
      <c r="M607">
        <f>FONO!N607</f>
        <v>60.1</v>
      </c>
      <c r="O607">
        <f>ABS(L607-FONO!$C$34)</f>
        <v>3.8431409973957469</v>
      </c>
      <c r="P607">
        <f t="shared" si="10"/>
        <v>60.1</v>
      </c>
    </row>
    <row r="608" spans="10:16">
      <c r="J608" s="5"/>
      <c r="L608">
        <f>FONO!M608</f>
        <v>0.15115042400000001</v>
      </c>
      <c r="M608">
        <f>FONO!N608</f>
        <v>60.2</v>
      </c>
      <c r="O608">
        <f>ABS(L608-FONO!$C$34)</f>
        <v>3.847663109395747</v>
      </c>
      <c r="P608">
        <f t="shared" si="10"/>
        <v>60.2</v>
      </c>
    </row>
    <row r="609" spans="10:16">
      <c r="J609" s="5"/>
      <c r="L609">
        <f>FONO!M609</f>
        <v>0.15177792800000001</v>
      </c>
      <c r="M609">
        <f>FONO!N609</f>
        <v>60.3</v>
      </c>
      <c r="O609">
        <f>ABS(L609-FONO!$C$34)</f>
        <v>3.8482906133957471</v>
      </c>
      <c r="P609">
        <f t="shared" si="10"/>
        <v>60.3</v>
      </c>
    </row>
    <row r="610" spans="10:16">
      <c r="J610" s="5"/>
      <c r="L610">
        <f>FONO!M610</f>
        <v>0.152239704</v>
      </c>
      <c r="M610">
        <f>FONO!N610</f>
        <v>60.4</v>
      </c>
      <c r="O610">
        <f>ABS(L610-FONO!$C$34)</f>
        <v>3.8487523893957469</v>
      </c>
      <c r="P610">
        <f t="shared" si="10"/>
        <v>60.4</v>
      </c>
    </row>
    <row r="611" spans="10:16">
      <c r="J611" s="5"/>
      <c r="L611">
        <f>FONO!M611</f>
        <v>0.15457172</v>
      </c>
      <c r="M611">
        <f>FONO!N611</f>
        <v>60.5</v>
      </c>
      <c r="O611">
        <f>ABS(L611-FONO!$C$34)</f>
        <v>3.8510844053957469</v>
      </c>
      <c r="P611">
        <f t="shared" si="10"/>
        <v>60.5</v>
      </c>
    </row>
    <row r="612" spans="10:16">
      <c r="J612" s="5"/>
      <c r="L612">
        <f>FONO!M612</f>
        <v>0.159615584</v>
      </c>
      <c r="M612">
        <f>FONO!N612</f>
        <v>60.6</v>
      </c>
      <c r="O612">
        <f>ABS(L612-FONO!$C$34)</f>
        <v>3.856128269395747</v>
      </c>
      <c r="P612">
        <f t="shared" si="10"/>
        <v>60.6</v>
      </c>
    </row>
    <row r="613" spans="10:16">
      <c r="J613" s="5"/>
      <c r="L613">
        <f>FONO!M613</f>
        <v>0.16465944800000001</v>
      </c>
      <c r="M613">
        <f>FONO!N613</f>
        <v>60.7</v>
      </c>
      <c r="O613">
        <f>ABS(L613-FONO!$C$34)</f>
        <v>3.8611721333957472</v>
      </c>
      <c r="P613">
        <f t="shared" si="10"/>
        <v>60.7</v>
      </c>
    </row>
    <row r="614" spans="10:16">
      <c r="J614" s="5"/>
      <c r="L614">
        <f>FONO!M614</f>
        <v>0.16656675200000001</v>
      </c>
      <c r="M614">
        <f>FONO!N614</f>
        <v>60.8</v>
      </c>
      <c r="O614">
        <f>ABS(L614-FONO!$C$34)</f>
        <v>3.8630794373957471</v>
      </c>
      <c r="P614">
        <f t="shared" si="10"/>
        <v>60.8</v>
      </c>
    </row>
    <row r="615" spans="10:16">
      <c r="J615" s="5"/>
      <c r="L615">
        <f>FONO!M615</f>
        <v>0.167951296</v>
      </c>
      <c r="M615">
        <f>FONO!N615</f>
        <v>60.9</v>
      </c>
      <c r="O615">
        <f>ABS(L615-FONO!$C$34)</f>
        <v>3.8644639813957471</v>
      </c>
      <c r="P615">
        <f t="shared" si="10"/>
        <v>60.9</v>
      </c>
    </row>
    <row r="616" spans="10:16">
      <c r="J616" s="5"/>
      <c r="L616">
        <f>FONO!M616</f>
        <v>0.16903464000000001</v>
      </c>
      <c r="M616">
        <f>FONO!N616</f>
        <v>61</v>
      </c>
      <c r="O616">
        <f>ABS(L616-FONO!$C$34)</f>
        <v>3.8655473253957471</v>
      </c>
      <c r="P616">
        <f t="shared" si="10"/>
        <v>61</v>
      </c>
    </row>
    <row r="617" spans="10:16">
      <c r="J617" s="5"/>
      <c r="L617">
        <f>FONO!M617</f>
        <v>0.169435264</v>
      </c>
      <c r="M617">
        <f>FONO!N617</f>
        <v>61.1</v>
      </c>
      <c r="O617">
        <f>ABS(L617-FONO!$C$34)</f>
        <v>3.8659479493957472</v>
      </c>
      <c r="P617">
        <f t="shared" si="10"/>
        <v>61.1</v>
      </c>
    </row>
    <row r="618" spans="10:16">
      <c r="J618" s="5"/>
      <c r="L618">
        <f>FONO!M618</f>
        <v>0.16983588799999999</v>
      </c>
      <c r="M618">
        <f>FONO!N618</f>
        <v>61.2</v>
      </c>
      <c r="O618">
        <f>ABS(L618-FONO!$C$34)</f>
        <v>3.8663485733957472</v>
      </c>
      <c r="P618">
        <f t="shared" si="10"/>
        <v>61.2</v>
      </c>
    </row>
    <row r="619" spans="10:16">
      <c r="J619" s="5"/>
      <c r="L619">
        <f>FONO!M619</f>
        <v>0.172955568</v>
      </c>
      <c r="M619">
        <f>FONO!N619</f>
        <v>61.3</v>
      </c>
      <c r="O619">
        <f>ABS(L619-FONO!$C$34)</f>
        <v>3.869468253395747</v>
      </c>
      <c r="P619">
        <f t="shared" si="10"/>
        <v>61.3</v>
      </c>
    </row>
    <row r="620" spans="10:16">
      <c r="J620" s="5"/>
      <c r="L620">
        <f>FONO!M620</f>
        <v>0.176957104</v>
      </c>
      <c r="M620">
        <f>FONO!N620</f>
        <v>61.4</v>
      </c>
      <c r="O620">
        <f>ABS(L620-FONO!$C$34)</f>
        <v>3.873469789395747</v>
      </c>
      <c r="P620">
        <f t="shared" si="10"/>
        <v>61.4</v>
      </c>
    </row>
    <row r="621" spans="10:16">
      <c r="J621" s="5"/>
      <c r="L621">
        <f>FONO!M621</f>
        <v>0.18083984</v>
      </c>
      <c r="M621">
        <f>FONO!N621</f>
        <v>61.5</v>
      </c>
      <c r="O621">
        <f>ABS(L621-FONO!$C$34)</f>
        <v>3.877352525395747</v>
      </c>
      <c r="P621">
        <f t="shared" si="10"/>
        <v>61.5</v>
      </c>
    </row>
    <row r="622" spans="10:16">
      <c r="J622" s="5"/>
      <c r="L622">
        <f>FONO!M622</f>
        <v>0.18425925600000001</v>
      </c>
      <c r="M622">
        <f>FONO!N622</f>
        <v>61.6</v>
      </c>
      <c r="O622">
        <f>ABS(L622-FONO!$C$34)</f>
        <v>3.8807719413957469</v>
      </c>
      <c r="P622">
        <f t="shared" si="10"/>
        <v>61.6</v>
      </c>
    </row>
    <row r="623" spans="10:16">
      <c r="J623" s="5"/>
      <c r="L623">
        <f>FONO!M623</f>
        <v>0.18767867199999999</v>
      </c>
      <c r="M623">
        <f>FONO!N623</f>
        <v>61.7</v>
      </c>
      <c r="O623">
        <f>ABS(L623-FONO!$C$34)</f>
        <v>3.8841913573957472</v>
      </c>
      <c r="P623">
        <f t="shared" si="10"/>
        <v>61.7</v>
      </c>
    </row>
    <row r="624" spans="10:16">
      <c r="J624" s="5"/>
      <c r="L624">
        <f>FONO!M624</f>
        <v>0.18932042399999999</v>
      </c>
      <c r="M624">
        <f>FONO!N624</f>
        <v>61.8</v>
      </c>
      <c r="O624">
        <f>ABS(L624-FONO!$C$34)</f>
        <v>3.885833109395747</v>
      </c>
      <c r="P624">
        <f t="shared" si="10"/>
        <v>61.8</v>
      </c>
    </row>
    <row r="625" spans="10:16">
      <c r="J625" s="5"/>
      <c r="L625">
        <f>FONO!M625</f>
        <v>0.19001779199999999</v>
      </c>
      <c r="M625">
        <f>FONO!N625</f>
        <v>61.9</v>
      </c>
      <c r="O625">
        <f>ABS(L625-FONO!$C$34)</f>
        <v>3.886530477395747</v>
      </c>
      <c r="P625">
        <f t="shared" si="10"/>
        <v>61.9</v>
      </c>
    </row>
    <row r="626" spans="10:16">
      <c r="J626" s="5"/>
      <c r="L626">
        <f>FONO!M626</f>
        <v>0.19123344</v>
      </c>
      <c r="M626">
        <f>FONO!N626</f>
        <v>62</v>
      </c>
      <c r="O626">
        <f>ABS(L626-FONO!$C$34)</f>
        <v>3.887746125395747</v>
      </c>
      <c r="P626">
        <f t="shared" si="10"/>
        <v>62</v>
      </c>
    </row>
    <row r="627" spans="10:16">
      <c r="J627" s="5"/>
      <c r="L627">
        <f>FONO!M627</f>
        <v>0.19700995199999999</v>
      </c>
      <c r="M627">
        <f>FONO!N627</f>
        <v>62.1</v>
      </c>
      <c r="O627">
        <f>ABS(L627-FONO!$C$34)</f>
        <v>3.8935226373957472</v>
      </c>
      <c r="P627">
        <f t="shared" si="10"/>
        <v>62.1</v>
      </c>
    </row>
    <row r="628" spans="10:16">
      <c r="J628" s="5"/>
      <c r="L628">
        <f>FONO!M628</f>
        <v>0.202786464</v>
      </c>
      <c r="M628">
        <f>FONO!N628</f>
        <v>62.2</v>
      </c>
      <c r="O628">
        <f>ABS(L628-FONO!$C$34)</f>
        <v>3.899299149395747</v>
      </c>
      <c r="P628">
        <f t="shared" si="10"/>
        <v>62.2</v>
      </c>
    </row>
    <row r="629" spans="10:16">
      <c r="J629" s="5"/>
      <c r="L629">
        <f>FONO!M629</f>
        <v>0.205977456</v>
      </c>
      <c r="M629">
        <f>FONO!N629</f>
        <v>62.3</v>
      </c>
      <c r="O629">
        <f>ABS(L629-FONO!$C$34)</f>
        <v>3.9024901413957469</v>
      </c>
      <c r="P629">
        <f t="shared" si="10"/>
        <v>62.3</v>
      </c>
    </row>
    <row r="630" spans="10:16">
      <c r="J630" s="5"/>
      <c r="L630">
        <f>FONO!M630</f>
        <v>0.207061728</v>
      </c>
      <c r="M630">
        <f>FONO!N630</f>
        <v>62.4</v>
      </c>
      <c r="O630">
        <f>ABS(L630-FONO!$C$34)</f>
        <v>3.9035744133957468</v>
      </c>
      <c r="P630">
        <f t="shared" si="10"/>
        <v>62.4</v>
      </c>
    </row>
    <row r="631" spans="10:16">
      <c r="J631" s="5"/>
      <c r="L631">
        <f>FONO!M631</f>
        <v>0.208146</v>
      </c>
      <c r="M631">
        <f>FONO!N631</f>
        <v>62.5</v>
      </c>
      <c r="O631">
        <f>ABS(L631-FONO!$C$34)</f>
        <v>3.9046586853957472</v>
      </c>
      <c r="P631">
        <f t="shared" si="10"/>
        <v>62.5</v>
      </c>
    </row>
    <row r="632" spans="10:16">
      <c r="J632" s="5"/>
      <c r="L632">
        <f>FONO!M632</f>
        <v>0.21975703999999999</v>
      </c>
      <c r="M632">
        <f>FONO!N632</f>
        <v>62.6</v>
      </c>
      <c r="O632">
        <f>ABS(L632-FONO!$C$34)</f>
        <v>3.9162697253957472</v>
      </c>
      <c r="P632">
        <f t="shared" si="10"/>
        <v>62.6</v>
      </c>
    </row>
    <row r="633" spans="10:16">
      <c r="J633" s="5"/>
      <c r="L633">
        <f>FONO!M633</f>
        <v>0.23136808</v>
      </c>
      <c r="M633">
        <f>FONO!N633</f>
        <v>62.7</v>
      </c>
      <c r="O633">
        <f>ABS(L633-FONO!$C$34)</f>
        <v>3.9278807653957473</v>
      </c>
      <c r="P633">
        <f t="shared" si="10"/>
        <v>62.7</v>
      </c>
    </row>
    <row r="634" spans="10:16">
      <c r="J634" s="5"/>
      <c r="L634">
        <f>FONO!M634</f>
        <v>0.23776600000000001</v>
      </c>
      <c r="M634">
        <f>FONO!N634</f>
        <v>62.8</v>
      </c>
      <c r="O634">
        <f>ABS(L634-FONO!$C$34)</f>
        <v>3.9342786853957472</v>
      </c>
      <c r="P634">
        <f t="shared" si="10"/>
        <v>62.8</v>
      </c>
    </row>
    <row r="635" spans="10:16">
      <c r="J635" s="5"/>
      <c r="L635">
        <f>FONO!M635</f>
        <v>0.23776600000000001</v>
      </c>
      <c r="M635">
        <f>FONO!N635</f>
        <v>62.9</v>
      </c>
      <c r="O635">
        <f>ABS(L635-FONO!$C$34)</f>
        <v>3.9342786853957472</v>
      </c>
      <c r="P635">
        <f t="shared" si="10"/>
        <v>62.9</v>
      </c>
    </row>
    <row r="636" spans="10:16">
      <c r="J636" s="5"/>
      <c r="L636">
        <f>FONO!M636</f>
        <v>0.23776600000000001</v>
      </c>
      <c r="M636">
        <f>FONO!N636</f>
        <v>63</v>
      </c>
      <c r="O636">
        <f>ABS(L636-FONO!$C$34)</f>
        <v>3.9342786853957472</v>
      </c>
      <c r="P636">
        <f t="shared" si="10"/>
        <v>63</v>
      </c>
    </row>
    <row r="637" spans="10:16">
      <c r="J637" s="5"/>
      <c r="L637">
        <f>FONO!M637</f>
        <v>0.24442478400000001</v>
      </c>
      <c r="M637">
        <f>FONO!N637</f>
        <v>63.1</v>
      </c>
      <c r="O637">
        <f>ABS(L637-FONO!$C$34)</f>
        <v>3.9409374693957471</v>
      </c>
      <c r="P637">
        <f t="shared" si="10"/>
        <v>63.1</v>
      </c>
    </row>
    <row r="638" spans="10:16">
      <c r="J638" s="5"/>
      <c r="L638">
        <f>FONO!M638</f>
        <v>0.25184024799999999</v>
      </c>
      <c r="M638">
        <f>FONO!N638</f>
        <v>63.2</v>
      </c>
      <c r="O638">
        <f>ABS(L638-FONO!$C$34)</f>
        <v>3.9483529333957472</v>
      </c>
      <c r="P638">
        <f t="shared" si="10"/>
        <v>63.2</v>
      </c>
    </row>
    <row r="639" spans="10:16">
      <c r="J639" s="5"/>
      <c r="L639">
        <f>FONO!M639</f>
        <v>0.258252168</v>
      </c>
      <c r="M639">
        <f>FONO!N639</f>
        <v>63.3</v>
      </c>
      <c r="O639">
        <f>ABS(L639-FONO!$C$34)</f>
        <v>3.9547648533957469</v>
      </c>
      <c r="P639">
        <f t="shared" si="10"/>
        <v>63.3</v>
      </c>
    </row>
    <row r="640" spans="10:16">
      <c r="J640" s="5"/>
      <c r="L640">
        <f>FONO!M640</f>
        <v>0.262775064</v>
      </c>
      <c r="M640">
        <f>FONO!N640</f>
        <v>63.4</v>
      </c>
      <c r="O640">
        <f>ABS(L640-FONO!$C$34)</f>
        <v>3.959287749395747</v>
      </c>
      <c r="P640">
        <f t="shared" si="10"/>
        <v>63.4</v>
      </c>
    </row>
    <row r="641" spans="10:16">
      <c r="J641" s="5"/>
      <c r="L641">
        <f>FONO!M641</f>
        <v>0.26729796</v>
      </c>
      <c r="M641">
        <f>FONO!N641</f>
        <v>63.5</v>
      </c>
      <c r="O641">
        <f>ABS(L641-FONO!$C$34)</f>
        <v>3.9638106453957471</v>
      </c>
      <c r="P641">
        <f t="shared" si="10"/>
        <v>63.5</v>
      </c>
    </row>
    <row r="642" spans="10:16">
      <c r="J642" s="5"/>
      <c r="L642">
        <f>FONO!M642</f>
        <v>0.26822911199999999</v>
      </c>
      <c r="M642">
        <f>FONO!N642</f>
        <v>63.6</v>
      </c>
      <c r="O642">
        <f>ABS(L642-FONO!$C$34)</f>
        <v>3.9647417973957468</v>
      </c>
      <c r="P642">
        <f t="shared" si="10"/>
        <v>63.6</v>
      </c>
    </row>
    <row r="643" spans="10:16">
      <c r="J643" s="5"/>
      <c r="L643">
        <f>FONO!M643</f>
        <v>0.26823930400000001</v>
      </c>
      <c r="M643">
        <f>FONO!N643</f>
        <v>63.7</v>
      </c>
      <c r="O643">
        <f>ABS(L643-FONO!$C$34)</f>
        <v>3.9647519893957472</v>
      </c>
      <c r="P643">
        <f t="shared" si="10"/>
        <v>63.7</v>
      </c>
    </row>
    <row r="644" spans="10:16">
      <c r="J644" s="5"/>
      <c r="L644">
        <f>FONO!M644</f>
        <v>0.268707896</v>
      </c>
      <c r="M644">
        <f>FONO!N644</f>
        <v>63.8</v>
      </c>
      <c r="O644">
        <f>ABS(L644-FONO!$C$34)</f>
        <v>3.9652205813957471</v>
      </c>
      <c r="P644">
        <f t="shared" si="10"/>
        <v>63.8</v>
      </c>
    </row>
    <row r="645" spans="10:16">
      <c r="J645" s="5"/>
      <c r="L645">
        <f>FONO!M645</f>
        <v>0.270589888</v>
      </c>
      <c r="M645">
        <f>FONO!N645</f>
        <v>63.9</v>
      </c>
      <c r="O645">
        <f>ABS(L645-FONO!$C$34)</f>
        <v>3.967102573395747</v>
      </c>
      <c r="P645">
        <f t="shared" si="10"/>
        <v>63.9</v>
      </c>
    </row>
    <row r="646" spans="10:16">
      <c r="J646" s="5"/>
      <c r="L646">
        <f>FONO!M646</f>
        <v>0.27247188</v>
      </c>
      <c r="M646">
        <f>FONO!N646</f>
        <v>64</v>
      </c>
      <c r="O646">
        <f>ABS(L646-FONO!$C$34)</f>
        <v>3.968984565395747</v>
      </c>
      <c r="P646">
        <f t="shared" si="10"/>
        <v>64</v>
      </c>
    </row>
    <row r="647" spans="10:16">
      <c r="J647" s="5"/>
      <c r="L647">
        <f>FONO!M647</f>
        <v>0.27321800000000002</v>
      </c>
      <c r="M647">
        <f>FONO!N647</f>
        <v>64.099999999999994</v>
      </c>
      <c r="O647">
        <f>ABS(L647-FONO!$C$34)</f>
        <v>3.969730685395747</v>
      </c>
      <c r="P647">
        <f t="shared" ref="P647:P710" si="11">M647</f>
        <v>64.099999999999994</v>
      </c>
    </row>
    <row r="648" spans="10:16">
      <c r="J648" s="5"/>
      <c r="L648">
        <f>FONO!M648</f>
        <v>0.27346300000000001</v>
      </c>
      <c r="M648">
        <f>FONO!N648</f>
        <v>64.2</v>
      </c>
      <c r="O648">
        <f>ABS(L648-FONO!$C$34)</f>
        <v>3.9699756853957471</v>
      </c>
      <c r="P648">
        <f t="shared" si="11"/>
        <v>64.2</v>
      </c>
    </row>
    <row r="649" spans="10:16">
      <c r="J649" s="5"/>
      <c r="L649">
        <f>FONO!M649</f>
        <v>0.27401443199999997</v>
      </c>
      <c r="M649">
        <f>FONO!N649</f>
        <v>64.3</v>
      </c>
      <c r="O649">
        <f>ABS(L649-FONO!$C$34)</f>
        <v>3.970527117395747</v>
      </c>
      <c r="P649">
        <f t="shared" si="11"/>
        <v>64.3</v>
      </c>
    </row>
    <row r="650" spans="10:16">
      <c r="J650" s="5"/>
      <c r="L650">
        <f>FONO!M650</f>
        <v>0.27640445600000002</v>
      </c>
      <c r="M650">
        <f>FONO!N650</f>
        <v>64.400000000000006</v>
      </c>
      <c r="O650">
        <f>ABS(L650-FONO!$C$34)</f>
        <v>3.9729171413957469</v>
      </c>
      <c r="P650">
        <f t="shared" si="11"/>
        <v>64.400000000000006</v>
      </c>
    </row>
    <row r="651" spans="10:16">
      <c r="J651" s="5"/>
      <c r="L651">
        <f>FONO!M651</f>
        <v>0.27879448000000001</v>
      </c>
      <c r="M651">
        <f>FONO!N651</f>
        <v>64.5</v>
      </c>
      <c r="O651">
        <f>ABS(L651-FONO!$C$34)</f>
        <v>3.9753071653957472</v>
      </c>
      <c r="P651">
        <f t="shared" si="11"/>
        <v>64.5</v>
      </c>
    </row>
    <row r="652" spans="10:16">
      <c r="J652" s="5"/>
      <c r="L652">
        <f>FONO!M652</f>
        <v>0.28126477599999999</v>
      </c>
      <c r="M652">
        <f>FONO!N652</f>
        <v>64.599999999999994</v>
      </c>
      <c r="O652">
        <f>ABS(L652-FONO!$C$34)</f>
        <v>3.9777774613957471</v>
      </c>
      <c r="P652">
        <f t="shared" si="11"/>
        <v>64.599999999999994</v>
      </c>
    </row>
    <row r="653" spans="10:16">
      <c r="J653" s="5"/>
      <c r="L653">
        <f>FONO!M653</f>
        <v>0.28379043199999998</v>
      </c>
      <c r="M653">
        <f>FONO!N653</f>
        <v>64.7</v>
      </c>
      <c r="O653">
        <f>ABS(L653-FONO!$C$34)</f>
        <v>3.980303117395747</v>
      </c>
      <c r="P653">
        <f t="shared" si="11"/>
        <v>64.7</v>
      </c>
    </row>
    <row r="654" spans="10:16">
      <c r="J654" s="5"/>
      <c r="L654">
        <f>FONO!M654</f>
        <v>0.28622927199999998</v>
      </c>
      <c r="M654">
        <f>FONO!N654</f>
        <v>64.8</v>
      </c>
      <c r="O654">
        <f>ABS(L654-FONO!$C$34)</f>
        <v>3.982741957395747</v>
      </c>
      <c r="P654">
        <f t="shared" si="11"/>
        <v>64.8</v>
      </c>
    </row>
    <row r="655" spans="10:16">
      <c r="J655" s="5"/>
      <c r="L655">
        <f>FONO!M655</f>
        <v>0.28662793600000003</v>
      </c>
      <c r="M655">
        <f>FONO!N655</f>
        <v>64.900000000000006</v>
      </c>
      <c r="O655">
        <f>ABS(L655-FONO!$C$34)</f>
        <v>3.983140621395747</v>
      </c>
      <c r="P655">
        <f t="shared" si="11"/>
        <v>64.900000000000006</v>
      </c>
    </row>
    <row r="656" spans="10:16">
      <c r="J656" s="5"/>
      <c r="L656">
        <f>FONO!M656</f>
        <v>0.28702660000000002</v>
      </c>
      <c r="M656">
        <f>FONO!N656</f>
        <v>65</v>
      </c>
      <c r="O656">
        <f>ABS(L656-FONO!$C$34)</f>
        <v>3.983539285395747</v>
      </c>
      <c r="P656">
        <f t="shared" si="11"/>
        <v>65</v>
      </c>
    </row>
    <row r="657" spans="10:16">
      <c r="J657" s="5"/>
      <c r="L657">
        <f>FONO!M657</f>
        <v>0.28722999999999999</v>
      </c>
      <c r="M657">
        <f>FONO!N657</f>
        <v>65.099999999999994</v>
      </c>
      <c r="O657">
        <f>ABS(L657-FONO!$C$34)</f>
        <v>3.9837426853957472</v>
      </c>
      <c r="P657">
        <f t="shared" si="11"/>
        <v>65.099999999999994</v>
      </c>
    </row>
    <row r="658" spans="10:16">
      <c r="J658" s="5"/>
      <c r="L658">
        <f>FONO!M658</f>
        <v>0.28722999999999999</v>
      </c>
      <c r="M658">
        <f>FONO!N658</f>
        <v>65.2</v>
      </c>
      <c r="O658">
        <f>ABS(L658-FONO!$C$34)</f>
        <v>3.9837426853957472</v>
      </c>
      <c r="P658">
        <f t="shared" si="11"/>
        <v>65.2</v>
      </c>
    </row>
    <row r="659" spans="10:16">
      <c r="J659" s="5"/>
      <c r="L659">
        <f>FONO!M659</f>
        <v>0.28722999999999999</v>
      </c>
      <c r="M659">
        <f>FONO!N659</f>
        <v>65.3</v>
      </c>
      <c r="O659">
        <f>ABS(L659-FONO!$C$34)</f>
        <v>3.9837426853957472</v>
      </c>
      <c r="P659">
        <f t="shared" si="11"/>
        <v>65.3</v>
      </c>
    </row>
    <row r="660" spans="10:16">
      <c r="J660" s="5"/>
      <c r="L660">
        <f>FONO!M660</f>
        <v>0.28785854399999999</v>
      </c>
      <c r="M660">
        <f>FONO!N660</f>
        <v>65.400000000000006</v>
      </c>
      <c r="O660">
        <f>ABS(L660-FONO!$C$34)</f>
        <v>3.9843712293957472</v>
      </c>
      <c r="P660">
        <f t="shared" si="11"/>
        <v>65.400000000000006</v>
      </c>
    </row>
    <row r="661" spans="10:16">
      <c r="J661" s="5"/>
      <c r="L661">
        <f>FONO!M661</f>
        <v>0.28852808000000002</v>
      </c>
      <c r="M661">
        <f>FONO!N661</f>
        <v>65.5</v>
      </c>
      <c r="O661">
        <f>ABS(L661-FONO!$C$34)</f>
        <v>3.9850407653957469</v>
      </c>
      <c r="P661">
        <f t="shared" si="11"/>
        <v>65.5</v>
      </c>
    </row>
    <row r="662" spans="10:16">
      <c r="J662" s="5"/>
      <c r="L662">
        <f>FONO!M662</f>
        <v>0.29023304</v>
      </c>
      <c r="M662">
        <f>FONO!N662</f>
        <v>65.599999999999994</v>
      </c>
      <c r="O662">
        <f>ABS(L662-FONO!$C$34)</f>
        <v>3.986745725395747</v>
      </c>
      <c r="P662">
        <f t="shared" si="11"/>
        <v>65.599999999999994</v>
      </c>
    </row>
    <row r="663" spans="10:16">
      <c r="J663" s="5"/>
      <c r="L663">
        <f>FONO!M663</f>
        <v>0.29357287999999998</v>
      </c>
      <c r="M663">
        <f>FONO!N663</f>
        <v>65.7</v>
      </c>
      <c r="O663">
        <f>ABS(L663-FONO!$C$34)</f>
        <v>3.9900855653957472</v>
      </c>
      <c r="P663">
        <f t="shared" si="11"/>
        <v>65.7</v>
      </c>
    </row>
    <row r="664" spans="10:16">
      <c r="J664" s="5"/>
      <c r="L664">
        <f>FONO!M664</f>
        <v>0.29691272000000002</v>
      </c>
      <c r="M664">
        <f>FONO!N664</f>
        <v>65.8</v>
      </c>
      <c r="O664">
        <f>ABS(L664-FONO!$C$34)</f>
        <v>3.993425405395747</v>
      </c>
      <c r="P664">
        <f t="shared" si="11"/>
        <v>65.8</v>
      </c>
    </row>
    <row r="665" spans="10:16">
      <c r="J665" s="5"/>
      <c r="L665">
        <f>FONO!M665</f>
        <v>0.297985424</v>
      </c>
      <c r="M665">
        <f>FONO!N665</f>
        <v>65.900000000000006</v>
      </c>
      <c r="O665">
        <f>ABS(L665-FONO!$C$34)</f>
        <v>3.9944981093957472</v>
      </c>
      <c r="P665">
        <f t="shared" si="11"/>
        <v>65.900000000000006</v>
      </c>
    </row>
    <row r="666" spans="10:16">
      <c r="J666" s="5"/>
      <c r="L666">
        <f>FONO!M666</f>
        <v>0.29861576000000001</v>
      </c>
      <c r="M666">
        <f>FONO!N666</f>
        <v>66</v>
      </c>
      <c r="O666">
        <f>ABS(L666-FONO!$C$34)</f>
        <v>3.9951284453957472</v>
      </c>
      <c r="P666">
        <f t="shared" si="11"/>
        <v>66</v>
      </c>
    </row>
    <row r="667" spans="10:16">
      <c r="J667" s="5"/>
      <c r="L667">
        <f>FONO!M667</f>
        <v>0.29952710399999999</v>
      </c>
      <c r="M667">
        <f>FONO!N667</f>
        <v>66.099999999999994</v>
      </c>
      <c r="O667">
        <f>ABS(L667-FONO!$C$34)</f>
        <v>3.9960397893957471</v>
      </c>
      <c r="P667">
        <f t="shared" si="11"/>
        <v>66.099999999999994</v>
      </c>
    </row>
    <row r="668" spans="10:16">
      <c r="J668" s="5"/>
      <c r="L668">
        <f>FONO!M668</f>
        <v>0.30114096800000001</v>
      </c>
      <c r="M668">
        <f>FONO!N668</f>
        <v>66.2</v>
      </c>
      <c r="O668">
        <f>ABS(L668-FONO!$C$34)</f>
        <v>3.997653653395747</v>
      </c>
      <c r="P668">
        <f t="shared" si="11"/>
        <v>66.2</v>
      </c>
    </row>
    <row r="669" spans="10:16">
      <c r="J669" s="5"/>
      <c r="L669">
        <f>FONO!M669</f>
        <v>0.30275483199999997</v>
      </c>
      <c r="M669">
        <f>FONO!N669</f>
        <v>66.3</v>
      </c>
      <c r="O669">
        <f>ABS(L669-FONO!$C$34)</f>
        <v>3.9992675173957473</v>
      </c>
      <c r="P669">
        <f t="shared" si="11"/>
        <v>66.3</v>
      </c>
    </row>
    <row r="670" spans="10:16">
      <c r="J670" s="5"/>
      <c r="L670">
        <f>FONO!M670</f>
        <v>0.303387768</v>
      </c>
      <c r="M670">
        <f>FONO!N670</f>
        <v>66.400000000000006</v>
      </c>
      <c r="O670">
        <f>ABS(L670-FONO!$C$34)</f>
        <v>3.999900453395747</v>
      </c>
      <c r="P670">
        <f t="shared" si="11"/>
        <v>66.400000000000006</v>
      </c>
    </row>
    <row r="671" spans="10:16">
      <c r="J671" s="5"/>
      <c r="L671">
        <f>FONO!M671</f>
        <v>0.30366648000000002</v>
      </c>
      <c r="M671">
        <f>FONO!N671</f>
        <v>66.5</v>
      </c>
      <c r="O671">
        <f>ABS(L671-FONO!$C$34)</f>
        <v>4.000179165395747</v>
      </c>
      <c r="P671">
        <f t="shared" si="11"/>
        <v>66.5</v>
      </c>
    </row>
    <row r="672" spans="10:16">
      <c r="J672" s="5"/>
      <c r="L672">
        <f>FONO!M672</f>
        <v>0.30402208800000002</v>
      </c>
      <c r="M672">
        <f>FONO!N672</f>
        <v>66.599999999999994</v>
      </c>
      <c r="O672">
        <f>ABS(L672-FONO!$C$34)</f>
        <v>4.0005347733957475</v>
      </c>
      <c r="P672">
        <f t="shared" si="11"/>
        <v>66.599999999999994</v>
      </c>
    </row>
    <row r="673" spans="10:16">
      <c r="J673" s="5"/>
      <c r="L673">
        <f>FONO!M673</f>
        <v>0.304719456</v>
      </c>
      <c r="M673">
        <f>FONO!N673</f>
        <v>66.7</v>
      </c>
      <c r="O673">
        <f>ABS(L673-FONO!$C$34)</f>
        <v>4.0012321413957475</v>
      </c>
      <c r="P673">
        <f t="shared" si="11"/>
        <v>66.7</v>
      </c>
    </row>
    <row r="674" spans="10:16">
      <c r="J674" s="5"/>
      <c r="L674">
        <f>FONO!M674</f>
        <v>0.30541682399999998</v>
      </c>
      <c r="M674">
        <f>FONO!N674</f>
        <v>66.8</v>
      </c>
      <c r="O674">
        <f>ABS(L674-FONO!$C$34)</f>
        <v>4.0019295093957474</v>
      </c>
      <c r="P674">
        <f t="shared" si="11"/>
        <v>66.8</v>
      </c>
    </row>
    <row r="675" spans="10:16">
      <c r="J675" s="5"/>
      <c r="L675">
        <f>FONO!M675</f>
        <v>0.30573127999999999</v>
      </c>
      <c r="M675">
        <f>FONO!N675</f>
        <v>66.900000000000006</v>
      </c>
      <c r="O675">
        <f>ABS(L675-FONO!$C$34)</f>
        <v>4.0022439653957473</v>
      </c>
      <c r="P675">
        <f t="shared" si="11"/>
        <v>66.900000000000006</v>
      </c>
    </row>
    <row r="676" spans="10:16">
      <c r="J676" s="5"/>
      <c r="L676">
        <f>FONO!M676</f>
        <v>0.30582340000000002</v>
      </c>
      <c r="M676">
        <f>FONO!N676</f>
        <v>67</v>
      </c>
      <c r="O676">
        <f>ABS(L676-FONO!$C$34)</f>
        <v>4.002336085395747</v>
      </c>
      <c r="P676">
        <f t="shared" si="11"/>
        <v>67</v>
      </c>
    </row>
    <row r="677" spans="10:16">
      <c r="J677" s="5"/>
      <c r="L677">
        <f>FONO!M677</f>
        <v>0.30594003199999997</v>
      </c>
      <c r="M677">
        <f>FONO!N677</f>
        <v>67.099999999999994</v>
      </c>
      <c r="O677">
        <f>ABS(L677-FONO!$C$34)</f>
        <v>4.0024527173957472</v>
      </c>
      <c r="P677">
        <f t="shared" si="11"/>
        <v>67.099999999999994</v>
      </c>
    </row>
    <row r="678" spans="10:16">
      <c r="J678" s="5"/>
      <c r="L678">
        <f>FONO!M678</f>
        <v>0.30633242399999999</v>
      </c>
      <c r="M678">
        <f>FONO!N678</f>
        <v>67.2</v>
      </c>
      <c r="O678">
        <f>ABS(L678-FONO!$C$34)</f>
        <v>4.0028451093957473</v>
      </c>
      <c r="P678">
        <f t="shared" si="11"/>
        <v>67.2</v>
      </c>
    </row>
    <row r="679" spans="10:16">
      <c r="J679" s="5"/>
      <c r="L679">
        <f>FONO!M679</f>
        <v>0.30672481600000001</v>
      </c>
      <c r="M679">
        <f>FONO!N679</f>
        <v>67.3</v>
      </c>
      <c r="O679">
        <f>ABS(L679-FONO!$C$34)</f>
        <v>4.0032375013957466</v>
      </c>
      <c r="P679">
        <f t="shared" si="11"/>
        <v>67.3</v>
      </c>
    </row>
    <row r="680" spans="10:16">
      <c r="J680" s="5"/>
      <c r="L680">
        <f>FONO!M680</f>
        <v>0.30715402400000003</v>
      </c>
      <c r="M680">
        <f>FONO!N680</f>
        <v>67.400000000000006</v>
      </c>
      <c r="O680">
        <f>ABS(L680-FONO!$C$34)</f>
        <v>4.0036667093957474</v>
      </c>
      <c r="P680">
        <f t="shared" si="11"/>
        <v>67.400000000000006</v>
      </c>
    </row>
    <row r="681" spans="10:16">
      <c r="J681" s="5"/>
      <c r="L681">
        <f>FONO!M681</f>
        <v>0.30761579999999999</v>
      </c>
      <c r="M681">
        <f>FONO!N681</f>
        <v>67.5</v>
      </c>
      <c r="O681">
        <f>ABS(L681-FONO!$C$34)</f>
        <v>4.0041284853957473</v>
      </c>
      <c r="P681">
        <f t="shared" si="11"/>
        <v>67.5</v>
      </c>
    </row>
    <row r="682" spans="10:16">
      <c r="J682" s="5"/>
      <c r="L682">
        <f>FONO!M682</f>
        <v>0.30807757600000002</v>
      </c>
      <c r="M682">
        <f>FONO!N682</f>
        <v>67.599999999999994</v>
      </c>
      <c r="O682">
        <f>ABS(L682-FONO!$C$34)</f>
        <v>4.0045902613957471</v>
      </c>
      <c r="P682">
        <f t="shared" si="11"/>
        <v>67.599999999999994</v>
      </c>
    </row>
    <row r="683" spans="10:16">
      <c r="J683" s="5"/>
      <c r="L683">
        <f>FONO!M683</f>
        <v>0.308087</v>
      </c>
      <c r="M683">
        <f>FONO!N683</f>
        <v>67.7</v>
      </c>
      <c r="O683">
        <f>ABS(L683-FONO!$C$34)</f>
        <v>4.0045996853957471</v>
      </c>
      <c r="P683">
        <f t="shared" si="11"/>
        <v>67.7</v>
      </c>
    </row>
    <row r="684" spans="10:16">
      <c r="J684" s="5"/>
      <c r="L684">
        <f>FONO!M684</f>
        <v>0.308087</v>
      </c>
      <c r="M684">
        <f>FONO!N684</f>
        <v>67.8</v>
      </c>
      <c r="O684">
        <f>ABS(L684-FONO!$C$34)</f>
        <v>4.0045996853957471</v>
      </c>
      <c r="P684">
        <f t="shared" si="11"/>
        <v>67.8</v>
      </c>
    </row>
    <row r="685" spans="10:16">
      <c r="J685" s="5"/>
      <c r="L685">
        <f>FONO!M685</f>
        <v>0.309152288</v>
      </c>
      <c r="M685">
        <f>FONO!N685</f>
        <v>67.900000000000006</v>
      </c>
      <c r="O685">
        <f>ABS(L685-FONO!$C$34)</f>
        <v>4.0056649733957475</v>
      </c>
      <c r="P685">
        <f t="shared" si="11"/>
        <v>67.900000000000006</v>
      </c>
    </row>
    <row r="686" spans="10:16">
      <c r="J686" s="5"/>
      <c r="L686">
        <f>FONO!M686</f>
        <v>0.31163795999999999</v>
      </c>
      <c r="M686">
        <f>FONO!N686</f>
        <v>68</v>
      </c>
      <c r="O686">
        <f>ABS(L686-FONO!$C$34)</f>
        <v>4.0081506453957472</v>
      </c>
      <c r="P686">
        <f t="shared" si="11"/>
        <v>68</v>
      </c>
    </row>
    <row r="687" spans="10:16">
      <c r="J687" s="5"/>
      <c r="L687">
        <f>FONO!M687</f>
        <v>0.31412363199999999</v>
      </c>
      <c r="M687">
        <f>FONO!N687</f>
        <v>68.099999999999994</v>
      </c>
      <c r="O687">
        <f>ABS(L687-FONO!$C$34)</f>
        <v>4.0106363173957469</v>
      </c>
      <c r="P687">
        <f t="shared" si="11"/>
        <v>68.099999999999994</v>
      </c>
    </row>
    <row r="688" spans="10:16">
      <c r="J688" s="5"/>
      <c r="L688">
        <f>FONO!M688</f>
        <v>0.31894919199999999</v>
      </c>
      <c r="M688">
        <f>FONO!N688</f>
        <v>68.2</v>
      </c>
      <c r="O688">
        <f>ABS(L688-FONO!$C$34)</f>
        <v>4.0154618773957473</v>
      </c>
      <c r="P688">
        <f t="shared" si="11"/>
        <v>68.2</v>
      </c>
    </row>
    <row r="689" spans="10:16">
      <c r="J689" s="5"/>
      <c r="L689">
        <f>FONO!M689</f>
        <v>0.32410124800000101</v>
      </c>
      <c r="M689">
        <f>FONO!N689</f>
        <v>68.3</v>
      </c>
      <c r="O689">
        <f>ABS(L689-FONO!$C$34)</f>
        <v>4.0206139333957482</v>
      </c>
      <c r="P689">
        <f t="shared" si="11"/>
        <v>68.3</v>
      </c>
    </row>
    <row r="690" spans="10:16">
      <c r="J690" s="5"/>
      <c r="L690">
        <f>FONO!M690</f>
        <v>0.32889631200000002</v>
      </c>
      <c r="M690">
        <f>FONO!N690</f>
        <v>68.400000000000006</v>
      </c>
      <c r="O690">
        <f>ABS(L690-FONO!$C$34)</f>
        <v>4.025408997395747</v>
      </c>
      <c r="P690">
        <f t="shared" si="11"/>
        <v>68.400000000000006</v>
      </c>
    </row>
    <row r="691" spans="10:16">
      <c r="J691" s="5"/>
      <c r="L691">
        <f>FONO!M691</f>
        <v>0.33295508000000001</v>
      </c>
      <c r="M691">
        <f>FONO!N691</f>
        <v>68.5</v>
      </c>
      <c r="O691">
        <f>ABS(L691-FONO!$C$34)</f>
        <v>4.0294677653957471</v>
      </c>
      <c r="P691">
        <f t="shared" si="11"/>
        <v>68.5</v>
      </c>
    </row>
    <row r="692" spans="10:16">
      <c r="J692" s="5"/>
      <c r="L692">
        <f>FONO!M692</f>
        <v>0.337013848</v>
      </c>
      <c r="M692">
        <f>FONO!N692</f>
        <v>68.599999999999994</v>
      </c>
      <c r="O692">
        <f>ABS(L692-FONO!$C$34)</f>
        <v>4.0335265333957473</v>
      </c>
      <c r="P692">
        <f t="shared" si="11"/>
        <v>68.599999999999994</v>
      </c>
    </row>
    <row r="693" spans="10:16">
      <c r="J693" s="5"/>
      <c r="L693">
        <f>FONO!M693</f>
        <v>0.33792499999999998</v>
      </c>
      <c r="M693">
        <f>FONO!N693</f>
        <v>68.7</v>
      </c>
      <c r="O693">
        <f>ABS(L693-FONO!$C$34)</f>
        <v>4.0344376853957469</v>
      </c>
      <c r="P693">
        <f t="shared" si="11"/>
        <v>68.7</v>
      </c>
    </row>
    <row r="694" spans="10:16">
      <c r="J694" s="5"/>
      <c r="L694">
        <f>FONO!M694</f>
        <v>0.33792499999999998</v>
      </c>
      <c r="M694">
        <f>FONO!N694</f>
        <v>68.8</v>
      </c>
      <c r="O694">
        <f>ABS(L694-FONO!$C$34)</f>
        <v>4.0344376853957469</v>
      </c>
      <c r="P694">
        <f t="shared" si="11"/>
        <v>68.8</v>
      </c>
    </row>
    <row r="695" spans="10:16">
      <c r="J695" s="5"/>
      <c r="L695">
        <f>FONO!M695</f>
        <v>0.33878748800000003</v>
      </c>
      <c r="M695">
        <f>FONO!N695</f>
        <v>68.900000000000006</v>
      </c>
      <c r="O695">
        <f>ABS(L695-FONO!$C$34)</f>
        <v>4.035300173395747</v>
      </c>
      <c r="P695">
        <f t="shared" si="11"/>
        <v>68.900000000000006</v>
      </c>
    </row>
    <row r="696" spans="10:16">
      <c r="J696" s="5"/>
      <c r="L696">
        <f>FONO!M696</f>
        <v>0.34262947999999999</v>
      </c>
      <c r="M696">
        <f>FONO!N696</f>
        <v>69</v>
      </c>
      <c r="O696">
        <f>ABS(L696-FONO!$C$34)</f>
        <v>4.0391421653957469</v>
      </c>
      <c r="P696">
        <f t="shared" si="11"/>
        <v>69</v>
      </c>
    </row>
    <row r="697" spans="10:16">
      <c r="J697" s="5"/>
      <c r="L697">
        <f>FONO!M697</f>
        <v>0.346471472</v>
      </c>
      <c r="M697">
        <f>FONO!N697</f>
        <v>69.099999999999994</v>
      </c>
      <c r="O697">
        <f>ABS(L697-FONO!$C$34)</f>
        <v>4.0429841573957468</v>
      </c>
      <c r="P697">
        <f t="shared" si="11"/>
        <v>69.099999999999994</v>
      </c>
    </row>
    <row r="698" spans="10:16">
      <c r="J698" s="5"/>
      <c r="L698">
        <f>FONO!M698</f>
        <v>0.35338431199999998</v>
      </c>
      <c r="M698">
        <f>FONO!N698</f>
        <v>69.2</v>
      </c>
      <c r="O698">
        <f>ABS(L698-FONO!$C$34)</f>
        <v>4.0498969973957468</v>
      </c>
      <c r="P698">
        <f t="shared" si="11"/>
        <v>69.2</v>
      </c>
    </row>
    <row r="699" spans="10:16">
      <c r="J699" s="5"/>
      <c r="L699">
        <f>FONO!M699</f>
        <v>0.36178604800000003</v>
      </c>
      <c r="M699">
        <f>FONO!N699</f>
        <v>69.3</v>
      </c>
      <c r="O699">
        <f>ABS(L699-FONO!$C$34)</f>
        <v>4.0582987333957474</v>
      </c>
      <c r="P699">
        <f t="shared" si="11"/>
        <v>69.3</v>
      </c>
    </row>
    <row r="700" spans="10:16">
      <c r="J700" s="5"/>
      <c r="L700">
        <f>FONO!M700</f>
        <v>0.369791496</v>
      </c>
      <c r="M700">
        <f>FONO!N700</f>
        <v>69.400000000000006</v>
      </c>
      <c r="O700">
        <f>ABS(L700-FONO!$C$34)</f>
        <v>4.066304181395747</v>
      </c>
      <c r="P700">
        <f t="shared" si="11"/>
        <v>69.400000000000006</v>
      </c>
    </row>
    <row r="701" spans="10:16">
      <c r="J701" s="5"/>
      <c r="L701">
        <f>FONO!M701</f>
        <v>0.37495687999999999</v>
      </c>
      <c r="M701">
        <f>FONO!N701</f>
        <v>69.5</v>
      </c>
      <c r="O701">
        <f>ABS(L701-FONO!$C$34)</f>
        <v>4.0714695653957467</v>
      </c>
      <c r="P701">
        <f t="shared" si="11"/>
        <v>69.5</v>
      </c>
    </row>
    <row r="702" spans="10:16">
      <c r="J702" s="5"/>
      <c r="L702">
        <f>FONO!M702</f>
        <v>0.38012226400000099</v>
      </c>
      <c r="M702">
        <f>FONO!N702</f>
        <v>69.599999999999994</v>
      </c>
      <c r="O702">
        <f>ABS(L702-FONO!$C$34)</f>
        <v>4.0766349493957481</v>
      </c>
      <c r="P702">
        <f t="shared" si="11"/>
        <v>69.599999999999994</v>
      </c>
    </row>
    <row r="703" spans="10:16">
      <c r="J703" s="5"/>
      <c r="L703">
        <f>FONO!M703</f>
        <v>0.38233600000000001</v>
      </c>
      <c r="M703">
        <f>FONO!N703</f>
        <v>69.7</v>
      </c>
      <c r="O703">
        <f>ABS(L703-FONO!$C$34)</f>
        <v>4.0788486853957471</v>
      </c>
      <c r="P703">
        <f t="shared" si="11"/>
        <v>69.7</v>
      </c>
    </row>
    <row r="704" spans="10:16">
      <c r="J704" s="5"/>
      <c r="L704">
        <f>FONO!M704</f>
        <v>0.38233600000000001</v>
      </c>
      <c r="M704">
        <f>FONO!N704</f>
        <v>69.8</v>
      </c>
      <c r="O704">
        <f>ABS(L704-FONO!$C$34)</f>
        <v>4.0788486853957471</v>
      </c>
      <c r="P704">
        <f t="shared" si="11"/>
        <v>69.8</v>
      </c>
    </row>
    <row r="705" spans="10:16">
      <c r="J705" s="5"/>
      <c r="L705">
        <f>FONO!M705</f>
        <v>0.38239192799999999</v>
      </c>
      <c r="M705">
        <f>FONO!N705</f>
        <v>69.900000000000006</v>
      </c>
      <c r="O705">
        <f>ABS(L705-FONO!$C$34)</f>
        <v>4.0789046133957472</v>
      </c>
      <c r="P705">
        <f t="shared" si="11"/>
        <v>69.900000000000006</v>
      </c>
    </row>
    <row r="706" spans="10:16">
      <c r="J706" s="5"/>
      <c r="L706">
        <f>FONO!M706</f>
        <v>0.38513239999999999</v>
      </c>
      <c r="M706">
        <f>FONO!N706</f>
        <v>70</v>
      </c>
      <c r="O706">
        <f>ABS(L706-FONO!$C$34)</f>
        <v>4.0816450853957473</v>
      </c>
      <c r="P706">
        <f t="shared" si="11"/>
        <v>70</v>
      </c>
    </row>
    <row r="707" spans="10:16">
      <c r="J707" s="5"/>
      <c r="L707">
        <f>FONO!M707</f>
        <v>0.38787287199999998</v>
      </c>
      <c r="M707">
        <f>FONO!N707</f>
        <v>70.099999999999994</v>
      </c>
      <c r="O707">
        <f>ABS(L707-FONO!$C$34)</f>
        <v>4.0843855573957466</v>
      </c>
      <c r="P707">
        <f t="shared" si="11"/>
        <v>70.099999999999994</v>
      </c>
    </row>
    <row r="708" spans="10:16">
      <c r="J708" s="5"/>
      <c r="L708">
        <f>FONO!M708</f>
        <v>0.392369992</v>
      </c>
      <c r="M708">
        <f>FONO!N708</f>
        <v>70.2</v>
      </c>
      <c r="O708">
        <f>ABS(L708-FONO!$C$34)</f>
        <v>4.0888826773957474</v>
      </c>
      <c r="P708">
        <f t="shared" si="11"/>
        <v>70.2</v>
      </c>
    </row>
    <row r="709" spans="10:16">
      <c r="J709" s="5"/>
      <c r="L709">
        <f>FONO!M709</f>
        <v>0.39885288800000002</v>
      </c>
      <c r="M709">
        <f>FONO!N709</f>
        <v>70.3</v>
      </c>
      <c r="O709">
        <f>ABS(L709-FONO!$C$34)</f>
        <v>4.095365573395747</v>
      </c>
      <c r="P709">
        <f t="shared" si="11"/>
        <v>70.3</v>
      </c>
    </row>
    <row r="710" spans="10:16">
      <c r="J710" s="5"/>
      <c r="L710">
        <f>FONO!M710</f>
        <v>0.40533578399999898</v>
      </c>
      <c r="M710">
        <f>FONO!N710</f>
        <v>70.400000000000006</v>
      </c>
      <c r="O710">
        <f>ABS(L710-FONO!$C$34)</f>
        <v>4.1018484693957458</v>
      </c>
      <c r="P710">
        <f t="shared" si="11"/>
        <v>70.400000000000006</v>
      </c>
    </row>
    <row r="711" spans="10:16">
      <c r="J711" s="5"/>
      <c r="L711">
        <f>FONO!M711</f>
        <v>0.40847391999999999</v>
      </c>
      <c r="M711">
        <f>FONO!N711</f>
        <v>70.5</v>
      </c>
      <c r="O711">
        <f>ABS(L711-FONO!$C$34)</f>
        <v>4.1049866053957471</v>
      </c>
      <c r="P711">
        <f t="shared" ref="P711:P774" si="12">M711</f>
        <v>70.5</v>
      </c>
    </row>
    <row r="712" spans="10:16">
      <c r="J712" s="5"/>
      <c r="L712">
        <f>FONO!M712</f>
        <v>0.41131474400000001</v>
      </c>
      <c r="M712">
        <f>FONO!N712</f>
        <v>70.599999999999994</v>
      </c>
      <c r="O712">
        <f>ABS(L712-FONO!$C$34)</f>
        <v>4.1078274293957469</v>
      </c>
      <c r="P712">
        <f t="shared" si="12"/>
        <v>70.599999999999994</v>
      </c>
    </row>
    <row r="713" spans="10:16">
      <c r="J713" s="5"/>
      <c r="L713">
        <f>FONO!M713</f>
        <v>0.41429323200000001</v>
      </c>
      <c r="M713">
        <f>FONO!N713</f>
        <v>70.7</v>
      </c>
      <c r="O713">
        <f>ABS(L713-FONO!$C$34)</f>
        <v>4.110805917395747</v>
      </c>
      <c r="P713">
        <f t="shared" si="12"/>
        <v>70.7</v>
      </c>
    </row>
    <row r="714" spans="10:16">
      <c r="J714" s="5"/>
      <c r="L714">
        <f>FONO!M714</f>
        <v>0.41750880800000001</v>
      </c>
      <c r="M714">
        <f>FONO!N714</f>
        <v>70.8</v>
      </c>
      <c r="O714">
        <f>ABS(L714-FONO!$C$34)</f>
        <v>4.1140214933957466</v>
      </c>
      <c r="P714">
        <f t="shared" si="12"/>
        <v>70.8</v>
      </c>
    </row>
    <row r="715" spans="10:16">
      <c r="J715" s="5"/>
      <c r="L715">
        <f>FONO!M715</f>
        <v>0.42072438400000001</v>
      </c>
      <c r="M715">
        <f>FONO!N715</f>
        <v>70.900000000000006</v>
      </c>
      <c r="O715">
        <f>ABS(L715-FONO!$C$34)</f>
        <v>4.1172370693957472</v>
      </c>
      <c r="P715">
        <f t="shared" si="12"/>
        <v>70.900000000000006</v>
      </c>
    </row>
    <row r="716" spans="10:16">
      <c r="J716" s="5"/>
      <c r="L716">
        <f>FONO!M716</f>
        <v>0.42229132000000003</v>
      </c>
      <c r="M716">
        <f>FONO!N716</f>
        <v>71</v>
      </c>
      <c r="O716">
        <f>ABS(L716-FONO!$C$34)</f>
        <v>4.1188040053957469</v>
      </c>
      <c r="P716">
        <f t="shared" si="12"/>
        <v>71</v>
      </c>
    </row>
    <row r="717" spans="10:16">
      <c r="J717" s="5"/>
      <c r="L717">
        <f>FONO!M717</f>
        <v>0.423487312</v>
      </c>
      <c r="M717">
        <f>FONO!N717</f>
        <v>71.099999999999994</v>
      </c>
      <c r="O717">
        <f>ABS(L717-FONO!$C$34)</f>
        <v>4.1199999973957473</v>
      </c>
      <c r="P717">
        <f t="shared" si="12"/>
        <v>71.099999999999994</v>
      </c>
    </row>
    <row r="718" spans="10:16">
      <c r="J718" s="5"/>
      <c r="L718">
        <f>FONO!M718</f>
        <v>0.42460416000000001</v>
      </c>
      <c r="M718">
        <f>FONO!N718</f>
        <v>71.2</v>
      </c>
      <c r="O718">
        <f>ABS(L718-FONO!$C$34)</f>
        <v>4.121116845395747</v>
      </c>
      <c r="P718">
        <f t="shared" si="12"/>
        <v>71.2</v>
      </c>
    </row>
    <row r="719" spans="10:16">
      <c r="J719" s="5"/>
      <c r="L719">
        <f>FONO!M719</f>
        <v>0.42550184000000002</v>
      </c>
      <c r="M719">
        <f>FONO!N719</f>
        <v>71.3</v>
      </c>
      <c r="O719">
        <f>ABS(L719-FONO!$C$34)</f>
        <v>4.1220145253957474</v>
      </c>
      <c r="P719">
        <f t="shared" si="12"/>
        <v>71.3</v>
      </c>
    </row>
    <row r="720" spans="10:16">
      <c r="J720" s="5"/>
      <c r="L720">
        <f>FONO!M720</f>
        <v>0.42639951999999998</v>
      </c>
      <c r="M720">
        <f>FONO!N720</f>
        <v>71.400000000000006</v>
      </c>
      <c r="O720">
        <f>ABS(L720-FONO!$C$34)</f>
        <v>4.122912205395747</v>
      </c>
      <c r="P720">
        <f t="shared" si="12"/>
        <v>71.400000000000006</v>
      </c>
    </row>
    <row r="721" spans="10:16">
      <c r="J721" s="5"/>
      <c r="L721">
        <f>FONO!M721</f>
        <v>0.42907603999999999</v>
      </c>
      <c r="M721">
        <f>FONO!N721</f>
        <v>71.5</v>
      </c>
      <c r="O721">
        <f>ABS(L721-FONO!$C$34)</f>
        <v>4.1255887253957475</v>
      </c>
      <c r="P721">
        <f t="shared" si="12"/>
        <v>71.5</v>
      </c>
    </row>
    <row r="722" spans="10:16">
      <c r="J722" s="5"/>
      <c r="L722">
        <f>FONO!M722</f>
        <v>0.43246409600000002</v>
      </c>
      <c r="M722">
        <f>FONO!N722</f>
        <v>71.599999999999994</v>
      </c>
      <c r="O722">
        <f>ABS(L722-FONO!$C$34)</f>
        <v>4.128976781395747</v>
      </c>
      <c r="P722">
        <f t="shared" si="12"/>
        <v>71.599999999999994</v>
      </c>
    </row>
    <row r="723" spans="10:16">
      <c r="J723" s="5"/>
      <c r="L723">
        <f>FONO!M723</f>
        <v>0.43751999199999903</v>
      </c>
      <c r="M723">
        <f>FONO!N723</f>
        <v>71.7</v>
      </c>
      <c r="O723">
        <f>ABS(L723-FONO!$C$34)</f>
        <v>4.1340326773957461</v>
      </c>
      <c r="P723">
        <f t="shared" si="12"/>
        <v>71.7</v>
      </c>
    </row>
    <row r="724" spans="10:16">
      <c r="J724" s="5"/>
      <c r="L724">
        <f>FONO!M724</f>
        <v>0.45112356800000097</v>
      </c>
      <c r="M724">
        <f>FONO!N724</f>
        <v>71.8</v>
      </c>
      <c r="O724">
        <f>ABS(L724-FONO!$C$34)</f>
        <v>4.1476362533957483</v>
      </c>
      <c r="P724">
        <f t="shared" si="12"/>
        <v>71.8</v>
      </c>
    </row>
    <row r="725" spans="10:16">
      <c r="J725" s="5"/>
      <c r="L725">
        <f>FONO!M725</f>
        <v>0.46472714399999998</v>
      </c>
      <c r="M725">
        <f>FONO!N725</f>
        <v>71.900000000000006</v>
      </c>
      <c r="O725">
        <f>ABS(L725-FONO!$C$34)</f>
        <v>4.1612398293957469</v>
      </c>
      <c r="P725">
        <f t="shared" si="12"/>
        <v>71.900000000000006</v>
      </c>
    </row>
    <row r="726" spans="10:16">
      <c r="J726" s="5"/>
      <c r="L726">
        <f>FONO!M726</f>
        <v>0.47000199999999998</v>
      </c>
      <c r="M726">
        <f>FONO!N726</f>
        <v>72</v>
      </c>
      <c r="O726">
        <f>ABS(L726-FONO!$C$34)</f>
        <v>4.1665146853957467</v>
      </c>
      <c r="P726">
        <f t="shared" si="12"/>
        <v>72</v>
      </c>
    </row>
    <row r="727" spans="10:16">
      <c r="J727" s="5"/>
      <c r="L727">
        <f>FONO!M727</f>
        <v>0.47000199999999998</v>
      </c>
      <c r="M727">
        <f>FONO!N727</f>
        <v>72.099999999999994</v>
      </c>
      <c r="O727">
        <f>ABS(L727-FONO!$C$34)</f>
        <v>4.1665146853957467</v>
      </c>
      <c r="P727">
        <f t="shared" si="12"/>
        <v>72.099999999999994</v>
      </c>
    </row>
    <row r="728" spans="10:16">
      <c r="J728" s="5"/>
      <c r="L728">
        <f>FONO!M728</f>
        <v>0.47054634400000001</v>
      </c>
      <c r="M728">
        <f>FONO!N728</f>
        <v>72.2</v>
      </c>
      <c r="O728">
        <f>ABS(L728-FONO!$C$34)</f>
        <v>4.1670590293957472</v>
      </c>
      <c r="P728">
        <f t="shared" si="12"/>
        <v>72.2</v>
      </c>
    </row>
    <row r="729" spans="10:16">
      <c r="J729" s="5"/>
      <c r="L729">
        <f>FONO!M729</f>
        <v>0.47943729600000001</v>
      </c>
      <c r="M729">
        <f>FONO!N729</f>
        <v>72.3</v>
      </c>
      <c r="O729">
        <f>ABS(L729-FONO!$C$34)</f>
        <v>4.175949981395747</v>
      </c>
      <c r="P729">
        <f t="shared" si="12"/>
        <v>72.3</v>
      </c>
    </row>
    <row r="730" spans="10:16">
      <c r="J730" s="5"/>
      <c r="L730">
        <f>FONO!M730</f>
        <v>0.48832824800000002</v>
      </c>
      <c r="M730">
        <f>FONO!N730</f>
        <v>72.400000000000006</v>
      </c>
      <c r="O730">
        <f>ABS(L730-FONO!$C$34)</f>
        <v>4.1848409333957468</v>
      </c>
      <c r="P730">
        <f t="shared" si="12"/>
        <v>72.400000000000006</v>
      </c>
    </row>
    <row r="731" spans="10:16">
      <c r="J731" s="5"/>
      <c r="L731">
        <f>FONO!M731</f>
        <v>0.49368099999999998</v>
      </c>
      <c r="M731">
        <f>FONO!N731</f>
        <v>72.5</v>
      </c>
      <c r="O731">
        <f>ABS(L731-FONO!$C$34)</f>
        <v>4.1901936853957471</v>
      </c>
      <c r="P731">
        <f t="shared" si="12"/>
        <v>72.5</v>
      </c>
    </row>
    <row r="732" spans="10:16">
      <c r="J732" s="5"/>
      <c r="L732">
        <f>FONO!M732</f>
        <v>0.49563708000000001</v>
      </c>
      <c r="M732">
        <f>FONO!N732</f>
        <v>72.599999999999994</v>
      </c>
      <c r="O732">
        <f>ABS(L732-FONO!$C$34)</f>
        <v>4.1921497653957474</v>
      </c>
      <c r="P732">
        <f t="shared" si="12"/>
        <v>72.599999999999994</v>
      </c>
    </row>
    <row r="733" spans="10:16">
      <c r="J733" s="5"/>
      <c r="L733">
        <f>FONO!M733</f>
        <v>0.49759315999999998</v>
      </c>
      <c r="M733">
        <f>FONO!N733</f>
        <v>72.7</v>
      </c>
      <c r="O733">
        <f>ABS(L733-FONO!$C$34)</f>
        <v>4.1941058453957467</v>
      </c>
      <c r="P733">
        <f t="shared" si="12"/>
        <v>72.7</v>
      </c>
    </row>
    <row r="734" spans="10:16">
      <c r="J734" s="5"/>
      <c r="L734">
        <f>FONO!M734</f>
        <v>0.49814600799999997</v>
      </c>
      <c r="M734">
        <f>FONO!N734</f>
        <v>72.8</v>
      </c>
      <c r="O734">
        <f>ABS(L734-FONO!$C$34)</f>
        <v>4.1946586933957466</v>
      </c>
      <c r="P734">
        <f t="shared" si="12"/>
        <v>72.8</v>
      </c>
    </row>
    <row r="735" spans="10:16">
      <c r="J735" s="5"/>
      <c r="L735">
        <f>FONO!M735</f>
        <v>0.49863914399999998</v>
      </c>
      <c r="M735">
        <f>FONO!N735</f>
        <v>72.900000000000006</v>
      </c>
      <c r="O735">
        <f>ABS(L735-FONO!$C$34)</f>
        <v>4.1951518293957468</v>
      </c>
      <c r="P735">
        <f t="shared" si="12"/>
        <v>72.900000000000006</v>
      </c>
    </row>
    <row r="736" spans="10:16">
      <c r="J736" s="5"/>
      <c r="L736">
        <f>FONO!M736</f>
        <v>0.50077468000000003</v>
      </c>
      <c r="M736">
        <f>FONO!N736</f>
        <v>73</v>
      </c>
      <c r="O736">
        <f>ABS(L736-FONO!$C$34)</f>
        <v>4.1972873653957468</v>
      </c>
      <c r="P736">
        <f t="shared" si="12"/>
        <v>73</v>
      </c>
    </row>
    <row r="737" spans="10:16">
      <c r="J737" s="5"/>
      <c r="L737">
        <f>FONO!M737</f>
        <v>0.50529169600000001</v>
      </c>
      <c r="M737">
        <f>FONO!N737</f>
        <v>73.099999999999994</v>
      </c>
      <c r="O737">
        <f>ABS(L737-FONO!$C$34)</f>
        <v>4.2018043813957471</v>
      </c>
      <c r="P737">
        <f t="shared" si="12"/>
        <v>73.099999999999994</v>
      </c>
    </row>
    <row r="738" spans="10:16">
      <c r="J738" s="5"/>
      <c r="L738">
        <f>FONO!M738</f>
        <v>0.509808712</v>
      </c>
      <c r="M738">
        <f>FONO!N738</f>
        <v>73.2</v>
      </c>
      <c r="O738">
        <f>ABS(L738-FONO!$C$34)</f>
        <v>4.2063213973957474</v>
      </c>
      <c r="P738">
        <f t="shared" si="12"/>
        <v>73.2</v>
      </c>
    </row>
    <row r="739" spans="10:16">
      <c r="J739" s="5"/>
      <c r="L739">
        <f>FONO!M739</f>
        <v>0.51967955200000004</v>
      </c>
      <c r="M739">
        <f>FONO!N739</f>
        <v>73.3</v>
      </c>
      <c r="O739">
        <f>ABS(L739-FONO!$C$34)</f>
        <v>4.216192237395747</v>
      </c>
      <c r="P739">
        <f t="shared" si="12"/>
        <v>73.3</v>
      </c>
    </row>
    <row r="740" spans="10:16">
      <c r="J740" s="5"/>
      <c r="L740">
        <f>FONO!M740</f>
        <v>0.53044269600000005</v>
      </c>
      <c r="M740">
        <f>FONO!N740</f>
        <v>73.400000000000006</v>
      </c>
      <c r="O740">
        <f>ABS(L740-FONO!$C$34)</f>
        <v>4.2269553813957472</v>
      </c>
      <c r="P740">
        <f t="shared" si="12"/>
        <v>73.400000000000006</v>
      </c>
    </row>
    <row r="741" spans="10:16">
      <c r="J741" s="5"/>
      <c r="L741">
        <f>FONO!M741</f>
        <v>0.5380142</v>
      </c>
      <c r="M741">
        <f>FONO!N741</f>
        <v>73.5</v>
      </c>
      <c r="O741">
        <f>ABS(L741-FONO!$C$34)</f>
        <v>4.2345268853957467</v>
      </c>
      <c r="P741">
        <f t="shared" si="12"/>
        <v>73.5</v>
      </c>
    </row>
    <row r="742" spans="10:16">
      <c r="J742" s="5"/>
      <c r="L742">
        <f>FONO!M742</f>
        <v>0.53835131999999997</v>
      </c>
      <c r="M742">
        <f>FONO!N742</f>
        <v>73.599999999999994</v>
      </c>
      <c r="O742">
        <f>ABS(L742-FONO!$C$34)</f>
        <v>4.2348640053957469</v>
      </c>
      <c r="P742">
        <f t="shared" si="12"/>
        <v>73.599999999999994</v>
      </c>
    </row>
    <row r="743" spans="10:16">
      <c r="J743" s="5"/>
      <c r="L743">
        <f>FONO!M743</f>
        <v>0.53868844000000005</v>
      </c>
      <c r="M743">
        <f>FONO!N743</f>
        <v>73.7</v>
      </c>
      <c r="O743">
        <f>ABS(L743-FONO!$C$34)</f>
        <v>4.2352011253957471</v>
      </c>
      <c r="P743">
        <f t="shared" si="12"/>
        <v>73.7</v>
      </c>
    </row>
    <row r="744" spans="10:16">
      <c r="J744" s="5"/>
      <c r="L744">
        <f>FONO!M744</f>
        <v>0.54241860799999997</v>
      </c>
      <c r="M744">
        <f>FONO!N744</f>
        <v>73.8</v>
      </c>
      <c r="O744">
        <f>ABS(L744-FONO!$C$34)</f>
        <v>4.2389312933957468</v>
      </c>
      <c r="P744">
        <f t="shared" si="12"/>
        <v>73.8</v>
      </c>
    </row>
    <row r="745" spans="10:16">
      <c r="J745" s="5"/>
      <c r="L745">
        <f>FONO!M745</f>
        <v>0.54724922399999998</v>
      </c>
      <c r="M745">
        <f>FONO!N745</f>
        <v>73.900000000000006</v>
      </c>
      <c r="O745">
        <f>ABS(L745-FONO!$C$34)</f>
        <v>4.2437619093957473</v>
      </c>
      <c r="P745">
        <f t="shared" si="12"/>
        <v>73.900000000000006</v>
      </c>
    </row>
    <row r="746" spans="10:16">
      <c r="J746" s="5"/>
      <c r="L746">
        <f>FONO!M746</f>
        <v>0.55166687999999997</v>
      </c>
      <c r="M746">
        <f>FONO!N746</f>
        <v>74</v>
      </c>
      <c r="O746">
        <f>ABS(L746-FONO!$C$34)</f>
        <v>4.2481795653957466</v>
      </c>
      <c r="P746">
        <f t="shared" si="12"/>
        <v>74</v>
      </c>
    </row>
    <row r="747" spans="10:16">
      <c r="J747" s="5"/>
      <c r="L747">
        <f>FONO!M747</f>
        <v>0.55447399200000003</v>
      </c>
      <c r="M747">
        <f>FONO!N747</f>
        <v>74.099999999999994</v>
      </c>
      <c r="O747">
        <f>ABS(L747-FONO!$C$34)</f>
        <v>4.2509866773957468</v>
      </c>
      <c r="P747">
        <f t="shared" si="12"/>
        <v>74.099999999999994</v>
      </c>
    </row>
    <row r="748" spans="10:16">
      <c r="J748" s="5"/>
      <c r="L748">
        <f>FONO!M748</f>
        <v>0.55728110399999997</v>
      </c>
      <c r="M748">
        <f>FONO!N748</f>
        <v>74.2</v>
      </c>
      <c r="O748">
        <f>ABS(L748-FONO!$C$34)</f>
        <v>4.2537937893957469</v>
      </c>
      <c r="P748">
        <f t="shared" si="12"/>
        <v>74.2</v>
      </c>
    </row>
    <row r="749" spans="10:16">
      <c r="J749" s="5"/>
      <c r="L749">
        <f>FONO!M749</f>
        <v>0.56108072799999997</v>
      </c>
      <c r="M749">
        <f>FONO!N749</f>
        <v>74.3</v>
      </c>
      <c r="O749">
        <f>ABS(L749-FONO!$C$34)</f>
        <v>4.2575934133957469</v>
      </c>
      <c r="P749">
        <f t="shared" si="12"/>
        <v>74.3</v>
      </c>
    </row>
    <row r="750" spans="10:16">
      <c r="J750" s="5"/>
      <c r="L750">
        <f>FONO!M750</f>
        <v>0.565407624</v>
      </c>
      <c r="M750">
        <f>FONO!N750</f>
        <v>74.400000000000006</v>
      </c>
      <c r="O750">
        <f>ABS(L750-FONO!$C$34)</f>
        <v>4.2619203093957472</v>
      </c>
      <c r="P750">
        <f t="shared" si="12"/>
        <v>74.400000000000006</v>
      </c>
    </row>
    <row r="751" spans="10:16">
      <c r="J751" s="5"/>
      <c r="L751">
        <f>FONO!M751</f>
        <v>0.56962336000000002</v>
      </c>
      <c r="M751">
        <f>FONO!N751</f>
        <v>74.5</v>
      </c>
      <c r="O751">
        <f>ABS(L751-FONO!$C$34)</f>
        <v>4.2661360453957471</v>
      </c>
      <c r="P751">
        <f t="shared" si="12"/>
        <v>74.5</v>
      </c>
    </row>
    <row r="752" spans="10:16">
      <c r="J752" s="5"/>
      <c r="L752">
        <f>FONO!M752</f>
        <v>0.57286088800000001</v>
      </c>
      <c r="M752">
        <f>FONO!N752</f>
        <v>74.599999999999994</v>
      </c>
      <c r="O752">
        <f>ABS(L752-FONO!$C$34)</f>
        <v>4.2693735733957467</v>
      </c>
      <c r="P752">
        <f t="shared" si="12"/>
        <v>74.599999999999994</v>
      </c>
    </row>
    <row r="753" spans="10:16">
      <c r="J753" s="5"/>
      <c r="L753">
        <f>FONO!M753</f>
        <v>0.576098416</v>
      </c>
      <c r="M753">
        <f>FONO!N753</f>
        <v>74.7</v>
      </c>
      <c r="O753">
        <f>ABS(L753-FONO!$C$34)</f>
        <v>4.2726111013957473</v>
      </c>
      <c r="P753">
        <f t="shared" si="12"/>
        <v>74.7</v>
      </c>
    </row>
    <row r="754" spans="10:16">
      <c r="J754" s="5"/>
      <c r="L754">
        <f>FONO!M754</f>
        <v>0.58310298400000005</v>
      </c>
      <c r="M754">
        <f>FONO!N754</f>
        <v>74.8</v>
      </c>
      <c r="O754">
        <f>ABS(L754-FONO!$C$34)</f>
        <v>4.2796156693957474</v>
      </c>
      <c r="P754">
        <f t="shared" si="12"/>
        <v>74.8</v>
      </c>
    </row>
    <row r="755" spans="10:16">
      <c r="J755" s="5"/>
      <c r="L755">
        <f>FONO!M755</f>
        <v>0.59317699199999996</v>
      </c>
      <c r="M755">
        <f>FONO!N755</f>
        <v>74.900000000000006</v>
      </c>
      <c r="O755">
        <f>ABS(L755-FONO!$C$34)</f>
        <v>4.2896896773957467</v>
      </c>
      <c r="P755">
        <f t="shared" si="12"/>
        <v>74.900000000000006</v>
      </c>
    </row>
    <row r="756" spans="10:16">
      <c r="J756" s="5"/>
      <c r="L756">
        <f>FONO!M756</f>
        <v>0.60325099999999998</v>
      </c>
      <c r="M756">
        <f>FONO!N756</f>
        <v>75</v>
      </c>
      <c r="O756">
        <f>ABS(L756-FONO!$C$34)</f>
        <v>4.2997636853957468</v>
      </c>
      <c r="P756">
        <f t="shared" si="12"/>
        <v>75</v>
      </c>
    </row>
    <row r="757" spans="10:16">
      <c r="J757" s="5"/>
      <c r="L757">
        <f>FONO!M757</f>
        <v>0.60692521600000005</v>
      </c>
      <c r="M757">
        <f>FONO!N757</f>
        <v>75.099999999999994</v>
      </c>
      <c r="O757">
        <f>ABS(L757-FONO!$C$34)</f>
        <v>4.3034379013957471</v>
      </c>
      <c r="P757">
        <f t="shared" si="12"/>
        <v>75.099999999999994</v>
      </c>
    </row>
    <row r="758" spans="10:16">
      <c r="J758" s="5"/>
      <c r="L758">
        <f>FONO!M758</f>
        <v>0.610599432</v>
      </c>
      <c r="M758">
        <f>FONO!N758</f>
        <v>75.2</v>
      </c>
      <c r="O758">
        <f>ABS(L758-FONO!$C$34)</f>
        <v>4.3071121173957474</v>
      </c>
      <c r="P758">
        <f t="shared" si="12"/>
        <v>75.2</v>
      </c>
    </row>
    <row r="759" spans="10:16">
      <c r="J759" s="5"/>
      <c r="L759">
        <f>FONO!M759</f>
        <v>0.61512038400000002</v>
      </c>
      <c r="M759">
        <f>FONO!N759</f>
        <v>75.3</v>
      </c>
      <c r="O759">
        <f>ABS(L759-FONO!$C$34)</f>
        <v>4.3116330693957474</v>
      </c>
      <c r="P759">
        <f t="shared" si="12"/>
        <v>75.3</v>
      </c>
    </row>
    <row r="760" spans="10:16">
      <c r="J760" s="5"/>
      <c r="L760">
        <f>FONO!M760</f>
        <v>0.62068051199999996</v>
      </c>
      <c r="M760">
        <f>FONO!N760</f>
        <v>75.400000000000006</v>
      </c>
      <c r="O760">
        <f>ABS(L760-FONO!$C$34)</f>
        <v>4.3171931973957474</v>
      </c>
      <c r="P760">
        <f t="shared" si="12"/>
        <v>75.400000000000006</v>
      </c>
    </row>
    <row r="761" spans="10:16">
      <c r="J761" s="5"/>
      <c r="L761">
        <f>FONO!M761</f>
        <v>0.62624064000000002</v>
      </c>
      <c r="M761">
        <f>FONO!N761</f>
        <v>75.5</v>
      </c>
      <c r="O761">
        <f>ABS(L761-FONO!$C$34)</f>
        <v>4.3227533253957473</v>
      </c>
      <c r="P761">
        <f t="shared" si="12"/>
        <v>75.5</v>
      </c>
    </row>
    <row r="762" spans="10:16">
      <c r="J762" s="5"/>
      <c r="L762">
        <f>FONO!M762</f>
        <v>0.62838988799999995</v>
      </c>
      <c r="M762">
        <f>FONO!N762</f>
        <v>75.599999999999994</v>
      </c>
      <c r="O762">
        <f>ABS(L762-FONO!$C$34)</f>
        <v>4.3249025733957467</v>
      </c>
      <c r="P762">
        <f t="shared" si="12"/>
        <v>75.599999999999994</v>
      </c>
    </row>
    <row r="763" spans="10:16">
      <c r="J763" s="5"/>
      <c r="L763">
        <f>FONO!M763</f>
        <v>0.63015153599999996</v>
      </c>
      <c r="M763">
        <f>FONO!N763</f>
        <v>75.7</v>
      </c>
      <c r="O763">
        <f>ABS(L763-FONO!$C$34)</f>
        <v>4.3266642213957471</v>
      </c>
      <c r="P763">
        <f t="shared" si="12"/>
        <v>75.7</v>
      </c>
    </row>
    <row r="764" spans="10:16">
      <c r="J764" s="5"/>
      <c r="L764">
        <f>FONO!M764</f>
        <v>0.63470376800000095</v>
      </c>
      <c r="M764">
        <f>FONO!N764</f>
        <v>75.8</v>
      </c>
      <c r="O764">
        <f>ABS(L764-FONO!$C$34)</f>
        <v>4.331216453395748</v>
      </c>
      <c r="P764">
        <f t="shared" si="12"/>
        <v>75.8</v>
      </c>
    </row>
    <row r="765" spans="10:16">
      <c r="J765" s="5"/>
      <c r="L765">
        <f>FONO!M765</f>
        <v>0.64450886400000096</v>
      </c>
      <c r="M765">
        <f>FONO!N765</f>
        <v>75.900000000000006</v>
      </c>
      <c r="O765">
        <f>ABS(L765-FONO!$C$34)</f>
        <v>4.341021549395748</v>
      </c>
      <c r="P765">
        <f t="shared" si="12"/>
        <v>75.900000000000006</v>
      </c>
    </row>
    <row r="766" spans="10:16">
      <c r="J766" s="5"/>
      <c r="L766">
        <f>FONO!M766</f>
        <v>0.65431395999999997</v>
      </c>
      <c r="M766">
        <f>FONO!N766</f>
        <v>76</v>
      </c>
      <c r="O766">
        <f>ABS(L766-FONO!$C$34)</f>
        <v>4.3508266453957471</v>
      </c>
      <c r="P766">
        <f t="shared" si="12"/>
        <v>76</v>
      </c>
    </row>
    <row r="767" spans="10:16">
      <c r="J767" s="5"/>
      <c r="L767">
        <f>FONO!M767</f>
        <v>0.66065273599999996</v>
      </c>
      <c r="M767">
        <f>FONO!N767</f>
        <v>76.099999999999994</v>
      </c>
      <c r="O767">
        <f>ABS(L767-FONO!$C$34)</f>
        <v>4.3571654213957469</v>
      </c>
      <c r="P767">
        <f t="shared" si="12"/>
        <v>76.099999999999994</v>
      </c>
    </row>
    <row r="768" spans="10:16">
      <c r="J768" s="5"/>
      <c r="L768">
        <f>FONO!M768</f>
        <v>0.66610271200000004</v>
      </c>
      <c r="M768">
        <f>FONO!N768</f>
        <v>76.2</v>
      </c>
      <c r="O768">
        <f>ABS(L768-FONO!$C$34)</f>
        <v>4.3626153973957473</v>
      </c>
      <c r="P768">
        <f t="shared" si="12"/>
        <v>76.2</v>
      </c>
    </row>
    <row r="769" spans="10:16">
      <c r="J769" s="5"/>
      <c r="L769">
        <f>FONO!M769</f>
        <v>0.67384372800000003</v>
      </c>
      <c r="M769">
        <f>FONO!N769</f>
        <v>76.3</v>
      </c>
      <c r="O769">
        <f>ABS(L769-FONO!$C$34)</f>
        <v>4.3703564133957471</v>
      </c>
      <c r="P769">
        <f t="shared" si="12"/>
        <v>76.3</v>
      </c>
    </row>
    <row r="770" spans="10:16">
      <c r="J770" s="5"/>
      <c r="L770">
        <f>FONO!M770</f>
        <v>0.68864878399999996</v>
      </c>
      <c r="M770">
        <f>FONO!N770</f>
        <v>76.400000000000006</v>
      </c>
      <c r="O770">
        <f>ABS(L770-FONO!$C$34)</f>
        <v>4.3851614693957472</v>
      </c>
      <c r="P770">
        <f t="shared" si="12"/>
        <v>76.400000000000006</v>
      </c>
    </row>
    <row r="771" spans="10:16">
      <c r="J771" s="5"/>
      <c r="L771">
        <f>FONO!M771</f>
        <v>0.70345384</v>
      </c>
      <c r="M771">
        <f>FONO!N771</f>
        <v>76.5</v>
      </c>
      <c r="O771">
        <f>ABS(L771-FONO!$C$34)</f>
        <v>4.3999665253957474</v>
      </c>
      <c r="P771">
        <f t="shared" si="12"/>
        <v>76.5</v>
      </c>
    </row>
    <row r="772" spans="10:16">
      <c r="J772" s="5"/>
      <c r="L772">
        <f>FONO!M772</f>
        <v>0.70891107200000003</v>
      </c>
      <c r="M772">
        <f>FONO!N772</f>
        <v>76.599999999999994</v>
      </c>
      <c r="O772">
        <f>ABS(L772-FONO!$C$34)</f>
        <v>4.4054237573957469</v>
      </c>
      <c r="P772">
        <f t="shared" si="12"/>
        <v>76.599999999999994</v>
      </c>
    </row>
    <row r="773" spans="10:16">
      <c r="J773" s="5"/>
      <c r="L773">
        <f>FONO!M773</f>
        <v>0.71024426399999996</v>
      </c>
      <c r="M773">
        <f>FONO!N773</f>
        <v>76.7</v>
      </c>
      <c r="O773">
        <f>ABS(L773-FONO!$C$34)</f>
        <v>4.4067569493957475</v>
      </c>
      <c r="P773">
        <f t="shared" si="12"/>
        <v>76.7</v>
      </c>
    </row>
    <row r="774" spans="10:16">
      <c r="J774" s="5"/>
      <c r="L774">
        <f>FONO!M774</f>
        <v>0.71155875199999996</v>
      </c>
      <c r="M774">
        <f>FONO!N774</f>
        <v>76.8</v>
      </c>
      <c r="O774">
        <f>ABS(L774-FONO!$C$34)</f>
        <v>4.4080714373957468</v>
      </c>
      <c r="P774">
        <f t="shared" si="12"/>
        <v>76.8</v>
      </c>
    </row>
    <row r="775" spans="10:16">
      <c r="J775" s="5"/>
      <c r="L775">
        <f>FONO!M775</f>
        <v>0.71276101599999997</v>
      </c>
      <c r="M775">
        <f>FONO!N775</f>
        <v>76.900000000000006</v>
      </c>
      <c r="O775">
        <f>ABS(L775-FONO!$C$34)</f>
        <v>4.4092737013957475</v>
      </c>
      <c r="P775">
        <f t="shared" ref="P775:P838" si="13">M775</f>
        <v>76.900000000000006</v>
      </c>
    </row>
    <row r="776" spans="10:16">
      <c r="J776" s="5"/>
      <c r="L776">
        <f>FONO!M776</f>
        <v>0.71396327999999998</v>
      </c>
      <c r="M776">
        <f>FONO!N776</f>
        <v>77</v>
      </c>
      <c r="O776">
        <f>ABS(L776-FONO!$C$34)</f>
        <v>4.4104759653957473</v>
      </c>
      <c r="P776">
        <f t="shared" si="13"/>
        <v>77</v>
      </c>
    </row>
    <row r="777" spans="10:16">
      <c r="J777" s="5"/>
      <c r="L777">
        <f>FONO!M777</f>
        <v>0.71519709600000003</v>
      </c>
      <c r="M777">
        <f>FONO!N777</f>
        <v>77.099999999999994</v>
      </c>
      <c r="O777">
        <f>ABS(L777-FONO!$C$34)</f>
        <v>4.4117097813957473</v>
      </c>
      <c r="P777">
        <f t="shared" si="13"/>
        <v>77.099999999999994</v>
      </c>
    </row>
    <row r="778" spans="10:16">
      <c r="J778" s="5"/>
      <c r="L778">
        <f>FONO!M778</f>
        <v>0.71645267199999996</v>
      </c>
      <c r="M778">
        <f>FONO!N778</f>
        <v>77.2</v>
      </c>
      <c r="O778">
        <f>ABS(L778-FONO!$C$34)</f>
        <v>4.4129653573957466</v>
      </c>
      <c r="P778">
        <f t="shared" si="13"/>
        <v>77.2</v>
      </c>
    </row>
    <row r="779" spans="10:16">
      <c r="J779" s="5"/>
      <c r="L779">
        <f>FONO!M779</f>
        <v>0.717768344</v>
      </c>
      <c r="M779">
        <f>FONO!N779</f>
        <v>77.3</v>
      </c>
      <c r="O779">
        <f>ABS(L779-FONO!$C$34)</f>
        <v>4.4142810293957471</v>
      </c>
      <c r="P779">
        <f t="shared" si="13"/>
        <v>77.3</v>
      </c>
    </row>
    <row r="780" spans="10:16">
      <c r="J780" s="5"/>
      <c r="L780">
        <f>FONO!M780</f>
        <v>0.72049627199999999</v>
      </c>
      <c r="M780">
        <f>FONO!N780</f>
        <v>77.400000000000006</v>
      </c>
      <c r="O780">
        <f>ABS(L780-FONO!$C$34)</f>
        <v>4.4170089573957467</v>
      </c>
      <c r="P780">
        <f t="shared" si="13"/>
        <v>77.400000000000006</v>
      </c>
    </row>
    <row r="781" spans="10:16">
      <c r="J781" s="5"/>
      <c r="L781">
        <f>FONO!M781</f>
        <v>0.72322419999999998</v>
      </c>
      <c r="M781">
        <f>FONO!N781</f>
        <v>77.5</v>
      </c>
      <c r="O781">
        <f>ABS(L781-FONO!$C$34)</f>
        <v>4.4197368853957473</v>
      </c>
      <c r="P781">
        <f t="shared" si="13"/>
        <v>77.5</v>
      </c>
    </row>
    <row r="782" spans="10:16">
      <c r="J782" s="5"/>
      <c r="L782">
        <f>FONO!M782</f>
        <v>0.72557580799999999</v>
      </c>
      <c r="M782">
        <f>FONO!N782</f>
        <v>77.599999999999994</v>
      </c>
      <c r="O782">
        <f>ABS(L782-FONO!$C$34)</f>
        <v>4.4220884933957469</v>
      </c>
      <c r="P782">
        <f t="shared" si="13"/>
        <v>77.599999999999994</v>
      </c>
    </row>
    <row r="783" spans="10:16">
      <c r="J783" s="5"/>
      <c r="L783">
        <f>FONO!M783</f>
        <v>0.72753541600000005</v>
      </c>
      <c r="M783">
        <f>FONO!N783</f>
        <v>77.7</v>
      </c>
      <c r="O783">
        <f>ABS(L783-FONO!$C$34)</f>
        <v>4.4240481013957469</v>
      </c>
      <c r="P783">
        <f t="shared" si="13"/>
        <v>77.7</v>
      </c>
    </row>
    <row r="784" spans="10:16">
      <c r="J784" s="5"/>
      <c r="L784">
        <f>FONO!M784</f>
        <v>0.72949502399999999</v>
      </c>
      <c r="M784">
        <f>FONO!N784</f>
        <v>77.8</v>
      </c>
      <c r="O784">
        <f>ABS(L784-FONO!$C$34)</f>
        <v>4.4260077093957468</v>
      </c>
      <c r="P784">
        <f t="shared" si="13"/>
        <v>77.8</v>
      </c>
    </row>
    <row r="785" spans="10:16">
      <c r="J785" s="5"/>
      <c r="L785">
        <f>FONO!M785</f>
        <v>0.73585995999999998</v>
      </c>
      <c r="M785">
        <f>FONO!N785</f>
        <v>77.900000000000006</v>
      </c>
      <c r="O785">
        <f>ABS(L785-FONO!$C$34)</f>
        <v>4.4323726453957466</v>
      </c>
      <c r="P785">
        <f t="shared" si="13"/>
        <v>77.900000000000006</v>
      </c>
    </row>
    <row r="786" spans="10:16">
      <c r="J786" s="5"/>
      <c r="L786">
        <f>FONO!M786</f>
        <v>0.74251219999999996</v>
      </c>
      <c r="M786">
        <f>FONO!N786</f>
        <v>78</v>
      </c>
      <c r="O786">
        <f>ABS(L786-FONO!$C$34)</f>
        <v>4.4390248853957468</v>
      </c>
      <c r="P786">
        <f t="shared" si="13"/>
        <v>78</v>
      </c>
    </row>
    <row r="787" spans="10:16">
      <c r="J787" s="5"/>
      <c r="L787">
        <f>FONO!M787</f>
        <v>0.74724908800000001</v>
      </c>
      <c r="M787">
        <f>FONO!N787</f>
        <v>78.099999999999994</v>
      </c>
      <c r="O787">
        <f>ABS(L787-FONO!$C$34)</f>
        <v>4.4437617733957469</v>
      </c>
      <c r="P787">
        <f t="shared" si="13"/>
        <v>78.099999999999994</v>
      </c>
    </row>
    <row r="788" spans="10:16">
      <c r="J788" s="5"/>
      <c r="L788">
        <f>FONO!M788</f>
        <v>0.74896173600000004</v>
      </c>
      <c r="M788">
        <f>FONO!N788</f>
        <v>78.2</v>
      </c>
      <c r="O788">
        <f>ABS(L788-FONO!$C$34)</f>
        <v>4.4454744213957476</v>
      </c>
      <c r="P788">
        <f t="shared" si="13"/>
        <v>78.2</v>
      </c>
    </row>
    <row r="789" spans="10:16">
      <c r="J789" s="5"/>
      <c r="L789">
        <f>FONO!M789</f>
        <v>0.75067438399999997</v>
      </c>
      <c r="M789">
        <f>FONO!N789</f>
        <v>78.3</v>
      </c>
      <c r="O789">
        <f>ABS(L789-FONO!$C$34)</f>
        <v>4.4471870693957474</v>
      </c>
      <c r="P789">
        <f t="shared" si="13"/>
        <v>78.3</v>
      </c>
    </row>
    <row r="790" spans="10:16">
      <c r="J790" s="5"/>
      <c r="L790">
        <f>FONO!M790</f>
        <v>0.76327499200000104</v>
      </c>
      <c r="M790">
        <f>FONO!N790</f>
        <v>78.400000000000006</v>
      </c>
      <c r="O790">
        <f>ABS(L790-FONO!$C$34)</f>
        <v>4.4597876773957479</v>
      </c>
      <c r="P790">
        <f t="shared" si="13"/>
        <v>78.400000000000006</v>
      </c>
    </row>
    <row r="791" spans="10:16">
      <c r="J791" s="5"/>
      <c r="L791">
        <f>FONO!M791</f>
        <v>0.77800008000000098</v>
      </c>
      <c r="M791">
        <f>FONO!N791</f>
        <v>78.5</v>
      </c>
      <c r="O791">
        <f>ABS(L791-FONO!$C$34)</f>
        <v>4.4745127653957484</v>
      </c>
      <c r="P791">
        <f t="shared" si="13"/>
        <v>78.5</v>
      </c>
    </row>
    <row r="792" spans="10:16">
      <c r="J792" s="5"/>
      <c r="L792">
        <f>FONO!M792</f>
        <v>0.79011343999999994</v>
      </c>
      <c r="M792">
        <f>FONO!N792</f>
        <v>78.599999999999994</v>
      </c>
      <c r="O792">
        <f>ABS(L792-FONO!$C$34)</f>
        <v>4.4866261253957473</v>
      </c>
      <c r="P792">
        <f t="shared" si="13"/>
        <v>78.599999999999994</v>
      </c>
    </row>
    <row r="793" spans="10:16">
      <c r="J793" s="5"/>
      <c r="L793">
        <f>FONO!M793</f>
        <v>0.79569747999999996</v>
      </c>
      <c r="M793">
        <f>FONO!N793</f>
        <v>78.7</v>
      </c>
      <c r="O793">
        <f>ABS(L793-FONO!$C$34)</f>
        <v>4.4922101653957469</v>
      </c>
      <c r="P793">
        <f t="shared" si="13"/>
        <v>78.7</v>
      </c>
    </row>
    <row r="794" spans="10:16">
      <c r="J794" s="5"/>
      <c r="L794">
        <f>FONO!M794</f>
        <v>0.80128151999999997</v>
      </c>
      <c r="M794">
        <f>FONO!N794</f>
        <v>78.8</v>
      </c>
      <c r="O794">
        <f>ABS(L794-FONO!$C$34)</f>
        <v>4.4977942053957474</v>
      </c>
      <c r="P794">
        <f t="shared" si="13"/>
        <v>78.8</v>
      </c>
    </row>
    <row r="795" spans="10:16">
      <c r="J795" s="5"/>
      <c r="L795">
        <f>FONO!M795</f>
        <v>0.80852703199999998</v>
      </c>
      <c r="M795">
        <f>FONO!N795</f>
        <v>78.900000000000006</v>
      </c>
      <c r="O795">
        <f>ABS(L795-FONO!$C$34)</f>
        <v>4.5050397173957473</v>
      </c>
      <c r="P795">
        <f t="shared" si="13"/>
        <v>78.900000000000006</v>
      </c>
    </row>
    <row r="796" spans="10:16">
      <c r="J796" s="5"/>
      <c r="L796">
        <f>FONO!M796</f>
        <v>0.81637252000000005</v>
      </c>
      <c r="M796">
        <f>FONO!N796</f>
        <v>79</v>
      </c>
      <c r="O796">
        <f>ABS(L796-FONO!$C$34)</f>
        <v>4.5128852053957473</v>
      </c>
      <c r="P796">
        <f t="shared" si="13"/>
        <v>79</v>
      </c>
    </row>
    <row r="797" spans="10:16">
      <c r="J797" s="5"/>
      <c r="L797">
        <f>FONO!M797</f>
        <v>0.82282200000000005</v>
      </c>
      <c r="M797">
        <f>FONO!N797</f>
        <v>79.099999999999994</v>
      </c>
      <c r="O797">
        <f>ABS(L797-FONO!$C$34)</f>
        <v>4.519334685395747</v>
      </c>
      <c r="P797">
        <f t="shared" si="13"/>
        <v>79.099999999999994</v>
      </c>
    </row>
    <row r="798" spans="10:16">
      <c r="J798" s="5"/>
      <c r="L798">
        <f>FONO!M798</f>
        <v>0.82306699999999999</v>
      </c>
      <c r="M798">
        <f>FONO!N798</f>
        <v>79.2</v>
      </c>
      <c r="O798">
        <f>ABS(L798-FONO!$C$34)</f>
        <v>4.5195796853957475</v>
      </c>
      <c r="P798">
        <f t="shared" si="13"/>
        <v>79.2</v>
      </c>
    </row>
    <row r="799" spans="10:16">
      <c r="J799" s="5"/>
      <c r="L799">
        <f>FONO!M799</f>
        <v>0.82331200000000004</v>
      </c>
      <c r="M799">
        <f>FONO!N799</f>
        <v>79.3</v>
      </c>
      <c r="O799">
        <f>ABS(L799-FONO!$C$34)</f>
        <v>4.5198246853957471</v>
      </c>
      <c r="P799">
        <f t="shared" si="13"/>
        <v>79.3</v>
      </c>
    </row>
    <row r="800" spans="10:16">
      <c r="J800" s="5"/>
      <c r="L800">
        <f>FONO!M800</f>
        <v>0.83272407199999998</v>
      </c>
      <c r="M800">
        <f>FONO!N800</f>
        <v>79.400000000000006</v>
      </c>
      <c r="O800">
        <f>ABS(L800-FONO!$C$34)</f>
        <v>4.529236757395747</v>
      </c>
      <c r="P800">
        <f t="shared" si="13"/>
        <v>79.400000000000006</v>
      </c>
    </row>
    <row r="801" spans="10:16">
      <c r="J801" s="5"/>
      <c r="L801">
        <f>FONO!M801</f>
        <v>0.84745896000000198</v>
      </c>
      <c r="M801">
        <f>FONO!N801</f>
        <v>79.5</v>
      </c>
      <c r="O801">
        <f>ABS(L801-FONO!$C$34)</f>
        <v>4.5439716453957493</v>
      </c>
      <c r="P801">
        <f t="shared" si="13"/>
        <v>79.5</v>
      </c>
    </row>
    <row r="802" spans="10:16">
      <c r="J802" s="5"/>
      <c r="L802">
        <f>FONO!M802</f>
        <v>0.86107538400000005</v>
      </c>
      <c r="M802">
        <f>FONO!N802</f>
        <v>79.599999999999994</v>
      </c>
      <c r="O802">
        <f>ABS(L802-FONO!$C$34)</f>
        <v>4.5575880693957469</v>
      </c>
      <c r="P802">
        <f t="shared" si="13"/>
        <v>79.599999999999994</v>
      </c>
    </row>
    <row r="803" spans="10:16">
      <c r="J803" s="5"/>
      <c r="L803">
        <f>FONO!M803</f>
        <v>0.86210908799999997</v>
      </c>
      <c r="M803">
        <f>FONO!N803</f>
        <v>79.7</v>
      </c>
      <c r="O803">
        <f>ABS(L803-FONO!$C$34)</f>
        <v>4.558621773395747</v>
      </c>
      <c r="P803">
        <f t="shared" si="13"/>
        <v>79.7</v>
      </c>
    </row>
    <row r="804" spans="10:16">
      <c r="J804" s="5"/>
      <c r="L804">
        <f>FONO!M804</f>
        <v>0.86314279199999999</v>
      </c>
      <c r="M804">
        <f>FONO!N804</f>
        <v>79.8</v>
      </c>
      <c r="O804">
        <f>ABS(L804-FONO!$C$34)</f>
        <v>4.5596554773957472</v>
      </c>
      <c r="P804">
        <f t="shared" si="13"/>
        <v>79.8</v>
      </c>
    </row>
    <row r="805" spans="10:16">
      <c r="J805" s="5"/>
      <c r="L805">
        <f>FONO!M805</f>
        <v>0.86746414400000005</v>
      </c>
      <c r="M805">
        <f>FONO!N805</f>
        <v>79.900000000000006</v>
      </c>
      <c r="O805">
        <f>ABS(L805-FONO!$C$34)</f>
        <v>4.563976829395747</v>
      </c>
      <c r="P805">
        <f t="shared" si="13"/>
        <v>79.900000000000006</v>
      </c>
    </row>
    <row r="806" spans="10:16">
      <c r="J806" s="5"/>
      <c r="L806">
        <f>FONO!M806</f>
        <v>0.87469379999999997</v>
      </c>
      <c r="M806">
        <f>FONO!N806</f>
        <v>80</v>
      </c>
      <c r="O806">
        <f>ABS(L806-FONO!$C$34)</f>
        <v>4.5712064853957468</v>
      </c>
      <c r="P806">
        <f t="shared" si="13"/>
        <v>80</v>
      </c>
    </row>
    <row r="807" spans="10:16">
      <c r="J807" s="5"/>
      <c r="L807">
        <f>FONO!M807</f>
        <v>0.88192345599999999</v>
      </c>
      <c r="M807">
        <f>FONO!N807</f>
        <v>80.099999999999994</v>
      </c>
      <c r="O807">
        <f>ABS(L807-FONO!$C$34)</f>
        <v>4.5784361413957466</v>
      </c>
      <c r="P807">
        <f t="shared" si="13"/>
        <v>80.099999999999994</v>
      </c>
    </row>
    <row r="808" spans="10:16">
      <c r="J808" s="5"/>
      <c r="L808">
        <f>FONO!M808</f>
        <v>0.88278562400000005</v>
      </c>
      <c r="M808">
        <f>FONO!N808</f>
        <v>80.2</v>
      </c>
      <c r="O808">
        <f>ABS(L808-FONO!$C$34)</f>
        <v>4.5792983093957469</v>
      </c>
      <c r="P808">
        <f t="shared" si="13"/>
        <v>80.2</v>
      </c>
    </row>
    <row r="809" spans="10:16">
      <c r="J809" s="5"/>
      <c r="L809">
        <f>FONO!M809</f>
        <v>0.88351513599999998</v>
      </c>
      <c r="M809">
        <f>FONO!N809</f>
        <v>80.3</v>
      </c>
      <c r="O809">
        <f>ABS(L809-FONO!$C$34)</f>
        <v>4.5800278213957473</v>
      </c>
      <c r="P809">
        <f t="shared" si="13"/>
        <v>80.3</v>
      </c>
    </row>
    <row r="810" spans="10:16">
      <c r="J810" s="5"/>
      <c r="L810">
        <f>FONO!M810</f>
        <v>0.88625930399999997</v>
      </c>
      <c r="M810">
        <f>FONO!N810</f>
        <v>80.400000000000006</v>
      </c>
      <c r="O810">
        <f>ABS(L810-FONO!$C$34)</f>
        <v>4.5827719893957468</v>
      </c>
      <c r="P810">
        <f t="shared" si="13"/>
        <v>80.400000000000006</v>
      </c>
    </row>
    <row r="811" spans="10:16">
      <c r="J811" s="5"/>
      <c r="L811">
        <f>FONO!M811</f>
        <v>0.89168968000000004</v>
      </c>
      <c r="M811">
        <f>FONO!N811</f>
        <v>80.5</v>
      </c>
      <c r="O811">
        <f>ABS(L811-FONO!$C$34)</f>
        <v>4.5882023653957473</v>
      </c>
      <c r="P811">
        <f t="shared" si="13"/>
        <v>80.5</v>
      </c>
    </row>
    <row r="812" spans="10:16">
      <c r="J812" s="5"/>
      <c r="L812">
        <f>FONO!M812</f>
        <v>0.897120056</v>
      </c>
      <c r="M812">
        <f>FONO!N812</f>
        <v>80.599999999999994</v>
      </c>
      <c r="O812">
        <f>ABS(L812-FONO!$C$34)</f>
        <v>4.593632741395747</v>
      </c>
      <c r="P812">
        <f t="shared" si="13"/>
        <v>80.599999999999994</v>
      </c>
    </row>
    <row r="813" spans="10:16">
      <c r="J813" s="5"/>
      <c r="L813">
        <f>FONO!M813</f>
        <v>0.89806604800000001</v>
      </c>
      <c r="M813">
        <f>FONO!N813</f>
        <v>80.7</v>
      </c>
      <c r="O813">
        <f>ABS(L813-FONO!$C$34)</f>
        <v>4.5945787333957471</v>
      </c>
      <c r="P813">
        <f t="shared" si="13"/>
        <v>80.7</v>
      </c>
    </row>
    <row r="814" spans="10:16">
      <c r="J814" s="5"/>
      <c r="L814">
        <f>FONO!M814</f>
        <v>0.89838631199999996</v>
      </c>
      <c r="M814">
        <f>FONO!N814</f>
        <v>80.8</v>
      </c>
      <c r="O814">
        <f>ABS(L814-FONO!$C$34)</f>
        <v>4.594898997395747</v>
      </c>
      <c r="P814">
        <f t="shared" si="13"/>
        <v>80.8</v>
      </c>
    </row>
    <row r="815" spans="10:16">
      <c r="J815" s="5"/>
      <c r="L815">
        <f>FONO!M815</f>
        <v>0.90066958400000097</v>
      </c>
      <c r="M815">
        <f>FONO!N815</f>
        <v>80.900000000000006</v>
      </c>
      <c r="O815">
        <f>ABS(L815-FONO!$C$34)</f>
        <v>4.5971822693957485</v>
      </c>
      <c r="P815">
        <f t="shared" si="13"/>
        <v>80.900000000000006</v>
      </c>
    </row>
    <row r="816" spans="10:16">
      <c r="J816" s="5"/>
      <c r="L816">
        <f>FONO!M816</f>
        <v>0.90700156000000098</v>
      </c>
      <c r="M816">
        <f>FONO!N816</f>
        <v>81</v>
      </c>
      <c r="O816">
        <f>ABS(L816-FONO!$C$34)</f>
        <v>4.6035142453957478</v>
      </c>
      <c r="P816">
        <f t="shared" si="13"/>
        <v>81</v>
      </c>
    </row>
    <row r="817" spans="10:16">
      <c r="J817" s="5"/>
      <c r="L817">
        <f>FONO!M817</f>
        <v>0.913333536000001</v>
      </c>
      <c r="M817">
        <f>FONO!N817</f>
        <v>81.099999999999994</v>
      </c>
      <c r="O817">
        <f>ABS(L817-FONO!$C$34)</f>
        <v>4.6098462213957481</v>
      </c>
      <c r="P817">
        <f t="shared" si="13"/>
        <v>81.099999999999994</v>
      </c>
    </row>
    <row r="818" spans="10:16">
      <c r="J818" s="5"/>
      <c r="L818">
        <f>FONO!M818</f>
        <v>0.91671336800000003</v>
      </c>
      <c r="M818">
        <f>FONO!N818</f>
        <v>81.2</v>
      </c>
      <c r="O818">
        <f>ABS(L818-FONO!$C$34)</f>
        <v>4.6132260533957474</v>
      </c>
      <c r="P818">
        <f t="shared" si="13"/>
        <v>81.2</v>
      </c>
    </row>
    <row r="819" spans="10:16">
      <c r="J819" s="5"/>
      <c r="L819">
        <f>FONO!M819</f>
        <v>0.919238632</v>
      </c>
      <c r="M819">
        <f>FONO!N819</f>
        <v>81.3</v>
      </c>
      <c r="O819">
        <f>ABS(L819-FONO!$C$34)</f>
        <v>4.6157513173957474</v>
      </c>
      <c r="P819">
        <f t="shared" si="13"/>
        <v>81.3</v>
      </c>
    </row>
    <row r="820" spans="10:16">
      <c r="J820" s="5"/>
      <c r="L820">
        <f>FONO!M820</f>
        <v>0.92207207199999996</v>
      </c>
      <c r="M820">
        <f>FONO!N820</f>
        <v>81.400000000000006</v>
      </c>
      <c r="O820">
        <f>ABS(L820-FONO!$C$34)</f>
        <v>4.6185847573957473</v>
      </c>
      <c r="P820">
        <f t="shared" si="13"/>
        <v>81.400000000000006</v>
      </c>
    </row>
    <row r="821" spans="10:16">
      <c r="J821" s="5"/>
      <c r="L821">
        <f>FONO!M821</f>
        <v>0.92597012000000001</v>
      </c>
      <c r="M821">
        <f>FONO!N821</f>
        <v>81.5</v>
      </c>
      <c r="O821">
        <f>ABS(L821-FONO!$C$34)</f>
        <v>4.6224828053957472</v>
      </c>
      <c r="P821">
        <f t="shared" si="13"/>
        <v>81.5</v>
      </c>
    </row>
    <row r="822" spans="10:16">
      <c r="J822" s="5"/>
      <c r="L822">
        <f>FONO!M822</f>
        <v>0.92986816800000005</v>
      </c>
      <c r="M822">
        <f>FONO!N822</f>
        <v>81.599999999999994</v>
      </c>
      <c r="O822">
        <f>ABS(L822-FONO!$C$34)</f>
        <v>4.6263808533957471</v>
      </c>
      <c r="P822">
        <f t="shared" si="13"/>
        <v>81.599999999999994</v>
      </c>
    </row>
    <row r="823" spans="10:16">
      <c r="J823" s="5"/>
      <c r="L823">
        <f>FONO!M823</f>
        <v>0.94654566400000095</v>
      </c>
      <c r="M823">
        <f>FONO!N823</f>
        <v>81.7</v>
      </c>
      <c r="O823">
        <f>ABS(L823-FONO!$C$34)</f>
        <v>4.6430583493957478</v>
      </c>
      <c r="P823">
        <f t="shared" si="13"/>
        <v>81.7</v>
      </c>
    </row>
    <row r="824" spans="10:16">
      <c r="J824" s="5"/>
      <c r="L824">
        <f>FONO!M824</f>
        <v>0.96941925600000001</v>
      </c>
      <c r="M824">
        <f>FONO!N824</f>
        <v>81.8</v>
      </c>
      <c r="O824">
        <f>ABS(L824-FONO!$C$34)</f>
        <v>4.6659319413957467</v>
      </c>
      <c r="P824">
        <f t="shared" si="13"/>
        <v>81.8</v>
      </c>
    </row>
    <row r="825" spans="10:16">
      <c r="J825" s="5"/>
      <c r="L825">
        <f>FONO!M825</f>
        <v>0.98957004800000004</v>
      </c>
      <c r="M825">
        <f>FONO!N825</f>
        <v>81.900000000000006</v>
      </c>
      <c r="O825">
        <f>ABS(L825-FONO!$C$34)</f>
        <v>4.6860827333957467</v>
      </c>
      <c r="P825">
        <f t="shared" si="13"/>
        <v>81.900000000000006</v>
      </c>
    </row>
    <row r="826" spans="10:16">
      <c r="J826" s="5"/>
      <c r="L826">
        <f>FONO!M826</f>
        <v>0.99020744000000005</v>
      </c>
      <c r="M826">
        <f>FONO!N826</f>
        <v>82</v>
      </c>
      <c r="O826">
        <f>ABS(L826-FONO!$C$34)</f>
        <v>4.6867201253957473</v>
      </c>
      <c r="P826">
        <f t="shared" si="13"/>
        <v>82</v>
      </c>
    </row>
    <row r="827" spans="10:16">
      <c r="J827" s="5"/>
      <c r="L827">
        <f>FONO!M827</f>
        <v>0.99084483199999995</v>
      </c>
      <c r="M827">
        <f>FONO!N827</f>
        <v>82.1</v>
      </c>
      <c r="O827">
        <f>ABS(L827-FONO!$C$34)</f>
        <v>4.6873575173957471</v>
      </c>
      <c r="P827">
        <f t="shared" si="13"/>
        <v>82.1</v>
      </c>
    </row>
    <row r="828" spans="10:16">
      <c r="J828" s="5"/>
      <c r="L828">
        <f>FONO!M828</f>
        <v>0.99602113600000097</v>
      </c>
      <c r="M828">
        <f>FONO!N828</f>
        <v>82.2</v>
      </c>
      <c r="O828">
        <f>ABS(L828-FONO!$C$34)</f>
        <v>4.6925338213957479</v>
      </c>
      <c r="P828">
        <f t="shared" si="13"/>
        <v>82.2</v>
      </c>
    </row>
    <row r="829" spans="10:16">
      <c r="J829" s="5"/>
      <c r="L829">
        <f>FONO!M829</f>
        <v>1.004601624</v>
      </c>
      <c r="M829">
        <f>FONO!N829</f>
        <v>82.3</v>
      </c>
      <c r="O829">
        <f>ABS(L829-FONO!$C$34)</f>
        <v>4.7011143093957468</v>
      </c>
      <c r="P829">
        <f t="shared" si="13"/>
        <v>82.3</v>
      </c>
    </row>
    <row r="830" spans="10:16">
      <c r="J830" s="5"/>
      <c r="L830">
        <f>FONO!M830</f>
        <v>1.0130329360000001</v>
      </c>
      <c r="M830">
        <f>FONO!N830</f>
        <v>82.4</v>
      </c>
      <c r="O830">
        <f>ABS(L830-FONO!$C$34)</f>
        <v>4.7095456213957476</v>
      </c>
      <c r="P830">
        <f t="shared" si="13"/>
        <v>82.4</v>
      </c>
    </row>
    <row r="831" spans="10:16">
      <c r="J831" s="5"/>
      <c r="L831">
        <f>FONO!M831</f>
        <v>1.0143038</v>
      </c>
      <c r="M831">
        <f>FONO!N831</f>
        <v>82.5</v>
      </c>
      <c r="O831">
        <f>ABS(L831-FONO!$C$34)</f>
        <v>4.710816485395747</v>
      </c>
      <c r="P831">
        <f t="shared" si="13"/>
        <v>82.5</v>
      </c>
    </row>
    <row r="832" spans="10:16">
      <c r="J832" s="5"/>
      <c r="L832">
        <f>FONO!M832</f>
        <v>1.0155746640000001</v>
      </c>
      <c r="M832">
        <f>FONO!N832</f>
        <v>82.6</v>
      </c>
      <c r="O832">
        <f>ABS(L832-FONO!$C$34)</f>
        <v>4.7120873493957474</v>
      </c>
      <c r="P832">
        <f t="shared" si="13"/>
        <v>82.6</v>
      </c>
    </row>
    <row r="833" spans="10:16">
      <c r="J833" s="5"/>
      <c r="L833">
        <f>FONO!M833</f>
        <v>1.0232110080000001</v>
      </c>
      <c r="M833">
        <f>FONO!N833</f>
        <v>82.7</v>
      </c>
      <c r="O833">
        <f>ABS(L833-FONO!$C$34)</f>
        <v>4.7197236933957472</v>
      </c>
      <c r="P833">
        <f t="shared" si="13"/>
        <v>82.7</v>
      </c>
    </row>
    <row r="834" spans="10:16">
      <c r="J834" s="5"/>
      <c r="L834">
        <f>FONO!M834</f>
        <v>1.038043112</v>
      </c>
      <c r="M834">
        <f>FONO!N834</f>
        <v>82.8</v>
      </c>
      <c r="O834">
        <f>ABS(L834-FONO!$C$34)</f>
        <v>4.7345557973957471</v>
      </c>
      <c r="P834">
        <f t="shared" si="13"/>
        <v>82.8</v>
      </c>
    </row>
    <row r="835" spans="10:16">
      <c r="J835" s="5"/>
      <c r="L835">
        <f>FONO!M835</f>
        <v>1.0528752159999999</v>
      </c>
      <c r="M835">
        <f>FONO!N835</f>
        <v>82.9</v>
      </c>
      <c r="O835">
        <f>ABS(L835-FONO!$C$34)</f>
        <v>4.749387901395747</v>
      </c>
      <c r="P835">
        <f t="shared" si="13"/>
        <v>82.9</v>
      </c>
    </row>
    <row r="836" spans="10:16">
      <c r="J836" s="5"/>
      <c r="L836">
        <f>FONO!M836</f>
        <v>1.0548106799999999</v>
      </c>
      <c r="M836">
        <f>FONO!N836</f>
        <v>83</v>
      </c>
      <c r="O836">
        <f>ABS(L836-FONO!$C$34)</f>
        <v>4.7513233653957467</v>
      </c>
      <c r="P836">
        <f t="shared" si="13"/>
        <v>83</v>
      </c>
    </row>
    <row r="837" spans="10:16">
      <c r="J837" s="5"/>
      <c r="L837">
        <f>FONO!M837</f>
        <v>1.055599776</v>
      </c>
      <c r="M837">
        <f>FONO!N837</f>
        <v>83.1</v>
      </c>
      <c r="O837">
        <f>ABS(L837-FONO!$C$34)</f>
        <v>4.7521124613957468</v>
      </c>
      <c r="P837">
        <f t="shared" si="13"/>
        <v>83.1</v>
      </c>
    </row>
    <row r="838" spans="10:16">
      <c r="J838" s="5"/>
      <c r="L838">
        <f>FONO!M838</f>
        <v>1.0587327600000001</v>
      </c>
      <c r="M838">
        <f>FONO!N838</f>
        <v>83.2</v>
      </c>
      <c r="O838">
        <f>ABS(L838-FONO!$C$34)</f>
        <v>4.7552454453957473</v>
      </c>
      <c r="P838">
        <f t="shared" si="13"/>
        <v>83.2</v>
      </c>
    </row>
    <row r="839" spans="10:16">
      <c r="J839" s="5"/>
      <c r="L839">
        <f>FONO!M839</f>
        <v>1.0659024399999999</v>
      </c>
      <c r="M839">
        <f>FONO!N839</f>
        <v>83.3</v>
      </c>
      <c r="O839">
        <f>ABS(L839-FONO!$C$34)</f>
        <v>4.762415125395747</v>
      </c>
      <c r="P839">
        <f t="shared" ref="P839:P902" si="14">M839</f>
        <v>83.3</v>
      </c>
    </row>
    <row r="840" spans="10:16">
      <c r="J840" s="5"/>
      <c r="L840">
        <f>FONO!M840</f>
        <v>1.07307212</v>
      </c>
      <c r="M840">
        <f>FONO!N840</f>
        <v>83.4</v>
      </c>
      <c r="O840">
        <f>ABS(L840-FONO!$C$34)</f>
        <v>4.7695848053957466</v>
      </c>
      <c r="P840">
        <f t="shared" si="14"/>
        <v>83.4</v>
      </c>
    </row>
    <row r="841" spans="10:16">
      <c r="J841" s="5"/>
      <c r="L841">
        <f>FONO!M841</f>
        <v>1.07608788</v>
      </c>
      <c r="M841">
        <f>FONO!N841</f>
        <v>83.5</v>
      </c>
      <c r="O841">
        <f>ABS(L841-FONO!$C$34)</f>
        <v>4.7726005653957468</v>
      </c>
      <c r="P841">
        <f t="shared" si="14"/>
        <v>83.5</v>
      </c>
    </row>
    <row r="842" spans="10:16">
      <c r="J842" s="5"/>
      <c r="L842">
        <f>FONO!M842</f>
        <v>1.0781690079999999</v>
      </c>
      <c r="M842">
        <f>FONO!N842</f>
        <v>83.6</v>
      </c>
      <c r="O842">
        <f>ABS(L842-FONO!$C$34)</f>
        <v>4.7746816933957472</v>
      </c>
      <c r="P842">
        <f t="shared" si="14"/>
        <v>83.6</v>
      </c>
    </row>
    <row r="843" spans="10:16">
      <c r="J843" s="5"/>
      <c r="L843">
        <f>FONO!M843</f>
        <v>1.079872824</v>
      </c>
      <c r="M843">
        <f>FONO!N843</f>
        <v>83.7</v>
      </c>
      <c r="O843">
        <f>ABS(L843-FONO!$C$34)</f>
        <v>4.7763855093957472</v>
      </c>
      <c r="P843">
        <f t="shared" si="14"/>
        <v>83.7</v>
      </c>
    </row>
    <row r="844" spans="10:16">
      <c r="J844" s="5"/>
      <c r="L844">
        <f>FONO!M844</f>
        <v>1.0805317759999999</v>
      </c>
      <c r="M844">
        <f>FONO!N844</f>
        <v>83.8</v>
      </c>
      <c r="O844">
        <f>ABS(L844-FONO!$C$34)</f>
        <v>4.7770444613957466</v>
      </c>
      <c r="P844">
        <f t="shared" si="14"/>
        <v>83.8</v>
      </c>
    </row>
    <row r="845" spans="10:16">
      <c r="J845" s="5"/>
      <c r="L845">
        <f>FONO!M845</f>
        <v>1.0811907279999999</v>
      </c>
      <c r="M845">
        <f>FONO!N845</f>
        <v>83.9</v>
      </c>
      <c r="O845">
        <f>ABS(L845-FONO!$C$34)</f>
        <v>4.7777034133957468</v>
      </c>
      <c r="P845">
        <f t="shared" si="14"/>
        <v>83.9</v>
      </c>
    </row>
    <row r="846" spans="10:16">
      <c r="J846" s="5"/>
      <c r="L846">
        <f>FONO!M846</f>
        <v>1.08308644</v>
      </c>
      <c r="M846">
        <f>FONO!N846</f>
        <v>84</v>
      </c>
      <c r="O846">
        <f>ABS(L846-FONO!$C$34)</f>
        <v>4.7795991253957473</v>
      </c>
      <c r="P846">
        <f t="shared" si="14"/>
        <v>84</v>
      </c>
    </row>
    <row r="847" spans="10:16">
      <c r="J847" s="5"/>
      <c r="L847">
        <f>FONO!M847</f>
        <v>1.0854768560000001</v>
      </c>
      <c r="M847">
        <f>FONO!N847</f>
        <v>84.1</v>
      </c>
      <c r="O847">
        <f>ABS(L847-FONO!$C$34)</f>
        <v>4.7819895413957472</v>
      </c>
      <c r="P847">
        <f t="shared" si="14"/>
        <v>84.1</v>
      </c>
    </row>
    <row r="848" spans="10:16">
      <c r="J848" s="5"/>
      <c r="L848">
        <f>FONO!M848</f>
        <v>1.0877456720000001</v>
      </c>
      <c r="M848">
        <f>FONO!N848</f>
        <v>84.2</v>
      </c>
      <c r="O848">
        <f>ABS(L848-FONO!$C$34)</f>
        <v>4.7842583573957471</v>
      </c>
      <c r="P848">
        <f t="shared" si="14"/>
        <v>84.2</v>
      </c>
    </row>
    <row r="849" spans="10:16">
      <c r="J849" s="5"/>
      <c r="L849">
        <f>FONO!M849</f>
        <v>1.0893912880000001</v>
      </c>
      <c r="M849">
        <f>FONO!N849</f>
        <v>84.3</v>
      </c>
      <c r="O849">
        <f>ABS(L849-FONO!$C$34)</f>
        <v>4.7859039733957474</v>
      </c>
      <c r="P849">
        <f t="shared" si="14"/>
        <v>84.3</v>
      </c>
    </row>
    <row r="850" spans="10:16">
      <c r="J850" s="5"/>
      <c r="L850">
        <f>FONO!M850</f>
        <v>1.0910369040000001</v>
      </c>
      <c r="M850">
        <f>FONO!N850</f>
        <v>84.4</v>
      </c>
      <c r="O850">
        <f>ABS(L850-FONO!$C$34)</f>
        <v>4.7875495893957467</v>
      </c>
      <c r="P850">
        <f t="shared" si="14"/>
        <v>84.4</v>
      </c>
    </row>
    <row r="851" spans="10:16">
      <c r="J851" s="5"/>
      <c r="L851">
        <f>FONO!M851</f>
        <v>1.0961365999999999</v>
      </c>
      <c r="M851">
        <f>FONO!N851</f>
        <v>84.5</v>
      </c>
      <c r="O851">
        <f>ABS(L851-FONO!$C$34)</f>
        <v>4.792649285395747</v>
      </c>
      <c r="P851">
        <f t="shared" si="14"/>
        <v>84.5</v>
      </c>
    </row>
    <row r="852" spans="10:16">
      <c r="J852" s="5"/>
      <c r="L852">
        <f>FONO!M852</f>
        <v>1.10342388</v>
      </c>
      <c r="M852">
        <f>FONO!N852</f>
        <v>84.6</v>
      </c>
      <c r="O852">
        <f>ABS(L852-FONO!$C$34)</f>
        <v>4.7999365653957469</v>
      </c>
      <c r="P852">
        <f t="shared" si="14"/>
        <v>84.6</v>
      </c>
    </row>
    <row r="853" spans="10:16">
      <c r="J853" s="5"/>
      <c r="L853">
        <f>FONO!M853</f>
        <v>1.110686896</v>
      </c>
      <c r="M853">
        <f>FONO!N853</f>
        <v>84.7</v>
      </c>
      <c r="O853">
        <f>ABS(L853-FONO!$C$34)</f>
        <v>4.8071995813957473</v>
      </c>
      <c r="P853">
        <f t="shared" si="14"/>
        <v>84.7</v>
      </c>
    </row>
    <row r="854" spans="10:16">
      <c r="J854" s="5"/>
      <c r="L854">
        <f>FONO!M854</f>
        <v>1.117577864</v>
      </c>
      <c r="M854">
        <f>FONO!N854</f>
        <v>84.8</v>
      </c>
      <c r="O854">
        <f>ABS(L854-FONO!$C$34)</f>
        <v>4.8140905493957469</v>
      </c>
      <c r="P854">
        <f t="shared" si="14"/>
        <v>84.8</v>
      </c>
    </row>
    <row r="855" spans="10:16">
      <c r="J855" s="5"/>
      <c r="L855">
        <f>FONO!M855</f>
        <v>1.124468832</v>
      </c>
      <c r="M855">
        <f>FONO!N855</f>
        <v>84.9</v>
      </c>
      <c r="O855">
        <f>ABS(L855-FONO!$C$34)</f>
        <v>4.8209815173957473</v>
      </c>
      <c r="P855">
        <f t="shared" si="14"/>
        <v>84.9</v>
      </c>
    </row>
    <row r="856" spans="10:16">
      <c r="J856" s="5"/>
      <c r="L856">
        <f>FONO!M856</f>
        <v>1.1292574</v>
      </c>
      <c r="M856">
        <f>FONO!N856</f>
        <v>85</v>
      </c>
      <c r="O856">
        <f>ABS(L856-FONO!$C$34)</f>
        <v>4.8257700853957468</v>
      </c>
      <c r="P856">
        <f t="shared" si="14"/>
        <v>85</v>
      </c>
    </row>
    <row r="857" spans="10:16">
      <c r="J857" s="5"/>
      <c r="L857">
        <f>FONO!M857</f>
        <v>1.132027664</v>
      </c>
      <c r="M857">
        <f>FONO!N857</f>
        <v>85.1</v>
      </c>
      <c r="O857">
        <f>ABS(L857-FONO!$C$34)</f>
        <v>4.8285403493957473</v>
      </c>
      <c r="P857">
        <f t="shared" si="14"/>
        <v>85.1</v>
      </c>
    </row>
    <row r="858" spans="10:16">
      <c r="J858" s="5"/>
      <c r="L858">
        <f>FONO!M858</f>
        <v>1.134797928</v>
      </c>
      <c r="M858">
        <f>FONO!N858</f>
        <v>85.2</v>
      </c>
      <c r="O858">
        <f>ABS(L858-FONO!$C$34)</f>
        <v>4.8313106133957469</v>
      </c>
      <c r="P858">
        <f t="shared" si="14"/>
        <v>85.2</v>
      </c>
    </row>
    <row r="859" spans="10:16">
      <c r="J859" s="5"/>
      <c r="L859">
        <f>FONO!M859</f>
        <v>1.136408608</v>
      </c>
      <c r="M859">
        <f>FONO!N859</f>
        <v>85.3</v>
      </c>
      <c r="O859">
        <f>ABS(L859-FONO!$C$34)</f>
        <v>4.8329212933957475</v>
      </c>
      <c r="P859">
        <f t="shared" si="14"/>
        <v>85.3</v>
      </c>
    </row>
    <row r="860" spans="10:16">
      <c r="J860" s="5"/>
      <c r="L860">
        <f>FONO!M860</f>
        <v>1.137969944</v>
      </c>
      <c r="M860">
        <f>FONO!N860</f>
        <v>85.4</v>
      </c>
      <c r="O860">
        <f>ABS(L860-FONO!$C$34)</f>
        <v>4.8344826293957475</v>
      </c>
      <c r="P860">
        <f t="shared" si="14"/>
        <v>85.4</v>
      </c>
    </row>
    <row r="861" spans="10:16">
      <c r="J861" s="5"/>
      <c r="L861">
        <f>FONO!M861</f>
        <v>1.14091432</v>
      </c>
      <c r="M861">
        <f>FONO!N861</f>
        <v>85.5</v>
      </c>
      <c r="O861">
        <f>ABS(L861-FONO!$C$34)</f>
        <v>4.8374270053957469</v>
      </c>
      <c r="P861">
        <f t="shared" si="14"/>
        <v>85.5</v>
      </c>
    </row>
    <row r="862" spans="10:16">
      <c r="J862" s="5"/>
      <c r="L862">
        <f>FONO!M862</f>
        <v>1.1458641039999999</v>
      </c>
      <c r="M862">
        <f>FONO!N862</f>
        <v>85.6</v>
      </c>
      <c r="O862">
        <f>ABS(L862-FONO!$C$34)</f>
        <v>4.8423767893957468</v>
      </c>
      <c r="P862">
        <f t="shared" si="14"/>
        <v>85.6</v>
      </c>
    </row>
    <row r="863" spans="10:16">
      <c r="J863" s="5"/>
      <c r="L863">
        <f>FONO!M863</f>
        <v>1.1508138880000001</v>
      </c>
      <c r="M863">
        <f>FONO!N863</f>
        <v>85.7</v>
      </c>
      <c r="O863">
        <f>ABS(L863-FONO!$C$34)</f>
        <v>4.8473265733957476</v>
      </c>
      <c r="P863">
        <f t="shared" si="14"/>
        <v>85.7</v>
      </c>
    </row>
    <row r="864" spans="10:16">
      <c r="J864" s="5"/>
      <c r="L864">
        <f>FONO!M864</f>
        <v>1.158030664</v>
      </c>
      <c r="M864">
        <f>FONO!N864</f>
        <v>85.8</v>
      </c>
      <c r="O864">
        <f>ABS(L864-FONO!$C$34)</f>
        <v>4.8545433493957475</v>
      </c>
      <c r="P864">
        <f t="shared" si="14"/>
        <v>85.8</v>
      </c>
    </row>
    <row r="865" spans="10:16">
      <c r="J865" s="5"/>
      <c r="L865">
        <f>FONO!M865</f>
        <v>1.165625272</v>
      </c>
      <c r="M865">
        <f>FONO!N865</f>
        <v>85.9</v>
      </c>
      <c r="O865">
        <f>ABS(L865-FONO!$C$34)</f>
        <v>4.8621379573957473</v>
      </c>
      <c r="P865">
        <f t="shared" si="14"/>
        <v>85.9</v>
      </c>
    </row>
    <row r="866" spans="10:16">
      <c r="J866" s="5"/>
      <c r="L866">
        <f>FONO!M866</f>
        <v>1.17382984</v>
      </c>
      <c r="M866">
        <f>FONO!N866</f>
        <v>86</v>
      </c>
      <c r="O866">
        <f>ABS(L866-FONO!$C$34)</f>
        <v>4.8703425253957473</v>
      </c>
      <c r="P866">
        <f t="shared" si="14"/>
        <v>86</v>
      </c>
    </row>
    <row r="867" spans="10:16">
      <c r="J867" s="5"/>
      <c r="L867">
        <f>FONO!M867</f>
        <v>1.1834169839999999</v>
      </c>
      <c r="M867">
        <f>FONO!N867</f>
        <v>86.1</v>
      </c>
      <c r="O867">
        <f>ABS(L867-FONO!$C$34)</f>
        <v>4.8799296693957466</v>
      </c>
      <c r="P867">
        <f t="shared" si="14"/>
        <v>86.1</v>
      </c>
    </row>
    <row r="868" spans="10:16">
      <c r="J868" s="5"/>
      <c r="L868">
        <f>FONO!M868</f>
        <v>1.1930041280000001</v>
      </c>
      <c r="M868">
        <f>FONO!N868</f>
        <v>86.2</v>
      </c>
      <c r="O868">
        <f>ABS(L868-FONO!$C$34)</f>
        <v>4.8895168133957476</v>
      </c>
      <c r="P868">
        <f t="shared" si="14"/>
        <v>86.2</v>
      </c>
    </row>
    <row r="869" spans="10:16">
      <c r="J869" s="5"/>
      <c r="L869">
        <f>FONO!M869</f>
        <v>1.209660344</v>
      </c>
      <c r="M869">
        <f>FONO!N869</f>
        <v>86.3</v>
      </c>
      <c r="O869">
        <f>ABS(L869-FONO!$C$34)</f>
        <v>4.9061730293957471</v>
      </c>
      <c r="P869">
        <f t="shared" si="14"/>
        <v>86.3</v>
      </c>
    </row>
    <row r="870" spans="10:16">
      <c r="J870" s="5"/>
      <c r="L870">
        <f>FONO!M870</f>
        <v>1.2286092319999999</v>
      </c>
      <c r="M870">
        <f>FONO!N870</f>
        <v>86.4</v>
      </c>
      <c r="O870">
        <f>ABS(L870-FONO!$C$34)</f>
        <v>4.9251219173957468</v>
      </c>
      <c r="P870">
        <f t="shared" si="14"/>
        <v>86.4</v>
      </c>
    </row>
    <row r="871" spans="10:16">
      <c r="J871" s="5"/>
      <c r="L871">
        <f>FONO!M871</f>
        <v>1.24549428</v>
      </c>
      <c r="M871">
        <f>FONO!N871</f>
        <v>86.5</v>
      </c>
      <c r="O871">
        <f>ABS(L871-FONO!$C$34)</f>
        <v>4.9420069653957466</v>
      </c>
      <c r="P871">
        <f t="shared" si="14"/>
        <v>86.5</v>
      </c>
    </row>
    <row r="872" spans="10:16">
      <c r="J872" s="5"/>
      <c r="L872">
        <f>FONO!M872</f>
        <v>1.254330352</v>
      </c>
      <c r="M872">
        <f>FONO!N872</f>
        <v>86.6</v>
      </c>
      <c r="O872">
        <f>ABS(L872-FONO!$C$34)</f>
        <v>4.9508430373957468</v>
      </c>
      <c r="P872">
        <f t="shared" si="14"/>
        <v>86.6</v>
      </c>
    </row>
    <row r="873" spans="10:16">
      <c r="J873" s="5"/>
      <c r="L873">
        <f>FONO!M873</f>
        <v>1.263166424</v>
      </c>
      <c r="M873">
        <f>FONO!N873</f>
        <v>86.7</v>
      </c>
      <c r="O873">
        <f>ABS(L873-FONO!$C$34)</f>
        <v>4.9596791093957471</v>
      </c>
      <c r="P873">
        <f t="shared" si="14"/>
        <v>86.7</v>
      </c>
    </row>
    <row r="874" spans="10:16">
      <c r="J874" s="5"/>
      <c r="L874">
        <f>FONO!M874</f>
        <v>1.273620416</v>
      </c>
      <c r="M874">
        <f>FONO!N874</f>
        <v>86.8</v>
      </c>
      <c r="O874">
        <f>ABS(L874-FONO!$C$34)</f>
        <v>4.9701331013957475</v>
      </c>
      <c r="P874">
        <f t="shared" si="14"/>
        <v>86.8</v>
      </c>
    </row>
    <row r="875" spans="10:16">
      <c r="J875" s="5"/>
      <c r="L875">
        <f>FONO!M875</f>
        <v>1.2849339280000001</v>
      </c>
      <c r="M875">
        <f>FONO!N875</f>
        <v>86.9</v>
      </c>
      <c r="O875">
        <f>ABS(L875-FONO!$C$34)</f>
        <v>4.9814466133957467</v>
      </c>
      <c r="P875">
        <f t="shared" si="14"/>
        <v>86.9</v>
      </c>
    </row>
    <row r="876" spans="10:16">
      <c r="J876" s="5"/>
      <c r="L876">
        <f>FONO!M876</f>
        <v>1.29547948</v>
      </c>
      <c r="M876">
        <f>FONO!N876</f>
        <v>87</v>
      </c>
      <c r="O876">
        <f>ABS(L876-FONO!$C$34)</f>
        <v>4.9919921653957466</v>
      </c>
      <c r="P876">
        <f t="shared" si="14"/>
        <v>87</v>
      </c>
    </row>
    <row r="877" spans="10:16">
      <c r="J877" s="5"/>
      <c r="L877">
        <f>FONO!M877</f>
        <v>1.299266984</v>
      </c>
      <c r="M877">
        <f>FONO!N877</f>
        <v>87.1</v>
      </c>
      <c r="O877">
        <f>ABS(L877-FONO!$C$34)</f>
        <v>4.9957796693957466</v>
      </c>
      <c r="P877">
        <f t="shared" si="14"/>
        <v>87.1</v>
      </c>
    </row>
    <row r="878" spans="10:16">
      <c r="J878" s="5"/>
      <c r="L878">
        <f>FONO!M878</f>
        <v>1.3030544879999999</v>
      </c>
      <c r="M878">
        <f>FONO!N878</f>
        <v>87.2</v>
      </c>
      <c r="O878">
        <f>ABS(L878-FONO!$C$34)</f>
        <v>4.9995671733957465</v>
      </c>
      <c r="P878">
        <f t="shared" si="14"/>
        <v>87.2</v>
      </c>
    </row>
    <row r="879" spans="10:16">
      <c r="J879" s="5"/>
      <c r="L879">
        <f>FONO!M879</f>
        <v>1.306240216</v>
      </c>
      <c r="M879">
        <f>FONO!N879</f>
        <v>87.3</v>
      </c>
      <c r="O879">
        <f>ABS(L879-FONO!$C$34)</f>
        <v>5.0027529013957466</v>
      </c>
      <c r="P879">
        <f t="shared" si="14"/>
        <v>87.3</v>
      </c>
    </row>
    <row r="880" spans="10:16">
      <c r="J880" s="5"/>
      <c r="L880">
        <f>FONO!M880</f>
        <v>1.3089356080000001</v>
      </c>
      <c r="M880">
        <f>FONO!N880</f>
        <v>87.4</v>
      </c>
      <c r="O880">
        <f>ABS(L880-FONO!$C$34)</f>
        <v>5.0054482933957472</v>
      </c>
      <c r="P880">
        <f t="shared" si="14"/>
        <v>87.4</v>
      </c>
    </row>
    <row r="881" spans="10:16">
      <c r="J881" s="5"/>
      <c r="L881">
        <f>FONO!M881</f>
        <v>1.311631</v>
      </c>
      <c r="M881">
        <f>FONO!N881</f>
        <v>87.5</v>
      </c>
      <c r="O881">
        <f>ABS(L881-FONO!$C$34)</f>
        <v>5.0081436853957468</v>
      </c>
      <c r="P881">
        <f t="shared" si="14"/>
        <v>87.5</v>
      </c>
    </row>
    <row r="882" spans="10:16">
      <c r="J882" s="5"/>
      <c r="L882">
        <f>FONO!M882</f>
        <v>1.3127525120000001</v>
      </c>
      <c r="M882">
        <f>FONO!N882</f>
        <v>87.6</v>
      </c>
      <c r="O882">
        <f>ABS(L882-FONO!$C$34)</f>
        <v>5.0092651973957469</v>
      </c>
      <c r="P882">
        <f t="shared" si="14"/>
        <v>87.6</v>
      </c>
    </row>
    <row r="883" spans="10:16">
      <c r="J883" s="5"/>
      <c r="L883">
        <f>FONO!M883</f>
        <v>1.313874024</v>
      </c>
      <c r="M883">
        <f>FONO!N883</f>
        <v>87.7</v>
      </c>
      <c r="O883">
        <f>ABS(L883-FONO!$C$34)</f>
        <v>5.010386709395747</v>
      </c>
      <c r="P883">
        <f t="shared" si="14"/>
        <v>87.7</v>
      </c>
    </row>
    <row r="884" spans="10:16">
      <c r="J884" s="5"/>
      <c r="L884">
        <f>FONO!M884</f>
        <v>1.3162868480000001</v>
      </c>
      <c r="M884">
        <f>FONO!N884</f>
        <v>87.8</v>
      </c>
      <c r="O884">
        <f>ABS(L884-FONO!$C$34)</f>
        <v>5.0127995333957474</v>
      </c>
      <c r="P884">
        <f t="shared" si="14"/>
        <v>87.8</v>
      </c>
    </row>
    <row r="885" spans="10:16">
      <c r="J885" s="5"/>
      <c r="L885">
        <f>FONO!M885</f>
        <v>1.320284464</v>
      </c>
      <c r="M885">
        <f>FONO!N885</f>
        <v>87.9</v>
      </c>
      <c r="O885">
        <f>ABS(L885-FONO!$C$34)</f>
        <v>5.0167971493957468</v>
      </c>
      <c r="P885">
        <f t="shared" si="14"/>
        <v>87.9</v>
      </c>
    </row>
    <row r="886" spans="10:16">
      <c r="J886" s="5"/>
      <c r="L886">
        <f>FONO!M886</f>
        <v>1.3242820799999999</v>
      </c>
      <c r="M886">
        <f>FONO!N886</f>
        <v>88</v>
      </c>
      <c r="O886">
        <f>ABS(L886-FONO!$C$34)</f>
        <v>5.0207947653957472</v>
      </c>
      <c r="P886">
        <f t="shared" si="14"/>
        <v>88</v>
      </c>
    </row>
    <row r="887" spans="10:16">
      <c r="J887" s="5"/>
      <c r="L887">
        <f>FONO!M887</f>
        <v>1.3248170720000001</v>
      </c>
      <c r="M887">
        <f>FONO!N887</f>
        <v>88.1</v>
      </c>
      <c r="O887">
        <f>ABS(L887-FONO!$C$34)</f>
        <v>5.0213297573957476</v>
      </c>
      <c r="P887">
        <f t="shared" si="14"/>
        <v>88.1</v>
      </c>
    </row>
    <row r="888" spans="10:16">
      <c r="J888" s="5"/>
      <c r="L888">
        <f>FONO!M888</f>
        <v>1.324958584</v>
      </c>
      <c r="M888">
        <f>FONO!N888</f>
        <v>88.2</v>
      </c>
      <c r="O888">
        <f>ABS(L888-FONO!$C$34)</f>
        <v>5.0214712693957466</v>
      </c>
      <c r="P888">
        <f t="shared" si="14"/>
        <v>88.2</v>
      </c>
    </row>
    <row r="889" spans="10:16">
      <c r="J889" s="5"/>
      <c r="L889">
        <f>FONO!M889</f>
        <v>1.327725168</v>
      </c>
      <c r="M889">
        <f>FONO!N889</f>
        <v>88.3</v>
      </c>
      <c r="O889">
        <f>ABS(L889-FONO!$C$34)</f>
        <v>5.0242378533957472</v>
      </c>
      <c r="P889">
        <f t="shared" si="14"/>
        <v>88.3</v>
      </c>
    </row>
    <row r="890" spans="10:16">
      <c r="J890" s="5"/>
      <c r="L890">
        <f>FONO!M890</f>
        <v>1.3354330640000001</v>
      </c>
      <c r="M890">
        <f>FONO!N890</f>
        <v>88.4</v>
      </c>
      <c r="O890">
        <f>ABS(L890-FONO!$C$34)</f>
        <v>5.0319457493957476</v>
      </c>
      <c r="P890">
        <f t="shared" si="14"/>
        <v>88.4</v>
      </c>
    </row>
    <row r="891" spans="10:16">
      <c r="J891" s="5"/>
      <c r="L891">
        <f>FONO!M891</f>
        <v>1.3431409599999999</v>
      </c>
      <c r="M891">
        <f>FONO!N891</f>
        <v>88.5</v>
      </c>
      <c r="O891">
        <f>ABS(L891-FONO!$C$34)</f>
        <v>5.039653645395747</v>
      </c>
      <c r="P891">
        <f t="shared" si="14"/>
        <v>88.5</v>
      </c>
    </row>
    <row r="892" spans="10:16">
      <c r="J892" s="5"/>
      <c r="L892">
        <f>FONO!M892</f>
        <v>1.346463384</v>
      </c>
      <c r="M892">
        <f>FONO!N892</f>
        <v>88.6</v>
      </c>
      <c r="O892">
        <f>ABS(L892-FONO!$C$34)</f>
        <v>5.0429760693957473</v>
      </c>
      <c r="P892">
        <f t="shared" si="14"/>
        <v>88.6</v>
      </c>
    </row>
    <row r="893" spans="10:16">
      <c r="J893" s="5"/>
      <c r="L893">
        <f>FONO!M893</f>
        <v>1.3486613279999999</v>
      </c>
      <c r="M893">
        <f>FONO!N893</f>
        <v>88.7</v>
      </c>
      <c r="O893">
        <f>ABS(L893-FONO!$C$34)</f>
        <v>5.045174013395747</v>
      </c>
      <c r="P893">
        <f t="shared" si="14"/>
        <v>88.7</v>
      </c>
    </row>
    <row r="894" spans="10:16">
      <c r="J894" s="5"/>
      <c r="L894">
        <f>FONO!M894</f>
        <v>1.350540552</v>
      </c>
      <c r="M894">
        <f>FONO!N894</f>
        <v>88.8</v>
      </c>
      <c r="O894">
        <f>ABS(L894-FONO!$C$34)</f>
        <v>5.0470532373957475</v>
      </c>
      <c r="P894">
        <f t="shared" si="14"/>
        <v>88.8</v>
      </c>
    </row>
    <row r="895" spans="10:16">
      <c r="J895" s="5"/>
      <c r="L895">
        <f>FONO!M895</f>
        <v>1.351437056</v>
      </c>
      <c r="M895">
        <f>FONO!N895</f>
        <v>88.9</v>
      </c>
      <c r="O895">
        <f>ABS(L895-FONO!$C$34)</f>
        <v>5.0479497413957475</v>
      </c>
      <c r="P895">
        <f t="shared" si="14"/>
        <v>88.9</v>
      </c>
    </row>
    <row r="896" spans="10:16">
      <c r="J896" s="5"/>
      <c r="L896">
        <f>FONO!M896</f>
        <v>1.3523335599999999</v>
      </c>
      <c r="M896">
        <f>FONO!N896</f>
        <v>89</v>
      </c>
      <c r="O896">
        <f>ABS(L896-FONO!$C$34)</f>
        <v>5.0488462453957474</v>
      </c>
      <c r="P896">
        <f t="shared" si="14"/>
        <v>89</v>
      </c>
    </row>
    <row r="897" spans="10:16">
      <c r="J897" s="5"/>
      <c r="L897">
        <f>FONO!M897</f>
        <v>1.3550448479999999</v>
      </c>
      <c r="M897">
        <f>FONO!N897</f>
        <v>89.1</v>
      </c>
      <c r="O897">
        <f>ABS(L897-FONO!$C$34)</f>
        <v>5.051557533395747</v>
      </c>
      <c r="P897">
        <f t="shared" si="14"/>
        <v>89.1</v>
      </c>
    </row>
    <row r="898" spans="10:16">
      <c r="J898" s="5"/>
      <c r="L898">
        <f>FONO!M898</f>
        <v>1.3585567759999999</v>
      </c>
      <c r="M898">
        <f>FONO!N898</f>
        <v>89.2</v>
      </c>
      <c r="O898">
        <f>ABS(L898-FONO!$C$34)</f>
        <v>5.055069461395747</v>
      </c>
      <c r="P898">
        <f t="shared" si="14"/>
        <v>89.2</v>
      </c>
    </row>
    <row r="899" spans="10:16">
      <c r="J899" s="5"/>
      <c r="L899">
        <f>FONO!M899</f>
        <v>1.3620156160000001</v>
      </c>
      <c r="M899">
        <f>FONO!N899</f>
        <v>89.3</v>
      </c>
      <c r="O899">
        <f>ABS(L899-FONO!$C$34)</f>
        <v>5.0585283013957474</v>
      </c>
      <c r="P899">
        <f t="shared" si="14"/>
        <v>89.3</v>
      </c>
    </row>
    <row r="900" spans="10:16">
      <c r="J900" s="5"/>
      <c r="L900">
        <f>FONO!M900</f>
        <v>1.3651559280000001</v>
      </c>
      <c r="M900">
        <f>FONO!N900</f>
        <v>89.4</v>
      </c>
      <c r="O900">
        <f>ABS(L900-FONO!$C$34)</f>
        <v>5.0616686133957476</v>
      </c>
      <c r="P900">
        <f t="shared" si="14"/>
        <v>89.4</v>
      </c>
    </row>
    <row r="901" spans="10:16">
      <c r="J901" s="5"/>
      <c r="L901">
        <f>FONO!M901</f>
        <v>1.3682962400000001</v>
      </c>
      <c r="M901">
        <f>FONO!N901</f>
        <v>89.5</v>
      </c>
      <c r="O901">
        <f>ABS(L901-FONO!$C$34)</f>
        <v>5.0648089253957469</v>
      </c>
      <c r="P901">
        <f t="shared" si="14"/>
        <v>89.5</v>
      </c>
    </row>
    <row r="902" spans="10:16">
      <c r="J902" s="5"/>
      <c r="L902">
        <f>FONO!M902</f>
        <v>1.3709925039999999</v>
      </c>
      <c r="M902">
        <f>FONO!N902</f>
        <v>89.6</v>
      </c>
      <c r="O902">
        <f>ABS(L902-FONO!$C$34)</f>
        <v>5.0675051893957468</v>
      </c>
      <c r="P902">
        <f t="shared" si="14"/>
        <v>89.6</v>
      </c>
    </row>
    <row r="903" spans="10:16">
      <c r="J903" s="5"/>
      <c r="L903">
        <f>FONO!M903</f>
        <v>1.373382528</v>
      </c>
      <c r="M903">
        <f>FONO!N903</f>
        <v>89.7</v>
      </c>
      <c r="O903">
        <f>ABS(L903-FONO!$C$34)</f>
        <v>5.0698952133957471</v>
      </c>
      <c r="P903">
        <f t="shared" ref="P903:P966" si="15">M903</f>
        <v>89.7</v>
      </c>
    </row>
    <row r="904" spans="10:16">
      <c r="J904" s="5"/>
      <c r="L904">
        <f>FONO!M904</f>
        <v>1.37670972</v>
      </c>
      <c r="M904">
        <f>FONO!N904</f>
        <v>89.8</v>
      </c>
      <c r="O904">
        <f>ABS(L904-FONO!$C$34)</f>
        <v>5.0732224053957466</v>
      </c>
      <c r="P904">
        <f t="shared" si="15"/>
        <v>89.8</v>
      </c>
    </row>
    <row r="905" spans="10:16">
      <c r="J905" s="5"/>
      <c r="L905">
        <f>FONO!M905</f>
        <v>1.4020603599999999</v>
      </c>
      <c r="M905">
        <f>FONO!N905</f>
        <v>89.9</v>
      </c>
      <c r="O905">
        <f>ABS(L905-FONO!$C$34)</f>
        <v>5.0985730453957467</v>
      </c>
      <c r="P905">
        <f t="shared" si="15"/>
        <v>89.9</v>
      </c>
    </row>
    <row r="906" spans="10:16">
      <c r="J906" s="5"/>
      <c r="L906">
        <f>FONO!M906</f>
        <v>1.427411</v>
      </c>
      <c r="M906">
        <f>FONO!N906</f>
        <v>90</v>
      </c>
      <c r="O906">
        <f>ABS(L906-FONO!$C$34)</f>
        <v>5.1239236853957468</v>
      </c>
      <c r="P906">
        <f t="shared" si="15"/>
        <v>90</v>
      </c>
    </row>
    <row r="907" spans="10:16">
      <c r="J907" s="5"/>
      <c r="L907">
        <f>FONO!M907</f>
        <v>1.443608808</v>
      </c>
      <c r="M907">
        <f>FONO!N907</f>
        <v>90.1</v>
      </c>
      <c r="O907">
        <f>ABS(L907-FONO!$C$34)</f>
        <v>5.1401214933957471</v>
      </c>
      <c r="P907">
        <f t="shared" si="15"/>
        <v>90.1</v>
      </c>
    </row>
    <row r="908" spans="10:16">
      <c r="J908" s="5"/>
      <c r="L908">
        <f>FONO!M908</f>
        <v>1.450272416</v>
      </c>
      <c r="M908">
        <f>FONO!N908</f>
        <v>90.2</v>
      </c>
      <c r="O908">
        <f>ABS(L908-FONO!$C$34)</f>
        <v>5.1467851013957473</v>
      </c>
      <c r="P908">
        <f t="shared" si="15"/>
        <v>90.2</v>
      </c>
    </row>
    <row r="909" spans="10:16">
      <c r="J909" s="5"/>
      <c r="L909">
        <f>FONO!M909</f>
        <v>1.456936024</v>
      </c>
      <c r="M909">
        <f>FONO!N909</f>
        <v>90.3</v>
      </c>
      <c r="O909">
        <f>ABS(L909-FONO!$C$34)</f>
        <v>5.1534487093957466</v>
      </c>
      <c r="P909">
        <f t="shared" si="15"/>
        <v>90.3</v>
      </c>
    </row>
    <row r="910" spans="10:16">
      <c r="J910" s="5"/>
      <c r="L910">
        <f>FONO!M910</f>
        <v>1.4579972000000001</v>
      </c>
      <c r="M910">
        <f>FONO!N910</f>
        <v>90.4</v>
      </c>
      <c r="O910">
        <f>ABS(L910-FONO!$C$34)</f>
        <v>5.1545098853957469</v>
      </c>
      <c r="P910">
        <f t="shared" si="15"/>
        <v>90.4</v>
      </c>
    </row>
    <row r="911" spans="10:16">
      <c r="J911" s="5"/>
      <c r="L911">
        <f>FONO!M911</f>
        <v>1.458693</v>
      </c>
      <c r="M911">
        <f>FONO!N911</f>
        <v>90.5</v>
      </c>
      <c r="O911">
        <f>ABS(L911-FONO!$C$34)</f>
        <v>5.1552056853957469</v>
      </c>
      <c r="P911">
        <f t="shared" si="15"/>
        <v>90.5</v>
      </c>
    </row>
    <row r="912" spans="10:16">
      <c r="J912" s="5"/>
      <c r="L912">
        <f>FONO!M912</f>
        <v>1.459150768</v>
      </c>
      <c r="M912">
        <f>FONO!N912</f>
        <v>90.6</v>
      </c>
      <c r="O912">
        <f>ABS(L912-FONO!$C$34)</f>
        <v>5.1556634533957473</v>
      </c>
      <c r="P912">
        <f t="shared" si="15"/>
        <v>90.6</v>
      </c>
    </row>
    <row r="913" spans="10:16">
      <c r="J913" s="5"/>
      <c r="L913">
        <f>FONO!M913</f>
        <v>1.4592326959999999</v>
      </c>
      <c r="M913">
        <f>FONO!N913</f>
        <v>90.7</v>
      </c>
      <c r="O913">
        <f>ABS(L913-FONO!$C$34)</f>
        <v>5.1557453813957466</v>
      </c>
      <c r="P913">
        <f t="shared" si="15"/>
        <v>90.7</v>
      </c>
    </row>
    <row r="914" spans="10:16">
      <c r="J914" s="5"/>
      <c r="L914">
        <f>FONO!M914</f>
        <v>1.4593146239999999</v>
      </c>
      <c r="M914">
        <f>FONO!N914</f>
        <v>90.8</v>
      </c>
      <c r="O914">
        <f>ABS(L914-FONO!$C$34)</f>
        <v>5.1558273093957467</v>
      </c>
      <c r="P914">
        <f t="shared" si="15"/>
        <v>90.8</v>
      </c>
    </row>
    <row r="915" spans="10:16">
      <c r="J915" s="5"/>
      <c r="L915">
        <f>FONO!M915</f>
        <v>1.4598613279999999</v>
      </c>
      <c r="M915">
        <f>FONO!N915</f>
        <v>90.9</v>
      </c>
      <c r="O915">
        <f>ABS(L915-FONO!$C$34)</f>
        <v>5.1563740133957472</v>
      </c>
      <c r="P915">
        <f t="shared" si="15"/>
        <v>90.9</v>
      </c>
    </row>
    <row r="916" spans="10:16">
      <c r="J916" s="5"/>
      <c r="L916">
        <f>FONO!M916</f>
        <v>1.4604987199999999</v>
      </c>
      <c r="M916">
        <f>FONO!N916</f>
        <v>91</v>
      </c>
      <c r="O916">
        <f>ABS(L916-FONO!$C$34)</f>
        <v>5.157011405395747</v>
      </c>
      <c r="P916">
        <f t="shared" si="15"/>
        <v>91</v>
      </c>
    </row>
    <row r="917" spans="10:16">
      <c r="J917" s="5"/>
      <c r="L917">
        <f>FONO!M917</f>
        <v>1.4615862399999999</v>
      </c>
      <c r="M917">
        <f>FONO!N917</f>
        <v>91.1</v>
      </c>
      <c r="O917">
        <f>ABS(L917-FONO!$C$34)</f>
        <v>5.1580989253957465</v>
      </c>
      <c r="P917">
        <f t="shared" si="15"/>
        <v>91.1</v>
      </c>
    </row>
    <row r="918" spans="10:16">
      <c r="J918" s="5"/>
      <c r="L918">
        <f>FONO!M918</f>
        <v>1.46379908</v>
      </c>
      <c r="M918">
        <f>FONO!N918</f>
        <v>91.2</v>
      </c>
      <c r="O918">
        <f>ABS(L918-FONO!$C$34)</f>
        <v>5.1603117653957469</v>
      </c>
      <c r="P918">
        <f t="shared" si="15"/>
        <v>91.2</v>
      </c>
    </row>
    <row r="919" spans="10:16">
      <c r="J919" s="5"/>
      <c r="L919">
        <f>FONO!M919</f>
        <v>1.4660119199999999</v>
      </c>
      <c r="M919">
        <f>FONO!N919</f>
        <v>91.3</v>
      </c>
      <c r="O919">
        <f>ABS(L919-FONO!$C$34)</f>
        <v>5.1625246053957472</v>
      </c>
      <c r="P919">
        <f t="shared" si="15"/>
        <v>91.3</v>
      </c>
    </row>
    <row r="920" spans="10:16">
      <c r="J920" s="5"/>
      <c r="L920">
        <f>FONO!M920</f>
        <v>1.4742114159999999</v>
      </c>
      <c r="M920">
        <f>FONO!N920</f>
        <v>91.4</v>
      </c>
      <c r="O920">
        <f>ABS(L920-FONO!$C$34)</f>
        <v>5.1707241013957468</v>
      </c>
      <c r="P920">
        <f t="shared" si="15"/>
        <v>91.4</v>
      </c>
    </row>
    <row r="921" spans="10:16">
      <c r="J921" s="5"/>
      <c r="L921">
        <f>FONO!M921</f>
        <v>1.48457276</v>
      </c>
      <c r="M921">
        <f>FONO!N921</f>
        <v>91.5</v>
      </c>
      <c r="O921">
        <f>ABS(L921-FONO!$C$34)</f>
        <v>5.1810854453957473</v>
      </c>
      <c r="P921">
        <f t="shared" si="15"/>
        <v>91.5</v>
      </c>
    </row>
    <row r="922" spans="10:16">
      <c r="J922" s="5"/>
      <c r="L922">
        <f>FONO!M922</f>
        <v>1.4933274240000001</v>
      </c>
      <c r="M922">
        <f>FONO!N922</f>
        <v>91.6</v>
      </c>
      <c r="O922">
        <f>ABS(L922-FONO!$C$34)</f>
        <v>5.1898401093957469</v>
      </c>
      <c r="P922">
        <f t="shared" si="15"/>
        <v>91.6</v>
      </c>
    </row>
    <row r="923" spans="10:16">
      <c r="J923" s="5"/>
      <c r="L923">
        <f>FONO!M923</f>
        <v>1.4949412879999999</v>
      </c>
      <c r="M923">
        <f>FONO!N923</f>
        <v>91.7</v>
      </c>
      <c r="O923">
        <f>ABS(L923-FONO!$C$34)</f>
        <v>5.1914539733957472</v>
      </c>
      <c r="P923">
        <f t="shared" si="15"/>
        <v>91.7</v>
      </c>
    </row>
    <row r="924" spans="10:16">
      <c r="J924" s="5"/>
      <c r="L924">
        <f>FONO!M924</f>
        <v>1.496555152</v>
      </c>
      <c r="M924">
        <f>FONO!N924</f>
        <v>91.8</v>
      </c>
      <c r="O924">
        <f>ABS(L924-FONO!$C$34)</f>
        <v>5.1930678373957466</v>
      </c>
      <c r="P924">
        <f t="shared" si="15"/>
        <v>91.8</v>
      </c>
    </row>
    <row r="925" spans="10:16">
      <c r="J925" s="5"/>
      <c r="L925">
        <f>FONO!M925</f>
        <v>1.4972454639999999</v>
      </c>
      <c r="M925">
        <f>FONO!N925</f>
        <v>91.9</v>
      </c>
      <c r="O925">
        <f>ABS(L925-FONO!$C$34)</f>
        <v>5.1937581493957472</v>
      </c>
      <c r="P925">
        <f t="shared" si="15"/>
        <v>91.9</v>
      </c>
    </row>
    <row r="926" spans="10:16">
      <c r="J926" s="5"/>
      <c r="L926">
        <f>FONO!M926</f>
        <v>1.4973995200000001</v>
      </c>
      <c r="M926">
        <f>FONO!N926</f>
        <v>92</v>
      </c>
      <c r="O926">
        <f>ABS(L926-FONO!$C$34)</f>
        <v>5.1939122053957476</v>
      </c>
      <c r="P926">
        <f t="shared" si="15"/>
        <v>92</v>
      </c>
    </row>
    <row r="927" spans="10:16">
      <c r="J927" s="5"/>
      <c r="L927">
        <f>FONO!M927</f>
        <v>1.497907688</v>
      </c>
      <c r="M927">
        <f>FONO!N927</f>
        <v>92.1</v>
      </c>
      <c r="O927">
        <f>ABS(L927-FONO!$C$34)</f>
        <v>5.1944203733957472</v>
      </c>
      <c r="P927">
        <f t="shared" si="15"/>
        <v>92.1</v>
      </c>
    </row>
    <row r="928" spans="10:16">
      <c r="J928" s="5"/>
      <c r="L928">
        <f>FONO!M928</f>
        <v>1.5023996159999999</v>
      </c>
      <c r="M928">
        <f>FONO!N928</f>
        <v>92.2</v>
      </c>
      <c r="O928">
        <f>ABS(L928-FONO!$C$34)</f>
        <v>5.1989123013957474</v>
      </c>
      <c r="P928">
        <f t="shared" si="15"/>
        <v>92.2</v>
      </c>
    </row>
    <row r="929" spans="10:16">
      <c r="J929" s="5"/>
      <c r="L929">
        <f>FONO!M929</f>
        <v>1.5068915439999999</v>
      </c>
      <c r="M929">
        <f>FONO!N929</f>
        <v>92.3</v>
      </c>
      <c r="O929">
        <f>ABS(L929-FONO!$C$34)</f>
        <v>5.2034042293957468</v>
      </c>
      <c r="P929">
        <f t="shared" si="15"/>
        <v>92.3</v>
      </c>
    </row>
    <row r="930" spans="10:16">
      <c r="J930" s="5"/>
      <c r="L930">
        <f>FONO!M930</f>
        <v>1.510521936</v>
      </c>
      <c r="M930">
        <f>FONO!N930</f>
        <v>92.4</v>
      </c>
      <c r="O930">
        <f>ABS(L930-FONO!$C$34)</f>
        <v>5.2070346213957475</v>
      </c>
      <c r="P930">
        <f t="shared" si="15"/>
        <v>92.4</v>
      </c>
    </row>
    <row r="931" spans="10:16">
      <c r="J931" s="5"/>
      <c r="L931">
        <f>FONO!M931</f>
        <v>1.5133901999999999</v>
      </c>
      <c r="M931">
        <f>FONO!N931</f>
        <v>92.5</v>
      </c>
      <c r="O931">
        <f>ABS(L931-FONO!$C$34)</f>
        <v>5.2099028853957474</v>
      </c>
      <c r="P931">
        <f t="shared" si="15"/>
        <v>92.5</v>
      </c>
    </row>
    <row r="932" spans="10:16">
      <c r="J932" s="5"/>
      <c r="L932">
        <f>FONO!M932</f>
        <v>1.5162584640000001</v>
      </c>
      <c r="M932">
        <f>FONO!N932</f>
        <v>92.6</v>
      </c>
      <c r="O932">
        <f>ABS(L932-FONO!$C$34)</f>
        <v>5.2127711493957474</v>
      </c>
      <c r="P932">
        <f t="shared" si="15"/>
        <v>92.6</v>
      </c>
    </row>
    <row r="933" spans="10:16">
      <c r="J933" s="5"/>
      <c r="L933">
        <f>FONO!M933</f>
        <v>1.516518984</v>
      </c>
      <c r="M933">
        <f>FONO!N933</f>
        <v>92.7</v>
      </c>
      <c r="O933">
        <f>ABS(L933-FONO!$C$34)</f>
        <v>5.2130316693957468</v>
      </c>
      <c r="P933">
        <f t="shared" si="15"/>
        <v>92.7</v>
      </c>
    </row>
    <row r="934" spans="10:16">
      <c r="J934" s="5"/>
      <c r="L934">
        <f>FONO!M934</f>
        <v>1.516725176</v>
      </c>
      <c r="M934">
        <f>FONO!N934</f>
        <v>92.8</v>
      </c>
      <c r="O934">
        <f>ABS(L934-FONO!$C$34)</f>
        <v>5.2132378613957471</v>
      </c>
      <c r="P934">
        <f t="shared" si="15"/>
        <v>92.8</v>
      </c>
    </row>
    <row r="935" spans="10:16">
      <c r="J935" s="5"/>
      <c r="L935">
        <f>FONO!M935</f>
        <v>1.5194758960000001</v>
      </c>
      <c r="M935">
        <f>FONO!N935</f>
        <v>92.9</v>
      </c>
      <c r="O935">
        <f>ABS(L935-FONO!$C$34)</f>
        <v>5.2159885813957469</v>
      </c>
      <c r="P935">
        <f t="shared" si="15"/>
        <v>92.9</v>
      </c>
    </row>
    <row r="936" spans="10:16">
      <c r="J936" s="5"/>
      <c r="L936">
        <f>FONO!M936</f>
        <v>1.5256193199999999</v>
      </c>
      <c r="M936">
        <f>FONO!N936</f>
        <v>93</v>
      </c>
      <c r="O936">
        <f>ABS(L936-FONO!$C$34)</f>
        <v>5.2221320053957472</v>
      </c>
      <c r="P936">
        <f t="shared" si="15"/>
        <v>93</v>
      </c>
    </row>
    <row r="937" spans="10:16">
      <c r="J937" s="5"/>
      <c r="L937">
        <f>FONO!M937</f>
        <v>1.5317627439999999</v>
      </c>
      <c r="M937">
        <f>FONO!N937</f>
        <v>93.1</v>
      </c>
      <c r="O937">
        <f>ABS(L937-FONO!$C$34)</f>
        <v>5.2282754293957474</v>
      </c>
      <c r="P937">
        <f t="shared" si="15"/>
        <v>93.1</v>
      </c>
    </row>
    <row r="938" spans="10:16">
      <c r="J938" s="5"/>
      <c r="L938">
        <f>FONO!M938</f>
        <v>1.5328810159999999</v>
      </c>
      <c r="M938">
        <f>FONO!N938</f>
        <v>93.2</v>
      </c>
      <c r="O938">
        <f>ABS(L938-FONO!$C$34)</f>
        <v>5.2293937013957468</v>
      </c>
      <c r="P938">
        <f t="shared" si="15"/>
        <v>93.2</v>
      </c>
    </row>
    <row r="939" spans="10:16">
      <c r="J939" s="5"/>
      <c r="L939">
        <f>FONO!M939</f>
        <v>1.533298104</v>
      </c>
      <c r="M939">
        <f>FONO!N939</f>
        <v>93.3</v>
      </c>
      <c r="O939">
        <f>ABS(L939-FONO!$C$34)</f>
        <v>5.2298107893957475</v>
      </c>
      <c r="P939">
        <f t="shared" si="15"/>
        <v>93.3</v>
      </c>
    </row>
    <row r="940" spans="10:16">
      <c r="J940" s="5"/>
      <c r="L940">
        <f>FONO!M940</f>
        <v>1.5338577840000001</v>
      </c>
      <c r="M940">
        <f>FONO!N940</f>
        <v>93.4</v>
      </c>
      <c r="O940">
        <f>ABS(L940-FONO!$C$34)</f>
        <v>5.2303704693957469</v>
      </c>
      <c r="P940">
        <f t="shared" si="15"/>
        <v>93.4</v>
      </c>
    </row>
    <row r="941" spans="10:16">
      <c r="J941" s="5"/>
      <c r="L941">
        <f>FONO!M941</f>
        <v>1.5347115600000001</v>
      </c>
      <c r="M941">
        <f>FONO!N941</f>
        <v>93.5</v>
      </c>
      <c r="O941">
        <f>ABS(L941-FONO!$C$34)</f>
        <v>5.2312242453957474</v>
      </c>
      <c r="P941">
        <f t="shared" si="15"/>
        <v>93.5</v>
      </c>
    </row>
    <row r="942" spans="10:16">
      <c r="J942" s="5"/>
      <c r="L942">
        <f>FONO!M942</f>
        <v>1.5355653359999999</v>
      </c>
      <c r="M942">
        <f>FONO!N942</f>
        <v>93.6</v>
      </c>
      <c r="O942">
        <f>ABS(L942-FONO!$C$34)</f>
        <v>5.232078021395747</v>
      </c>
      <c r="P942">
        <f t="shared" si="15"/>
        <v>93.6</v>
      </c>
    </row>
    <row r="943" spans="10:16">
      <c r="J943" s="5"/>
      <c r="L943">
        <f>FONO!M943</f>
        <v>1.5377506320000001</v>
      </c>
      <c r="M943">
        <f>FONO!N943</f>
        <v>93.7</v>
      </c>
      <c r="O943">
        <f>ABS(L943-FONO!$C$34)</f>
        <v>5.2342633173957474</v>
      </c>
      <c r="P943">
        <f t="shared" si="15"/>
        <v>93.7</v>
      </c>
    </row>
    <row r="944" spans="10:16">
      <c r="J944" s="5"/>
      <c r="L944">
        <f>FONO!M944</f>
        <v>1.5403213680000001</v>
      </c>
      <c r="M944">
        <f>FONO!N944</f>
        <v>93.8</v>
      </c>
      <c r="O944">
        <f>ABS(L944-FONO!$C$34)</f>
        <v>5.2368340533957474</v>
      </c>
      <c r="P944">
        <f t="shared" si="15"/>
        <v>93.8</v>
      </c>
    </row>
    <row r="945" spans="10:16">
      <c r="J945" s="5"/>
      <c r="L945">
        <f>FONO!M945</f>
        <v>1.5437513359999999</v>
      </c>
      <c r="M945">
        <f>FONO!N945</f>
        <v>93.9</v>
      </c>
      <c r="O945">
        <f>ABS(L945-FONO!$C$34)</f>
        <v>5.2402640213957472</v>
      </c>
      <c r="P945">
        <f t="shared" si="15"/>
        <v>93.9</v>
      </c>
    </row>
    <row r="946" spans="10:16">
      <c r="J946" s="5"/>
      <c r="L946">
        <f>FONO!M946</f>
        <v>1.5501495599999999</v>
      </c>
      <c r="M946">
        <f>FONO!N946</f>
        <v>94</v>
      </c>
      <c r="O946">
        <f>ABS(L946-FONO!$C$34)</f>
        <v>5.246662245395747</v>
      </c>
      <c r="P946">
        <f t="shared" si="15"/>
        <v>94</v>
      </c>
    </row>
    <row r="947" spans="10:16">
      <c r="J947" s="5"/>
      <c r="L947">
        <f>FONO!M947</f>
        <v>1.5565477839999999</v>
      </c>
      <c r="M947">
        <f>FONO!N947</f>
        <v>94.1</v>
      </c>
      <c r="O947">
        <f>ABS(L947-FONO!$C$34)</f>
        <v>5.2530604693957468</v>
      </c>
      <c r="P947">
        <f t="shared" si="15"/>
        <v>94.1</v>
      </c>
    </row>
    <row r="948" spans="10:16">
      <c r="J948" s="5"/>
      <c r="L948">
        <f>FONO!M948</f>
        <v>1.5586370000000001</v>
      </c>
      <c r="M948">
        <f>FONO!N948</f>
        <v>94.2</v>
      </c>
      <c r="O948">
        <f>ABS(L948-FONO!$C$34)</f>
        <v>5.2551496853957467</v>
      </c>
      <c r="P948">
        <f t="shared" si="15"/>
        <v>94.2</v>
      </c>
    </row>
    <row r="949" spans="10:16">
      <c r="J949" s="5"/>
      <c r="L949">
        <f>FONO!M949</f>
        <v>1.5586370000000001</v>
      </c>
      <c r="M949">
        <f>FONO!N949</f>
        <v>94.3</v>
      </c>
      <c r="O949">
        <f>ABS(L949-FONO!$C$34)</f>
        <v>5.2551496853957467</v>
      </c>
      <c r="P949">
        <f t="shared" si="15"/>
        <v>94.3</v>
      </c>
    </row>
    <row r="950" spans="10:16">
      <c r="J950" s="5"/>
      <c r="L950">
        <f>FONO!M950</f>
        <v>1.559015096</v>
      </c>
      <c r="M950">
        <f>FONO!N950</f>
        <v>94.4</v>
      </c>
      <c r="O950">
        <f>ABS(L950-FONO!$C$34)</f>
        <v>5.2555277813957471</v>
      </c>
      <c r="P950">
        <f t="shared" si="15"/>
        <v>94.4</v>
      </c>
    </row>
    <row r="951" spans="10:16">
      <c r="J951" s="5"/>
      <c r="L951">
        <f>FONO!M951</f>
        <v>1.5621028800000001</v>
      </c>
      <c r="M951">
        <f>FONO!N951</f>
        <v>94.5</v>
      </c>
      <c r="O951">
        <f>ABS(L951-FONO!$C$34)</f>
        <v>5.2586155653957469</v>
      </c>
      <c r="P951">
        <f t="shared" si="15"/>
        <v>94.5</v>
      </c>
    </row>
    <row r="952" spans="10:16">
      <c r="J952" s="5"/>
      <c r="L952">
        <f>FONO!M952</f>
        <v>1.565190664</v>
      </c>
      <c r="M952">
        <f>FONO!N952</f>
        <v>94.6</v>
      </c>
      <c r="O952">
        <f>ABS(L952-FONO!$C$34)</f>
        <v>5.2617033493957468</v>
      </c>
      <c r="P952">
        <f t="shared" si="15"/>
        <v>94.6</v>
      </c>
    </row>
    <row r="953" spans="10:16">
      <c r="J953" s="5"/>
      <c r="L953">
        <f>FONO!M953</f>
        <v>1.586146928</v>
      </c>
      <c r="M953">
        <f>FONO!N953</f>
        <v>94.7</v>
      </c>
      <c r="O953">
        <f>ABS(L953-FONO!$C$34)</f>
        <v>5.2826596133957473</v>
      </c>
      <c r="P953">
        <f t="shared" si="15"/>
        <v>94.7</v>
      </c>
    </row>
    <row r="954" spans="10:16">
      <c r="J954" s="5"/>
      <c r="L954">
        <f>FONO!M954</f>
        <v>1.6205045520000001</v>
      </c>
      <c r="M954">
        <f>FONO!N954</f>
        <v>94.8</v>
      </c>
      <c r="O954">
        <f>ABS(L954-FONO!$C$34)</f>
        <v>5.3170172373957474</v>
      </c>
      <c r="P954">
        <f t="shared" si="15"/>
        <v>94.8</v>
      </c>
    </row>
    <row r="955" spans="10:16">
      <c r="J955" s="5"/>
      <c r="L955">
        <f>FONO!M955</f>
        <v>1.654312832</v>
      </c>
      <c r="M955">
        <f>FONO!N955</f>
        <v>94.9</v>
      </c>
      <c r="O955">
        <f>ABS(L955-FONO!$C$34)</f>
        <v>5.3508255173957471</v>
      </c>
      <c r="P955">
        <f t="shared" si="15"/>
        <v>94.9</v>
      </c>
    </row>
    <row r="956" spans="10:16">
      <c r="J956" s="5"/>
      <c r="L956">
        <f>FONO!M956</f>
        <v>1.6617526</v>
      </c>
      <c r="M956">
        <f>FONO!N956</f>
        <v>95</v>
      </c>
      <c r="O956">
        <f>ABS(L956-FONO!$C$34)</f>
        <v>5.3582652853957473</v>
      </c>
      <c r="P956">
        <f t="shared" si="15"/>
        <v>95</v>
      </c>
    </row>
    <row r="957" spans="10:16">
      <c r="J957" s="5"/>
      <c r="L957">
        <f>FONO!M957</f>
        <v>1.669192368</v>
      </c>
      <c r="M957">
        <f>FONO!N957</f>
        <v>95.1</v>
      </c>
      <c r="O957">
        <f>ABS(L957-FONO!$C$34)</f>
        <v>5.3657050533957467</v>
      </c>
      <c r="P957">
        <f t="shared" si="15"/>
        <v>95.1</v>
      </c>
    </row>
    <row r="958" spans="10:16">
      <c r="J958" s="5"/>
      <c r="L958">
        <f>FONO!M958</f>
        <v>1.6934880080000001</v>
      </c>
      <c r="M958">
        <f>FONO!N958</f>
        <v>95.2</v>
      </c>
      <c r="O958">
        <f>ABS(L958-FONO!$C$34)</f>
        <v>5.3900006933957467</v>
      </c>
      <c r="P958">
        <f t="shared" si="15"/>
        <v>95.2</v>
      </c>
    </row>
    <row r="959" spans="10:16">
      <c r="J959" s="5"/>
      <c r="L959">
        <f>FONO!M959</f>
        <v>1.736838112</v>
      </c>
      <c r="M959">
        <f>FONO!N959</f>
        <v>95.3</v>
      </c>
      <c r="O959">
        <f>ABS(L959-FONO!$C$34)</f>
        <v>5.4333507973957467</v>
      </c>
      <c r="P959">
        <f t="shared" si="15"/>
        <v>95.3</v>
      </c>
    </row>
    <row r="960" spans="10:16">
      <c r="J960" s="5"/>
      <c r="L960">
        <f>FONO!M960</f>
        <v>1.780188216</v>
      </c>
      <c r="M960">
        <f>FONO!N960</f>
        <v>95.4</v>
      </c>
      <c r="O960">
        <f>ABS(L960-FONO!$C$34)</f>
        <v>5.4767009013957466</v>
      </c>
      <c r="P960">
        <f t="shared" si="15"/>
        <v>95.4</v>
      </c>
    </row>
    <row r="961" spans="10:16">
      <c r="J961" s="5"/>
      <c r="L961">
        <f>FONO!M961</f>
        <v>1.7944204399999999</v>
      </c>
      <c r="M961">
        <f>FONO!N961</f>
        <v>95.5</v>
      </c>
      <c r="O961">
        <f>ABS(L961-FONO!$C$34)</f>
        <v>5.4909331253957472</v>
      </c>
      <c r="P961">
        <f t="shared" si="15"/>
        <v>95.5</v>
      </c>
    </row>
    <row r="962" spans="10:16">
      <c r="J962" s="5"/>
      <c r="L962">
        <f>FONO!M962</f>
        <v>1.8060644079999999</v>
      </c>
      <c r="M962">
        <f>FONO!N962</f>
        <v>95.6</v>
      </c>
      <c r="O962">
        <f>ABS(L962-FONO!$C$34)</f>
        <v>5.5025770933957467</v>
      </c>
      <c r="P962">
        <f t="shared" si="15"/>
        <v>95.6</v>
      </c>
    </row>
    <row r="963" spans="10:16">
      <c r="J963" s="5"/>
      <c r="L963">
        <f>FONO!M963</f>
        <v>1.81824132</v>
      </c>
      <c r="M963">
        <f>FONO!N963</f>
        <v>95.7</v>
      </c>
      <c r="O963">
        <f>ABS(L963-FONO!$C$34)</f>
        <v>5.5147540053957469</v>
      </c>
      <c r="P963">
        <f t="shared" si="15"/>
        <v>95.7</v>
      </c>
    </row>
    <row r="964" spans="10:16">
      <c r="J964" s="5"/>
      <c r="L964">
        <f>FONO!M964</f>
        <v>1.83133608</v>
      </c>
      <c r="M964">
        <f>FONO!N964</f>
        <v>95.8</v>
      </c>
      <c r="O964">
        <f>ABS(L964-FONO!$C$34)</f>
        <v>5.5278487653957473</v>
      </c>
      <c r="P964">
        <f t="shared" si="15"/>
        <v>95.8</v>
      </c>
    </row>
    <row r="965" spans="10:16">
      <c r="J965" s="5"/>
      <c r="L965">
        <f>FONO!M965</f>
        <v>1.84443084</v>
      </c>
      <c r="M965">
        <f>FONO!N965</f>
        <v>95.9</v>
      </c>
      <c r="O965">
        <f>ABS(L965-FONO!$C$34)</f>
        <v>5.5409435253957469</v>
      </c>
      <c r="P965">
        <f t="shared" si="15"/>
        <v>95.9</v>
      </c>
    </row>
    <row r="966" spans="10:16">
      <c r="J966" s="5"/>
      <c r="L966">
        <f>FONO!M966</f>
        <v>1.85399376</v>
      </c>
      <c r="M966">
        <f>FONO!N966</f>
        <v>96</v>
      </c>
      <c r="O966">
        <f>ABS(L966-FONO!$C$34)</f>
        <v>5.5505064453957473</v>
      </c>
      <c r="P966">
        <f t="shared" si="15"/>
        <v>96</v>
      </c>
    </row>
    <row r="967" spans="10:16">
      <c r="J967" s="5"/>
      <c r="L967">
        <f>FONO!M967</f>
        <v>1.862762016</v>
      </c>
      <c r="M967">
        <f>FONO!N967</f>
        <v>96.1</v>
      </c>
      <c r="O967">
        <f>ABS(L967-FONO!$C$34)</f>
        <v>5.5592747013957471</v>
      </c>
      <c r="P967">
        <f t="shared" ref="P967:P1006" si="16">M967</f>
        <v>96.1</v>
      </c>
    </row>
    <row r="968" spans="10:16">
      <c r="J968" s="5"/>
      <c r="L968">
        <f>FONO!M968</f>
        <v>1.870634208</v>
      </c>
      <c r="M968">
        <f>FONO!N968</f>
        <v>96.2</v>
      </c>
      <c r="O968">
        <f>ABS(L968-FONO!$C$34)</f>
        <v>5.5671468933957469</v>
      </c>
      <c r="P968">
        <f t="shared" si="16"/>
        <v>96.2</v>
      </c>
    </row>
    <row r="969" spans="10:16">
      <c r="J969" s="5"/>
      <c r="L969">
        <f>FONO!M969</f>
        <v>1.8760249920000001</v>
      </c>
      <c r="M969">
        <f>FONO!N969</f>
        <v>96.3</v>
      </c>
      <c r="O969">
        <f>ABS(L969-FONO!$C$34)</f>
        <v>5.5725376773957471</v>
      </c>
      <c r="P969">
        <f t="shared" si="16"/>
        <v>96.3</v>
      </c>
    </row>
    <row r="970" spans="10:16">
      <c r="J970" s="5"/>
      <c r="L970">
        <f>FONO!M970</f>
        <v>1.8814157760000001</v>
      </c>
      <c r="M970">
        <f>FONO!N970</f>
        <v>96.4</v>
      </c>
      <c r="O970">
        <f>ABS(L970-FONO!$C$34)</f>
        <v>5.5779284613957474</v>
      </c>
      <c r="P970">
        <f t="shared" si="16"/>
        <v>96.4</v>
      </c>
    </row>
    <row r="971" spans="10:16">
      <c r="J971" s="5"/>
      <c r="L971">
        <f>FONO!M971</f>
        <v>1.8843226799999999</v>
      </c>
      <c r="M971">
        <f>FONO!N971</f>
        <v>96.5</v>
      </c>
      <c r="O971">
        <f>ABS(L971-FONO!$C$34)</f>
        <v>5.580835365395747</v>
      </c>
      <c r="P971">
        <f t="shared" si="16"/>
        <v>96.5</v>
      </c>
    </row>
    <row r="972" spans="10:16">
      <c r="J972" s="5"/>
      <c r="L972">
        <f>FONO!M972</f>
        <v>1.886236032</v>
      </c>
      <c r="M972">
        <f>FONO!N972</f>
        <v>96.6</v>
      </c>
      <c r="O972">
        <f>ABS(L972-FONO!$C$34)</f>
        <v>5.5827487173957469</v>
      </c>
      <c r="P972">
        <f t="shared" si="16"/>
        <v>96.6</v>
      </c>
    </row>
    <row r="973" spans="10:16">
      <c r="J973" s="5"/>
      <c r="L973">
        <f>FONO!M973</f>
        <v>1.8920328399999999</v>
      </c>
      <c r="M973">
        <f>FONO!N973</f>
        <v>96.7</v>
      </c>
      <c r="O973">
        <f>ABS(L973-FONO!$C$34)</f>
        <v>5.5885455253957472</v>
      </c>
      <c r="P973">
        <f t="shared" si="16"/>
        <v>96.7</v>
      </c>
    </row>
    <row r="974" spans="10:16">
      <c r="J974" s="5"/>
      <c r="L974">
        <f>FONO!M974</f>
        <v>1.91773236</v>
      </c>
      <c r="M974">
        <f>FONO!N974</f>
        <v>96.8</v>
      </c>
      <c r="O974">
        <f>ABS(L974-FONO!$C$34)</f>
        <v>5.6142450453957471</v>
      </c>
      <c r="P974">
        <f t="shared" si="16"/>
        <v>96.8</v>
      </c>
    </row>
    <row r="975" spans="10:16">
      <c r="J975" s="5"/>
      <c r="L975">
        <f>FONO!M975</f>
        <v>1.9434318799999999</v>
      </c>
      <c r="M975">
        <f>FONO!N975</f>
        <v>96.9</v>
      </c>
      <c r="O975">
        <f>ABS(L975-FONO!$C$34)</f>
        <v>5.639944565395747</v>
      </c>
      <c r="P975">
        <f t="shared" si="16"/>
        <v>96.9</v>
      </c>
    </row>
    <row r="976" spans="10:16">
      <c r="J976" s="5"/>
      <c r="L976">
        <f>FONO!M976</f>
        <v>1.9548696400000001</v>
      </c>
      <c r="M976">
        <f>FONO!N976</f>
        <v>97</v>
      </c>
      <c r="O976">
        <f>ABS(L976-FONO!$C$34)</f>
        <v>5.6513823253957476</v>
      </c>
      <c r="P976">
        <f t="shared" si="16"/>
        <v>97</v>
      </c>
    </row>
    <row r="977" spans="10:16">
      <c r="J977" s="5"/>
      <c r="L977">
        <f>FONO!M977</f>
        <v>1.9572749519999999</v>
      </c>
      <c r="M977">
        <f>FONO!N977</f>
        <v>97.1</v>
      </c>
      <c r="O977">
        <f>ABS(L977-FONO!$C$34)</f>
        <v>5.6537876373957472</v>
      </c>
      <c r="P977">
        <f t="shared" si="16"/>
        <v>97.1</v>
      </c>
    </row>
    <row r="978" spans="10:16">
      <c r="J978" s="5"/>
      <c r="L978">
        <f>FONO!M978</f>
        <v>1.9609146799999999</v>
      </c>
      <c r="M978">
        <f>FONO!N978</f>
        <v>97.2</v>
      </c>
      <c r="O978">
        <f>ABS(L978-FONO!$C$34)</f>
        <v>5.6574273653957468</v>
      </c>
      <c r="P978">
        <f t="shared" si="16"/>
        <v>97.2</v>
      </c>
    </row>
    <row r="979" spans="10:16">
      <c r="J979" s="5"/>
      <c r="L979">
        <f>FONO!M979</f>
        <v>1.9834821199999999</v>
      </c>
      <c r="M979">
        <f>FONO!N979</f>
        <v>97.3</v>
      </c>
      <c r="O979">
        <f>ABS(L979-FONO!$C$34)</f>
        <v>5.6799948053957472</v>
      </c>
      <c r="P979">
        <f t="shared" si="16"/>
        <v>97.3</v>
      </c>
    </row>
    <row r="980" spans="10:16">
      <c r="J980" s="5"/>
      <c r="L980">
        <f>FONO!M980</f>
        <v>2.0060495600000001</v>
      </c>
      <c r="M980">
        <f>FONO!N980</f>
        <v>97.4</v>
      </c>
      <c r="O980">
        <f>ABS(L980-FONO!$C$34)</f>
        <v>5.7025622453957467</v>
      </c>
      <c r="P980">
        <f t="shared" si="16"/>
        <v>97.4</v>
      </c>
    </row>
    <row r="981" spans="10:16">
      <c r="J981" s="5"/>
      <c r="L981">
        <f>FONO!M981</f>
        <v>2.0503619999999998</v>
      </c>
      <c r="M981">
        <f>FONO!N981</f>
        <v>97.5</v>
      </c>
      <c r="O981">
        <f>ABS(L981-FONO!$C$34)</f>
        <v>5.7468746853957473</v>
      </c>
      <c r="P981">
        <f t="shared" si="16"/>
        <v>97.5</v>
      </c>
    </row>
    <row r="982" spans="10:16">
      <c r="J982" s="5"/>
      <c r="L982">
        <f>FONO!M982</f>
        <v>2.1155496399999998</v>
      </c>
      <c r="M982">
        <f>FONO!N982</f>
        <v>97.6</v>
      </c>
      <c r="O982">
        <f>ABS(L982-FONO!$C$34)</f>
        <v>5.8120623253957469</v>
      </c>
      <c r="P982">
        <f t="shared" si="16"/>
        <v>97.6</v>
      </c>
    </row>
    <row r="983" spans="10:16">
      <c r="J983" s="5"/>
      <c r="L983">
        <f>FONO!M983</f>
        <v>2.1807372799999998</v>
      </c>
      <c r="M983">
        <f>FONO!N983</f>
        <v>97.7</v>
      </c>
      <c r="O983">
        <f>ABS(L983-FONO!$C$34)</f>
        <v>5.8772499653957464</v>
      </c>
      <c r="P983">
        <f t="shared" si="16"/>
        <v>97.7</v>
      </c>
    </row>
    <row r="984" spans="10:16">
      <c r="J984" s="5"/>
      <c r="L984">
        <f>FONO!M984</f>
        <v>2.1988049759999999</v>
      </c>
      <c r="M984">
        <f>FONO!N984</f>
        <v>97.8</v>
      </c>
      <c r="O984">
        <f>ABS(L984-FONO!$C$34)</f>
        <v>5.8953176613957474</v>
      </c>
      <c r="P984">
        <f t="shared" si="16"/>
        <v>97.8</v>
      </c>
    </row>
    <row r="985" spans="10:16">
      <c r="J985" s="5"/>
      <c r="L985">
        <f>FONO!M985</f>
        <v>2.2148675679999998</v>
      </c>
      <c r="M985">
        <f>FONO!N985</f>
        <v>97.9</v>
      </c>
      <c r="O985">
        <f>ABS(L985-FONO!$C$34)</f>
        <v>5.9113802533957465</v>
      </c>
      <c r="P985">
        <f t="shared" si="16"/>
        <v>97.9</v>
      </c>
    </row>
    <row r="986" spans="10:16">
      <c r="J986" s="5"/>
      <c r="L986">
        <f>FONO!M986</f>
        <v>2.2362320800000002</v>
      </c>
      <c r="M986">
        <f>FONO!N986</f>
        <v>98</v>
      </c>
      <c r="O986">
        <f>ABS(L986-FONO!$C$34)</f>
        <v>5.9327447653957472</v>
      </c>
      <c r="P986">
        <f t="shared" si="16"/>
        <v>98</v>
      </c>
    </row>
    <row r="987" spans="10:16">
      <c r="J987" s="5"/>
      <c r="L987">
        <f>FONO!M987</f>
        <v>2.2652843759999999</v>
      </c>
      <c r="M987">
        <f>FONO!N987</f>
        <v>98.1</v>
      </c>
      <c r="O987">
        <f>ABS(L987-FONO!$C$34)</f>
        <v>5.9617970613957469</v>
      </c>
      <c r="P987">
        <f t="shared" si="16"/>
        <v>98.1</v>
      </c>
    </row>
    <row r="988" spans="10:16">
      <c r="J988" s="5"/>
      <c r="L988">
        <f>FONO!M988</f>
        <v>2.294336672</v>
      </c>
      <c r="M988">
        <f>FONO!N988</f>
        <v>98.2</v>
      </c>
      <c r="O988">
        <f>ABS(L988-FONO!$C$34)</f>
        <v>5.9908493573957475</v>
      </c>
      <c r="P988">
        <f t="shared" si="16"/>
        <v>98.2</v>
      </c>
    </row>
    <row r="989" spans="10:16">
      <c r="J989" s="5"/>
      <c r="L989">
        <f>FONO!M989</f>
        <v>2.3426038</v>
      </c>
      <c r="M989">
        <f>FONO!N989</f>
        <v>98.3</v>
      </c>
      <c r="O989">
        <f>ABS(L989-FONO!$C$34)</f>
        <v>6.0391164853957466</v>
      </c>
      <c r="P989">
        <f t="shared" si="16"/>
        <v>98.3</v>
      </c>
    </row>
    <row r="990" spans="10:16">
      <c r="J990" s="5"/>
      <c r="L990">
        <f>FONO!M990</f>
        <v>2.3940733999999999</v>
      </c>
      <c r="M990">
        <f>FONO!N990</f>
        <v>98.4</v>
      </c>
      <c r="O990">
        <f>ABS(L990-FONO!$C$34)</f>
        <v>6.0905860853957474</v>
      </c>
      <c r="P990">
        <f t="shared" si="16"/>
        <v>98.4</v>
      </c>
    </row>
    <row r="991" spans="10:16">
      <c r="J991" s="5"/>
      <c r="L991">
        <f>FONO!M991</f>
        <v>2.4327603600000001</v>
      </c>
      <c r="M991">
        <f>FONO!N991</f>
        <v>98.5</v>
      </c>
      <c r="O991">
        <f>ABS(L991-FONO!$C$34)</f>
        <v>6.1292730453957471</v>
      </c>
      <c r="P991">
        <f t="shared" si="16"/>
        <v>98.5</v>
      </c>
    </row>
    <row r="992" spans="10:16">
      <c r="J992" s="5"/>
      <c r="L992">
        <f>FONO!M992</f>
        <v>2.4424733359999999</v>
      </c>
      <c r="M992">
        <f>FONO!N992</f>
        <v>98.6</v>
      </c>
      <c r="O992">
        <f>ABS(L992-FONO!$C$34)</f>
        <v>6.1389860213957466</v>
      </c>
      <c r="P992">
        <f t="shared" si="16"/>
        <v>98.6</v>
      </c>
    </row>
    <row r="993" spans="10:16">
      <c r="J993" s="5"/>
      <c r="L993">
        <f>FONO!M993</f>
        <v>2.4521863119999998</v>
      </c>
      <c r="M993">
        <f>FONO!N993</f>
        <v>98.7</v>
      </c>
      <c r="O993">
        <f>ABS(L993-FONO!$C$34)</f>
        <v>6.1486989973957469</v>
      </c>
      <c r="P993">
        <f t="shared" si="16"/>
        <v>98.7</v>
      </c>
    </row>
    <row r="994" spans="10:16">
      <c r="J994" s="5"/>
      <c r="L994">
        <f>FONO!M994</f>
        <v>2.4849532480000001</v>
      </c>
      <c r="M994">
        <f>FONO!N994</f>
        <v>98.8</v>
      </c>
      <c r="O994">
        <f>ABS(L994-FONO!$C$34)</f>
        <v>6.1814659333957476</v>
      </c>
      <c r="P994">
        <f t="shared" si="16"/>
        <v>98.8</v>
      </c>
    </row>
    <row r="995" spans="10:16">
      <c r="J995" s="5"/>
      <c r="L995">
        <f>FONO!M995</f>
        <v>2.5251971439999998</v>
      </c>
      <c r="M995">
        <f>FONO!N995</f>
        <v>98.9</v>
      </c>
      <c r="O995">
        <f>ABS(L995-FONO!$C$34)</f>
        <v>6.2217098293957473</v>
      </c>
      <c r="P995">
        <f t="shared" si="16"/>
        <v>98.9</v>
      </c>
    </row>
    <row r="996" spans="10:16">
      <c r="J996" s="5"/>
      <c r="L996">
        <f>FONO!M996</f>
        <v>2.5639862400000002</v>
      </c>
      <c r="M996">
        <f>FONO!N996</f>
        <v>99</v>
      </c>
      <c r="O996">
        <f>ABS(L996-FONO!$C$34)</f>
        <v>6.2604989253957477</v>
      </c>
      <c r="P996">
        <f t="shared" si="16"/>
        <v>99</v>
      </c>
    </row>
    <row r="997" spans="10:16">
      <c r="J997" s="5"/>
      <c r="L997">
        <f>FONO!M997</f>
        <v>2.5971016159999998</v>
      </c>
      <c r="M997">
        <f>FONO!N997</f>
        <v>99.1</v>
      </c>
      <c r="O997">
        <f>ABS(L997-FONO!$C$34)</f>
        <v>6.2936143013957473</v>
      </c>
      <c r="P997">
        <f t="shared" si="16"/>
        <v>99.1</v>
      </c>
    </row>
    <row r="998" spans="10:16">
      <c r="J998" s="5"/>
      <c r="L998">
        <f>FONO!M998</f>
        <v>2.6302169919999998</v>
      </c>
      <c r="M998">
        <f>FONO!N998</f>
        <v>99.2</v>
      </c>
      <c r="O998">
        <f>ABS(L998-FONO!$C$34)</f>
        <v>6.3267296773957469</v>
      </c>
      <c r="P998">
        <f t="shared" si="16"/>
        <v>99.2</v>
      </c>
    </row>
    <row r="999" spans="10:16">
      <c r="J999" s="5"/>
      <c r="L999">
        <f>FONO!M999</f>
        <v>2.6733217439999999</v>
      </c>
      <c r="M999">
        <f>FONO!N999</f>
        <v>99.3</v>
      </c>
      <c r="O999">
        <f>ABS(L999-FONO!$C$34)</f>
        <v>6.3698344293957465</v>
      </c>
      <c r="P999">
        <f t="shared" si="16"/>
        <v>99.3</v>
      </c>
    </row>
    <row r="1000" spans="10:16">
      <c r="J1000" s="5"/>
      <c r="L1000">
        <f>FONO!M1000</f>
        <v>2.7217333520000002</v>
      </c>
      <c r="M1000">
        <f>FONO!N1000</f>
        <v>99.4</v>
      </c>
      <c r="O1000">
        <f>ABS(L1000-FONO!$C$34)</f>
        <v>6.4182460373957468</v>
      </c>
      <c r="P1000">
        <f t="shared" si="16"/>
        <v>99.4</v>
      </c>
    </row>
    <row r="1001" spans="10:16">
      <c r="J1001" s="5"/>
      <c r="L1001">
        <f>FONO!M1001</f>
        <v>2.7675213200000002</v>
      </c>
      <c r="M1001">
        <f>FONO!N1001</f>
        <v>99.5</v>
      </c>
      <c r="O1001">
        <f>ABS(L1001-FONO!$C$34)</f>
        <v>6.4640340053957477</v>
      </c>
      <c r="P1001">
        <f t="shared" si="16"/>
        <v>99.5</v>
      </c>
    </row>
    <row r="1002" spans="10:16">
      <c r="J1002" s="5"/>
      <c r="L1002">
        <f>FONO!M1002</f>
        <v>2.7902212560000001</v>
      </c>
      <c r="M1002">
        <f>FONO!N1002</f>
        <v>99.6</v>
      </c>
      <c r="O1002">
        <f>ABS(L1002-FONO!$C$34)</f>
        <v>6.4867339413957472</v>
      </c>
      <c r="P1002">
        <f t="shared" si="16"/>
        <v>99.6</v>
      </c>
    </row>
    <row r="1003" spans="10:16">
      <c r="J1003" s="5"/>
      <c r="L1003">
        <f>FONO!M1003</f>
        <v>2.8129211920000001</v>
      </c>
      <c r="M1003">
        <f>FONO!N1003</f>
        <v>99.7</v>
      </c>
      <c r="O1003">
        <f>ABS(L1003-FONO!$C$34)</f>
        <v>6.5094338773957467</v>
      </c>
      <c r="P1003">
        <f t="shared" si="16"/>
        <v>99.7</v>
      </c>
    </row>
    <row r="1004" spans="10:16">
      <c r="J1004" s="5"/>
      <c r="L1004">
        <f>FONO!M1004</f>
        <v>2.8342413199999998</v>
      </c>
      <c r="M1004">
        <f>FONO!N1004</f>
        <v>99.8</v>
      </c>
      <c r="O1004">
        <f>ABS(L1004-FONO!$C$34)</f>
        <v>6.5307540053957469</v>
      </c>
      <c r="P1004">
        <f t="shared" si="16"/>
        <v>99.8</v>
      </c>
    </row>
    <row r="1005" spans="10:16">
      <c r="J1005" s="5"/>
      <c r="L1005">
        <f>FONO!M1005</f>
        <v>2.8544371599999998</v>
      </c>
      <c r="M1005">
        <f>FONO!N1005</f>
        <v>99.9</v>
      </c>
      <c r="O1005">
        <f>ABS(L1005-FONO!$C$34)</f>
        <v>6.5509498453957473</v>
      </c>
      <c r="P1005">
        <f t="shared" si="16"/>
        <v>99.9</v>
      </c>
    </row>
    <row r="1006" spans="10:16">
      <c r="J1006" s="5"/>
      <c r="L1006">
        <f>FONO!M1006</f>
        <v>2.8746330000000002</v>
      </c>
      <c r="M1006">
        <f>FONO!N1006</f>
        <v>100</v>
      </c>
      <c r="O1006">
        <f>ABS(L1006-FONO!$C$34)</f>
        <v>6.5711456853957468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7" zoomScaleNormal="100" workbookViewId="0">
      <selection activeCell="J34" sqref="J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SD_PERC_TMTB!A42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4.8926520673735103</v>
      </c>
      <c r="I6" s="10" t="s">
        <v>36</v>
      </c>
      <c r="J6">
        <v>0.13785032352400001</v>
      </c>
      <c r="M6">
        <v>-2.7196120000000001</v>
      </c>
      <c r="N6">
        <v>0</v>
      </c>
    </row>
    <row r="7" spans="1:14">
      <c r="B7" t="s">
        <v>64</v>
      </c>
      <c r="C7">
        <v>2.0027673874409901E-2</v>
      </c>
      <c r="M7">
        <v>-2.5059802320000002</v>
      </c>
      <c r="N7">
        <v>0.1</v>
      </c>
    </row>
    <row r="8" spans="1:14">
      <c r="B8" t="s">
        <v>66</v>
      </c>
      <c r="C8">
        <v>-1.9610075661252599E-2</v>
      </c>
      <c r="I8" s="9"/>
      <c r="J8" s="9"/>
      <c r="M8">
        <v>-2.2923484639999998</v>
      </c>
      <c r="N8">
        <v>0.2</v>
      </c>
    </row>
    <row r="9" spans="1:14">
      <c r="H9" s="9" t="s">
        <v>34</v>
      </c>
      <c r="I9" s="56" t="s">
        <v>37</v>
      </c>
      <c r="J9" s="57"/>
      <c r="M9">
        <v>-2.148111208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-2.089039944</v>
      </c>
      <c r="N10">
        <v>0.4</v>
      </c>
    </row>
    <row r="11" spans="1:14">
      <c r="B11" s="29"/>
      <c r="C11" s="30"/>
      <c r="I11" s="14"/>
      <c r="J11" s="15"/>
      <c r="M11">
        <v>-2.0299686800000001</v>
      </c>
      <c r="N11">
        <v>0.5</v>
      </c>
    </row>
    <row r="12" spans="1:14">
      <c r="B12" s="29"/>
      <c r="C12" s="30"/>
      <c r="I12" s="14"/>
      <c r="J12" s="15"/>
      <c r="M12">
        <v>-1.9608566160000001</v>
      </c>
      <c r="N12">
        <v>0.6</v>
      </c>
    </row>
    <row r="13" spans="1:14">
      <c r="B13" s="29"/>
      <c r="C13" s="30"/>
      <c r="I13" s="14"/>
      <c r="J13" s="15"/>
      <c r="M13">
        <v>-1.890603552</v>
      </c>
      <c r="N13">
        <v>0.7</v>
      </c>
    </row>
    <row r="14" spans="1:14">
      <c r="B14" s="29"/>
      <c r="C14" s="30"/>
      <c r="I14" s="14"/>
      <c r="J14" s="15"/>
      <c r="M14">
        <v>-1.843477968</v>
      </c>
      <c r="N14">
        <v>0.8</v>
      </c>
    </row>
    <row r="15" spans="1:14">
      <c r="B15" s="29"/>
      <c r="C15" s="30"/>
      <c r="I15" s="14"/>
      <c r="J15" s="15"/>
      <c r="M15">
        <v>-1.8398864640000001</v>
      </c>
      <c r="N15">
        <v>0.9</v>
      </c>
    </row>
    <row r="16" spans="1:14">
      <c r="B16" s="29"/>
      <c r="C16" s="30"/>
      <c r="I16" s="14"/>
      <c r="J16" s="15"/>
      <c r="M16">
        <v>-1.83629496</v>
      </c>
      <c r="N16">
        <v>1</v>
      </c>
    </row>
    <row r="17" spans="1:14">
      <c r="B17" s="29"/>
      <c r="C17" s="30"/>
      <c r="I17" s="14"/>
      <c r="J17" s="15"/>
      <c r="M17">
        <v>-1.8321880319999999</v>
      </c>
      <c r="N17">
        <v>1.1000000000000001</v>
      </c>
    </row>
    <row r="18" spans="1:14">
      <c r="B18" s="29"/>
      <c r="C18" s="30"/>
      <c r="I18" s="14"/>
      <c r="J18" s="15"/>
      <c r="M18">
        <v>-1.8279489440000001</v>
      </c>
      <c r="N18">
        <v>1.2</v>
      </c>
    </row>
    <row r="19" spans="1:14">
      <c r="B19" s="29"/>
      <c r="C19" s="30"/>
      <c r="I19" s="14"/>
      <c r="J19" s="15"/>
      <c r="M19">
        <v>-1.8242391039999999</v>
      </c>
      <c r="N19">
        <v>1.3</v>
      </c>
    </row>
    <row r="20" spans="1:14">
      <c r="B20" s="29"/>
      <c r="C20" s="30"/>
      <c r="I20" s="14"/>
      <c r="J20" s="15"/>
      <c r="M20">
        <v>-1.8221611120000001</v>
      </c>
      <c r="N20">
        <v>1.4</v>
      </c>
    </row>
    <row r="21" spans="1:14">
      <c r="B21" s="29"/>
      <c r="C21" s="30"/>
      <c r="I21" s="14"/>
      <c r="J21" s="15"/>
      <c r="M21">
        <v>-1.8200831200000001</v>
      </c>
      <c r="N21">
        <v>1.5</v>
      </c>
    </row>
    <row r="22" spans="1:14">
      <c r="B22" s="29"/>
      <c r="C22" s="30"/>
      <c r="I22" s="16"/>
      <c r="J22" s="17"/>
      <c r="M22">
        <v>-1.8109600560000001</v>
      </c>
      <c r="N22">
        <v>1.6</v>
      </c>
    </row>
    <row r="23" spans="1:14">
      <c r="B23" s="29"/>
      <c r="C23" s="30"/>
      <c r="M23">
        <v>-1.7987288720000001</v>
      </c>
      <c r="N23">
        <v>1.7</v>
      </c>
    </row>
    <row r="24" spans="1:14">
      <c r="B24" s="31"/>
      <c r="C24" s="11"/>
      <c r="M24">
        <v>-1.7878513199999999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-1.78509556</v>
      </c>
      <c r="N25">
        <v>1.9</v>
      </c>
    </row>
    <row r="26" spans="1:14">
      <c r="I26" s="12" t="s">
        <v>1</v>
      </c>
      <c r="J26" s="13" t="s">
        <v>17</v>
      </c>
      <c r="M26">
        <v>-1.7823397999999999</v>
      </c>
      <c r="N26">
        <v>2</v>
      </c>
    </row>
    <row r="27" spans="1:14">
      <c r="A27" s="34">
        <v>4</v>
      </c>
      <c r="B27" s="2" t="s">
        <v>2</v>
      </c>
      <c r="C27" s="32">
        <f>C6+(C7*('Normative data'!C6-72.28))+(TMTB!C8*'Normative data'!C8)</f>
        <v>4.4113913242607259</v>
      </c>
      <c r="M27">
        <v>-1.7702799119999999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-1.751803384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-1.7340305840000001</v>
      </c>
      <c r="N29">
        <v>2.2999999999999998</v>
      </c>
    </row>
    <row r="30" spans="1:14">
      <c r="B30" s="2" t="s">
        <v>8</v>
      </c>
      <c r="M30">
        <v>-1.7327953920000001</v>
      </c>
      <c r="N30">
        <v>2.4</v>
      </c>
    </row>
    <row r="31" spans="1:14">
      <c r="I31" s="14"/>
      <c r="J31" s="15"/>
      <c r="M31">
        <v>-1.7315602000000001</v>
      </c>
      <c r="N31">
        <v>2.5</v>
      </c>
    </row>
    <row r="32" spans="1:14">
      <c r="I32" s="35"/>
      <c r="J32" s="17"/>
      <c r="M32">
        <v>-1.730345552</v>
      </c>
      <c r="N32">
        <v>2.6</v>
      </c>
    </row>
    <row r="33" spans="2:14">
      <c r="B33" t="s">
        <v>9</v>
      </c>
      <c r="C33">
        <f>'Normative data'!D44-TMTB!C27</f>
        <v>-4.4113913242607259</v>
      </c>
      <c r="M33">
        <v>-1.7291523040000001</v>
      </c>
      <c r="N33">
        <v>2.7</v>
      </c>
    </row>
    <row r="34" spans="2:14">
      <c r="B34" t="s">
        <v>12</v>
      </c>
      <c r="C34">
        <f>-(C33/SD_PERC_TMTB!I38)</f>
        <v>11.881511423286682</v>
      </c>
      <c r="I34" t="s">
        <v>41</v>
      </c>
      <c r="J34">
        <f>SD_PERC_TMTB!I38</f>
        <v>0.371282</v>
      </c>
      <c r="M34">
        <v>-1.727959056</v>
      </c>
      <c r="N34">
        <v>2.8</v>
      </c>
    </row>
    <row r="35" spans="2:14">
      <c r="M35">
        <v>-1.7128105119999999</v>
      </c>
      <c r="N35">
        <v>2.9</v>
      </c>
    </row>
    <row r="36" spans="2:14">
      <c r="M36">
        <v>-1.6967518399999999</v>
      </c>
      <c r="N36">
        <v>3</v>
      </c>
    </row>
    <row r="37" spans="2:14">
      <c r="M37">
        <v>-1.6849753119999999</v>
      </c>
      <c r="N37">
        <v>3.1</v>
      </c>
    </row>
    <row r="38" spans="2:14">
      <c r="M38">
        <v>-1.6799600640000001</v>
      </c>
      <c r="N38">
        <v>3.2</v>
      </c>
    </row>
    <row r="39" spans="2:14">
      <c r="M39">
        <v>-1.674944816</v>
      </c>
      <c r="N39">
        <v>3.3</v>
      </c>
    </row>
    <row r="40" spans="2:14">
      <c r="M40">
        <v>-1.657348144</v>
      </c>
      <c r="N40">
        <v>3.4</v>
      </c>
    </row>
    <row r="41" spans="2:14">
      <c r="M41">
        <v>-1.63729656</v>
      </c>
      <c r="N41">
        <v>3.5</v>
      </c>
    </row>
    <row r="42" spans="2:14">
      <c r="M42">
        <v>-1.6191495359999999</v>
      </c>
      <c r="N42">
        <v>3.6</v>
      </c>
    </row>
    <row r="43" spans="2:14">
      <c r="M43">
        <v>-1.605763912</v>
      </c>
      <c r="N43">
        <v>3.7</v>
      </c>
    </row>
    <row r="44" spans="2:14">
      <c r="M44">
        <v>-1.5923782879999999</v>
      </c>
      <c r="N44">
        <v>3.8</v>
      </c>
    </row>
    <row r="45" spans="2:14">
      <c r="M45">
        <v>-1.5850899119999999</v>
      </c>
      <c r="N45">
        <v>3.9</v>
      </c>
    </row>
    <row r="46" spans="2:14">
      <c r="M46">
        <v>-1.5800033200000001</v>
      </c>
      <c r="N46">
        <v>4</v>
      </c>
    </row>
    <row r="47" spans="2:14">
      <c r="M47">
        <v>-1.5712410560000001</v>
      </c>
      <c r="N47">
        <v>4.0999999999999996</v>
      </c>
    </row>
    <row r="48" spans="2:14">
      <c r="M48">
        <v>-1.5461424720000001</v>
      </c>
      <c r="N48">
        <v>4.2</v>
      </c>
    </row>
    <row r="49" spans="13:14">
      <c r="M49">
        <v>-1.5210438879999999</v>
      </c>
      <c r="N49">
        <v>4.3</v>
      </c>
    </row>
    <row r="50" spans="13:14">
      <c r="M50">
        <v>-1.5015067040000001</v>
      </c>
      <c r="N50">
        <v>4.4000000000000004</v>
      </c>
    </row>
    <row r="51" spans="13:14">
      <c r="M51">
        <v>-1.4851987200000001</v>
      </c>
      <c r="N51">
        <v>4.5</v>
      </c>
    </row>
    <row r="52" spans="13:14">
      <c r="M52">
        <v>-1.4698934560000001</v>
      </c>
      <c r="N52">
        <v>4.5999999999999996</v>
      </c>
    </row>
    <row r="53" spans="13:14">
      <c r="M53">
        <v>-1.465868792</v>
      </c>
      <c r="N53">
        <v>4.7</v>
      </c>
    </row>
    <row r="54" spans="13:14">
      <c r="M54">
        <v>-1.4618441280000001</v>
      </c>
      <c r="N54">
        <v>4.8</v>
      </c>
    </row>
    <row r="55" spans="13:14">
      <c r="M55">
        <v>-1.4598570319999999</v>
      </c>
      <c r="N55">
        <v>4.9000000000000004</v>
      </c>
    </row>
    <row r="56" spans="13:14">
      <c r="M56">
        <v>-1.4596724000000001</v>
      </c>
      <c r="N56">
        <v>5</v>
      </c>
    </row>
    <row r="57" spans="13:14">
      <c r="M57">
        <v>-1.459487768</v>
      </c>
      <c r="N57">
        <v>5.0999999999999996</v>
      </c>
    </row>
    <row r="58" spans="13:14">
      <c r="M58">
        <v>-1.459052384</v>
      </c>
      <c r="N58">
        <v>5.2</v>
      </c>
    </row>
    <row r="59" spans="13:14">
      <c r="M59">
        <v>-1.4586117759999999</v>
      </c>
      <c r="N59">
        <v>5.3</v>
      </c>
    </row>
    <row r="60" spans="13:14">
      <c r="M60">
        <v>-1.455881328</v>
      </c>
      <c r="N60">
        <v>5.4</v>
      </c>
    </row>
    <row r="61" spans="13:14">
      <c r="M61">
        <v>-1.45009776</v>
      </c>
      <c r="N61">
        <v>5.5</v>
      </c>
    </row>
    <row r="62" spans="13:14">
      <c r="M62">
        <v>-1.444314192</v>
      </c>
      <c r="N62">
        <v>5.6</v>
      </c>
    </row>
    <row r="63" spans="13:14">
      <c r="M63">
        <v>-1.4306746960000001</v>
      </c>
      <c r="N63">
        <v>5.7</v>
      </c>
    </row>
    <row r="64" spans="13:14">
      <c r="M64">
        <v>-1.415939024</v>
      </c>
      <c r="N64">
        <v>5.8</v>
      </c>
    </row>
    <row r="65" spans="13:14">
      <c r="M65">
        <v>-1.402840216</v>
      </c>
      <c r="N65">
        <v>5.9</v>
      </c>
    </row>
    <row r="66" spans="13:14">
      <c r="M66">
        <v>-1.3931174399999999</v>
      </c>
      <c r="N66">
        <v>6</v>
      </c>
    </row>
    <row r="67" spans="13:14">
      <c r="M67">
        <v>-1.3833946640000001</v>
      </c>
      <c r="N67">
        <v>6.1</v>
      </c>
    </row>
    <row r="68" spans="13:14">
      <c r="M68">
        <v>-1.378887312</v>
      </c>
      <c r="N68">
        <v>6.2</v>
      </c>
    </row>
    <row r="69" spans="13:14">
      <c r="M69">
        <v>-1.375889688</v>
      </c>
      <c r="N69">
        <v>6.3</v>
      </c>
    </row>
    <row r="70" spans="13:14">
      <c r="M70">
        <v>-1.3724074479999999</v>
      </c>
      <c r="N70">
        <v>6.4</v>
      </c>
    </row>
    <row r="71" spans="13:14">
      <c r="M71">
        <v>-1.36725108</v>
      </c>
      <c r="N71">
        <v>6.5</v>
      </c>
    </row>
    <row r="72" spans="13:14">
      <c r="M72">
        <v>-1.362094712</v>
      </c>
      <c r="N72">
        <v>6.6</v>
      </c>
    </row>
    <row r="73" spans="13:14">
      <c r="M73">
        <v>-1.3512768639999999</v>
      </c>
      <c r="N73">
        <v>6.7</v>
      </c>
    </row>
    <row r="74" spans="13:14">
      <c r="M74">
        <v>-1.337714056</v>
      </c>
      <c r="N74">
        <v>6.8</v>
      </c>
    </row>
    <row r="75" spans="13:14">
      <c r="M75">
        <v>-1.323616672</v>
      </c>
      <c r="N75">
        <v>6.9</v>
      </c>
    </row>
    <row r="76" spans="13:14">
      <c r="M76">
        <v>-1.3056881600000001</v>
      </c>
      <c r="N76">
        <v>7</v>
      </c>
    </row>
    <row r="77" spans="13:14">
      <c r="M77">
        <v>-1.287759648</v>
      </c>
      <c r="N77">
        <v>7.1</v>
      </c>
    </row>
    <row r="78" spans="13:14">
      <c r="M78">
        <v>-1.278237632</v>
      </c>
      <c r="N78">
        <v>7.2</v>
      </c>
    </row>
    <row r="79" spans="13:14">
      <c r="M79">
        <v>-1.275020488</v>
      </c>
      <c r="N79">
        <v>7.3</v>
      </c>
    </row>
    <row r="80" spans="13:14">
      <c r="M80">
        <v>-1.2717299360000001</v>
      </c>
      <c r="N80">
        <v>7.4</v>
      </c>
    </row>
    <row r="81" spans="13:14">
      <c r="M81">
        <v>-1.2649158</v>
      </c>
      <c r="N81">
        <v>7.5</v>
      </c>
    </row>
    <row r="82" spans="13:14">
      <c r="M82">
        <v>-1.258101664</v>
      </c>
      <c r="N82">
        <v>7.6</v>
      </c>
    </row>
    <row r="83" spans="13:14">
      <c r="M83">
        <v>-1.25288428</v>
      </c>
      <c r="N83">
        <v>7.7</v>
      </c>
    </row>
    <row r="84" spans="13:14">
      <c r="M84">
        <v>-1.24947192</v>
      </c>
      <c r="N84">
        <v>7.8</v>
      </c>
    </row>
    <row r="85" spans="13:14">
      <c r="M85">
        <v>-1.24605956</v>
      </c>
      <c r="N85">
        <v>7.9</v>
      </c>
    </row>
    <row r="86" spans="13:14">
      <c r="M86">
        <v>-1.245781</v>
      </c>
      <c r="N86">
        <v>8</v>
      </c>
    </row>
    <row r="87" spans="13:14">
      <c r="M87">
        <v>-1.245781</v>
      </c>
      <c r="N87">
        <v>8.1</v>
      </c>
    </row>
    <row r="88" spans="13:14">
      <c r="M88">
        <v>-1.2422558800000001</v>
      </c>
      <c r="N88">
        <v>8.1999999999999993</v>
      </c>
    </row>
    <row r="89" spans="13:14">
      <c r="M89">
        <v>-1.23265972</v>
      </c>
      <c r="N89">
        <v>8.3000000000000007</v>
      </c>
    </row>
    <row r="90" spans="13:14">
      <c r="M90">
        <v>-1.2230635599999999</v>
      </c>
      <c r="N90">
        <v>8.4</v>
      </c>
    </row>
    <row r="91" spans="13:14">
      <c r="M91">
        <v>-1.210493</v>
      </c>
      <c r="N91">
        <v>8.5</v>
      </c>
    </row>
    <row r="92" spans="13:14">
      <c r="M92">
        <v>-1.1972532</v>
      </c>
      <c r="N92">
        <v>8.6</v>
      </c>
    </row>
    <row r="93" spans="13:14">
      <c r="M93">
        <v>-1.186828472</v>
      </c>
      <c r="N93">
        <v>8.6999999999999993</v>
      </c>
    </row>
    <row r="94" spans="13:14">
      <c r="M94">
        <v>-1.1841993280000001</v>
      </c>
      <c r="N94">
        <v>8.8000000000000007</v>
      </c>
    </row>
    <row r="95" spans="13:14">
      <c r="M95">
        <v>-1.1815701839999999</v>
      </c>
      <c r="N95">
        <v>8.9</v>
      </c>
    </row>
    <row r="96" spans="13:14">
      <c r="M96">
        <v>-1.1740642800000001</v>
      </c>
      <c r="N96">
        <v>9</v>
      </c>
    </row>
    <row r="97" spans="13:14">
      <c r="M97">
        <v>-1.164607672</v>
      </c>
      <c r="N97">
        <v>9.1</v>
      </c>
    </row>
    <row r="98" spans="13:14">
      <c r="M98">
        <v>-1.156622936</v>
      </c>
      <c r="N98">
        <v>9.1999999999999993</v>
      </c>
    </row>
    <row r="99" spans="13:14">
      <c r="M99">
        <v>-1.1561815440000001</v>
      </c>
      <c r="N99">
        <v>9.3000000000000007</v>
      </c>
    </row>
    <row r="100" spans="13:14">
      <c r="M100">
        <v>-1.1557401519999999</v>
      </c>
      <c r="N100">
        <v>9.4</v>
      </c>
    </row>
    <row r="101" spans="13:14">
      <c r="M101">
        <v>-1.1513730799999999</v>
      </c>
      <c r="N101">
        <v>9.5</v>
      </c>
    </row>
    <row r="102" spans="13:14">
      <c r="M102">
        <v>-1.1445197439999999</v>
      </c>
      <c r="N102">
        <v>9.6</v>
      </c>
    </row>
    <row r="103" spans="13:14">
      <c r="M103">
        <v>-1.1376064319999999</v>
      </c>
      <c r="N103">
        <v>9.6999999999999993</v>
      </c>
    </row>
    <row r="104" spans="13:14">
      <c r="M104">
        <v>-1.1297734880000001</v>
      </c>
      <c r="N104">
        <v>9.8000000000000007</v>
      </c>
    </row>
    <row r="105" spans="13:14">
      <c r="M105">
        <v>-1.1219405440000001</v>
      </c>
      <c r="N105">
        <v>9.9</v>
      </c>
    </row>
    <row r="106" spans="13:14">
      <c r="M106">
        <v>-1.1123331999999999</v>
      </c>
      <c r="N106">
        <v>10</v>
      </c>
    </row>
    <row r="107" spans="13:14">
      <c r="M107">
        <v>-1.1010224319999999</v>
      </c>
      <c r="N107">
        <v>10.1</v>
      </c>
    </row>
    <row r="108" spans="13:14">
      <c r="M108">
        <v>-1.089711664</v>
      </c>
      <c r="N108">
        <v>10.199999999999999</v>
      </c>
    </row>
    <row r="109" spans="13:14">
      <c r="M109">
        <v>-1.088598768</v>
      </c>
      <c r="N109">
        <v>10.3</v>
      </c>
    </row>
    <row r="110" spans="13:14">
      <c r="M110">
        <v>-1.0879198240000001</v>
      </c>
      <c r="N110">
        <v>10.4</v>
      </c>
    </row>
    <row r="111" spans="13:14">
      <c r="M111">
        <v>-1.0873431200000001</v>
      </c>
      <c r="N111">
        <v>10.5</v>
      </c>
    </row>
    <row r="112" spans="13:14">
      <c r="M112">
        <v>-1.086914664</v>
      </c>
      <c r="N112">
        <v>10.6</v>
      </c>
    </row>
    <row r="113" spans="13:14">
      <c r="M113">
        <v>-1.086486208</v>
      </c>
      <c r="N113">
        <v>10.7</v>
      </c>
    </row>
    <row r="114" spans="13:14">
      <c r="M114">
        <v>-1.0847271919999999</v>
      </c>
      <c r="N114">
        <v>10.8</v>
      </c>
    </row>
    <row r="115" spans="13:14">
      <c r="M115">
        <v>-1.082746416</v>
      </c>
      <c r="N115">
        <v>10.9</v>
      </c>
    </row>
    <row r="116" spans="13:14">
      <c r="M116">
        <v>-1.0812996399999999</v>
      </c>
      <c r="N116">
        <v>11</v>
      </c>
    </row>
    <row r="117" spans="13:14">
      <c r="M117">
        <v>-1.081063264</v>
      </c>
      <c r="N117">
        <v>11.1</v>
      </c>
    </row>
    <row r="118" spans="13:14">
      <c r="M118">
        <v>-1.080826888</v>
      </c>
      <c r="N118">
        <v>11.2</v>
      </c>
    </row>
    <row r="119" spans="13:14">
      <c r="M119">
        <v>-1.0785040079999999</v>
      </c>
      <c r="N119">
        <v>11.3</v>
      </c>
    </row>
    <row r="120" spans="13:14">
      <c r="M120">
        <v>-1.075504424</v>
      </c>
      <c r="N120">
        <v>11.4</v>
      </c>
    </row>
    <row r="121" spans="13:14">
      <c r="M121">
        <v>-1.0726558799999999</v>
      </c>
      <c r="N121">
        <v>11.5</v>
      </c>
    </row>
    <row r="122" spans="13:14">
      <c r="M122">
        <v>-1.0703963919999999</v>
      </c>
      <c r="N122">
        <v>11.6</v>
      </c>
    </row>
    <row r="123" spans="13:14">
      <c r="M123">
        <v>-1.0681369039999999</v>
      </c>
      <c r="N123">
        <v>11.7</v>
      </c>
    </row>
    <row r="124" spans="13:14">
      <c r="M124">
        <v>-1.0662002319999999</v>
      </c>
      <c r="N124">
        <v>11.8</v>
      </c>
    </row>
    <row r="125" spans="13:14">
      <c r="M125">
        <v>-1.064435056</v>
      </c>
      <c r="N125">
        <v>11.9</v>
      </c>
    </row>
    <row r="126" spans="13:14">
      <c r="M126">
        <v>-1.06281252</v>
      </c>
      <c r="N126">
        <v>12</v>
      </c>
    </row>
    <row r="127" spans="13:14">
      <c r="M127">
        <v>-1.062445216</v>
      </c>
      <c r="N127">
        <v>12.1</v>
      </c>
    </row>
    <row r="128" spans="13:14">
      <c r="M128">
        <v>-1.0620779119999999</v>
      </c>
      <c r="N128">
        <v>12.2</v>
      </c>
    </row>
    <row r="129" spans="13:14">
      <c r="M129">
        <v>-1.0609727520000001</v>
      </c>
      <c r="N129">
        <v>12.3</v>
      </c>
    </row>
    <row r="130" spans="13:14">
      <c r="M130">
        <v>-1.0592663760000001</v>
      </c>
      <c r="N130">
        <v>12.4</v>
      </c>
    </row>
    <row r="131" spans="13:14">
      <c r="M131">
        <v>-1.0575600000000001</v>
      </c>
      <c r="N131">
        <v>12.5</v>
      </c>
    </row>
    <row r="132" spans="13:14">
      <c r="M132">
        <v>-1.0470461680000001</v>
      </c>
      <c r="N132">
        <v>12.6</v>
      </c>
    </row>
    <row r="133" spans="13:14">
      <c r="M133">
        <v>-1.0365323360000001</v>
      </c>
      <c r="N133">
        <v>12.7</v>
      </c>
    </row>
    <row r="134" spans="13:14">
      <c r="M134">
        <v>-1.0271274800000001</v>
      </c>
      <c r="N134">
        <v>12.8</v>
      </c>
    </row>
    <row r="135" spans="13:14">
      <c r="M135">
        <v>-1.0190836400000001</v>
      </c>
      <c r="N135">
        <v>12.9</v>
      </c>
    </row>
    <row r="136" spans="13:14">
      <c r="M136">
        <v>-1.0110398</v>
      </c>
      <c r="N136">
        <v>13</v>
      </c>
    </row>
    <row r="137" spans="13:14">
      <c r="M137">
        <v>-1.0049741999999999</v>
      </c>
      <c r="N137">
        <v>13.1</v>
      </c>
    </row>
    <row r="138" spans="13:14">
      <c r="M138">
        <v>-0.99913339999999995</v>
      </c>
      <c r="N138">
        <v>13.2</v>
      </c>
    </row>
    <row r="139" spans="13:14">
      <c r="M139">
        <v>-0.99373215199999998</v>
      </c>
      <c r="N139">
        <v>13.3</v>
      </c>
    </row>
    <row r="140" spans="13:14">
      <c r="M140">
        <v>-0.98915829600000005</v>
      </c>
      <c r="N140">
        <v>13.4</v>
      </c>
    </row>
    <row r="141" spans="13:14">
      <c r="M141">
        <v>-0.98458444000000001</v>
      </c>
      <c r="N141">
        <v>13.5</v>
      </c>
    </row>
    <row r="142" spans="13:14">
      <c r="M142">
        <v>-0.98334087199999998</v>
      </c>
      <c r="N142">
        <v>13.6</v>
      </c>
    </row>
    <row r="143" spans="13:14">
      <c r="M143">
        <v>-0.98295122400000001</v>
      </c>
      <c r="N143">
        <v>13.7</v>
      </c>
    </row>
    <row r="144" spans="13:14">
      <c r="M144">
        <v>-0.98231706399999996</v>
      </c>
      <c r="N144">
        <v>13.8</v>
      </c>
    </row>
    <row r="145" spans="13:14">
      <c r="M145">
        <v>-0.98092899200000006</v>
      </c>
      <c r="N145">
        <v>13.9</v>
      </c>
    </row>
    <row r="146" spans="13:14">
      <c r="M146">
        <v>-0.97954092000000004</v>
      </c>
      <c r="N146">
        <v>14</v>
      </c>
    </row>
    <row r="147" spans="13:14">
      <c r="M147">
        <v>-0.97877083200000004</v>
      </c>
      <c r="N147">
        <v>14.1</v>
      </c>
    </row>
    <row r="148" spans="13:14">
      <c r="M148">
        <v>-0.97827338399999997</v>
      </c>
      <c r="N148">
        <v>14.2</v>
      </c>
    </row>
    <row r="149" spans="13:14">
      <c r="M149">
        <v>-0.97765800000000003</v>
      </c>
      <c r="N149">
        <v>14.3</v>
      </c>
    </row>
    <row r="150" spans="13:14">
      <c r="M150">
        <v>-0.97633499999999995</v>
      </c>
      <c r="N150">
        <v>14.4</v>
      </c>
    </row>
    <row r="151" spans="13:14">
      <c r="M151">
        <v>-0.97501199999999999</v>
      </c>
      <c r="N151">
        <v>14.5</v>
      </c>
    </row>
    <row r="152" spans="13:14">
      <c r="M152">
        <v>-0.97410404799999994</v>
      </c>
      <c r="N152">
        <v>14.6</v>
      </c>
    </row>
    <row r="153" spans="13:14">
      <c r="M153">
        <v>-0.973482336</v>
      </c>
      <c r="N153">
        <v>14.7</v>
      </c>
    </row>
    <row r="154" spans="13:14">
      <c r="M154">
        <v>-0.97285742399999997</v>
      </c>
      <c r="N154">
        <v>14.8</v>
      </c>
    </row>
    <row r="155" spans="13:14">
      <c r="M155">
        <v>-0.972157312</v>
      </c>
      <c r="N155">
        <v>14.9</v>
      </c>
    </row>
    <row r="156" spans="13:14">
      <c r="M156">
        <v>-0.97145720000000002</v>
      </c>
      <c r="N156">
        <v>15</v>
      </c>
    </row>
    <row r="157" spans="13:14">
      <c r="M157">
        <v>-0.96951446399999996</v>
      </c>
      <c r="N157">
        <v>15.1</v>
      </c>
    </row>
    <row r="158" spans="13:14">
      <c r="M158">
        <v>-0.96627732799999999</v>
      </c>
      <c r="N158">
        <v>15.2</v>
      </c>
    </row>
    <row r="159" spans="13:14">
      <c r="M159">
        <v>-0.96304019200000002</v>
      </c>
      <c r="N159">
        <v>15.3</v>
      </c>
    </row>
    <row r="160" spans="13:14">
      <c r="M160">
        <v>-0.95963487999999997</v>
      </c>
      <c r="N160">
        <v>15.4</v>
      </c>
    </row>
    <row r="161" spans="13:14">
      <c r="M161">
        <v>-0.95621860000000003</v>
      </c>
      <c r="N161">
        <v>15.5</v>
      </c>
    </row>
    <row r="162" spans="13:14">
      <c r="M162">
        <v>-0.95297772800000002</v>
      </c>
      <c r="N162">
        <v>15.6</v>
      </c>
    </row>
    <row r="163" spans="13:14">
      <c r="M163">
        <v>-0.95001381600000001</v>
      </c>
      <c r="N163">
        <v>15.7</v>
      </c>
    </row>
    <row r="164" spans="13:14">
      <c r="M164">
        <v>-0.947049904</v>
      </c>
      <c r="N164">
        <v>15.8</v>
      </c>
    </row>
    <row r="165" spans="13:14">
      <c r="M165">
        <v>-0.94560135199999995</v>
      </c>
      <c r="N165">
        <v>15.9</v>
      </c>
    </row>
    <row r="166" spans="13:14">
      <c r="M166">
        <v>-0.94444848000000003</v>
      </c>
      <c r="N166">
        <v>16</v>
      </c>
    </row>
    <row r="167" spans="13:14">
      <c r="M167">
        <v>-0.94332271199999995</v>
      </c>
      <c r="N167">
        <v>16.100000000000001</v>
      </c>
    </row>
    <row r="168" spans="13:14">
      <c r="M168">
        <v>-0.94226470399999995</v>
      </c>
      <c r="N168">
        <v>16.2</v>
      </c>
    </row>
    <row r="169" spans="13:14">
      <c r="M169">
        <v>-0.94120669599999995</v>
      </c>
      <c r="N169">
        <v>16.3</v>
      </c>
    </row>
    <row r="170" spans="13:14">
      <c r="M170">
        <v>-0.94086552000000001</v>
      </c>
      <c r="N170">
        <v>16.399999999999999</v>
      </c>
    </row>
    <row r="171" spans="13:14">
      <c r="M171">
        <v>-0.94078320000000004</v>
      </c>
      <c r="N171">
        <v>16.5</v>
      </c>
    </row>
    <row r="172" spans="13:14">
      <c r="M172">
        <v>-0.93795976800000003</v>
      </c>
      <c r="N172">
        <v>16.600000000000001</v>
      </c>
    </row>
    <row r="173" spans="13:14">
      <c r="M173">
        <v>-0.92295361600000003</v>
      </c>
      <c r="N173">
        <v>16.7</v>
      </c>
    </row>
    <row r="174" spans="13:14">
      <c r="M174">
        <v>-0.90794746400000004</v>
      </c>
      <c r="N174">
        <v>16.8</v>
      </c>
    </row>
    <row r="175" spans="13:14">
      <c r="M175">
        <v>-0.90101569599999998</v>
      </c>
      <c r="N175">
        <v>16.899999999999999</v>
      </c>
    </row>
    <row r="176" spans="13:14">
      <c r="M176">
        <v>-0.89877227999999998</v>
      </c>
      <c r="N176">
        <v>17</v>
      </c>
    </row>
    <row r="177" spans="13:14">
      <c r="M177">
        <v>-0.89621392</v>
      </c>
      <c r="N177">
        <v>17.100000000000001</v>
      </c>
    </row>
    <row r="178" spans="13:14">
      <c r="M178">
        <v>-0.89011244</v>
      </c>
      <c r="N178">
        <v>17.2</v>
      </c>
    </row>
    <row r="179" spans="13:14">
      <c r="M179">
        <v>-0.88401096000000001</v>
      </c>
      <c r="N179">
        <v>17.3</v>
      </c>
    </row>
    <row r="180" spans="13:14">
      <c r="M180">
        <v>-0.87956599199999996</v>
      </c>
      <c r="N180">
        <v>17.399999999999999</v>
      </c>
    </row>
    <row r="181" spans="13:14">
      <c r="M181">
        <v>-0.87658639999999999</v>
      </c>
      <c r="N181">
        <v>17.5</v>
      </c>
    </row>
    <row r="182" spans="13:14">
      <c r="M182">
        <v>-0.87360680800000001</v>
      </c>
      <c r="N182">
        <v>17.600000000000001</v>
      </c>
    </row>
    <row r="183" spans="13:14">
      <c r="M183">
        <v>-0.86763009599999996</v>
      </c>
      <c r="N183">
        <v>17.7</v>
      </c>
    </row>
    <row r="184" spans="13:14">
      <c r="M184">
        <v>-0.86159094400000003</v>
      </c>
      <c r="N184">
        <v>17.8</v>
      </c>
    </row>
    <row r="185" spans="13:14">
      <c r="M185">
        <v>-0.85647176000000003</v>
      </c>
      <c r="N185">
        <v>17.899999999999999</v>
      </c>
    </row>
    <row r="186" spans="13:14">
      <c r="M186">
        <v>-0.85257919999999998</v>
      </c>
      <c r="N186">
        <v>18</v>
      </c>
    </row>
    <row r="187" spans="13:14">
      <c r="M187">
        <v>-0.84868664000000005</v>
      </c>
      <c r="N187">
        <v>18.100000000000001</v>
      </c>
    </row>
    <row r="188" spans="13:14">
      <c r="M188">
        <v>-0.84674043200000004</v>
      </c>
      <c r="N188">
        <v>18.2</v>
      </c>
    </row>
    <row r="189" spans="13:14">
      <c r="M189">
        <v>-0.84506580799999997</v>
      </c>
      <c r="N189">
        <v>18.3</v>
      </c>
    </row>
    <row r="190" spans="13:14">
      <c r="M190">
        <v>-0.84340436799999996</v>
      </c>
      <c r="N190">
        <v>18.399999999999999</v>
      </c>
    </row>
    <row r="191" spans="13:14">
      <c r="M191">
        <v>-0.84177011999999996</v>
      </c>
      <c r="N191">
        <v>18.5</v>
      </c>
    </row>
    <row r="192" spans="13:14">
      <c r="M192">
        <v>-0.84013587199999995</v>
      </c>
      <c r="N192">
        <v>18.600000000000001</v>
      </c>
    </row>
    <row r="193" spans="13:14">
      <c r="M193">
        <v>-0.83908530400000003</v>
      </c>
      <c r="N193">
        <v>18.7</v>
      </c>
    </row>
    <row r="194" spans="13:14">
      <c r="M194">
        <v>-0.838203696</v>
      </c>
      <c r="N194">
        <v>18.8</v>
      </c>
    </row>
    <row r="195" spans="13:14">
      <c r="M195">
        <v>-0.83709478400000004</v>
      </c>
      <c r="N195">
        <v>18.899999999999999</v>
      </c>
    </row>
    <row r="196" spans="13:14">
      <c r="M196">
        <v>-0.83520064000000005</v>
      </c>
      <c r="N196">
        <v>19</v>
      </c>
    </row>
    <row r="197" spans="13:14">
      <c r="M197">
        <v>-0.83330649599999995</v>
      </c>
      <c r="N197">
        <v>19.100000000000001</v>
      </c>
    </row>
    <row r="198" spans="13:14">
      <c r="M198">
        <v>-0.83153748800000005</v>
      </c>
      <c r="N198">
        <v>19.2</v>
      </c>
    </row>
    <row r="199" spans="13:14">
      <c r="M199">
        <v>-0.82982915199999996</v>
      </c>
      <c r="N199">
        <v>19.3</v>
      </c>
    </row>
    <row r="200" spans="13:14">
      <c r="M200">
        <v>-0.82804804799999998</v>
      </c>
      <c r="N200">
        <v>19.399999999999999</v>
      </c>
    </row>
    <row r="201" spans="13:14">
      <c r="M201">
        <v>-0.82574544000000005</v>
      </c>
      <c r="N201">
        <v>19.5</v>
      </c>
    </row>
    <row r="202" spans="13:14">
      <c r="M202">
        <v>-0.82344283200000001</v>
      </c>
      <c r="N202">
        <v>19.600000000000001</v>
      </c>
    </row>
    <row r="203" spans="13:14">
      <c r="M203">
        <v>-0.82099708800000004</v>
      </c>
      <c r="N203">
        <v>19.7</v>
      </c>
    </row>
    <row r="204" spans="13:14">
      <c r="M204">
        <v>-0.81844399199999995</v>
      </c>
      <c r="N204">
        <v>19.8</v>
      </c>
    </row>
    <row r="205" spans="13:14">
      <c r="M205">
        <v>-0.81589921600000004</v>
      </c>
      <c r="N205">
        <v>19.899999999999999</v>
      </c>
    </row>
    <row r="206" spans="13:14">
      <c r="M206">
        <v>-0.81375379999999997</v>
      </c>
      <c r="N206">
        <v>20</v>
      </c>
    </row>
    <row r="207" spans="13:14">
      <c r="M207">
        <v>-0.81160838400000002</v>
      </c>
      <c r="N207">
        <v>20.100000000000001</v>
      </c>
    </row>
    <row r="208" spans="13:14">
      <c r="M208">
        <v>-0.80966463200000005</v>
      </c>
      <c r="N208">
        <v>20.2</v>
      </c>
    </row>
    <row r="209" spans="13:14">
      <c r="M209">
        <v>-0.807948848</v>
      </c>
      <c r="N209">
        <v>20.3</v>
      </c>
    </row>
    <row r="210" spans="13:14">
      <c r="M210">
        <v>-0.80623306400000005</v>
      </c>
      <c r="N210">
        <v>20.399999999999999</v>
      </c>
    </row>
    <row r="211" spans="13:14">
      <c r="M211">
        <v>-0.80432647999999995</v>
      </c>
      <c r="N211">
        <v>20.5</v>
      </c>
    </row>
    <row r="212" spans="13:14">
      <c r="M212">
        <v>-0.80240293600000001</v>
      </c>
      <c r="N212">
        <v>20.6</v>
      </c>
    </row>
    <row r="213" spans="13:14">
      <c r="M213">
        <v>-0.80023732800000003</v>
      </c>
      <c r="N213">
        <v>20.7</v>
      </c>
    </row>
    <row r="214" spans="13:14">
      <c r="M214">
        <v>-0.79765483199999998</v>
      </c>
      <c r="N214">
        <v>20.8</v>
      </c>
    </row>
    <row r="215" spans="13:14">
      <c r="M215">
        <v>-0.79507233600000005</v>
      </c>
      <c r="N215">
        <v>20.9</v>
      </c>
    </row>
    <row r="216" spans="13:14">
      <c r="M216">
        <v>-0.79455160000000002</v>
      </c>
      <c r="N216">
        <v>21</v>
      </c>
    </row>
    <row r="217" spans="13:14">
      <c r="M217">
        <v>-0.79449475999999997</v>
      </c>
      <c r="N217">
        <v>21.1</v>
      </c>
    </row>
    <row r="218" spans="13:14">
      <c r="M218">
        <v>-0.793992488</v>
      </c>
      <c r="N218">
        <v>21.2</v>
      </c>
    </row>
    <row r="219" spans="13:14">
      <c r="M219">
        <v>-0.79225671200000003</v>
      </c>
      <c r="N219">
        <v>21.3</v>
      </c>
    </row>
    <row r="220" spans="13:14">
      <c r="M220">
        <v>-0.79052093599999995</v>
      </c>
      <c r="N220">
        <v>21.4</v>
      </c>
    </row>
    <row r="221" spans="13:14">
      <c r="M221">
        <v>-0.78941627999999997</v>
      </c>
      <c r="N221">
        <v>21.5</v>
      </c>
    </row>
    <row r="222" spans="13:14">
      <c r="M222">
        <v>-0.788564072</v>
      </c>
      <c r="N222">
        <v>21.6</v>
      </c>
    </row>
    <row r="223" spans="13:14">
      <c r="M223">
        <v>-0.78775755999999997</v>
      </c>
      <c r="N223">
        <v>21.7</v>
      </c>
    </row>
    <row r="224" spans="13:14">
      <c r="M224">
        <v>-0.78718524000000001</v>
      </c>
      <c r="N224">
        <v>21.8</v>
      </c>
    </row>
    <row r="225" spans="13:14">
      <c r="M225">
        <v>-0.78661292000000005</v>
      </c>
      <c r="N225">
        <v>21.9</v>
      </c>
    </row>
    <row r="226" spans="13:14">
      <c r="M226">
        <v>-0.78617596000000001</v>
      </c>
      <c r="N226">
        <v>22</v>
      </c>
    </row>
    <row r="227" spans="13:14">
      <c r="M227">
        <v>-0.78582472800000003</v>
      </c>
      <c r="N227">
        <v>22.1</v>
      </c>
    </row>
    <row r="228" spans="13:14">
      <c r="M228">
        <v>-0.78528284000000004</v>
      </c>
      <c r="N228">
        <v>22.2</v>
      </c>
    </row>
    <row r="229" spans="13:14">
      <c r="M229">
        <v>-0.78181756000000002</v>
      </c>
      <c r="N229">
        <v>22.3</v>
      </c>
    </row>
    <row r="230" spans="13:14">
      <c r="M230">
        <v>-0.77835228000000001</v>
      </c>
      <c r="N230">
        <v>22.4</v>
      </c>
    </row>
    <row r="231" spans="13:14">
      <c r="M231">
        <v>-0.77554420000000002</v>
      </c>
      <c r="N231">
        <v>22.5</v>
      </c>
    </row>
    <row r="232" spans="13:14">
      <c r="M232">
        <v>-0.77336703200000001</v>
      </c>
      <c r="N232">
        <v>22.6</v>
      </c>
    </row>
    <row r="233" spans="13:14">
      <c r="M233">
        <v>-0.771189864</v>
      </c>
      <c r="N233">
        <v>22.7</v>
      </c>
    </row>
    <row r="234" spans="13:14">
      <c r="M234">
        <v>-0.76951728799999997</v>
      </c>
      <c r="N234">
        <v>22.8</v>
      </c>
    </row>
    <row r="235" spans="13:14">
      <c r="M235">
        <v>-0.76786618399999995</v>
      </c>
      <c r="N235">
        <v>22.9</v>
      </c>
    </row>
    <row r="236" spans="13:14">
      <c r="M236">
        <v>-0.76640547999999997</v>
      </c>
      <c r="N236">
        <v>23</v>
      </c>
    </row>
    <row r="237" spans="13:14">
      <c r="M237">
        <v>-0.765220856</v>
      </c>
      <c r="N237">
        <v>23.1</v>
      </c>
    </row>
    <row r="238" spans="13:14">
      <c r="M238">
        <v>-0.76403623200000004</v>
      </c>
      <c r="N238">
        <v>23.2</v>
      </c>
    </row>
    <row r="239" spans="13:14">
      <c r="M239">
        <v>-0.76049154399999996</v>
      </c>
      <c r="N239">
        <v>23.3</v>
      </c>
    </row>
    <row r="240" spans="13:14">
      <c r="M240">
        <v>-0.75655351199999998</v>
      </c>
      <c r="N240">
        <v>23.4</v>
      </c>
    </row>
    <row r="241" spans="13:14">
      <c r="M241">
        <v>-0.75075175999999999</v>
      </c>
      <c r="N241">
        <v>23.5</v>
      </c>
    </row>
    <row r="242" spans="13:14">
      <c r="M242">
        <v>-0.740725576</v>
      </c>
      <c r="N242">
        <v>23.6</v>
      </c>
    </row>
    <row r="243" spans="13:14">
      <c r="M243">
        <v>-0.730699392</v>
      </c>
      <c r="N243">
        <v>23.7</v>
      </c>
    </row>
    <row r="244" spans="13:14">
      <c r="M244">
        <v>-0.72733054399999997</v>
      </c>
      <c r="N244">
        <v>23.8</v>
      </c>
    </row>
    <row r="245" spans="13:14">
      <c r="M245">
        <v>-0.72612083199999999</v>
      </c>
      <c r="N245">
        <v>23.9</v>
      </c>
    </row>
    <row r="246" spans="13:14">
      <c r="M246">
        <v>-0.72512951999999997</v>
      </c>
      <c r="N246">
        <v>24</v>
      </c>
    </row>
    <row r="247" spans="13:14">
      <c r="M247">
        <v>-0.72498996800000004</v>
      </c>
      <c r="N247">
        <v>24.1</v>
      </c>
    </row>
    <row r="248" spans="13:14">
      <c r="M248">
        <v>-0.724850416</v>
      </c>
      <c r="N248">
        <v>24.2</v>
      </c>
    </row>
    <row r="249" spans="13:14">
      <c r="M249">
        <v>-0.72070574399999998</v>
      </c>
      <c r="N249">
        <v>24.3</v>
      </c>
    </row>
    <row r="250" spans="13:14">
      <c r="M250">
        <v>-0.71443335200000002</v>
      </c>
      <c r="N250">
        <v>24.4</v>
      </c>
    </row>
    <row r="251" spans="13:14">
      <c r="M251">
        <v>-0.70877447999999998</v>
      </c>
      <c r="N251">
        <v>24.5</v>
      </c>
    </row>
    <row r="252" spans="13:14">
      <c r="M252">
        <v>-0.708514584</v>
      </c>
      <c r="N252">
        <v>24.6</v>
      </c>
    </row>
    <row r="253" spans="13:14">
      <c r="M253">
        <v>-0.70825468800000002</v>
      </c>
      <c r="N253">
        <v>24.7</v>
      </c>
    </row>
    <row r="254" spans="13:14">
      <c r="M254">
        <v>-0.70706642399999997</v>
      </c>
      <c r="N254">
        <v>24.8</v>
      </c>
    </row>
    <row r="255" spans="13:14">
      <c r="M255">
        <v>-0.70512171199999996</v>
      </c>
      <c r="N255">
        <v>24.9</v>
      </c>
    </row>
    <row r="256" spans="13:14">
      <c r="M256">
        <v>-0.70317700000000005</v>
      </c>
      <c r="N256">
        <v>25</v>
      </c>
    </row>
    <row r="257" spans="13:14">
      <c r="M257">
        <v>-0.70142750399999998</v>
      </c>
      <c r="N257">
        <v>25.1</v>
      </c>
    </row>
    <row r="258" spans="13:14">
      <c r="M258">
        <v>-0.69967800800000002</v>
      </c>
      <c r="N258">
        <v>25.2</v>
      </c>
    </row>
    <row r="259" spans="13:14">
      <c r="M259">
        <v>-0.69815273600000005</v>
      </c>
      <c r="N259">
        <v>25.3</v>
      </c>
    </row>
    <row r="260" spans="13:14">
      <c r="M260">
        <v>-0.69690264800000001</v>
      </c>
      <c r="N260">
        <v>25.4</v>
      </c>
    </row>
    <row r="261" spans="13:14">
      <c r="M261">
        <v>-0.69565255999999998</v>
      </c>
      <c r="N261">
        <v>25.5</v>
      </c>
    </row>
    <row r="262" spans="13:14">
      <c r="M262">
        <v>-0.69316448799999997</v>
      </c>
      <c r="N262">
        <v>25.6</v>
      </c>
    </row>
    <row r="263" spans="13:14">
      <c r="M263">
        <v>-0.69053573599999996</v>
      </c>
      <c r="N263">
        <v>25.7</v>
      </c>
    </row>
    <row r="264" spans="13:14">
      <c r="M264">
        <v>-0.68581598399999999</v>
      </c>
      <c r="N264">
        <v>25.8</v>
      </c>
    </row>
    <row r="265" spans="13:14">
      <c r="M265">
        <v>-0.67716023199999997</v>
      </c>
      <c r="N265">
        <v>25.9</v>
      </c>
    </row>
    <row r="266" spans="13:14">
      <c r="M266">
        <v>-0.66850447999999996</v>
      </c>
      <c r="N266">
        <v>26</v>
      </c>
    </row>
    <row r="267" spans="13:14">
      <c r="M267">
        <v>-0.66602976000000003</v>
      </c>
      <c r="N267">
        <v>26.1</v>
      </c>
    </row>
    <row r="268" spans="13:14">
      <c r="M268">
        <v>-0.66513992</v>
      </c>
      <c r="N268">
        <v>26.2</v>
      </c>
    </row>
    <row r="269" spans="13:14">
      <c r="M269">
        <v>-0.66328710400000002</v>
      </c>
      <c r="N269">
        <v>26.3</v>
      </c>
    </row>
    <row r="270" spans="13:14">
      <c r="M270">
        <v>-0.65846511200000002</v>
      </c>
      <c r="N270">
        <v>26.4</v>
      </c>
    </row>
    <row r="271" spans="13:14">
      <c r="M271">
        <v>-0.65364312000000002</v>
      </c>
      <c r="N271">
        <v>26.5</v>
      </c>
    </row>
    <row r="272" spans="13:14">
      <c r="M272">
        <v>-0.64802579999999999</v>
      </c>
      <c r="N272">
        <v>26.6</v>
      </c>
    </row>
    <row r="273" spans="13:14">
      <c r="M273">
        <v>-0.64205760000000001</v>
      </c>
      <c r="N273">
        <v>26.7</v>
      </c>
    </row>
    <row r="274" spans="13:14">
      <c r="M274">
        <v>-0.63676912799999996</v>
      </c>
      <c r="N274">
        <v>26.8</v>
      </c>
    </row>
    <row r="275" spans="13:14">
      <c r="M275">
        <v>-0.63555902399999997</v>
      </c>
      <c r="N275">
        <v>26.9</v>
      </c>
    </row>
    <row r="276" spans="13:14">
      <c r="M276">
        <v>-0.63434891999999998</v>
      </c>
      <c r="N276">
        <v>27</v>
      </c>
    </row>
    <row r="277" spans="13:14">
      <c r="M277">
        <v>-0.63253584799999996</v>
      </c>
      <c r="N277">
        <v>27.1</v>
      </c>
    </row>
    <row r="278" spans="13:14">
      <c r="M278">
        <v>-0.63030693599999998</v>
      </c>
      <c r="N278">
        <v>27.2</v>
      </c>
    </row>
    <row r="279" spans="13:14">
      <c r="M279">
        <v>-0.62812031199999996</v>
      </c>
      <c r="N279">
        <v>27.3</v>
      </c>
    </row>
    <row r="280" spans="13:14">
      <c r="M280">
        <v>-0.62692745599999999</v>
      </c>
      <c r="N280">
        <v>27.4</v>
      </c>
    </row>
    <row r="281" spans="13:14">
      <c r="M281">
        <v>-0.62573460000000003</v>
      </c>
      <c r="N281">
        <v>27.5</v>
      </c>
    </row>
    <row r="282" spans="13:14">
      <c r="M282">
        <v>-0.62470244799999997</v>
      </c>
      <c r="N282">
        <v>27.6</v>
      </c>
    </row>
    <row r="283" spans="13:14">
      <c r="M283">
        <v>-0.62383769600000005</v>
      </c>
      <c r="N283">
        <v>27.7</v>
      </c>
    </row>
    <row r="284" spans="13:14">
      <c r="M284">
        <v>-0.62297294400000003</v>
      </c>
      <c r="N284">
        <v>27.8</v>
      </c>
    </row>
    <row r="285" spans="13:14">
      <c r="M285">
        <v>-0.62167616000000003</v>
      </c>
      <c r="N285">
        <v>27.9</v>
      </c>
    </row>
    <row r="286" spans="13:14">
      <c r="M286">
        <v>-0.62035119999999999</v>
      </c>
      <c r="N286">
        <v>28</v>
      </c>
    </row>
    <row r="287" spans="13:14">
      <c r="M287">
        <v>-0.618785472</v>
      </c>
      <c r="N287">
        <v>28.1</v>
      </c>
    </row>
    <row r="288" spans="13:14">
      <c r="M288">
        <v>-0.61683958400000005</v>
      </c>
      <c r="N288">
        <v>28.2</v>
      </c>
    </row>
    <row r="289" spans="13:14">
      <c r="M289">
        <v>-0.61489369599999999</v>
      </c>
      <c r="N289">
        <v>28.3</v>
      </c>
    </row>
    <row r="290" spans="13:14">
      <c r="M290">
        <v>-0.61435427200000003</v>
      </c>
      <c r="N290">
        <v>28.4</v>
      </c>
    </row>
    <row r="291" spans="13:14">
      <c r="M291">
        <v>-0.61408927999999996</v>
      </c>
      <c r="N291">
        <v>28.5</v>
      </c>
    </row>
    <row r="292" spans="13:14">
      <c r="M292">
        <v>-0.613750032</v>
      </c>
      <c r="N292">
        <v>28.6</v>
      </c>
    </row>
    <row r="293" spans="13:14">
      <c r="M293">
        <v>-0.61322514400000006</v>
      </c>
      <c r="N293">
        <v>28.7</v>
      </c>
    </row>
    <row r="294" spans="13:14">
      <c r="M294">
        <v>-0.612700256</v>
      </c>
      <c r="N294">
        <v>28.8</v>
      </c>
    </row>
    <row r="295" spans="13:14">
      <c r="M295">
        <v>-0.61180471199999997</v>
      </c>
      <c r="N295">
        <v>28.9</v>
      </c>
    </row>
    <row r="296" spans="13:14">
      <c r="M296">
        <v>-0.61077532000000001</v>
      </c>
      <c r="N296">
        <v>29</v>
      </c>
    </row>
    <row r="297" spans="13:14">
      <c r="M297">
        <v>-0.60958421600000001</v>
      </c>
      <c r="N297">
        <v>29.1</v>
      </c>
    </row>
    <row r="298" spans="13:14">
      <c r="M298">
        <v>-0.60767439199999995</v>
      </c>
      <c r="N298">
        <v>29.2</v>
      </c>
    </row>
    <row r="299" spans="13:14">
      <c r="M299">
        <v>-0.605764568</v>
      </c>
      <c r="N299">
        <v>29.3</v>
      </c>
    </row>
    <row r="300" spans="13:14">
      <c r="M300">
        <v>-0.60422600000000004</v>
      </c>
      <c r="N300">
        <v>29.4</v>
      </c>
    </row>
    <row r="301" spans="13:14">
      <c r="M301">
        <v>-0.60290299999999997</v>
      </c>
      <c r="N301">
        <v>29.5</v>
      </c>
    </row>
    <row r="302" spans="13:14">
      <c r="M302">
        <v>-0.601680416</v>
      </c>
      <c r="N302">
        <v>29.6</v>
      </c>
    </row>
    <row r="303" spans="13:14">
      <c r="M303">
        <v>-0.60158751200000005</v>
      </c>
      <c r="N303">
        <v>29.7</v>
      </c>
    </row>
    <row r="304" spans="13:14">
      <c r="M304">
        <v>-0.60149460799999999</v>
      </c>
      <c r="N304">
        <v>29.8</v>
      </c>
    </row>
    <row r="305" spans="13:14">
      <c r="M305">
        <v>-0.59985896800000005</v>
      </c>
      <c r="N305">
        <v>29.9</v>
      </c>
    </row>
    <row r="306" spans="13:14">
      <c r="M306">
        <v>-0.59685860000000002</v>
      </c>
      <c r="N306">
        <v>30</v>
      </c>
    </row>
    <row r="307" spans="13:14">
      <c r="M307">
        <v>-0.59385823199999999</v>
      </c>
      <c r="N307">
        <v>30.1</v>
      </c>
    </row>
    <row r="308" spans="13:14">
      <c r="M308">
        <v>-0.59379700000000002</v>
      </c>
      <c r="N308">
        <v>30.2</v>
      </c>
    </row>
    <row r="309" spans="13:14">
      <c r="M309">
        <v>-0.59379700000000002</v>
      </c>
      <c r="N309">
        <v>30.3</v>
      </c>
    </row>
    <row r="310" spans="13:14">
      <c r="M310">
        <v>-0.59360816800000005</v>
      </c>
      <c r="N310">
        <v>30.4</v>
      </c>
    </row>
    <row r="311" spans="13:14">
      <c r="M311">
        <v>-0.59316756000000004</v>
      </c>
      <c r="N311">
        <v>30.5</v>
      </c>
    </row>
    <row r="312" spans="13:14">
      <c r="M312">
        <v>-0.59272695200000003</v>
      </c>
      <c r="N312">
        <v>30.6</v>
      </c>
    </row>
    <row r="313" spans="13:14">
      <c r="M313">
        <v>-0.59190140800000002</v>
      </c>
      <c r="N313">
        <v>30.7</v>
      </c>
    </row>
    <row r="314" spans="13:14">
      <c r="M314">
        <v>-0.59102215199999997</v>
      </c>
      <c r="N314">
        <v>30.8</v>
      </c>
    </row>
    <row r="315" spans="13:14">
      <c r="M315">
        <v>-0.58976708799999999</v>
      </c>
      <c r="N315">
        <v>30.9</v>
      </c>
    </row>
    <row r="316" spans="13:14">
      <c r="M316">
        <v>-0.58773692</v>
      </c>
      <c r="N316">
        <v>31</v>
      </c>
    </row>
    <row r="317" spans="13:14">
      <c r="M317">
        <v>-0.585706752</v>
      </c>
      <c r="N317">
        <v>31.1</v>
      </c>
    </row>
    <row r="318" spans="13:14">
      <c r="M318">
        <v>-0.58484972000000002</v>
      </c>
      <c r="N318">
        <v>31.2</v>
      </c>
    </row>
    <row r="319" spans="13:14">
      <c r="M319">
        <v>-0.58433228000000004</v>
      </c>
      <c r="N319">
        <v>31.3</v>
      </c>
    </row>
    <row r="320" spans="13:14">
      <c r="M320">
        <v>-0.58337897599999999</v>
      </c>
      <c r="N320">
        <v>31.4</v>
      </c>
    </row>
    <row r="321" spans="13:14">
      <c r="M321">
        <v>-0.58091996000000001</v>
      </c>
      <c r="N321">
        <v>31.5</v>
      </c>
    </row>
    <row r="322" spans="13:14">
      <c r="M322">
        <v>-0.57846094400000003</v>
      </c>
      <c r="N322">
        <v>31.6</v>
      </c>
    </row>
    <row r="323" spans="13:14">
      <c r="M323">
        <v>-0.57535486400000002</v>
      </c>
      <c r="N323">
        <v>31.7</v>
      </c>
    </row>
    <row r="324" spans="13:14">
      <c r="M324">
        <v>-0.57193505600000005</v>
      </c>
      <c r="N324">
        <v>31.8</v>
      </c>
    </row>
    <row r="325" spans="13:14">
      <c r="M325">
        <v>-0.56890673599999997</v>
      </c>
      <c r="N325">
        <v>31.9</v>
      </c>
    </row>
    <row r="326" spans="13:14">
      <c r="M326">
        <v>-0.56868408000000004</v>
      </c>
      <c r="N326">
        <v>32</v>
      </c>
    </row>
    <row r="327" spans="13:14">
      <c r="M327">
        <v>-0.56846142399999999</v>
      </c>
      <c r="N327">
        <v>32.1</v>
      </c>
    </row>
    <row r="328" spans="13:14">
      <c r="M328">
        <v>-0.56306996799999998</v>
      </c>
      <c r="N328">
        <v>32.200000000000003</v>
      </c>
    </row>
    <row r="329" spans="13:14">
      <c r="M329">
        <v>-0.55380191199999995</v>
      </c>
      <c r="N329">
        <v>32.299999999999997</v>
      </c>
    </row>
    <row r="330" spans="13:14">
      <c r="M330">
        <v>-0.54458116000000001</v>
      </c>
      <c r="N330">
        <v>32.4</v>
      </c>
    </row>
    <row r="331" spans="13:14">
      <c r="M331">
        <v>-0.53763099999999997</v>
      </c>
      <c r="N331">
        <v>32.5</v>
      </c>
    </row>
    <row r="332" spans="13:14">
      <c r="M332">
        <v>-0.53068084000000004</v>
      </c>
      <c r="N332">
        <v>32.6</v>
      </c>
    </row>
    <row r="333" spans="13:14">
      <c r="M333">
        <v>-0.52499880799999998</v>
      </c>
      <c r="N333">
        <v>32.700000000000003</v>
      </c>
    </row>
    <row r="334" spans="13:14">
      <c r="M334">
        <v>-0.52075031199999999</v>
      </c>
      <c r="N334">
        <v>32.799999999999997</v>
      </c>
    </row>
    <row r="335" spans="13:14">
      <c r="M335">
        <v>-0.516501816</v>
      </c>
      <c r="N335">
        <v>32.9</v>
      </c>
    </row>
    <row r="336" spans="13:14">
      <c r="M336">
        <v>-0.51453680000000002</v>
      </c>
      <c r="N336">
        <v>33</v>
      </c>
    </row>
    <row r="337" spans="13:14">
      <c r="M337">
        <v>-0.51277476</v>
      </c>
      <c r="N337">
        <v>33.1</v>
      </c>
    </row>
    <row r="338" spans="13:14">
      <c r="M338">
        <v>-0.51064033600000003</v>
      </c>
      <c r="N338">
        <v>33.200000000000003</v>
      </c>
    </row>
    <row r="339" spans="13:14">
      <c r="M339">
        <v>-0.50786458400000001</v>
      </c>
      <c r="N339">
        <v>33.299999999999997</v>
      </c>
    </row>
    <row r="340" spans="13:14">
      <c r="M340">
        <v>-0.50508883199999999</v>
      </c>
      <c r="N340">
        <v>33.4</v>
      </c>
    </row>
    <row r="341" spans="13:14">
      <c r="M341">
        <v>-0.50105548</v>
      </c>
      <c r="N341">
        <v>33.5</v>
      </c>
    </row>
    <row r="342" spans="13:14">
      <c r="M342">
        <v>-0.49673916800000001</v>
      </c>
      <c r="N342">
        <v>33.6</v>
      </c>
    </row>
    <row r="343" spans="13:14">
      <c r="M343">
        <v>-0.49260215200000002</v>
      </c>
      <c r="N343">
        <v>33.700000000000003</v>
      </c>
    </row>
    <row r="344" spans="13:14">
      <c r="M344">
        <v>-0.48896164800000003</v>
      </c>
      <c r="N344">
        <v>33.799999999999997</v>
      </c>
    </row>
    <row r="345" spans="13:14">
      <c r="M345">
        <v>-0.48532114399999998</v>
      </c>
      <c r="N345">
        <v>33.9</v>
      </c>
    </row>
    <row r="346" spans="13:14">
      <c r="M346">
        <v>-0.48348020000000003</v>
      </c>
      <c r="N346">
        <v>34</v>
      </c>
    </row>
    <row r="347" spans="13:14">
      <c r="M347">
        <v>-0.48235908</v>
      </c>
      <c r="N347">
        <v>34.1</v>
      </c>
    </row>
    <row r="348" spans="13:14">
      <c r="M348">
        <v>-0.48004800800000003</v>
      </c>
      <c r="N348">
        <v>34.200000000000003</v>
      </c>
    </row>
    <row r="349" spans="13:14">
      <c r="M349">
        <v>-0.471638432</v>
      </c>
      <c r="N349">
        <v>34.299999999999997</v>
      </c>
    </row>
    <row r="350" spans="13:14">
      <c r="M350">
        <v>-0.46322885600000002</v>
      </c>
      <c r="N350">
        <v>34.4</v>
      </c>
    </row>
    <row r="351" spans="13:14">
      <c r="M351">
        <v>-0.45793183999999998</v>
      </c>
      <c r="N351">
        <v>34.5</v>
      </c>
    </row>
    <row r="352" spans="13:14">
      <c r="M352">
        <v>-0.45460611200000001</v>
      </c>
      <c r="N352">
        <v>34.6</v>
      </c>
    </row>
    <row r="353" spans="13:14">
      <c r="M353">
        <v>-0.45142208</v>
      </c>
      <c r="N353">
        <v>34.700000000000003</v>
      </c>
    </row>
    <row r="354" spans="13:14">
      <c r="M354">
        <v>-0.45041071999999999</v>
      </c>
      <c r="N354">
        <v>34.799999999999997</v>
      </c>
    </row>
    <row r="355" spans="13:14">
      <c r="M355">
        <v>-0.44939936000000003</v>
      </c>
      <c r="N355">
        <v>34.9</v>
      </c>
    </row>
    <row r="356" spans="13:14">
      <c r="M356">
        <v>-0.44840259999999998</v>
      </c>
      <c r="N356">
        <v>35</v>
      </c>
    </row>
    <row r="357" spans="13:14">
      <c r="M357">
        <v>-0.447419856</v>
      </c>
      <c r="N357">
        <v>35.1</v>
      </c>
    </row>
    <row r="358" spans="13:14">
      <c r="M358">
        <v>-0.44643711200000002</v>
      </c>
      <c r="N358">
        <v>35.200000000000003</v>
      </c>
    </row>
    <row r="359" spans="13:14">
      <c r="M359">
        <v>-0.44385072800000003</v>
      </c>
      <c r="N359">
        <v>35.299999999999997</v>
      </c>
    </row>
    <row r="360" spans="13:14">
      <c r="M360">
        <v>-0.44119610399999998</v>
      </c>
      <c r="N360">
        <v>35.4</v>
      </c>
    </row>
    <row r="361" spans="13:14">
      <c r="M361">
        <v>-0.43840163999999998</v>
      </c>
      <c r="N361">
        <v>35.5</v>
      </c>
    </row>
    <row r="362" spans="13:14">
      <c r="M362">
        <v>-0.43540440800000002</v>
      </c>
      <c r="N362">
        <v>35.6</v>
      </c>
    </row>
    <row r="363" spans="13:14">
      <c r="M363">
        <v>-0.432407176</v>
      </c>
      <c r="N363">
        <v>35.700000000000003</v>
      </c>
    </row>
    <row r="364" spans="13:14">
      <c r="M364">
        <v>-0.43126130400000001</v>
      </c>
      <c r="N364">
        <v>35.799999999999997</v>
      </c>
    </row>
    <row r="365" spans="13:14">
      <c r="M365">
        <v>-0.43042399199999998</v>
      </c>
      <c r="N365">
        <v>35.9</v>
      </c>
    </row>
    <row r="366" spans="13:14">
      <c r="M366">
        <v>-0.42928968000000001</v>
      </c>
      <c r="N366">
        <v>36</v>
      </c>
    </row>
    <row r="367" spans="13:14">
      <c r="M367">
        <v>-0.427482168</v>
      </c>
      <c r="N367">
        <v>36.1</v>
      </c>
    </row>
    <row r="368" spans="13:14">
      <c r="M368">
        <v>-0.42567465599999998</v>
      </c>
      <c r="N368">
        <v>36.200000000000003</v>
      </c>
    </row>
    <row r="369" spans="13:14">
      <c r="M369">
        <v>-0.424751296</v>
      </c>
      <c r="N369">
        <v>36.299999999999997</v>
      </c>
    </row>
    <row r="370" spans="13:14">
      <c r="M370">
        <v>-0.42411468800000002</v>
      </c>
      <c r="N370">
        <v>36.4</v>
      </c>
    </row>
    <row r="371" spans="13:14">
      <c r="M371">
        <v>-0.42342807999999998</v>
      </c>
      <c r="N371">
        <v>36.5</v>
      </c>
    </row>
    <row r="372" spans="13:14">
      <c r="M372">
        <v>-0.42254647200000001</v>
      </c>
      <c r="N372">
        <v>36.6</v>
      </c>
    </row>
    <row r="373" spans="13:14">
      <c r="M373">
        <v>-0.42166486399999997</v>
      </c>
      <c r="N373">
        <v>36.700000000000003</v>
      </c>
    </row>
    <row r="374" spans="13:14">
      <c r="M374">
        <v>-0.41772047200000001</v>
      </c>
      <c r="N374">
        <v>36.799999999999997</v>
      </c>
    </row>
    <row r="375" spans="13:14">
      <c r="M375">
        <v>-0.412148976</v>
      </c>
      <c r="N375">
        <v>36.9</v>
      </c>
    </row>
    <row r="376" spans="13:14">
      <c r="M376">
        <v>-0.40709956000000003</v>
      </c>
      <c r="N376">
        <v>37</v>
      </c>
    </row>
    <row r="377" spans="13:14">
      <c r="M377">
        <v>-0.40664444799999999</v>
      </c>
      <c r="N377">
        <v>37.1</v>
      </c>
    </row>
    <row r="378" spans="13:14">
      <c r="M378">
        <v>-0.40618933600000001</v>
      </c>
      <c r="N378">
        <v>37.200000000000003</v>
      </c>
    </row>
    <row r="379" spans="13:14">
      <c r="M379">
        <v>-0.40427687200000001</v>
      </c>
      <c r="N379">
        <v>37.299999999999997</v>
      </c>
    </row>
    <row r="380" spans="13:14">
      <c r="M380">
        <v>-0.40117693599999998</v>
      </c>
      <c r="N380">
        <v>37.4</v>
      </c>
    </row>
    <row r="381" spans="13:14">
      <c r="M381">
        <v>-0.39807700000000001</v>
      </c>
      <c r="N381">
        <v>37.5</v>
      </c>
    </row>
    <row r="382" spans="13:14">
      <c r="M382">
        <v>-0.396212648</v>
      </c>
      <c r="N382">
        <v>37.6</v>
      </c>
    </row>
    <row r="383" spans="13:14">
      <c r="M383">
        <v>-0.39434829599999999</v>
      </c>
      <c r="N383">
        <v>37.700000000000003</v>
      </c>
    </row>
    <row r="384" spans="13:14">
      <c r="M384">
        <v>-0.39216203999999999</v>
      </c>
      <c r="N384">
        <v>37.799999999999997</v>
      </c>
    </row>
    <row r="385" spans="13:14">
      <c r="M385">
        <v>-0.38958071999999999</v>
      </c>
      <c r="N385">
        <v>37.9</v>
      </c>
    </row>
    <row r="386" spans="13:14">
      <c r="M386">
        <v>-0.38699939999999999</v>
      </c>
      <c r="N386">
        <v>38</v>
      </c>
    </row>
    <row r="387" spans="13:14">
      <c r="M387">
        <v>-0.38636604800000002</v>
      </c>
      <c r="N387">
        <v>38.1</v>
      </c>
    </row>
    <row r="388" spans="13:14">
      <c r="M388">
        <v>-0.38595405599999999</v>
      </c>
      <c r="N388">
        <v>38.200000000000003</v>
      </c>
    </row>
    <row r="389" spans="13:14">
      <c r="M389">
        <v>-0.38494992</v>
      </c>
      <c r="N389">
        <v>38.299999999999997</v>
      </c>
    </row>
    <row r="390" spans="13:14">
      <c r="M390">
        <v>-0.38283116</v>
      </c>
      <c r="N390">
        <v>38.4</v>
      </c>
    </row>
    <row r="391" spans="13:14">
      <c r="M391">
        <v>-0.38071240000000001</v>
      </c>
      <c r="N391">
        <v>38.5</v>
      </c>
    </row>
    <row r="392" spans="13:14">
      <c r="M392">
        <v>-0.37870939199999998</v>
      </c>
      <c r="N392">
        <v>38.6</v>
      </c>
    </row>
    <row r="393" spans="13:14">
      <c r="M393">
        <v>-0.37673606399999998</v>
      </c>
      <c r="N393">
        <v>38.700000000000003</v>
      </c>
    </row>
    <row r="394" spans="13:14">
      <c r="M394">
        <v>-0.37471022399999998</v>
      </c>
      <c r="N394">
        <v>38.799999999999997</v>
      </c>
    </row>
    <row r="395" spans="13:14">
      <c r="M395">
        <v>-0.37252247199999999</v>
      </c>
      <c r="N395">
        <v>38.9</v>
      </c>
    </row>
    <row r="396" spans="13:14">
      <c r="M396">
        <v>-0.37033472000000001</v>
      </c>
      <c r="N396">
        <v>39</v>
      </c>
    </row>
    <row r="397" spans="13:14">
      <c r="M397">
        <v>-0.36935872800000003</v>
      </c>
      <c r="N397">
        <v>39.1</v>
      </c>
    </row>
    <row r="398" spans="13:14">
      <c r="M398">
        <v>-0.36891733599999998</v>
      </c>
      <c r="N398">
        <v>39.200000000000003</v>
      </c>
    </row>
    <row r="399" spans="13:14">
      <c r="M399">
        <v>-0.3685138</v>
      </c>
      <c r="N399">
        <v>39.299999999999997</v>
      </c>
    </row>
    <row r="400" spans="13:14">
      <c r="M400">
        <v>-0.36833739999999998</v>
      </c>
      <c r="N400">
        <v>39.4</v>
      </c>
    </row>
    <row r="401" spans="13:14">
      <c r="M401">
        <v>-0.36816100000000002</v>
      </c>
      <c r="N401">
        <v>39.5</v>
      </c>
    </row>
    <row r="402" spans="13:14">
      <c r="M402">
        <v>-0.36449485599999998</v>
      </c>
      <c r="N402">
        <v>39.6</v>
      </c>
    </row>
    <row r="403" spans="13:14">
      <c r="M403">
        <v>-0.35842199200000002</v>
      </c>
      <c r="N403">
        <v>39.700000000000003</v>
      </c>
    </row>
    <row r="404" spans="13:14">
      <c r="M404">
        <v>-0.35242308</v>
      </c>
      <c r="N404">
        <v>39.799999999999997</v>
      </c>
    </row>
    <row r="405" spans="13:14">
      <c r="M405">
        <v>-0.34816204000000001</v>
      </c>
      <c r="N405">
        <v>39.9</v>
      </c>
    </row>
    <row r="406" spans="13:14">
      <c r="M406">
        <v>-0.34390100000000001</v>
      </c>
      <c r="N406">
        <v>40</v>
      </c>
    </row>
    <row r="407" spans="13:14">
      <c r="M407">
        <v>-0.34090984800000002</v>
      </c>
      <c r="N407">
        <v>40.1</v>
      </c>
    </row>
    <row r="408" spans="13:14">
      <c r="M408">
        <v>-0.33924149599999998</v>
      </c>
      <c r="N408">
        <v>40.200000000000003</v>
      </c>
    </row>
    <row r="409" spans="13:14">
      <c r="M409">
        <v>-0.33757314399999999</v>
      </c>
      <c r="N409">
        <v>40.299999999999997</v>
      </c>
    </row>
    <row r="410" spans="13:14">
      <c r="M410">
        <v>-0.33696757599999999</v>
      </c>
      <c r="N410">
        <v>40.4</v>
      </c>
    </row>
    <row r="411" spans="13:14">
      <c r="M411">
        <v>-0.33643131999999998</v>
      </c>
      <c r="N411">
        <v>40.5</v>
      </c>
    </row>
    <row r="412" spans="13:14">
      <c r="M412">
        <v>-0.33601043200000003</v>
      </c>
      <c r="N412">
        <v>40.6</v>
      </c>
    </row>
    <row r="413" spans="13:14">
      <c r="M413">
        <v>-0.335771704</v>
      </c>
      <c r="N413">
        <v>40.700000000000003</v>
      </c>
    </row>
    <row r="414" spans="13:14">
      <c r="M414">
        <v>-0.33553297599999998</v>
      </c>
      <c r="N414">
        <v>40.799999999999997</v>
      </c>
    </row>
    <row r="415" spans="13:14">
      <c r="M415">
        <v>-0.332831296</v>
      </c>
      <c r="N415">
        <v>40.9</v>
      </c>
    </row>
    <row r="416" spans="13:14">
      <c r="M416">
        <v>-0.32964904</v>
      </c>
      <c r="N416">
        <v>41</v>
      </c>
    </row>
    <row r="417" spans="13:14">
      <c r="M417">
        <v>-0.32682496</v>
      </c>
      <c r="N417">
        <v>41.1</v>
      </c>
    </row>
    <row r="418" spans="13:14">
      <c r="M418">
        <v>-0.32489632000000002</v>
      </c>
      <c r="N418">
        <v>41.2</v>
      </c>
    </row>
    <row r="419" spans="13:14">
      <c r="M419">
        <v>-0.32296767999999998</v>
      </c>
      <c r="N419">
        <v>41.3</v>
      </c>
    </row>
    <row r="420" spans="13:14">
      <c r="M420">
        <v>-0.32232323200000002</v>
      </c>
      <c r="N420">
        <v>41.4</v>
      </c>
    </row>
    <row r="421" spans="13:14">
      <c r="M421">
        <v>-0.32214251999999999</v>
      </c>
      <c r="N421">
        <v>41.5</v>
      </c>
    </row>
    <row r="422" spans="13:14">
      <c r="M422">
        <v>-0.32181485599999998</v>
      </c>
      <c r="N422">
        <v>41.6</v>
      </c>
    </row>
    <row r="423" spans="13:14">
      <c r="M423">
        <v>-0.32083407200000003</v>
      </c>
      <c r="N423">
        <v>41.7</v>
      </c>
    </row>
    <row r="424" spans="13:14">
      <c r="M424">
        <v>-0.31985328800000001</v>
      </c>
      <c r="N424">
        <v>41.8</v>
      </c>
    </row>
    <row r="425" spans="13:14">
      <c r="M425">
        <v>-0.31939082400000002</v>
      </c>
      <c r="N425">
        <v>41.9</v>
      </c>
    </row>
    <row r="426" spans="13:14">
      <c r="M426">
        <v>-0.31922931999999998</v>
      </c>
      <c r="N426">
        <v>42</v>
      </c>
    </row>
    <row r="427" spans="13:14">
      <c r="M427">
        <v>-0.31896765599999999</v>
      </c>
      <c r="N427">
        <v>42.1</v>
      </c>
    </row>
    <row r="428" spans="13:14">
      <c r="M428">
        <v>-0.31757919200000001</v>
      </c>
      <c r="N428">
        <v>42.2</v>
      </c>
    </row>
    <row r="429" spans="13:14">
      <c r="M429">
        <v>-0.31619072799999998</v>
      </c>
      <c r="N429">
        <v>42.3</v>
      </c>
    </row>
    <row r="430" spans="13:14">
      <c r="M430">
        <v>-0.315499896</v>
      </c>
      <c r="N430">
        <v>42.4</v>
      </c>
    </row>
    <row r="431" spans="13:14">
      <c r="M431">
        <v>-0.31542619999999999</v>
      </c>
      <c r="N431">
        <v>42.5</v>
      </c>
    </row>
    <row r="432" spans="13:14">
      <c r="M432">
        <v>-0.31535250399999998</v>
      </c>
      <c r="N432">
        <v>42.6</v>
      </c>
    </row>
    <row r="433" spans="13:14">
      <c r="M433">
        <v>-0.31138236000000002</v>
      </c>
      <c r="N433">
        <v>42.7</v>
      </c>
    </row>
    <row r="434" spans="13:14">
      <c r="M434">
        <v>-0.30733104</v>
      </c>
      <c r="N434">
        <v>42.8</v>
      </c>
    </row>
    <row r="435" spans="13:14">
      <c r="M435">
        <v>-0.303101976</v>
      </c>
      <c r="N435">
        <v>42.9</v>
      </c>
    </row>
    <row r="436" spans="13:14">
      <c r="M436">
        <v>-0.29863592</v>
      </c>
      <c r="N436">
        <v>43</v>
      </c>
    </row>
    <row r="437" spans="13:14">
      <c r="M437">
        <v>-0.294169864</v>
      </c>
      <c r="N437">
        <v>43.1</v>
      </c>
    </row>
    <row r="438" spans="13:14">
      <c r="M438">
        <v>-0.28947126400000001</v>
      </c>
      <c r="N438">
        <v>43.2</v>
      </c>
    </row>
    <row r="439" spans="13:14">
      <c r="M439">
        <v>-0.28474021599999999</v>
      </c>
      <c r="N439">
        <v>43.3</v>
      </c>
    </row>
    <row r="440" spans="13:14">
      <c r="M440">
        <v>-0.281282384</v>
      </c>
      <c r="N440">
        <v>43.4</v>
      </c>
    </row>
    <row r="441" spans="13:14">
      <c r="M441">
        <v>-0.28045056000000002</v>
      </c>
      <c r="N441">
        <v>43.5</v>
      </c>
    </row>
    <row r="442" spans="13:14">
      <c r="M442">
        <v>-0.27961873599999998</v>
      </c>
      <c r="N442">
        <v>43.6</v>
      </c>
    </row>
    <row r="443" spans="13:14">
      <c r="M443">
        <v>-0.27884071999999999</v>
      </c>
      <c r="N443">
        <v>43.7</v>
      </c>
    </row>
    <row r="444" spans="13:14">
      <c r="M444">
        <v>-0.27807828000000001</v>
      </c>
      <c r="N444">
        <v>43.8</v>
      </c>
    </row>
    <row r="445" spans="13:14">
      <c r="M445">
        <v>-0.27721780800000001</v>
      </c>
      <c r="N445">
        <v>43.9</v>
      </c>
    </row>
    <row r="446" spans="13:14">
      <c r="M446">
        <v>-0.27601868000000002</v>
      </c>
      <c r="N446">
        <v>44</v>
      </c>
    </row>
    <row r="447" spans="13:14">
      <c r="M447">
        <v>-0.27481955200000002</v>
      </c>
      <c r="N447">
        <v>44.1</v>
      </c>
    </row>
    <row r="448" spans="13:14">
      <c r="M448">
        <v>-0.273624384</v>
      </c>
      <c r="N448">
        <v>44.2</v>
      </c>
    </row>
    <row r="449" spans="13:14">
      <c r="M449">
        <v>-0.27243113600000002</v>
      </c>
      <c r="N449">
        <v>44.3</v>
      </c>
    </row>
    <row r="450" spans="13:14">
      <c r="M450">
        <v>-0.271175104</v>
      </c>
      <c r="N450">
        <v>44.4</v>
      </c>
    </row>
    <row r="451" spans="13:14">
      <c r="M451">
        <v>-0.26946912000000001</v>
      </c>
      <c r="N451">
        <v>44.5</v>
      </c>
    </row>
    <row r="452" spans="13:14">
      <c r="M452">
        <v>-0.26776313600000001</v>
      </c>
      <c r="N452">
        <v>44.6</v>
      </c>
    </row>
    <row r="453" spans="13:14">
      <c r="M453">
        <v>-0.265772224</v>
      </c>
      <c r="N453">
        <v>44.7</v>
      </c>
    </row>
    <row r="454" spans="13:14">
      <c r="M454">
        <v>-0.263567616</v>
      </c>
      <c r="N454">
        <v>44.8</v>
      </c>
    </row>
    <row r="455" spans="13:14">
      <c r="M455">
        <v>-0.26125234400000003</v>
      </c>
      <c r="N455">
        <v>44.9</v>
      </c>
    </row>
    <row r="456" spans="13:14">
      <c r="M456">
        <v>-0.2536252</v>
      </c>
      <c r="N456">
        <v>45</v>
      </c>
    </row>
    <row r="457" spans="13:14">
      <c r="M457">
        <v>-0.24599805599999999</v>
      </c>
      <c r="N457">
        <v>45.1</v>
      </c>
    </row>
    <row r="458" spans="13:14">
      <c r="M458">
        <v>-0.24132999999999999</v>
      </c>
      <c r="N458">
        <v>45.2</v>
      </c>
    </row>
    <row r="459" spans="13:14">
      <c r="M459">
        <v>-0.240007</v>
      </c>
      <c r="N459">
        <v>45.3</v>
      </c>
    </row>
    <row r="460" spans="13:14">
      <c r="M460">
        <v>-0.23868400000000001</v>
      </c>
      <c r="N460">
        <v>45.4</v>
      </c>
    </row>
    <row r="461" spans="13:14">
      <c r="M461">
        <v>-0.23807271999999999</v>
      </c>
      <c r="N461">
        <v>45.5</v>
      </c>
    </row>
    <row r="462" spans="13:14">
      <c r="M462">
        <v>-0.237524704</v>
      </c>
      <c r="N462">
        <v>45.6</v>
      </c>
    </row>
    <row r="463" spans="13:14">
      <c r="M463">
        <v>-0.23669790399999999</v>
      </c>
      <c r="N463">
        <v>45.7</v>
      </c>
    </row>
    <row r="464" spans="13:14">
      <c r="M464">
        <v>-0.235390976</v>
      </c>
      <c r="N464">
        <v>45.8</v>
      </c>
    </row>
    <row r="465" spans="13:14">
      <c r="M465">
        <v>-0.23408404799999999</v>
      </c>
      <c r="N465">
        <v>45.9</v>
      </c>
    </row>
    <row r="466" spans="13:14">
      <c r="M466">
        <v>-0.23363120000000001</v>
      </c>
      <c r="N466">
        <v>46</v>
      </c>
    </row>
    <row r="467" spans="13:14">
      <c r="M467">
        <v>-0.23337052</v>
      </c>
      <c r="N467">
        <v>46.1</v>
      </c>
    </row>
    <row r="468" spans="13:14">
      <c r="M468">
        <v>-0.23306210399999999</v>
      </c>
      <c r="N468">
        <v>46.2</v>
      </c>
    </row>
    <row r="469" spans="13:14">
      <c r="M469">
        <v>-0.23262149600000001</v>
      </c>
      <c r="N469">
        <v>46.3</v>
      </c>
    </row>
    <row r="470" spans="13:14">
      <c r="M470">
        <v>-0.232180888</v>
      </c>
      <c r="N470">
        <v>46.4</v>
      </c>
    </row>
    <row r="471" spans="13:14">
      <c r="M471">
        <v>-0.22922252000000001</v>
      </c>
      <c r="N471">
        <v>46.5</v>
      </c>
    </row>
    <row r="472" spans="13:14">
      <c r="M472">
        <v>-0.22525704799999999</v>
      </c>
      <c r="N472">
        <v>46.6</v>
      </c>
    </row>
    <row r="473" spans="13:14">
      <c r="M473">
        <v>-0.2214334</v>
      </c>
      <c r="N473">
        <v>46.7</v>
      </c>
    </row>
    <row r="474" spans="13:14">
      <c r="M474">
        <v>-0.21833659999999999</v>
      </c>
      <c r="N474">
        <v>46.8</v>
      </c>
    </row>
    <row r="475" spans="13:14">
      <c r="M475">
        <v>-0.21523980000000001</v>
      </c>
      <c r="N475">
        <v>46.9</v>
      </c>
    </row>
    <row r="476" spans="13:14">
      <c r="M476">
        <v>-0.21323764000000001</v>
      </c>
      <c r="N476">
        <v>47</v>
      </c>
    </row>
    <row r="477" spans="13:14">
      <c r="M477">
        <v>-0.211928752</v>
      </c>
      <c r="N477">
        <v>47.1</v>
      </c>
    </row>
    <row r="478" spans="13:14">
      <c r="M478">
        <v>-0.21055040799999999</v>
      </c>
      <c r="N478">
        <v>47.2</v>
      </c>
    </row>
    <row r="479" spans="13:14">
      <c r="M479">
        <v>-0.208107072</v>
      </c>
      <c r="N479">
        <v>47.3</v>
      </c>
    </row>
    <row r="480" spans="13:14">
      <c r="M480">
        <v>-0.20566373600000001</v>
      </c>
      <c r="N480">
        <v>47.4</v>
      </c>
    </row>
    <row r="481" spans="13:14">
      <c r="M481">
        <v>-0.200378</v>
      </c>
      <c r="N481">
        <v>47.5</v>
      </c>
    </row>
    <row r="482" spans="13:14">
      <c r="M482">
        <v>-0.19236355999999999</v>
      </c>
      <c r="N482">
        <v>47.6</v>
      </c>
    </row>
    <row r="483" spans="13:14">
      <c r="M483">
        <v>-0.18434912000000001</v>
      </c>
      <c r="N483">
        <v>47.7</v>
      </c>
    </row>
    <row r="484" spans="13:14">
      <c r="M484">
        <v>-0.183052672</v>
      </c>
      <c r="N484">
        <v>47.8</v>
      </c>
    </row>
    <row r="485" spans="13:14">
      <c r="M485">
        <v>-0.18204209599999999</v>
      </c>
      <c r="N485">
        <v>47.9</v>
      </c>
    </row>
    <row r="486" spans="13:14">
      <c r="M486">
        <v>-0.18065104000000001</v>
      </c>
      <c r="N486">
        <v>48</v>
      </c>
    </row>
    <row r="487" spans="13:14">
      <c r="M487">
        <v>-0.17870828799999999</v>
      </c>
      <c r="N487">
        <v>48.1</v>
      </c>
    </row>
    <row r="488" spans="13:14">
      <c r="M488">
        <v>-0.176765536</v>
      </c>
      <c r="N488">
        <v>48.2</v>
      </c>
    </row>
    <row r="489" spans="13:14">
      <c r="M489">
        <v>-0.17281753599999999</v>
      </c>
      <c r="N489">
        <v>48.3</v>
      </c>
    </row>
    <row r="490" spans="13:14">
      <c r="M490">
        <v>-0.16853532800000001</v>
      </c>
      <c r="N490">
        <v>48.4</v>
      </c>
    </row>
    <row r="491" spans="13:14">
      <c r="M491">
        <v>-0.16497191999999999</v>
      </c>
      <c r="N491">
        <v>48.5</v>
      </c>
    </row>
    <row r="492" spans="13:14">
      <c r="M492">
        <v>-0.16303779199999999</v>
      </c>
      <c r="N492">
        <v>48.6</v>
      </c>
    </row>
    <row r="493" spans="13:14">
      <c r="M493">
        <v>-0.16110366400000001</v>
      </c>
      <c r="N493">
        <v>48.7</v>
      </c>
    </row>
    <row r="494" spans="13:14">
      <c r="M494">
        <v>-0.15850768000000001</v>
      </c>
      <c r="N494">
        <v>48.8</v>
      </c>
    </row>
    <row r="495" spans="13:14">
      <c r="M495">
        <v>-0.15569704000000001</v>
      </c>
      <c r="N495">
        <v>48.9</v>
      </c>
    </row>
    <row r="496" spans="13:14">
      <c r="M496">
        <v>-0.15163863999999999</v>
      </c>
      <c r="N496">
        <v>49</v>
      </c>
    </row>
    <row r="497" spans="13:14">
      <c r="M497">
        <v>-0.14271397599999999</v>
      </c>
      <c r="N497">
        <v>49.1</v>
      </c>
    </row>
    <row r="498" spans="13:14">
      <c r="M498">
        <v>-0.13378931199999999</v>
      </c>
      <c r="N498">
        <v>49.2</v>
      </c>
    </row>
    <row r="499" spans="13:14">
      <c r="M499">
        <v>-0.120835976</v>
      </c>
      <c r="N499">
        <v>49.3</v>
      </c>
    </row>
    <row r="500" spans="13:14">
      <c r="M500">
        <v>-0.105742408</v>
      </c>
      <c r="N500">
        <v>49.4</v>
      </c>
    </row>
    <row r="501" spans="13:14">
      <c r="M501">
        <v>-9.1826360000000107E-2</v>
      </c>
      <c r="N501">
        <v>49.5</v>
      </c>
    </row>
    <row r="502" spans="13:14">
      <c r="M502">
        <v>-8.8272488000000093E-2</v>
      </c>
      <c r="N502">
        <v>49.6</v>
      </c>
    </row>
    <row r="503" spans="13:14">
      <c r="M503">
        <v>-8.4718615999999899E-2</v>
      </c>
      <c r="N503">
        <v>49.7</v>
      </c>
    </row>
    <row r="504" spans="13:14">
      <c r="M504">
        <v>-8.1503215999999906E-2</v>
      </c>
      <c r="N504">
        <v>49.8</v>
      </c>
    </row>
    <row r="505" spans="13:14">
      <c r="M505">
        <v>-7.8563607999999993E-2</v>
      </c>
      <c r="N505">
        <v>49.9</v>
      </c>
    </row>
    <row r="506" spans="13:14">
      <c r="M506">
        <v>-7.5623999999999997E-2</v>
      </c>
      <c r="N506">
        <v>50</v>
      </c>
    </row>
    <row r="507" spans="13:14">
      <c r="M507">
        <v>-7.4967400000000003E-2</v>
      </c>
      <c r="N507">
        <v>50.1</v>
      </c>
    </row>
    <row r="508" spans="13:14">
      <c r="M508">
        <v>-7.4310799999999996E-2</v>
      </c>
      <c r="N508">
        <v>50.2</v>
      </c>
    </row>
    <row r="509" spans="13:14">
      <c r="M509">
        <v>-7.2502280000000099E-2</v>
      </c>
      <c r="N509">
        <v>50.3</v>
      </c>
    </row>
    <row r="510" spans="13:14">
      <c r="M510">
        <v>-6.9280039999999904E-2</v>
      </c>
      <c r="N510">
        <v>50.4</v>
      </c>
    </row>
    <row r="511" spans="13:14">
      <c r="M511">
        <v>-6.6057799999999903E-2</v>
      </c>
      <c r="N511">
        <v>50.5</v>
      </c>
    </row>
    <row r="512" spans="13:14">
      <c r="M512">
        <v>-6.5728999999999996E-2</v>
      </c>
      <c r="N512">
        <v>50.6</v>
      </c>
    </row>
    <row r="513" spans="13:14">
      <c r="M513">
        <v>-6.5728999999999996E-2</v>
      </c>
      <c r="N513">
        <v>50.7</v>
      </c>
    </row>
    <row r="514" spans="13:14">
      <c r="M514">
        <v>-6.4353495999999996E-2</v>
      </c>
      <c r="N514">
        <v>50.8</v>
      </c>
    </row>
    <row r="515" spans="13:14">
      <c r="M515">
        <v>-6.0388808000000099E-2</v>
      </c>
      <c r="N515">
        <v>50.9</v>
      </c>
    </row>
    <row r="516" spans="13:14">
      <c r="M516">
        <v>-5.64241199999998E-2</v>
      </c>
      <c r="N516">
        <v>51</v>
      </c>
    </row>
    <row r="517" spans="13:14">
      <c r="M517">
        <v>-5.3904927999999901E-2</v>
      </c>
      <c r="N517">
        <v>51.1</v>
      </c>
    </row>
    <row r="518" spans="13:14">
      <c r="M518">
        <v>-5.1756376E-2</v>
      </c>
      <c r="N518">
        <v>51.2</v>
      </c>
    </row>
    <row r="519" spans="13:14">
      <c r="M519">
        <v>-5.0039920000000002E-2</v>
      </c>
      <c r="N519">
        <v>51.3</v>
      </c>
    </row>
    <row r="520" spans="13:14">
      <c r="M520">
        <v>-4.965576E-2</v>
      </c>
      <c r="N520">
        <v>51.4</v>
      </c>
    </row>
    <row r="521" spans="13:14">
      <c r="M521">
        <v>-4.9271599999999999E-2</v>
      </c>
      <c r="N521">
        <v>51.5</v>
      </c>
    </row>
    <row r="522" spans="13:14">
      <c r="M522">
        <v>-4.5881568000000102E-2</v>
      </c>
      <c r="N522">
        <v>51.6</v>
      </c>
    </row>
    <row r="523" spans="13:14">
      <c r="M523">
        <v>-4.1165415999999802E-2</v>
      </c>
      <c r="N523">
        <v>51.7</v>
      </c>
    </row>
    <row r="524" spans="13:14">
      <c r="M524">
        <v>-3.68697679999999E-2</v>
      </c>
      <c r="N524">
        <v>51.8</v>
      </c>
    </row>
    <row r="525" spans="13:14">
      <c r="M525">
        <v>-3.5097143999999997E-2</v>
      </c>
      <c r="N525">
        <v>51.9</v>
      </c>
    </row>
    <row r="526" spans="13:14">
      <c r="M526">
        <v>-3.3324520000000003E-2</v>
      </c>
      <c r="N526">
        <v>52</v>
      </c>
    </row>
    <row r="527" spans="13:14">
      <c r="M527">
        <v>-3.0200728E-2</v>
      </c>
      <c r="N527">
        <v>52.1</v>
      </c>
    </row>
    <row r="528" spans="13:14">
      <c r="M528">
        <v>-2.6145096E-2</v>
      </c>
      <c r="N528">
        <v>52.2</v>
      </c>
    </row>
    <row r="529" spans="13:14">
      <c r="M529">
        <v>-2.2255E-2</v>
      </c>
      <c r="N529">
        <v>52.3</v>
      </c>
    </row>
    <row r="530" spans="13:14">
      <c r="M530">
        <v>-2.2255E-2</v>
      </c>
      <c r="N530">
        <v>52.4</v>
      </c>
    </row>
    <row r="531" spans="13:14">
      <c r="M531">
        <v>-2.2255E-2</v>
      </c>
      <c r="N531">
        <v>52.5</v>
      </c>
    </row>
    <row r="532" spans="13:14">
      <c r="M532">
        <v>-2.145244E-2</v>
      </c>
      <c r="N532">
        <v>52.6</v>
      </c>
    </row>
    <row r="533" spans="13:14">
      <c r="M533">
        <v>-1.9813879999999999E-2</v>
      </c>
      <c r="N533">
        <v>52.7</v>
      </c>
    </row>
    <row r="534" spans="13:14">
      <c r="M534">
        <v>-1.8175319999999998E-2</v>
      </c>
      <c r="N534">
        <v>52.8</v>
      </c>
    </row>
    <row r="535" spans="13:14">
      <c r="M535">
        <v>-1.7815560000000001E-2</v>
      </c>
      <c r="N535">
        <v>52.9</v>
      </c>
    </row>
    <row r="536" spans="13:14">
      <c r="M536">
        <v>-1.7539200000000001E-2</v>
      </c>
      <c r="N536">
        <v>53</v>
      </c>
    </row>
    <row r="537" spans="13:14">
      <c r="M537">
        <v>-1.6009903999999901E-2</v>
      </c>
      <c r="N537">
        <v>53.1</v>
      </c>
    </row>
    <row r="538" spans="13:14">
      <c r="M538">
        <v>-1.25022879999999E-2</v>
      </c>
      <c r="N538">
        <v>53.2</v>
      </c>
    </row>
    <row r="539" spans="13:14">
      <c r="M539">
        <v>-8.9946719999999397E-3</v>
      </c>
      <c r="N539">
        <v>53.3</v>
      </c>
    </row>
    <row r="540" spans="13:14">
      <c r="M540">
        <v>-8.14812E-3</v>
      </c>
      <c r="N540">
        <v>53.4</v>
      </c>
    </row>
    <row r="541" spans="13:14">
      <c r="M541">
        <v>-7.8207999999999993E-3</v>
      </c>
      <c r="N541">
        <v>53.5</v>
      </c>
    </row>
    <row r="542" spans="13:14">
      <c r="M542">
        <v>-7.5324559999999903E-3</v>
      </c>
      <c r="N542">
        <v>53.6</v>
      </c>
    </row>
    <row r="543" spans="13:14">
      <c r="M543">
        <v>-7.3415519999999899E-3</v>
      </c>
      <c r="N543">
        <v>53.7</v>
      </c>
    </row>
    <row r="544" spans="13:14">
      <c r="M544">
        <v>-7.1506479999999904E-3</v>
      </c>
      <c r="N544">
        <v>53.8</v>
      </c>
    </row>
    <row r="545" spans="13:14">
      <c r="M545">
        <v>-6.1317439999999598E-3</v>
      </c>
      <c r="N545">
        <v>53.9</v>
      </c>
    </row>
    <row r="546" spans="13:14">
      <c r="M546">
        <v>-4.8138399999999798E-3</v>
      </c>
      <c r="N546">
        <v>54</v>
      </c>
    </row>
    <row r="547" spans="13:14">
      <c r="M547">
        <v>-3.3468959999999898E-3</v>
      </c>
      <c r="N547">
        <v>54.1</v>
      </c>
    </row>
    <row r="548" spans="13:14">
      <c r="M548">
        <v>-1.2175519999998499E-3</v>
      </c>
      <c r="N548">
        <v>54.2</v>
      </c>
    </row>
    <row r="549" spans="13:14">
      <c r="M549">
        <v>9.1179200000012504E-4</v>
      </c>
      <c r="N549">
        <v>54.3</v>
      </c>
    </row>
    <row r="550" spans="13:14">
      <c r="M550">
        <v>1.694E-3</v>
      </c>
      <c r="N550">
        <v>54.4</v>
      </c>
    </row>
    <row r="551" spans="13:14">
      <c r="M551">
        <v>1.694E-3</v>
      </c>
      <c r="N551">
        <v>54.5</v>
      </c>
    </row>
    <row r="552" spans="13:14">
      <c r="M552">
        <v>1.72881600000001E-3</v>
      </c>
      <c r="N552">
        <v>54.6</v>
      </c>
    </row>
    <row r="553" spans="13:14">
      <c r="M553">
        <v>2.1553120000000099E-3</v>
      </c>
      <c r="N553">
        <v>54.7</v>
      </c>
    </row>
    <row r="554" spans="13:14">
      <c r="M554">
        <v>2.58180800000003E-3</v>
      </c>
      <c r="N554">
        <v>54.8</v>
      </c>
    </row>
    <row r="555" spans="13:14">
      <c r="M555">
        <v>4.3199520000001997E-3</v>
      </c>
      <c r="N555">
        <v>54.9</v>
      </c>
    </row>
    <row r="556" spans="13:14">
      <c r="M556">
        <v>7.2184000000001698E-3</v>
      </c>
      <c r="N556">
        <v>55</v>
      </c>
    </row>
    <row r="557" spans="13:14">
      <c r="M557">
        <v>1.01168480000001E-2</v>
      </c>
      <c r="N557">
        <v>55.1</v>
      </c>
    </row>
    <row r="558" spans="13:14">
      <c r="M558">
        <v>1.0424064E-2</v>
      </c>
      <c r="N558">
        <v>55.2</v>
      </c>
    </row>
    <row r="559" spans="13:14">
      <c r="M559">
        <v>1.0677295999999999E-2</v>
      </c>
      <c r="N559">
        <v>55.3</v>
      </c>
    </row>
    <row r="560" spans="13:14">
      <c r="M560">
        <v>1.1000752000000001E-2</v>
      </c>
      <c r="N560">
        <v>55.4</v>
      </c>
    </row>
    <row r="561" spans="13:14">
      <c r="M561">
        <v>1.141784E-2</v>
      </c>
      <c r="N561">
        <v>55.5</v>
      </c>
    </row>
    <row r="562" spans="13:14">
      <c r="M562">
        <v>1.1834928E-2</v>
      </c>
      <c r="N562">
        <v>55.6</v>
      </c>
    </row>
    <row r="563" spans="13:14">
      <c r="M563">
        <v>1.5026032000000199E-2</v>
      </c>
      <c r="N563">
        <v>55.7</v>
      </c>
    </row>
    <row r="564" spans="13:14">
      <c r="M564">
        <v>1.8604208000000198E-2</v>
      </c>
      <c r="N564">
        <v>55.8</v>
      </c>
    </row>
    <row r="565" spans="13:14">
      <c r="M565">
        <v>2.1199728000000001E-2</v>
      </c>
      <c r="N565">
        <v>55.9</v>
      </c>
    </row>
    <row r="566" spans="13:14">
      <c r="M566">
        <v>2.176852E-2</v>
      </c>
      <c r="N566">
        <v>56</v>
      </c>
    </row>
    <row r="567" spans="13:14">
      <c r="M567">
        <v>2.2337312000000099E-2</v>
      </c>
      <c r="N567">
        <v>56.1</v>
      </c>
    </row>
    <row r="568" spans="13:14">
      <c r="M568">
        <v>2.3559096000000099E-2</v>
      </c>
      <c r="N568">
        <v>56.2</v>
      </c>
    </row>
    <row r="569" spans="13:14">
      <c r="M569">
        <v>2.4969904000000102E-2</v>
      </c>
      <c r="N569">
        <v>56.3</v>
      </c>
    </row>
    <row r="570" spans="13:14">
      <c r="M570">
        <v>2.66332720000001E-2</v>
      </c>
      <c r="N570">
        <v>56.4</v>
      </c>
    </row>
    <row r="571" spans="13:14">
      <c r="M571">
        <v>2.91691200000001E-2</v>
      </c>
      <c r="N571">
        <v>56.5</v>
      </c>
    </row>
    <row r="572" spans="13:14">
      <c r="M572">
        <v>3.1704968000000097E-2</v>
      </c>
      <c r="N572">
        <v>56.6</v>
      </c>
    </row>
    <row r="573" spans="13:14">
      <c r="M573">
        <v>3.5710768000000101E-2</v>
      </c>
      <c r="N573">
        <v>56.7</v>
      </c>
    </row>
    <row r="574" spans="13:14">
      <c r="M574">
        <v>4.0429272000000398E-2</v>
      </c>
      <c r="N574">
        <v>56.8</v>
      </c>
    </row>
    <row r="575" spans="13:14">
      <c r="M575">
        <v>4.4615648000000001E-2</v>
      </c>
      <c r="N575">
        <v>56.9</v>
      </c>
    </row>
    <row r="576" spans="13:14">
      <c r="M576">
        <v>4.4988439999999998E-2</v>
      </c>
      <c r="N576">
        <v>57</v>
      </c>
    </row>
    <row r="577" spans="13:14">
      <c r="M577">
        <v>4.5361232000000001E-2</v>
      </c>
      <c r="N577">
        <v>57.1</v>
      </c>
    </row>
    <row r="578" spans="13:14">
      <c r="M578">
        <v>4.5520999999999999E-2</v>
      </c>
      <c r="N578">
        <v>57.2</v>
      </c>
    </row>
    <row r="579" spans="13:14">
      <c r="M579">
        <v>4.5520999999999999E-2</v>
      </c>
      <c r="N579">
        <v>57.3</v>
      </c>
    </row>
    <row r="580" spans="13:14">
      <c r="M580">
        <v>4.5611816000000402E-2</v>
      </c>
      <c r="N580">
        <v>57.4</v>
      </c>
    </row>
    <row r="581" spans="13:14">
      <c r="M581">
        <v>5.0061800000000399E-2</v>
      </c>
      <c r="N581">
        <v>57.5</v>
      </c>
    </row>
    <row r="582" spans="13:14">
      <c r="M582">
        <v>5.4511784000000299E-2</v>
      </c>
      <c r="N582">
        <v>57.6</v>
      </c>
    </row>
    <row r="583" spans="13:14">
      <c r="M583">
        <v>5.8432583999999697E-2</v>
      </c>
      <c r="N583">
        <v>57.7</v>
      </c>
    </row>
    <row r="584" spans="13:14">
      <c r="M584">
        <v>6.1755175999999898E-2</v>
      </c>
      <c r="N584">
        <v>57.8</v>
      </c>
    </row>
    <row r="585" spans="13:14">
      <c r="M585">
        <v>6.5077767999999897E-2</v>
      </c>
      <c r="N585">
        <v>57.9</v>
      </c>
    </row>
    <row r="586" spans="13:14">
      <c r="M586">
        <v>7.0524719999999805E-2</v>
      </c>
      <c r="N586">
        <v>58</v>
      </c>
    </row>
    <row r="587" spans="13:14">
      <c r="M587">
        <v>7.6160503999999699E-2</v>
      </c>
      <c r="N587">
        <v>58.1</v>
      </c>
    </row>
    <row r="588" spans="13:14">
      <c r="M588">
        <v>7.9918095999999994E-2</v>
      </c>
      <c r="N588">
        <v>58.2</v>
      </c>
    </row>
    <row r="589" spans="13:14">
      <c r="M589">
        <v>8.0441024E-2</v>
      </c>
      <c r="N589">
        <v>58.3</v>
      </c>
    </row>
    <row r="590" spans="13:14">
      <c r="M590">
        <v>8.0963952000000006E-2</v>
      </c>
      <c r="N590">
        <v>58.4</v>
      </c>
    </row>
    <row r="591" spans="13:14">
      <c r="M591">
        <v>8.1352800000000003E-2</v>
      </c>
      <c r="N591">
        <v>58.5</v>
      </c>
    </row>
    <row r="592" spans="13:14">
      <c r="M592">
        <v>8.1711480000000003E-2</v>
      </c>
      <c r="N592">
        <v>58.6</v>
      </c>
    </row>
    <row r="593" spans="13:14">
      <c r="M593">
        <v>8.2098344000000004E-2</v>
      </c>
      <c r="N593">
        <v>58.7</v>
      </c>
    </row>
    <row r="594" spans="13:14">
      <c r="M594">
        <v>8.2563256000000002E-2</v>
      </c>
      <c r="N594">
        <v>58.8</v>
      </c>
    </row>
    <row r="595" spans="13:14">
      <c r="M595">
        <v>8.3028167999999999E-2</v>
      </c>
      <c r="N595">
        <v>58.9</v>
      </c>
    </row>
    <row r="596" spans="13:14">
      <c r="M596">
        <v>8.5822120000000002E-2</v>
      </c>
      <c r="N596">
        <v>59</v>
      </c>
    </row>
    <row r="597" spans="13:14">
      <c r="M597">
        <v>8.9547688E-2</v>
      </c>
      <c r="N597">
        <v>59.1</v>
      </c>
    </row>
    <row r="598" spans="13:14">
      <c r="M598">
        <v>9.37460239999999E-2</v>
      </c>
      <c r="N598">
        <v>59.2</v>
      </c>
    </row>
    <row r="599" spans="13:14">
      <c r="M599">
        <v>0.10036729599999999</v>
      </c>
      <c r="N599">
        <v>59.3</v>
      </c>
    </row>
    <row r="600" spans="13:14">
      <c r="M600">
        <v>0.10698856800000001</v>
      </c>
      <c r="N600">
        <v>59.4</v>
      </c>
    </row>
    <row r="601" spans="13:14">
      <c r="M601">
        <v>0.10988288</v>
      </c>
      <c r="N601">
        <v>59.5</v>
      </c>
    </row>
    <row r="602" spans="13:14">
      <c r="M602">
        <v>0.110416784</v>
      </c>
      <c r="N602">
        <v>59.6</v>
      </c>
    </row>
    <row r="603" spans="13:14">
      <c r="M603">
        <v>0.110965256</v>
      </c>
      <c r="N603">
        <v>59.7</v>
      </c>
    </row>
    <row r="604" spans="13:14">
      <c r="M604">
        <v>0.111737104</v>
      </c>
      <c r="N604">
        <v>59.8</v>
      </c>
    </row>
    <row r="605" spans="13:14">
      <c r="M605">
        <v>0.112508952</v>
      </c>
      <c r="N605">
        <v>59.9</v>
      </c>
    </row>
    <row r="606" spans="13:14">
      <c r="M606">
        <v>0.1140506</v>
      </c>
      <c r="N606">
        <v>60</v>
      </c>
    </row>
    <row r="607" spans="13:14">
      <c r="M607">
        <v>0.11633125599999999</v>
      </c>
      <c r="N607">
        <v>60.1</v>
      </c>
    </row>
    <row r="608" spans="13:14">
      <c r="M608">
        <v>0.118611912</v>
      </c>
      <c r="N608">
        <v>60.2</v>
      </c>
    </row>
    <row r="609" spans="13:14">
      <c r="M609">
        <v>0.122230376</v>
      </c>
      <c r="N609">
        <v>60.3</v>
      </c>
    </row>
    <row r="610" spans="13:14">
      <c r="M610">
        <v>0.125905768</v>
      </c>
      <c r="N610">
        <v>60.4</v>
      </c>
    </row>
    <row r="611" spans="13:14">
      <c r="M611">
        <v>0.12893076000000001</v>
      </c>
      <c r="N611">
        <v>60.5</v>
      </c>
    </row>
    <row r="612" spans="13:14">
      <c r="M612">
        <v>0.131012672</v>
      </c>
      <c r="N612">
        <v>60.6</v>
      </c>
    </row>
    <row r="613" spans="13:14">
      <c r="M613">
        <v>0.13309458399999999</v>
      </c>
      <c r="N613">
        <v>60.7</v>
      </c>
    </row>
    <row r="614" spans="13:14">
      <c r="M614">
        <v>0.13577188800000001</v>
      </c>
      <c r="N614">
        <v>60.8</v>
      </c>
    </row>
    <row r="615" spans="13:14">
      <c r="M615">
        <v>0.138548424</v>
      </c>
      <c r="N615">
        <v>60.9</v>
      </c>
    </row>
    <row r="616" spans="13:14">
      <c r="M616">
        <v>0.14389848</v>
      </c>
      <c r="N616">
        <v>61</v>
      </c>
    </row>
    <row r="617" spans="13:14">
      <c r="M617">
        <v>0.15508184799999999</v>
      </c>
      <c r="N617">
        <v>61.1</v>
      </c>
    </row>
    <row r="618" spans="13:14">
      <c r="M618">
        <v>0.16626521599999999</v>
      </c>
      <c r="N618">
        <v>61.2</v>
      </c>
    </row>
    <row r="619" spans="13:14">
      <c r="M619">
        <v>0.16922540799999999</v>
      </c>
      <c r="N619">
        <v>61.3</v>
      </c>
    </row>
    <row r="620" spans="13:14">
      <c r="M620">
        <v>0.16951862400000001</v>
      </c>
      <c r="N620">
        <v>61.4</v>
      </c>
    </row>
    <row r="621" spans="13:14">
      <c r="M621">
        <v>0.16978199999999999</v>
      </c>
      <c r="N621">
        <v>61.5</v>
      </c>
    </row>
    <row r="622" spans="13:14">
      <c r="M622">
        <v>0.169929</v>
      </c>
      <c r="N622">
        <v>61.6</v>
      </c>
    </row>
    <row r="623" spans="13:14">
      <c r="M623">
        <v>0.170076</v>
      </c>
      <c r="N623">
        <v>61.7</v>
      </c>
    </row>
    <row r="624" spans="13:14">
      <c r="M624">
        <v>0.17092264800000001</v>
      </c>
      <c r="N624">
        <v>61.8</v>
      </c>
    </row>
    <row r="625" spans="13:14">
      <c r="M625">
        <v>0.172140984</v>
      </c>
      <c r="N625">
        <v>61.9</v>
      </c>
    </row>
    <row r="626" spans="13:14">
      <c r="M626">
        <v>0.17354712</v>
      </c>
      <c r="N626">
        <v>62</v>
      </c>
    </row>
    <row r="627" spans="13:14">
      <c r="M627">
        <v>0.17660589600000001</v>
      </c>
      <c r="N627">
        <v>62.1</v>
      </c>
    </row>
    <row r="628" spans="13:14">
      <c r="M628">
        <v>0.179664672</v>
      </c>
      <c r="N628">
        <v>62.2</v>
      </c>
    </row>
    <row r="629" spans="13:14">
      <c r="M629">
        <v>0.181740648</v>
      </c>
      <c r="N629">
        <v>62.3</v>
      </c>
    </row>
    <row r="630" spans="13:14">
      <c r="M630">
        <v>0.18301582399999999</v>
      </c>
      <c r="N630">
        <v>62.4</v>
      </c>
    </row>
    <row r="631" spans="13:14">
      <c r="M631">
        <v>0.18429100000000001</v>
      </c>
      <c r="N631">
        <v>62.5</v>
      </c>
    </row>
    <row r="632" spans="13:14">
      <c r="M632">
        <v>0.18648698399999999</v>
      </c>
      <c r="N632">
        <v>62.6</v>
      </c>
    </row>
    <row r="633" spans="13:14">
      <c r="M633">
        <v>0.18868296800000001</v>
      </c>
      <c r="N633">
        <v>62.7</v>
      </c>
    </row>
    <row r="634" spans="13:14">
      <c r="M634">
        <v>0.190400232</v>
      </c>
      <c r="N634">
        <v>62.8</v>
      </c>
    </row>
    <row r="635" spans="13:14">
      <c r="M635">
        <v>0.19152997599999999</v>
      </c>
      <c r="N635">
        <v>62.9</v>
      </c>
    </row>
    <row r="636" spans="13:14">
      <c r="M636">
        <v>0.19265972000000001</v>
      </c>
      <c r="N636">
        <v>63</v>
      </c>
    </row>
    <row r="637" spans="13:14">
      <c r="M637">
        <v>0.193507864</v>
      </c>
      <c r="N637">
        <v>63.1</v>
      </c>
    </row>
    <row r="638" spans="13:14">
      <c r="M638">
        <v>0.19432400799999999</v>
      </c>
      <c r="N638">
        <v>63.2</v>
      </c>
    </row>
    <row r="639" spans="13:14">
      <c r="M639">
        <v>0.19505773600000001</v>
      </c>
      <c r="N639">
        <v>63.3</v>
      </c>
    </row>
    <row r="640" spans="13:14">
      <c r="M640">
        <v>0.195636328</v>
      </c>
      <c r="N640">
        <v>63.4</v>
      </c>
    </row>
    <row r="641" spans="13:14">
      <c r="M641">
        <v>0.19621491999999999</v>
      </c>
      <c r="N641">
        <v>63.5</v>
      </c>
    </row>
    <row r="642" spans="13:14">
      <c r="M642">
        <v>0.198745696</v>
      </c>
      <c r="N642">
        <v>63.6</v>
      </c>
    </row>
    <row r="643" spans="13:14">
      <c r="M643">
        <v>0.201777032</v>
      </c>
      <c r="N643">
        <v>63.7</v>
      </c>
    </row>
    <row r="644" spans="13:14">
      <c r="M644">
        <v>0.205628016</v>
      </c>
      <c r="N644">
        <v>63.8</v>
      </c>
    </row>
    <row r="645" spans="13:14">
      <c r="M645">
        <v>0.21200624800000001</v>
      </c>
      <c r="N645">
        <v>63.9</v>
      </c>
    </row>
    <row r="646" spans="13:14">
      <c r="M646">
        <v>0.21838447999999999</v>
      </c>
      <c r="N646">
        <v>64</v>
      </c>
    </row>
    <row r="647" spans="13:14">
      <c r="M647">
        <v>0.225237352</v>
      </c>
      <c r="N647">
        <v>64.099999999999994</v>
      </c>
    </row>
    <row r="648" spans="13:14">
      <c r="M648">
        <v>0.23229962400000001</v>
      </c>
      <c r="N648">
        <v>64.2</v>
      </c>
    </row>
    <row r="649" spans="13:14">
      <c r="M649">
        <v>0.23847485600000001</v>
      </c>
      <c r="N649">
        <v>64.3</v>
      </c>
    </row>
    <row r="650" spans="13:14">
      <c r="M650">
        <v>0.23932784800000001</v>
      </c>
      <c r="N650">
        <v>64.400000000000006</v>
      </c>
    </row>
    <row r="651" spans="13:14">
      <c r="M651">
        <v>0.24018084000000001</v>
      </c>
      <c r="N651">
        <v>64.5</v>
      </c>
    </row>
    <row r="652" spans="13:14">
      <c r="M652">
        <v>0.240812736</v>
      </c>
      <c r="N652">
        <v>64.599999999999994</v>
      </c>
    </row>
    <row r="653" spans="13:14">
      <c r="M653">
        <v>0.24129215200000001</v>
      </c>
      <c r="N653">
        <v>64.7</v>
      </c>
    </row>
    <row r="654" spans="13:14">
      <c r="M654">
        <v>0.2417984</v>
      </c>
      <c r="N654">
        <v>64.8</v>
      </c>
    </row>
    <row r="655" spans="13:14">
      <c r="M655">
        <v>0.24293519999999999</v>
      </c>
      <c r="N655">
        <v>64.900000000000006</v>
      </c>
    </row>
    <row r="656" spans="13:14">
      <c r="M656">
        <v>0.24407200000000001</v>
      </c>
      <c r="N656">
        <v>65</v>
      </c>
    </row>
    <row r="657" spans="13:14">
      <c r="M657">
        <v>0.252908576</v>
      </c>
      <c r="N657">
        <v>65.099999999999994</v>
      </c>
    </row>
    <row r="658" spans="13:14">
      <c r="M658">
        <v>0.26976575200000003</v>
      </c>
      <c r="N658">
        <v>65.2</v>
      </c>
    </row>
    <row r="659" spans="13:14">
      <c r="M659">
        <v>0.286622928</v>
      </c>
      <c r="N659">
        <v>65.3</v>
      </c>
    </row>
    <row r="660" spans="13:14">
      <c r="M660">
        <v>0.28929517599999999</v>
      </c>
      <c r="N660">
        <v>65.400000000000006</v>
      </c>
    </row>
    <row r="661" spans="13:14">
      <c r="M661">
        <v>0.29104232000000002</v>
      </c>
      <c r="N661">
        <v>65.5</v>
      </c>
    </row>
    <row r="662" spans="13:14">
      <c r="M662">
        <v>0.29341144800000002</v>
      </c>
      <c r="N662">
        <v>65.599999999999994</v>
      </c>
    </row>
    <row r="663" spans="13:14">
      <c r="M663">
        <v>0.29676265600000001</v>
      </c>
      <c r="N663">
        <v>65.7</v>
      </c>
    </row>
    <row r="664" spans="13:14">
      <c r="M664">
        <v>0.30011386400000001</v>
      </c>
      <c r="N664">
        <v>65.8</v>
      </c>
    </row>
    <row r="665" spans="13:14">
      <c r="M665">
        <v>0.301114296</v>
      </c>
      <c r="N665">
        <v>65.900000000000006</v>
      </c>
    </row>
    <row r="666" spans="13:14">
      <c r="M666">
        <v>0.30165604000000001</v>
      </c>
      <c r="N666">
        <v>66</v>
      </c>
    </row>
    <row r="667" spans="13:14">
      <c r="M667">
        <v>0.30204300000000001</v>
      </c>
      <c r="N667">
        <v>66.099999999999994</v>
      </c>
    </row>
    <row r="668" spans="13:14">
      <c r="M668">
        <v>0.30204300000000001</v>
      </c>
      <c r="N668">
        <v>66.2</v>
      </c>
    </row>
    <row r="669" spans="13:14">
      <c r="M669">
        <v>0.30204300000000001</v>
      </c>
      <c r="N669">
        <v>66.3</v>
      </c>
    </row>
    <row r="670" spans="13:14">
      <c r="M670">
        <v>0.304536792</v>
      </c>
      <c r="N670">
        <v>66.400000000000006</v>
      </c>
    </row>
    <row r="671" spans="13:14">
      <c r="M671">
        <v>0.30793112</v>
      </c>
      <c r="N671">
        <v>66.5</v>
      </c>
    </row>
    <row r="672" spans="13:14">
      <c r="M672">
        <v>0.31223207200000003</v>
      </c>
      <c r="N672">
        <v>66.599999999999994</v>
      </c>
    </row>
    <row r="673" spans="13:14">
      <c r="M673">
        <v>0.32056246399999999</v>
      </c>
      <c r="N673">
        <v>66.7</v>
      </c>
    </row>
    <row r="674" spans="13:14">
      <c r="M674">
        <v>0.32889285600000001</v>
      </c>
      <c r="N674">
        <v>66.8</v>
      </c>
    </row>
    <row r="675" spans="13:14">
      <c r="M675">
        <v>0.33542028800000001</v>
      </c>
      <c r="N675">
        <v>66.900000000000006</v>
      </c>
    </row>
    <row r="676" spans="13:14">
      <c r="M676">
        <v>0.34090084000000098</v>
      </c>
      <c r="N676">
        <v>67</v>
      </c>
    </row>
    <row r="677" spans="13:14">
      <c r="M677">
        <v>0.34593969600000002</v>
      </c>
      <c r="N677">
        <v>67.099999999999994</v>
      </c>
    </row>
    <row r="678" spans="13:14">
      <c r="M678">
        <v>0.34600947199999998</v>
      </c>
      <c r="N678">
        <v>67.2</v>
      </c>
    </row>
    <row r="679" spans="13:14">
      <c r="M679">
        <v>0.34607924800000001</v>
      </c>
      <c r="N679">
        <v>67.3</v>
      </c>
    </row>
    <row r="680" spans="13:14">
      <c r="M680">
        <v>0.346513024</v>
      </c>
      <c r="N680">
        <v>67.400000000000006</v>
      </c>
    </row>
    <row r="681" spans="13:14">
      <c r="M681">
        <v>0.34726879999999999</v>
      </c>
      <c r="N681">
        <v>67.5</v>
      </c>
    </row>
    <row r="682" spans="13:14">
      <c r="M682">
        <v>0.34802457599999997</v>
      </c>
      <c r="N682">
        <v>67.599999999999994</v>
      </c>
    </row>
    <row r="683" spans="13:14">
      <c r="M683">
        <v>0.34804000000000002</v>
      </c>
      <c r="N683">
        <v>67.7</v>
      </c>
    </row>
    <row r="684" spans="13:14">
      <c r="M684">
        <v>0.34804000000000002</v>
      </c>
      <c r="N684">
        <v>67.8</v>
      </c>
    </row>
    <row r="685" spans="13:14">
      <c r="M685">
        <v>0.34806402400000003</v>
      </c>
      <c r="N685">
        <v>67.900000000000006</v>
      </c>
    </row>
    <row r="686" spans="13:14">
      <c r="M686">
        <v>0.34812008</v>
      </c>
      <c r="N686">
        <v>68</v>
      </c>
    </row>
    <row r="687" spans="13:14">
      <c r="M687">
        <v>0.34817613600000002</v>
      </c>
      <c r="N687">
        <v>68.099999999999994</v>
      </c>
    </row>
    <row r="688" spans="13:14">
      <c r="M688">
        <v>0.35100242399999998</v>
      </c>
      <c r="N688">
        <v>68.2</v>
      </c>
    </row>
    <row r="689" spans="13:14">
      <c r="M689">
        <v>0.35421525599999998</v>
      </c>
      <c r="N689">
        <v>68.3</v>
      </c>
    </row>
    <row r="690" spans="13:14">
      <c r="M690">
        <v>0.35860671200000099</v>
      </c>
      <c r="N690">
        <v>68.400000000000006</v>
      </c>
    </row>
    <row r="691" spans="13:14">
      <c r="M691">
        <v>0.36542908000000102</v>
      </c>
      <c r="N691">
        <v>68.5</v>
      </c>
    </row>
    <row r="692" spans="13:14">
      <c r="M692">
        <v>0.37225144800000098</v>
      </c>
      <c r="N692">
        <v>68.599999999999994</v>
      </c>
    </row>
    <row r="693" spans="13:14">
      <c r="M693">
        <v>0.37973805600000099</v>
      </c>
      <c r="N693">
        <v>68.7</v>
      </c>
    </row>
    <row r="694" spans="13:14">
      <c r="M694">
        <v>0.38741694399999999</v>
      </c>
      <c r="N694">
        <v>68.8</v>
      </c>
    </row>
    <row r="695" spans="13:14">
      <c r="M695">
        <v>0.39418309600000001</v>
      </c>
      <c r="N695">
        <v>68.900000000000006</v>
      </c>
    </row>
    <row r="696" spans="13:14">
      <c r="M696">
        <v>0.39779616000000001</v>
      </c>
      <c r="N696">
        <v>69</v>
      </c>
    </row>
    <row r="697" spans="13:14">
      <c r="M697">
        <v>0.40140922400000001</v>
      </c>
      <c r="N697">
        <v>69.099999999999994</v>
      </c>
    </row>
    <row r="698" spans="13:14">
      <c r="M698">
        <v>0.40348000000000001</v>
      </c>
      <c r="N698">
        <v>69.2</v>
      </c>
    </row>
    <row r="699" spans="13:14">
      <c r="M699">
        <v>0.40480300000000002</v>
      </c>
      <c r="N699">
        <v>69.3</v>
      </c>
    </row>
    <row r="700" spans="13:14">
      <c r="M700">
        <v>0.40611265600000002</v>
      </c>
      <c r="N700">
        <v>69.400000000000006</v>
      </c>
    </row>
    <row r="701" spans="13:14">
      <c r="M701">
        <v>0.40732668</v>
      </c>
      <c r="N701">
        <v>69.5</v>
      </c>
    </row>
    <row r="702" spans="13:14">
      <c r="M702">
        <v>0.40854070399999998</v>
      </c>
      <c r="N702">
        <v>69.599999999999994</v>
      </c>
    </row>
    <row r="703" spans="13:14">
      <c r="M703">
        <v>0.40990211999999998</v>
      </c>
      <c r="N703">
        <v>69.7</v>
      </c>
    </row>
    <row r="704" spans="13:14">
      <c r="M704">
        <v>0.41137407999999998</v>
      </c>
      <c r="N704">
        <v>69.8</v>
      </c>
    </row>
    <row r="705" spans="13:14">
      <c r="M705">
        <v>0.41282302399999998</v>
      </c>
      <c r="N705">
        <v>69.900000000000006</v>
      </c>
    </row>
    <row r="706" spans="13:14">
      <c r="M706">
        <v>0.41316720000000001</v>
      </c>
      <c r="N706">
        <v>70</v>
      </c>
    </row>
    <row r="707" spans="13:14">
      <c r="M707">
        <v>0.41351137599999999</v>
      </c>
      <c r="N707">
        <v>70.099999999999994</v>
      </c>
    </row>
    <row r="708" spans="13:14">
      <c r="M708">
        <v>0.41377330400000001</v>
      </c>
      <c r="N708">
        <v>70.2</v>
      </c>
    </row>
    <row r="709" spans="13:14">
      <c r="M709">
        <v>0.41394225600000001</v>
      </c>
      <c r="N709">
        <v>70.3</v>
      </c>
    </row>
    <row r="710" spans="13:14">
      <c r="M710">
        <v>0.41411120800000001</v>
      </c>
      <c r="N710">
        <v>70.400000000000006</v>
      </c>
    </row>
    <row r="711" spans="13:14">
      <c r="M711">
        <v>0.41612912000000002</v>
      </c>
      <c r="N711">
        <v>70.5</v>
      </c>
    </row>
    <row r="712" spans="13:14">
      <c r="M712">
        <v>0.41831138400000001</v>
      </c>
      <c r="N712">
        <v>70.599999999999994</v>
      </c>
    </row>
    <row r="713" spans="13:14">
      <c r="M713">
        <v>0.42142792000000001</v>
      </c>
      <c r="N713">
        <v>70.7</v>
      </c>
    </row>
    <row r="714" spans="13:14">
      <c r="M714">
        <v>0.42615347999999997</v>
      </c>
      <c r="N714">
        <v>70.8</v>
      </c>
    </row>
    <row r="715" spans="13:14">
      <c r="M715">
        <v>0.43087903999999999</v>
      </c>
      <c r="N715">
        <v>70.900000000000006</v>
      </c>
    </row>
    <row r="716" spans="13:14">
      <c r="M716">
        <v>0.43261675999999999</v>
      </c>
      <c r="N716">
        <v>71</v>
      </c>
    </row>
    <row r="717" spans="13:14">
      <c r="M717">
        <v>0.43368221600000001</v>
      </c>
      <c r="N717">
        <v>71.099999999999994</v>
      </c>
    </row>
    <row r="718" spans="13:14">
      <c r="M718">
        <v>0.434563904</v>
      </c>
      <c r="N718">
        <v>71.2</v>
      </c>
    </row>
    <row r="719" spans="13:14">
      <c r="M719">
        <v>0.43493669600000001</v>
      </c>
      <c r="N719">
        <v>71.3</v>
      </c>
    </row>
    <row r="720" spans="13:14">
      <c r="M720">
        <v>0.43530948800000002</v>
      </c>
      <c r="N720">
        <v>71.400000000000006</v>
      </c>
    </row>
    <row r="721" spans="13:14">
      <c r="M721">
        <v>0.43671295999999998</v>
      </c>
      <c r="N721">
        <v>71.5</v>
      </c>
    </row>
    <row r="722" spans="13:14">
      <c r="M722">
        <v>0.43852870399999999</v>
      </c>
      <c r="N722">
        <v>71.599999999999994</v>
      </c>
    </row>
    <row r="723" spans="13:14">
      <c r="M723">
        <v>0.44029900799999999</v>
      </c>
      <c r="N723">
        <v>71.7</v>
      </c>
    </row>
    <row r="724" spans="13:14">
      <c r="M724">
        <v>0.441836432</v>
      </c>
      <c r="N724">
        <v>71.8</v>
      </c>
    </row>
    <row r="725" spans="13:14">
      <c r="M725">
        <v>0.44337385600000001</v>
      </c>
      <c r="N725">
        <v>71.900000000000006</v>
      </c>
    </row>
    <row r="726" spans="13:14">
      <c r="M726">
        <v>0.44665848000000002</v>
      </c>
      <c r="N726">
        <v>72</v>
      </c>
    </row>
    <row r="727" spans="13:14">
      <c r="M727">
        <v>0.45104966400000002</v>
      </c>
      <c r="N727">
        <v>72.099999999999994</v>
      </c>
    </row>
    <row r="728" spans="13:14">
      <c r="M728">
        <v>0.45533294400000002</v>
      </c>
      <c r="N728">
        <v>72.2</v>
      </c>
    </row>
    <row r="729" spans="13:14">
      <c r="M729">
        <v>0.45796169599999997</v>
      </c>
      <c r="N729">
        <v>72.3</v>
      </c>
    </row>
    <row r="730" spans="13:14">
      <c r="M730">
        <v>0.46059044799999999</v>
      </c>
      <c r="N730">
        <v>72.400000000000006</v>
      </c>
    </row>
    <row r="731" spans="13:14">
      <c r="M731">
        <v>0.4625012</v>
      </c>
      <c r="N731">
        <v>72.5</v>
      </c>
    </row>
    <row r="732" spans="13:14">
      <c r="M732">
        <v>0.463722672</v>
      </c>
      <c r="N732">
        <v>72.599999999999994</v>
      </c>
    </row>
    <row r="733" spans="13:14">
      <c r="M733">
        <v>0.464944144</v>
      </c>
      <c r="N733">
        <v>72.7</v>
      </c>
    </row>
    <row r="734" spans="13:14">
      <c r="M734">
        <v>0.46699507200000001</v>
      </c>
      <c r="N734">
        <v>72.8</v>
      </c>
    </row>
    <row r="735" spans="13:14">
      <c r="M735">
        <v>0.46908129599999998</v>
      </c>
      <c r="N735">
        <v>72.900000000000006</v>
      </c>
    </row>
    <row r="736" spans="13:14">
      <c r="M736">
        <v>0.470856</v>
      </c>
      <c r="N736">
        <v>73</v>
      </c>
    </row>
    <row r="737" spans="13:14">
      <c r="M737">
        <v>0.47217900000000002</v>
      </c>
      <c r="N737">
        <v>73.099999999999994</v>
      </c>
    </row>
    <row r="738" spans="13:14">
      <c r="M738">
        <v>0.47350199999999998</v>
      </c>
      <c r="N738">
        <v>73.2</v>
      </c>
    </row>
    <row r="739" spans="13:14">
      <c r="M739">
        <v>0.478135272</v>
      </c>
      <c r="N739">
        <v>73.3</v>
      </c>
    </row>
    <row r="740" spans="13:14">
      <c r="M740">
        <v>0.483320256</v>
      </c>
      <c r="N740">
        <v>73.400000000000006</v>
      </c>
    </row>
    <row r="741" spans="13:14">
      <c r="M741">
        <v>0.48960095999999997</v>
      </c>
      <c r="N741">
        <v>73.5</v>
      </c>
    </row>
    <row r="742" spans="13:14">
      <c r="M742">
        <v>0.49836529600000001</v>
      </c>
      <c r="N742">
        <v>73.599999999999994</v>
      </c>
    </row>
    <row r="743" spans="13:14">
      <c r="M743">
        <v>0.50712963200000005</v>
      </c>
      <c r="N743">
        <v>73.7</v>
      </c>
    </row>
    <row r="744" spans="13:14">
      <c r="M744">
        <v>0.51369912799999995</v>
      </c>
      <c r="N744">
        <v>73.8</v>
      </c>
    </row>
    <row r="745" spans="13:14">
      <c r="M745">
        <v>0.51955678400000005</v>
      </c>
      <c r="N745">
        <v>73.900000000000006</v>
      </c>
    </row>
    <row r="746" spans="13:14">
      <c r="M746">
        <v>0.52442515999999995</v>
      </c>
      <c r="N746">
        <v>74</v>
      </c>
    </row>
    <row r="747" spans="13:14">
      <c r="M747">
        <v>0.52543534400000003</v>
      </c>
      <c r="N747">
        <v>74.099999999999994</v>
      </c>
    </row>
    <row r="748" spans="13:14">
      <c r="M748">
        <v>0.526445528</v>
      </c>
      <c r="N748">
        <v>74.2</v>
      </c>
    </row>
    <row r="749" spans="13:14">
      <c r="M749">
        <v>0.52705199999999996</v>
      </c>
      <c r="N749">
        <v>74.3</v>
      </c>
    </row>
    <row r="750" spans="13:14">
      <c r="M750">
        <v>0.52744400000000002</v>
      </c>
      <c r="N750">
        <v>74.400000000000006</v>
      </c>
    </row>
    <row r="751" spans="13:14">
      <c r="M751">
        <v>0.52889444000000096</v>
      </c>
      <c r="N751">
        <v>74.5</v>
      </c>
    </row>
    <row r="752" spans="13:14">
      <c r="M752">
        <v>0.53965915200000003</v>
      </c>
      <c r="N752">
        <v>74.599999999999994</v>
      </c>
    </row>
    <row r="753" spans="13:14">
      <c r="M753">
        <v>0.55042386399999998</v>
      </c>
      <c r="N753">
        <v>74.7</v>
      </c>
    </row>
    <row r="754" spans="13:14">
      <c r="M754">
        <v>0.56974887200000102</v>
      </c>
      <c r="N754">
        <v>74.8</v>
      </c>
    </row>
    <row r="755" spans="13:14">
      <c r="M755">
        <v>0.59604893599999997</v>
      </c>
      <c r="N755">
        <v>74.900000000000006</v>
      </c>
    </row>
    <row r="756" spans="13:14">
      <c r="M756">
        <v>0.62234900000000004</v>
      </c>
      <c r="N756">
        <v>75</v>
      </c>
    </row>
    <row r="757" spans="13:14">
      <c r="M757">
        <v>0.625746464</v>
      </c>
      <c r="N757">
        <v>75.099999999999994</v>
      </c>
    </row>
    <row r="758" spans="13:14">
      <c r="M758">
        <v>0.62914392799999996</v>
      </c>
      <c r="N758">
        <v>75.2</v>
      </c>
    </row>
    <row r="759" spans="13:14">
      <c r="M759">
        <v>0.63118143999999998</v>
      </c>
      <c r="N759">
        <v>75.3</v>
      </c>
    </row>
    <row r="760" spans="13:14">
      <c r="M760">
        <v>0.63154991999999999</v>
      </c>
      <c r="N760">
        <v>75.400000000000006</v>
      </c>
    </row>
    <row r="761" spans="13:14">
      <c r="M761">
        <v>0.63191839999999999</v>
      </c>
      <c r="N761">
        <v>75.5</v>
      </c>
    </row>
    <row r="762" spans="13:14">
      <c r="M762">
        <v>0.63314505600000004</v>
      </c>
      <c r="N762">
        <v>75.599999999999994</v>
      </c>
    </row>
    <row r="763" spans="13:14">
      <c r="M763">
        <v>0.63446923200000005</v>
      </c>
      <c r="N763">
        <v>75.7</v>
      </c>
    </row>
    <row r="764" spans="13:14">
      <c r="M764">
        <v>0.63662219200000003</v>
      </c>
      <c r="N764">
        <v>75.8</v>
      </c>
    </row>
    <row r="765" spans="13:14">
      <c r="M765">
        <v>0.64033521599999998</v>
      </c>
      <c r="N765">
        <v>75.900000000000006</v>
      </c>
    </row>
    <row r="766" spans="13:14">
      <c r="M766">
        <v>0.64404824000000005</v>
      </c>
      <c r="N766">
        <v>76</v>
      </c>
    </row>
    <row r="767" spans="13:14">
      <c r="M767">
        <v>0.65118421599999998</v>
      </c>
      <c r="N767">
        <v>76.099999999999994</v>
      </c>
    </row>
    <row r="768" spans="13:14">
      <c r="M768">
        <v>0.65919787200000002</v>
      </c>
      <c r="N768">
        <v>76.2</v>
      </c>
    </row>
    <row r="769" spans="13:14">
      <c r="M769">
        <v>0.66547863200000001</v>
      </c>
      <c r="N769">
        <v>76.3</v>
      </c>
    </row>
    <row r="770" spans="13:14">
      <c r="M770">
        <v>0.66641629599999996</v>
      </c>
      <c r="N770">
        <v>76.400000000000006</v>
      </c>
    </row>
    <row r="771" spans="13:14">
      <c r="M771">
        <v>0.66735396000000002</v>
      </c>
      <c r="N771">
        <v>76.5</v>
      </c>
    </row>
    <row r="772" spans="13:14">
      <c r="M772">
        <v>0.67142343199999999</v>
      </c>
      <c r="N772">
        <v>76.599999999999994</v>
      </c>
    </row>
    <row r="773" spans="13:14">
      <c r="M773">
        <v>0.676874584</v>
      </c>
      <c r="N773">
        <v>76.7</v>
      </c>
    </row>
    <row r="774" spans="13:14">
      <c r="M774">
        <v>0.68179793600000005</v>
      </c>
      <c r="N774">
        <v>76.8</v>
      </c>
    </row>
    <row r="775" spans="13:14">
      <c r="M775">
        <v>0.68355448799999996</v>
      </c>
      <c r="N775">
        <v>76.900000000000006</v>
      </c>
    </row>
    <row r="776" spans="13:14">
      <c r="M776">
        <v>0.68531103999999998</v>
      </c>
      <c r="N776">
        <v>77</v>
      </c>
    </row>
    <row r="777" spans="13:14">
      <c r="M777">
        <v>0.68938109599999997</v>
      </c>
      <c r="N777">
        <v>77.099999999999994</v>
      </c>
    </row>
    <row r="778" spans="13:14">
      <c r="M778">
        <v>0.69504667200000003</v>
      </c>
      <c r="N778">
        <v>77.2</v>
      </c>
    </row>
    <row r="779" spans="13:14">
      <c r="M779">
        <v>0.70051099999999999</v>
      </c>
      <c r="N779">
        <v>77.3</v>
      </c>
    </row>
    <row r="780" spans="13:14">
      <c r="M780">
        <v>0.70124600000000004</v>
      </c>
      <c r="N780">
        <v>77.400000000000006</v>
      </c>
    </row>
    <row r="781" spans="13:14">
      <c r="M781">
        <v>0.70198099999999997</v>
      </c>
      <c r="N781">
        <v>77.5</v>
      </c>
    </row>
    <row r="782" spans="13:14">
      <c r="M782">
        <v>0.70277993599999999</v>
      </c>
      <c r="N782">
        <v>77.599999999999994</v>
      </c>
    </row>
    <row r="783" spans="13:14">
      <c r="M783">
        <v>0.70364547200000005</v>
      </c>
      <c r="N783">
        <v>77.7</v>
      </c>
    </row>
    <row r="784" spans="13:14">
      <c r="M784">
        <v>0.70451100799999999</v>
      </c>
      <c r="N784">
        <v>77.8</v>
      </c>
    </row>
    <row r="785" spans="13:14">
      <c r="M785">
        <v>0.70559292799999995</v>
      </c>
      <c r="N785">
        <v>77.900000000000006</v>
      </c>
    </row>
    <row r="786" spans="13:14">
      <c r="M786">
        <v>0.70668896000000003</v>
      </c>
      <c r="N786">
        <v>78</v>
      </c>
    </row>
    <row r="787" spans="13:14">
      <c r="M787">
        <v>0.70837612000000005</v>
      </c>
      <c r="N787">
        <v>78.099999999999994</v>
      </c>
    </row>
    <row r="788" spans="13:14">
      <c r="M788">
        <v>0.71099663999999996</v>
      </c>
      <c r="N788">
        <v>78.2</v>
      </c>
    </row>
    <row r="789" spans="13:14">
      <c r="M789">
        <v>0.71361715999999997</v>
      </c>
      <c r="N789">
        <v>78.3</v>
      </c>
    </row>
    <row r="790" spans="13:14">
      <c r="M790">
        <v>0.71609992</v>
      </c>
      <c r="N790">
        <v>78.400000000000006</v>
      </c>
    </row>
    <row r="791" spans="13:14">
      <c r="M791">
        <v>0.71855579999999997</v>
      </c>
      <c r="N791">
        <v>78.5</v>
      </c>
    </row>
    <row r="792" spans="13:14">
      <c r="M792">
        <v>0.72157302400000001</v>
      </c>
      <c r="N792">
        <v>78.599999999999994</v>
      </c>
    </row>
    <row r="793" spans="13:14">
      <c r="M793">
        <v>0.72599360800000001</v>
      </c>
      <c r="N793">
        <v>78.7</v>
      </c>
    </row>
    <row r="794" spans="13:14">
      <c r="M794">
        <v>0.73041419200000002</v>
      </c>
      <c r="N794">
        <v>78.8</v>
      </c>
    </row>
    <row r="795" spans="13:14">
      <c r="M795">
        <v>0.73498914400000004</v>
      </c>
      <c r="N795">
        <v>78.900000000000006</v>
      </c>
    </row>
    <row r="796" spans="13:14">
      <c r="M796">
        <v>0.73961984000000003</v>
      </c>
      <c r="N796">
        <v>79</v>
      </c>
    </row>
    <row r="797" spans="13:14">
      <c r="M797">
        <v>0.74448748799999998</v>
      </c>
      <c r="N797">
        <v>79.099999999999994</v>
      </c>
    </row>
    <row r="798" spans="13:14">
      <c r="M798">
        <v>0.75040825600000005</v>
      </c>
      <c r="N798">
        <v>79.2</v>
      </c>
    </row>
    <row r="799" spans="13:14">
      <c r="M799">
        <v>0.75632902400000002</v>
      </c>
      <c r="N799">
        <v>79.3</v>
      </c>
    </row>
    <row r="800" spans="13:14">
      <c r="M800">
        <v>0.76025611999999998</v>
      </c>
      <c r="N800">
        <v>79.400000000000006</v>
      </c>
    </row>
    <row r="801" spans="13:14">
      <c r="M801">
        <v>0.76302559999999997</v>
      </c>
      <c r="N801">
        <v>79.5</v>
      </c>
    </row>
    <row r="802" spans="13:14">
      <c r="M802">
        <v>0.76581783199999998</v>
      </c>
      <c r="N802">
        <v>79.599999999999994</v>
      </c>
    </row>
    <row r="803" spans="13:14">
      <c r="M803">
        <v>0.76886602400000004</v>
      </c>
      <c r="N803">
        <v>79.7</v>
      </c>
    </row>
    <row r="804" spans="13:14">
      <c r="M804">
        <v>0.77191421599999999</v>
      </c>
      <c r="N804">
        <v>79.8</v>
      </c>
    </row>
    <row r="805" spans="13:14">
      <c r="M805">
        <v>0.77819140000000098</v>
      </c>
      <c r="N805">
        <v>79.900000000000006</v>
      </c>
    </row>
    <row r="806" spans="13:14">
      <c r="M806">
        <v>0.78732500000000005</v>
      </c>
      <c r="N806">
        <v>80</v>
      </c>
    </row>
    <row r="807" spans="13:14">
      <c r="M807">
        <v>0.79645860000000002</v>
      </c>
      <c r="N807">
        <v>80.099999999999994</v>
      </c>
    </row>
    <row r="808" spans="13:14">
      <c r="M808">
        <v>0.798137608</v>
      </c>
      <c r="N808">
        <v>80.2</v>
      </c>
    </row>
    <row r="809" spans="13:14">
      <c r="M809">
        <v>0.79966131200000001</v>
      </c>
      <c r="N809">
        <v>80.3</v>
      </c>
    </row>
    <row r="810" spans="13:14">
      <c r="M810">
        <v>0.80063464799999995</v>
      </c>
      <c r="N810">
        <v>80.400000000000006</v>
      </c>
    </row>
    <row r="811" spans="13:14">
      <c r="M811">
        <v>0.80087416</v>
      </c>
      <c r="N811">
        <v>80.5</v>
      </c>
    </row>
    <row r="812" spans="13:14">
      <c r="M812">
        <v>0.80111367200000005</v>
      </c>
      <c r="N812">
        <v>80.599999999999994</v>
      </c>
    </row>
    <row r="813" spans="13:14">
      <c r="M813">
        <v>0.80182687200000002</v>
      </c>
      <c r="N813">
        <v>80.7</v>
      </c>
    </row>
    <row r="814" spans="13:14">
      <c r="M814">
        <v>0.80260616799999995</v>
      </c>
      <c r="N814">
        <v>80.8</v>
      </c>
    </row>
    <row r="815" spans="13:14">
      <c r="M815">
        <v>0.80386661599999998</v>
      </c>
      <c r="N815">
        <v>80.900000000000006</v>
      </c>
    </row>
    <row r="816" spans="13:14">
      <c r="M816">
        <v>0.80611944000000002</v>
      </c>
      <c r="N816">
        <v>81</v>
      </c>
    </row>
    <row r="817" spans="13:14">
      <c r="M817">
        <v>0.80837226399999995</v>
      </c>
      <c r="N817">
        <v>81.099999999999994</v>
      </c>
    </row>
    <row r="818" spans="13:14">
      <c r="M818">
        <v>0.81079411199999996</v>
      </c>
      <c r="N818">
        <v>81.2</v>
      </c>
    </row>
    <row r="819" spans="13:14">
      <c r="M819">
        <v>0.81326488799999996</v>
      </c>
      <c r="N819">
        <v>81.3</v>
      </c>
    </row>
    <row r="820" spans="13:14">
      <c r="M820">
        <v>0.81914654400000098</v>
      </c>
      <c r="N820">
        <v>81.400000000000006</v>
      </c>
    </row>
    <row r="821" spans="13:14">
      <c r="M821">
        <v>0.83681124000000096</v>
      </c>
      <c r="N821">
        <v>81.5</v>
      </c>
    </row>
    <row r="822" spans="13:14">
      <c r="M822">
        <v>0.85447593600000105</v>
      </c>
      <c r="N822">
        <v>81.599999999999994</v>
      </c>
    </row>
    <row r="823" spans="13:14">
      <c r="M823">
        <v>0.866030352</v>
      </c>
      <c r="N823">
        <v>81.7</v>
      </c>
    </row>
    <row r="824" spans="13:14">
      <c r="M824">
        <v>0.87462220800000001</v>
      </c>
      <c r="N824">
        <v>81.8</v>
      </c>
    </row>
    <row r="825" spans="13:14">
      <c r="M825">
        <v>0.88261310400000004</v>
      </c>
      <c r="N825">
        <v>81.900000000000006</v>
      </c>
    </row>
    <row r="826" spans="13:14">
      <c r="M826">
        <v>0.88629712000000005</v>
      </c>
      <c r="N826">
        <v>82</v>
      </c>
    </row>
    <row r="827" spans="13:14">
      <c r="M827">
        <v>0.88998113600000095</v>
      </c>
      <c r="N827">
        <v>82.1</v>
      </c>
    </row>
    <row r="828" spans="13:14">
      <c r="M828">
        <v>0.89500176000000098</v>
      </c>
      <c r="N828">
        <v>82.2</v>
      </c>
    </row>
    <row r="829" spans="13:14">
      <c r="M829">
        <v>0.90102484000000105</v>
      </c>
      <c r="N829">
        <v>82.3</v>
      </c>
    </row>
    <row r="830" spans="13:14">
      <c r="M830">
        <v>0.90726200000000201</v>
      </c>
      <c r="N830">
        <v>82.4</v>
      </c>
    </row>
    <row r="831" spans="13:14">
      <c r="M831">
        <v>0.92377500000000101</v>
      </c>
      <c r="N831">
        <v>82.5</v>
      </c>
    </row>
    <row r="832" spans="13:14">
      <c r="M832">
        <v>0.94028800000000101</v>
      </c>
      <c r="N832">
        <v>82.6</v>
      </c>
    </row>
    <row r="833" spans="13:14">
      <c r="M833">
        <v>0.95099009599999995</v>
      </c>
      <c r="N833">
        <v>82.7</v>
      </c>
    </row>
    <row r="834" spans="13:14">
      <c r="M834">
        <v>0.95512334399999999</v>
      </c>
      <c r="N834">
        <v>82.8</v>
      </c>
    </row>
    <row r="835" spans="13:14">
      <c r="M835">
        <v>0.95925659200000002</v>
      </c>
      <c r="N835">
        <v>82.9</v>
      </c>
    </row>
    <row r="836" spans="13:14">
      <c r="M836">
        <v>0.96045692000000005</v>
      </c>
      <c r="N836">
        <v>83</v>
      </c>
    </row>
    <row r="837" spans="13:14">
      <c r="M837">
        <v>0.96139654399999996</v>
      </c>
      <c r="N837">
        <v>83.1</v>
      </c>
    </row>
    <row r="838" spans="13:14">
      <c r="M838">
        <v>0.96211239199999998</v>
      </c>
      <c r="N838">
        <v>83.2</v>
      </c>
    </row>
    <row r="839" spans="13:14">
      <c r="M839">
        <v>0.96244284800000002</v>
      </c>
      <c r="N839">
        <v>83.3</v>
      </c>
    </row>
    <row r="840" spans="13:14">
      <c r="M840">
        <v>0.96277330400000005</v>
      </c>
      <c r="N840">
        <v>83.4</v>
      </c>
    </row>
    <row r="841" spans="13:14">
      <c r="M841">
        <v>0.96410792000000001</v>
      </c>
      <c r="N841">
        <v>83.5</v>
      </c>
    </row>
    <row r="842" spans="13:14">
      <c r="M842">
        <v>0.96566847199999994</v>
      </c>
      <c r="N842">
        <v>83.6</v>
      </c>
    </row>
    <row r="843" spans="13:14">
      <c r="M843">
        <v>0.96683465599999996</v>
      </c>
      <c r="N843">
        <v>83.7</v>
      </c>
    </row>
    <row r="844" spans="13:14">
      <c r="M844">
        <v>0.96690874400000004</v>
      </c>
      <c r="N844">
        <v>83.8</v>
      </c>
    </row>
    <row r="845" spans="13:14">
      <c r="M845">
        <v>0.96698283200000001</v>
      </c>
      <c r="N845">
        <v>83.9</v>
      </c>
    </row>
    <row r="846" spans="13:14">
      <c r="M846">
        <v>0.97403927999999895</v>
      </c>
      <c r="N846">
        <v>84</v>
      </c>
    </row>
    <row r="847" spans="13:14">
      <c r="M847">
        <v>0.98388867199999896</v>
      </c>
      <c r="N847">
        <v>84.1</v>
      </c>
    </row>
    <row r="848" spans="13:14">
      <c r="M848">
        <v>0.99332871999999905</v>
      </c>
      <c r="N848">
        <v>84.2</v>
      </c>
    </row>
    <row r="849" spans="13:14">
      <c r="M849">
        <v>1.0006708799999999</v>
      </c>
      <c r="N849">
        <v>84.3</v>
      </c>
    </row>
    <row r="850" spans="13:14">
      <c r="M850">
        <v>1.00801304</v>
      </c>
      <c r="N850">
        <v>84.4</v>
      </c>
    </row>
    <row r="851" spans="13:14">
      <c r="M851">
        <v>1.0137474399999999</v>
      </c>
      <c r="N851">
        <v>84.5</v>
      </c>
    </row>
    <row r="852" spans="13:14">
      <c r="M852">
        <v>1.018463592</v>
      </c>
      <c r="N852">
        <v>84.6</v>
      </c>
    </row>
    <row r="853" spans="13:14">
      <c r="M853">
        <v>1.0231653439999999</v>
      </c>
      <c r="N853">
        <v>84.7</v>
      </c>
    </row>
    <row r="854" spans="13:14">
      <c r="M854">
        <v>1.0276462959999999</v>
      </c>
      <c r="N854">
        <v>84.8</v>
      </c>
    </row>
    <row r="855" spans="13:14">
      <c r="M855">
        <v>1.0321272480000001</v>
      </c>
      <c r="N855">
        <v>84.9</v>
      </c>
    </row>
    <row r="856" spans="13:14">
      <c r="M856">
        <v>1.0344502</v>
      </c>
      <c r="N856">
        <v>85</v>
      </c>
    </row>
    <row r="857" spans="13:14">
      <c r="M857">
        <v>1.0347014720000001</v>
      </c>
      <c r="N857">
        <v>85.1</v>
      </c>
    </row>
    <row r="858" spans="13:14">
      <c r="M858">
        <v>1.0349527439999999</v>
      </c>
      <c r="N858">
        <v>85.2</v>
      </c>
    </row>
    <row r="859" spans="13:14">
      <c r="M859">
        <v>1.0371332719999999</v>
      </c>
      <c r="N859">
        <v>85.3</v>
      </c>
    </row>
    <row r="860" spans="13:14">
      <c r="M860">
        <v>1.039395896</v>
      </c>
      <c r="N860">
        <v>85.4</v>
      </c>
    </row>
    <row r="861" spans="13:14">
      <c r="M861">
        <v>1.0428358</v>
      </c>
      <c r="N861">
        <v>85.5</v>
      </c>
    </row>
    <row r="862" spans="13:14">
      <c r="M862">
        <v>1.04798276</v>
      </c>
      <c r="N862">
        <v>85.6</v>
      </c>
    </row>
    <row r="863" spans="13:14">
      <c r="M863">
        <v>1.05312972</v>
      </c>
      <c r="N863">
        <v>85.7</v>
      </c>
    </row>
    <row r="864" spans="13:14">
      <c r="M864">
        <v>1.058771608</v>
      </c>
      <c r="N864">
        <v>85.8</v>
      </c>
    </row>
    <row r="865" spans="13:14">
      <c r="M865">
        <v>1.0644959839999999</v>
      </c>
      <c r="N865">
        <v>85.9</v>
      </c>
    </row>
    <row r="866" spans="13:14">
      <c r="M866">
        <v>1.07280636</v>
      </c>
      <c r="N866">
        <v>86</v>
      </c>
    </row>
    <row r="867" spans="13:14">
      <c r="M867">
        <v>1.086978336</v>
      </c>
      <c r="N867">
        <v>86.1</v>
      </c>
    </row>
    <row r="868" spans="13:14">
      <c r="M868">
        <v>1.1011503119999999</v>
      </c>
      <c r="N868">
        <v>86.2</v>
      </c>
    </row>
    <row r="869" spans="13:14">
      <c r="M869">
        <v>1.1139384880000001</v>
      </c>
      <c r="N869">
        <v>86.3</v>
      </c>
    </row>
    <row r="870" spans="13:14">
      <c r="M870">
        <v>1.126277864</v>
      </c>
      <c r="N870">
        <v>86.4</v>
      </c>
    </row>
    <row r="871" spans="13:14">
      <c r="M871">
        <v>1.1386661199999999</v>
      </c>
      <c r="N871">
        <v>86.5</v>
      </c>
    </row>
    <row r="872" spans="13:14">
      <c r="M872">
        <v>1.1512450080000001</v>
      </c>
      <c r="N872">
        <v>86.6</v>
      </c>
    </row>
    <row r="873" spans="13:14">
      <c r="M873">
        <v>1.163823896</v>
      </c>
      <c r="N873">
        <v>86.7</v>
      </c>
    </row>
    <row r="874" spans="13:14">
      <c r="M874">
        <v>1.17002608</v>
      </c>
      <c r="N874">
        <v>86.8</v>
      </c>
    </row>
    <row r="875" spans="13:14">
      <c r="M875">
        <v>1.17284064</v>
      </c>
      <c r="N875">
        <v>86.9</v>
      </c>
    </row>
    <row r="876" spans="13:14">
      <c r="M876">
        <v>1.17541852</v>
      </c>
      <c r="N876">
        <v>87</v>
      </c>
    </row>
    <row r="877" spans="13:14">
      <c r="M877">
        <v>1.1759136160000001</v>
      </c>
      <c r="N877">
        <v>87.1</v>
      </c>
    </row>
    <row r="878" spans="13:14">
      <c r="M878">
        <v>1.176408712</v>
      </c>
      <c r="N878">
        <v>87.2</v>
      </c>
    </row>
    <row r="879" spans="13:14">
      <c r="M879">
        <v>1.177859824</v>
      </c>
      <c r="N879">
        <v>87.3</v>
      </c>
    </row>
    <row r="880" spans="13:14">
      <c r="M880">
        <v>1.1800899119999999</v>
      </c>
      <c r="N880">
        <v>87.4</v>
      </c>
    </row>
    <row r="881" spans="13:14">
      <c r="M881">
        <v>1.18232</v>
      </c>
      <c r="N881">
        <v>87.5</v>
      </c>
    </row>
    <row r="882" spans="13:14">
      <c r="M882">
        <v>1.1938608719999999</v>
      </c>
      <c r="N882">
        <v>87.6</v>
      </c>
    </row>
    <row r="883" spans="13:14">
      <c r="M883">
        <v>1.205401744</v>
      </c>
      <c r="N883">
        <v>87.7</v>
      </c>
    </row>
    <row r="884" spans="13:14">
      <c r="M884">
        <v>1.211958648</v>
      </c>
      <c r="N884">
        <v>87.8</v>
      </c>
    </row>
    <row r="885" spans="13:14">
      <c r="M885">
        <v>1.2123988640000001</v>
      </c>
      <c r="N885">
        <v>87.9</v>
      </c>
    </row>
    <row r="886" spans="13:14">
      <c r="M886">
        <v>1.21283908</v>
      </c>
      <c r="N886">
        <v>88</v>
      </c>
    </row>
    <row r="887" spans="13:14">
      <c r="M887">
        <v>1.223540096</v>
      </c>
      <c r="N887">
        <v>88.1</v>
      </c>
    </row>
    <row r="888" spans="13:14">
      <c r="M888">
        <v>1.2354071120000001</v>
      </c>
      <c r="N888">
        <v>88.2</v>
      </c>
    </row>
    <row r="889" spans="13:14">
      <c r="M889">
        <v>1.2469046159999999</v>
      </c>
      <c r="N889">
        <v>88.3</v>
      </c>
    </row>
    <row r="890" spans="13:14">
      <c r="M890">
        <v>1.2577065679999999</v>
      </c>
      <c r="N890">
        <v>88.4</v>
      </c>
    </row>
    <row r="891" spans="13:14">
      <c r="M891">
        <v>1.2685085199999999</v>
      </c>
      <c r="N891">
        <v>88.5</v>
      </c>
    </row>
    <row r="892" spans="13:14">
      <c r="M892">
        <v>1.2721241759999999</v>
      </c>
      <c r="N892">
        <v>88.6</v>
      </c>
    </row>
    <row r="893" spans="13:14">
      <c r="M893">
        <v>1.273897192</v>
      </c>
      <c r="N893">
        <v>88.7</v>
      </c>
    </row>
    <row r="894" spans="13:14">
      <c r="M894">
        <v>1.2753438079999999</v>
      </c>
      <c r="N894">
        <v>88.8</v>
      </c>
    </row>
    <row r="895" spans="13:14">
      <c r="M895">
        <v>1.275784024</v>
      </c>
      <c r="N895">
        <v>88.9</v>
      </c>
    </row>
    <row r="896" spans="13:14">
      <c r="M896">
        <v>1.2762242399999999</v>
      </c>
      <c r="N896">
        <v>89</v>
      </c>
    </row>
    <row r="897" spans="13:14">
      <c r="M897">
        <v>1.2768921200000001</v>
      </c>
      <c r="N897">
        <v>89.1</v>
      </c>
    </row>
    <row r="898" spans="13:14">
      <c r="M898">
        <v>1.27766044</v>
      </c>
      <c r="N898">
        <v>89.2</v>
      </c>
    </row>
    <row r="899" spans="13:14">
      <c r="M899">
        <v>1.278350976</v>
      </c>
      <c r="N899">
        <v>89.3</v>
      </c>
    </row>
    <row r="900" spans="13:14">
      <c r="M900">
        <v>1.2785748079999999</v>
      </c>
      <c r="N900">
        <v>89.4</v>
      </c>
    </row>
    <row r="901" spans="13:14">
      <c r="M901">
        <v>1.27879864</v>
      </c>
      <c r="N901">
        <v>89.5</v>
      </c>
    </row>
    <row r="902" spans="13:14">
      <c r="M902">
        <v>1.2868376239999999</v>
      </c>
      <c r="N902">
        <v>89.6</v>
      </c>
    </row>
    <row r="903" spans="13:14">
      <c r="M903">
        <v>1.300266368</v>
      </c>
      <c r="N903">
        <v>89.7</v>
      </c>
    </row>
    <row r="904" spans="13:14">
      <c r="M904">
        <v>1.3135856560000001</v>
      </c>
      <c r="N904">
        <v>89.8</v>
      </c>
    </row>
    <row r="905" spans="13:14">
      <c r="M905">
        <v>1.3243327279999999</v>
      </c>
      <c r="N905">
        <v>89.9</v>
      </c>
    </row>
    <row r="906" spans="13:14">
      <c r="M906">
        <v>1.3350797999999999</v>
      </c>
      <c r="N906">
        <v>90</v>
      </c>
    </row>
    <row r="907" spans="13:14">
      <c r="M907">
        <v>1.350793336</v>
      </c>
      <c r="N907">
        <v>90.1</v>
      </c>
    </row>
    <row r="908" spans="13:14">
      <c r="M908">
        <v>1.3716802720000001</v>
      </c>
      <c r="N908">
        <v>90.2</v>
      </c>
    </row>
    <row r="909" spans="13:14">
      <c r="M909">
        <v>1.392567208</v>
      </c>
      <c r="N909">
        <v>90.3</v>
      </c>
    </row>
    <row r="910" spans="13:14">
      <c r="M910">
        <v>1.400664304</v>
      </c>
      <c r="N910">
        <v>90.4</v>
      </c>
    </row>
    <row r="911" spans="13:14">
      <c r="M911">
        <v>1.40792728</v>
      </c>
      <c r="N911">
        <v>90.5</v>
      </c>
    </row>
    <row r="912" spans="13:14">
      <c r="M912">
        <v>1.438497328</v>
      </c>
      <c r="N912">
        <v>90.6</v>
      </c>
    </row>
    <row r="913" spans="13:14">
      <c r="M913">
        <v>1.505868016</v>
      </c>
      <c r="N913">
        <v>90.7</v>
      </c>
    </row>
    <row r="914" spans="13:14">
      <c r="M914">
        <v>1.57323870400001</v>
      </c>
      <c r="N914">
        <v>90.8</v>
      </c>
    </row>
    <row r="915" spans="13:14">
      <c r="M915">
        <v>1.58591572</v>
      </c>
      <c r="N915">
        <v>90.9</v>
      </c>
    </row>
    <row r="916" spans="13:14">
      <c r="M916">
        <v>1.5879208</v>
      </c>
      <c r="N916">
        <v>91</v>
      </c>
    </row>
    <row r="917" spans="13:14">
      <c r="M917">
        <v>1.591157768</v>
      </c>
      <c r="N917">
        <v>91.1</v>
      </c>
    </row>
    <row r="918" spans="13:14">
      <c r="M918">
        <v>1.597474456</v>
      </c>
      <c r="N918">
        <v>91.2</v>
      </c>
    </row>
    <row r="919" spans="13:14">
      <c r="M919">
        <v>1.6037911439999999</v>
      </c>
      <c r="N919">
        <v>91.3</v>
      </c>
    </row>
    <row r="920" spans="13:14">
      <c r="M920">
        <v>1.6085419759999999</v>
      </c>
      <c r="N920">
        <v>91.4</v>
      </c>
    </row>
    <row r="921" spans="13:14">
      <c r="M921">
        <v>1.6127273600000001</v>
      </c>
      <c r="N921">
        <v>91.5</v>
      </c>
    </row>
    <row r="922" spans="13:14">
      <c r="M922">
        <v>1.619720096</v>
      </c>
      <c r="N922">
        <v>91.6</v>
      </c>
    </row>
    <row r="923" spans="13:14">
      <c r="M923">
        <v>1.639189952</v>
      </c>
      <c r="N923">
        <v>91.7</v>
      </c>
    </row>
    <row r="924" spans="13:14">
      <c r="M924">
        <v>1.6586598079999999</v>
      </c>
      <c r="N924">
        <v>91.8</v>
      </c>
    </row>
    <row r="925" spans="13:14">
      <c r="M925">
        <v>1.6663590880000001</v>
      </c>
      <c r="N925">
        <v>91.9</v>
      </c>
    </row>
    <row r="926" spans="13:14">
      <c r="M926">
        <v>1.6672238399999999</v>
      </c>
      <c r="N926">
        <v>92</v>
      </c>
    </row>
    <row r="927" spans="13:14">
      <c r="M927">
        <v>1.669742096</v>
      </c>
      <c r="N927">
        <v>92.1</v>
      </c>
    </row>
    <row r="928" spans="13:14">
      <c r="M928">
        <v>1.6908622719999999</v>
      </c>
      <c r="N928">
        <v>92.2</v>
      </c>
    </row>
    <row r="929" spans="13:14">
      <c r="M929">
        <v>1.7119824480000001</v>
      </c>
      <c r="N929">
        <v>92.3</v>
      </c>
    </row>
    <row r="930" spans="13:14">
      <c r="M930">
        <v>1.7328954560000001</v>
      </c>
      <c r="N930">
        <v>92.4</v>
      </c>
    </row>
    <row r="931" spans="13:14">
      <c r="M931">
        <v>1.7536252000000001</v>
      </c>
      <c r="N931">
        <v>92.5</v>
      </c>
    </row>
    <row r="932" spans="13:14">
      <c r="M932">
        <v>1.7743549439999999</v>
      </c>
      <c r="N932">
        <v>92.6</v>
      </c>
    </row>
    <row r="933" spans="13:14">
      <c r="M933">
        <v>1.7781349280000001</v>
      </c>
      <c r="N933">
        <v>92.7</v>
      </c>
    </row>
    <row r="934" spans="13:14">
      <c r="M934">
        <v>1.781561792</v>
      </c>
      <c r="N934">
        <v>92.8</v>
      </c>
    </row>
    <row r="935" spans="13:14">
      <c r="M935">
        <v>1.784672984</v>
      </c>
      <c r="N935">
        <v>92.9</v>
      </c>
    </row>
    <row r="936" spans="13:14">
      <c r="M936">
        <v>1.7873632800000001</v>
      </c>
      <c r="N936">
        <v>93</v>
      </c>
    </row>
    <row r="937" spans="13:14">
      <c r="M937">
        <v>1.790053576</v>
      </c>
      <c r="N937">
        <v>93.1</v>
      </c>
    </row>
    <row r="938" spans="13:14">
      <c r="M938">
        <v>1.79368884</v>
      </c>
      <c r="N938">
        <v>93.2</v>
      </c>
    </row>
    <row r="939" spans="13:14">
      <c r="M939">
        <v>1.79745596</v>
      </c>
      <c r="N939">
        <v>93.3</v>
      </c>
    </row>
    <row r="940" spans="13:14">
      <c r="M940">
        <v>1.8001440399999999</v>
      </c>
      <c r="N940">
        <v>93.4</v>
      </c>
    </row>
    <row r="941" spans="13:14">
      <c r="M941">
        <v>1.8006066000000001</v>
      </c>
      <c r="N941">
        <v>93.5</v>
      </c>
    </row>
    <row r="942" spans="13:14">
      <c r="M942">
        <v>1.8010691599999999</v>
      </c>
      <c r="N942">
        <v>93.6</v>
      </c>
    </row>
    <row r="943" spans="13:14">
      <c r="M943">
        <v>1.804247352</v>
      </c>
      <c r="N943">
        <v>93.7</v>
      </c>
    </row>
    <row r="944" spans="13:14">
      <c r="M944">
        <v>1.8082116479999999</v>
      </c>
      <c r="N944">
        <v>93.8</v>
      </c>
    </row>
    <row r="945" spans="13:14">
      <c r="M945">
        <v>1.813018104</v>
      </c>
      <c r="N945">
        <v>93.9</v>
      </c>
    </row>
    <row r="946" spans="13:14">
      <c r="M946">
        <v>1.8207338399999999</v>
      </c>
      <c r="N946">
        <v>94</v>
      </c>
    </row>
    <row r="947" spans="13:14">
      <c r="M947">
        <v>1.8284495759999999</v>
      </c>
      <c r="N947">
        <v>94.1</v>
      </c>
    </row>
    <row r="948" spans="13:14">
      <c r="M948">
        <v>1.839186792</v>
      </c>
      <c r="N948">
        <v>94.2</v>
      </c>
    </row>
    <row r="949" spans="13:14">
      <c r="M949">
        <v>1.851388968</v>
      </c>
      <c r="N949">
        <v>94.3</v>
      </c>
    </row>
    <row r="950" spans="13:14">
      <c r="M950">
        <v>1.8621392400000001</v>
      </c>
      <c r="N950">
        <v>94.4</v>
      </c>
    </row>
    <row r="951" spans="13:14">
      <c r="M951">
        <v>1.8624841999999999</v>
      </c>
      <c r="N951">
        <v>94.5</v>
      </c>
    </row>
    <row r="952" spans="13:14">
      <c r="M952">
        <v>1.86282916</v>
      </c>
      <c r="N952">
        <v>94.6</v>
      </c>
    </row>
    <row r="953" spans="13:14">
      <c r="M953">
        <v>1.8678899920000001</v>
      </c>
      <c r="N953">
        <v>94.7</v>
      </c>
    </row>
    <row r="954" spans="13:14">
      <c r="M954">
        <v>1.8764877280000001</v>
      </c>
      <c r="N954">
        <v>94.8</v>
      </c>
    </row>
    <row r="955" spans="13:14">
      <c r="M955">
        <v>1.885126928</v>
      </c>
      <c r="N955">
        <v>94.9</v>
      </c>
    </row>
    <row r="956" spans="13:14">
      <c r="M956">
        <v>1.8957564</v>
      </c>
      <c r="N956">
        <v>95</v>
      </c>
    </row>
    <row r="957" spans="13:14">
      <c r="M957">
        <v>1.906385872</v>
      </c>
      <c r="N957">
        <v>95.1</v>
      </c>
    </row>
    <row r="958" spans="13:14">
      <c r="M958">
        <v>1.915275624</v>
      </c>
      <c r="N958">
        <v>95.2</v>
      </c>
    </row>
    <row r="959" spans="13:14">
      <c r="M959">
        <v>1.9221987359999999</v>
      </c>
      <c r="N959">
        <v>95.3</v>
      </c>
    </row>
    <row r="960" spans="13:14">
      <c r="M960">
        <v>1.9291218480000001</v>
      </c>
      <c r="N960">
        <v>95.4</v>
      </c>
    </row>
    <row r="961" spans="13:14">
      <c r="M961">
        <v>1.95767376</v>
      </c>
      <c r="N961">
        <v>95.5</v>
      </c>
    </row>
    <row r="962" spans="13:14">
      <c r="M962">
        <v>1.9881482319999999</v>
      </c>
      <c r="N962">
        <v>95.6</v>
      </c>
    </row>
    <row r="963" spans="13:14">
      <c r="M963">
        <v>2.0090325920000001</v>
      </c>
      <c r="N963">
        <v>95.7</v>
      </c>
    </row>
    <row r="964" spans="13:14">
      <c r="M964">
        <v>2.0134006480000002</v>
      </c>
      <c r="N964">
        <v>95.8</v>
      </c>
    </row>
    <row r="965" spans="13:14">
      <c r="M965">
        <v>2.0177687039999999</v>
      </c>
      <c r="N965">
        <v>95.9</v>
      </c>
    </row>
    <row r="966" spans="13:14">
      <c r="M966">
        <v>2.0205617199999999</v>
      </c>
      <c r="N966">
        <v>96</v>
      </c>
    </row>
    <row r="967" spans="13:14">
      <c r="M967">
        <v>2.0230003519999999</v>
      </c>
      <c r="N967">
        <v>96.1</v>
      </c>
    </row>
    <row r="968" spans="13:14">
      <c r="M968">
        <v>2.0293771519999999</v>
      </c>
      <c r="N968">
        <v>96.2</v>
      </c>
    </row>
    <row r="969" spans="13:14">
      <c r="M969">
        <v>2.0466596479999999</v>
      </c>
      <c r="N969">
        <v>96.3</v>
      </c>
    </row>
    <row r="970" spans="13:14">
      <c r="M970">
        <v>2.0639421439999999</v>
      </c>
      <c r="N970">
        <v>96.4</v>
      </c>
    </row>
    <row r="971" spans="13:14">
      <c r="M971">
        <v>2.0922630799999999</v>
      </c>
      <c r="N971">
        <v>96.5</v>
      </c>
    </row>
    <row r="972" spans="13:14">
      <c r="M972">
        <v>2.1249993919999999</v>
      </c>
      <c r="N972">
        <v>96.6</v>
      </c>
    </row>
    <row r="973" spans="13:14">
      <c r="M973">
        <v>2.1525295600000001</v>
      </c>
      <c r="N973">
        <v>96.7</v>
      </c>
    </row>
    <row r="974" spans="13:14">
      <c r="M974">
        <v>2.1533782399999999</v>
      </c>
      <c r="N974">
        <v>96.8</v>
      </c>
    </row>
    <row r="975" spans="13:14">
      <c r="M975">
        <v>2.1542269200000002</v>
      </c>
      <c r="N975">
        <v>96.9</v>
      </c>
    </row>
    <row r="976" spans="13:14">
      <c r="M976">
        <v>2.1609064</v>
      </c>
      <c r="N976">
        <v>97</v>
      </c>
    </row>
    <row r="977" spans="13:14">
      <c r="M977">
        <v>2.1712787200000001</v>
      </c>
      <c r="N977">
        <v>97.1</v>
      </c>
    </row>
    <row r="978" spans="13:14">
      <c r="M978">
        <v>2.1815726799999999</v>
      </c>
      <c r="N978">
        <v>97.2</v>
      </c>
    </row>
    <row r="979" spans="13:14">
      <c r="M979">
        <v>2.1906651199999998</v>
      </c>
      <c r="N979">
        <v>97.3</v>
      </c>
    </row>
    <row r="980" spans="13:14">
      <c r="M980">
        <v>2.1997575600000001</v>
      </c>
      <c r="N980">
        <v>97.4</v>
      </c>
    </row>
    <row r="981" spans="13:14">
      <c r="M981">
        <v>2.2180749999999998</v>
      </c>
      <c r="N981">
        <v>97.5</v>
      </c>
    </row>
    <row r="982" spans="13:14">
      <c r="M982">
        <v>2.2452484400000001</v>
      </c>
      <c r="N982">
        <v>97.6</v>
      </c>
    </row>
    <row r="983" spans="13:14">
      <c r="M983">
        <v>2.27242188</v>
      </c>
      <c r="N983">
        <v>97.7</v>
      </c>
    </row>
    <row r="984" spans="13:14">
      <c r="M984">
        <v>2.3033782559999998</v>
      </c>
      <c r="N984">
        <v>97.8</v>
      </c>
    </row>
    <row r="985" spans="13:14">
      <c r="M985">
        <v>2.3344956080000001</v>
      </c>
      <c r="N985">
        <v>97.9</v>
      </c>
    </row>
    <row r="986" spans="13:14">
      <c r="M986">
        <v>2.3554990400000002</v>
      </c>
      <c r="N986">
        <v>98</v>
      </c>
    </row>
    <row r="987" spans="13:14">
      <c r="M987">
        <v>2.3618372879999998</v>
      </c>
      <c r="N987">
        <v>98.1</v>
      </c>
    </row>
    <row r="988" spans="13:14">
      <c r="M988">
        <v>2.3681755359999999</v>
      </c>
      <c r="N988">
        <v>98.2</v>
      </c>
    </row>
    <row r="989" spans="13:14">
      <c r="M989">
        <v>2.3837232080000001</v>
      </c>
      <c r="N989">
        <v>98.3</v>
      </c>
    </row>
    <row r="990" spans="13:14">
      <c r="M990">
        <v>2.4008057840000001</v>
      </c>
      <c r="N990">
        <v>98.4</v>
      </c>
    </row>
    <row r="991" spans="13:14">
      <c r="M991">
        <v>2.4126780800000001</v>
      </c>
      <c r="N991">
        <v>98.5</v>
      </c>
    </row>
    <row r="992" spans="13:14">
      <c r="M992">
        <v>2.4127404079999999</v>
      </c>
      <c r="N992">
        <v>98.6</v>
      </c>
    </row>
    <row r="993" spans="13:14">
      <c r="M993">
        <v>2.4128027360000002</v>
      </c>
      <c r="N993">
        <v>98.7</v>
      </c>
    </row>
    <row r="994" spans="13:14">
      <c r="M994">
        <v>2.4255445199999999</v>
      </c>
      <c r="N994">
        <v>98.8</v>
      </c>
    </row>
    <row r="995" spans="13:14">
      <c r="M995">
        <v>2.44239856</v>
      </c>
      <c r="N995">
        <v>98.9</v>
      </c>
    </row>
    <row r="996" spans="13:14">
      <c r="M996">
        <v>2.4607271599999998</v>
      </c>
      <c r="N996">
        <v>99</v>
      </c>
    </row>
    <row r="997" spans="13:14">
      <c r="M997">
        <v>2.484806544</v>
      </c>
      <c r="N997">
        <v>99.1</v>
      </c>
    </row>
    <row r="998" spans="13:14">
      <c r="M998">
        <v>2.5088859280000002</v>
      </c>
      <c r="N998">
        <v>99.2</v>
      </c>
    </row>
    <row r="999" spans="13:14">
      <c r="M999">
        <v>2.5209612159999999</v>
      </c>
      <c r="N999">
        <v>99.3</v>
      </c>
    </row>
    <row r="1000" spans="13:14">
      <c r="M1000">
        <v>2.526659328</v>
      </c>
      <c r="N1000">
        <v>99.4</v>
      </c>
    </row>
    <row r="1001" spans="13:14">
      <c r="M1001">
        <v>2.5457864000000101</v>
      </c>
      <c r="N1001">
        <v>99.5</v>
      </c>
    </row>
    <row r="1002" spans="13:14">
      <c r="M1002">
        <v>2.6830883200000102</v>
      </c>
      <c r="N1002">
        <v>99.6</v>
      </c>
    </row>
    <row r="1003" spans="13:14">
      <c r="M1003">
        <v>2.82039024</v>
      </c>
      <c r="N1003">
        <v>99.7</v>
      </c>
    </row>
    <row r="1004" spans="13:14">
      <c r="M1004">
        <v>2.90775944</v>
      </c>
      <c r="N1004">
        <v>99.8</v>
      </c>
    </row>
    <row r="1005" spans="13:14">
      <c r="M1005">
        <v>2.9544427199999999</v>
      </c>
      <c r="N1005">
        <v>99.9</v>
      </c>
    </row>
    <row r="1006" spans="13:14">
      <c r="M1006">
        <v>3.0011260000000002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topLeftCell="H1" workbookViewId="0">
      <selection activeCell="T6" sqref="T6"/>
    </sheetView>
  </sheetViews>
  <sheetFormatPr baseColWidth="10" defaultRowHeight="15.5"/>
  <cols>
    <col min="1" max="1" width="10.6640625" customWidth="1"/>
    <col min="7" max="7" width="18.6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SQRT(TMTB!J6)</f>
        <v>0.371282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TMTB!M6</f>
        <v>-2.7196120000000001</v>
      </c>
      <c r="M5">
        <f>TMTB!N6</f>
        <v>0</v>
      </c>
      <c r="O5">
        <f>ABS(L5-TMTB!$C$34)</f>
        <v>14.601123423286682</v>
      </c>
      <c r="P5">
        <f>M5</f>
        <v>0</v>
      </c>
      <c r="R5" t="s">
        <v>15</v>
      </c>
      <c r="T5">
        <f>MIN(O5:O1006)</f>
        <v>8.8803854232866826</v>
      </c>
    </row>
    <row r="6" spans="1:20">
      <c r="A6" s="2" t="s">
        <v>28</v>
      </c>
      <c r="J6" s="5"/>
      <c r="L6">
        <f>TMTB!M7</f>
        <v>-2.5059802320000002</v>
      </c>
      <c r="M6">
        <f>TMTB!N7</f>
        <v>0.1</v>
      </c>
      <c r="O6">
        <f>ABS(L6-TMTB!$C$34)</f>
        <v>14.387491655286683</v>
      </c>
      <c r="P6">
        <f t="shared" ref="P6:P70" si="0">M6</f>
        <v>0.1</v>
      </c>
      <c r="R6" t="s">
        <v>10</v>
      </c>
      <c r="T6">
        <f>VLOOKUP(T5, O5:P1006, 2, )</f>
        <v>100</v>
      </c>
    </row>
    <row r="7" spans="1:20">
      <c r="J7" s="5"/>
      <c r="L7">
        <f>TMTB!M8</f>
        <v>-2.2923484639999998</v>
      </c>
      <c r="M7">
        <f>TMTB!N8</f>
        <v>0.2</v>
      </c>
      <c r="O7">
        <f>ABS(L7-TMTB!$C$34)</f>
        <v>14.173859887286682</v>
      </c>
      <c r="P7">
        <f t="shared" si="0"/>
        <v>0.2</v>
      </c>
    </row>
    <row r="8" spans="1:20">
      <c r="A8" t="s">
        <v>16</v>
      </c>
      <c r="B8">
        <f>TMTB!C27</f>
        <v>4.4113913242607259</v>
      </c>
      <c r="J8" s="5"/>
    </row>
    <row r="9" spans="1:20">
      <c r="J9" s="5"/>
      <c r="L9">
        <f>TMTB!M9</f>
        <v>-2.148111208</v>
      </c>
      <c r="M9">
        <f>TMTB!N9</f>
        <v>0.3</v>
      </c>
      <c r="O9">
        <f>ABS(L9-TMTB!$C$34)</f>
        <v>14.029622631286681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TMTB!M10</f>
        <v>-2.089039944</v>
      </c>
      <c r="M10">
        <f>TMTB!N10</f>
        <v>0.4</v>
      </c>
      <c r="O10">
        <f>ABS(L10-TMTB!$C$34)</f>
        <v>13.970551367286681</v>
      </c>
      <c r="P10">
        <f t="shared" si="0"/>
        <v>0.4</v>
      </c>
    </row>
    <row r="11" spans="1:20">
      <c r="B11">
        <f>TMTA!J11</f>
        <v>0</v>
      </c>
      <c r="C11">
        <f>TMTA!I11</f>
        <v>0</v>
      </c>
      <c r="J11" s="5"/>
      <c r="L11">
        <f>TMTB!M11</f>
        <v>-2.0299686800000001</v>
      </c>
      <c r="M11">
        <f>TMTB!N11</f>
        <v>0.5</v>
      </c>
      <c r="O11">
        <f>ABS(L11-TMTB!$C$34)</f>
        <v>13.911480103286681</v>
      </c>
      <c r="P11">
        <f t="shared" si="0"/>
        <v>0.5</v>
      </c>
    </row>
    <row r="12" spans="1:20">
      <c r="B12">
        <f>TMTA!J12</f>
        <v>0</v>
      </c>
      <c r="C12">
        <f>TMTA!I12</f>
        <v>0</v>
      </c>
      <c r="J12" s="5"/>
      <c r="L12">
        <f>TMTB!M12</f>
        <v>-1.9608566160000001</v>
      </c>
      <c r="M12">
        <f>TMTB!N12</f>
        <v>0.6</v>
      </c>
      <c r="O12">
        <f>ABS(L12-TMTB!$C$34)</f>
        <v>13.842368039286683</v>
      </c>
      <c r="P12">
        <f t="shared" si="0"/>
        <v>0.6</v>
      </c>
    </row>
    <row r="13" spans="1:20">
      <c r="B13">
        <f>TMTA!J13</f>
        <v>0</v>
      </c>
      <c r="C13">
        <f>TMTA!I13</f>
        <v>0</v>
      </c>
      <c r="J13" s="5"/>
      <c r="L13">
        <f>TMTB!M13</f>
        <v>-1.890603552</v>
      </c>
      <c r="M13">
        <f>TMTB!N13</f>
        <v>0.7</v>
      </c>
      <c r="O13">
        <f>ABS(L13-TMTB!$C$34)</f>
        <v>13.772114975286682</v>
      </c>
      <c r="P13">
        <f t="shared" si="0"/>
        <v>0.7</v>
      </c>
    </row>
    <row r="14" spans="1:20">
      <c r="B14">
        <f>TMTA!J14</f>
        <v>0</v>
      </c>
      <c r="C14">
        <f>TMTA!I14</f>
        <v>0</v>
      </c>
      <c r="J14" s="5"/>
      <c r="L14">
        <f>TMTB!M14</f>
        <v>-1.843477968</v>
      </c>
      <c r="M14">
        <f>TMTB!N14</f>
        <v>0.8</v>
      </c>
      <c r="O14">
        <f>ABS(L14-TMTB!$C$34)</f>
        <v>13.724989391286682</v>
      </c>
      <c r="P14">
        <f t="shared" si="0"/>
        <v>0.8</v>
      </c>
    </row>
    <row r="15" spans="1:20">
      <c r="B15">
        <f>TMTA!J15</f>
        <v>0</v>
      </c>
      <c r="C15">
        <f>TMTA!I15</f>
        <v>0</v>
      </c>
      <c r="J15" s="5"/>
      <c r="L15">
        <f>TMTB!M15</f>
        <v>-1.8398864640000001</v>
      </c>
      <c r="M15">
        <f>TMTB!N15</f>
        <v>0.9</v>
      </c>
      <c r="O15">
        <f>ABS(L15-TMTB!$C$34)</f>
        <v>13.721397887286681</v>
      </c>
      <c r="P15">
        <f t="shared" si="0"/>
        <v>0.9</v>
      </c>
    </row>
    <row r="16" spans="1:20">
      <c r="B16">
        <f>TMTA!J16</f>
        <v>0</v>
      </c>
      <c r="C16">
        <f>TMTA!I16</f>
        <v>0</v>
      </c>
      <c r="J16" s="5"/>
      <c r="L16">
        <f>TMTB!M16</f>
        <v>-1.83629496</v>
      </c>
      <c r="M16">
        <f>TMTB!N16</f>
        <v>1</v>
      </c>
      <c r="O16">
        <f>ABS(L16-TMTB!$C$34)</f>
        <v>13.717806383286682</v>
      </c>
      <c r="P16">
        <f t="shared" si="0"/>
        <v>1</v>
      </c>
    </row>
    <row r="17" spans="1:16">
      <c r="B17">
        <f>TMTA!J17</f>
        <v>0</v>
      </c>
      <c r="C17">
        <f>TMTA!I17</f>
        <v>0</v>
      </c>
      <c r="J17" s="5"/>
      <c r="L17">
        <f>TMTB!M17</f>
        <v>-1.8321880319999999</v>
      </c>
      <c r="M17">
        <f>TMTB!N17</f>
        <v>1.1000000000000001</v>
      </c>
      <c r="O17">
        <f>ABS(L17-TMTB!$C$34)</f>
        <v>13.713699455286681</v>
      </c>
      <c r="P17">
        <f t="shared" si="0"/>
        <v>1.1000000000000001</v>
      </c>
    </row>
    <row r="18" spans="1:16">
      <c r="B18">
        <f>TMTA!J18</f>
        <v>0</v>
      </c>
      <c r="C18">
        <f>TMTA!I18</f>
        <v>0</v>
      </c>
      <c r="J18" s="5"/>
      <c r="L18">
        <f>TMTB!M18</f>
        <v>-1.8279489440000001</v>
      </c>
      <c r="M18">
        <f>TMTB!N18</f>
        <v>1.2</v>
      </c>
      <c r="O18">
        <f>ABS(L18-TMTB!$C$34)</f>
        <v>13.709460367286681</v>
      </c>
      <c r="P18">
        <f t="shared" si="0"/>
        <v>1.2</v>
      </c>
    </row>
    <row r="19" spans="1:16">
      <c r="B19">
        <f>TMTA!J19</f>
        <v>0</v>
      </c>
      <c r="C19">
        <f>TMTA!I19</f>
        <v>0</v>
      </c>
      <c r="J19" s="5"/>
      <c r="L19">
        <f>TMTB!M19</f>
        <v>-1.8242391039999999</v>
      </c>
      <c r="M19">
        <f>TMTB!N19</f>
        <v>1.3</v>
      </c>
      <c r="O19">
        <f>ABS(L19-TMTB!$C$34)</f>
        <v>13.705750527286682</v>
      </c>
      <c r="P19">
        <f t="shared" si="0"/>
        <v>1.3</v>
      </c>
    </row>
    <row r="20" spans="1:16">
      <c r="B20">
        <f>TMTA!J20</f>
        <v>0</v>
      </c>
      <c r="C20">
        <f>TMTA!I20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TMTB!M20</f>
        <v>-1.8221611120000001</v>
      </c>
      <c r="M20">
        <f>TMTB!N20</f>
        <v>1.4</v>
      </c>
      <c r="O20">
        <f>ABS(L20-TMTB!$C$34)</f>
        <v>13.703672535286682</v>
      </c>
      <c r="P20">
        <f t="shared" si="0"/>
        <v>1.4</v>
      </c>
    </row>
    <row r="21" spans="1:16">
      <c r="B21">
        <f>TMTA!J21</f>
        <v>0</v>
      </c>
      <c r="C21">
        <f>TMTA!I21</f>
        <v>0</v>
      </c>
      <c r="E21" t="s">
        <v>38</v>
      </c>
      <c r="G21" s="21">
        <f>SQRT(G20)</f>
        <v>0</v>
      </c>
      <c r="J21" s="5"/>
      <c r="L21">
        <f>TMTB!M21</f>
        <v>-1.8200831200000001</v>
      </c>
      <c r="M21">
        <f>TMTB!N21</f>
        <v>1.5</v>
      </c>
      <c r="O21">
        <f>ABS(L21-TMTB!$C$34)</f>
        <v>13.701594543286681</v>
      </c>
      <c r="P21">
        <f t="shared" si="0"/>
        <v>1.5</v>
      </c>
    </row>
    <row r="22" spans="1:16">
      <c r="B22">
        <f>TMTA!J22</f>
        <v>0</v>
      </c>
      <c r="C22">
        <f>TMTA!I22</f>
        <v>0</v>
      </c>
      <c r="J22" s="5"/>
      <c r="L22">
        <f>TMTB!M22</f>
        <v>-1.8109600560000001</v>
      </c>
      <c r="M22">
        <f>TMTB!N22</f>
        <v>1.6</v>
      </c>
      <c r="O22">
        <f>ABS(L22-TMTB!$C$34)</f>
        <v>13.692471479286683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TMTB!M23</f>
        <v>-1.7987288720000001</v>
      </c>
      <c r="M23">
        <f>TMTB!N23</f>
        <v>1.7</v>
      </c>
      <c r="O23">
        <f>ABS(L23-TMTB!$C$34)</f>
        <v>13.680240295286682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TMTB!M24</f>
        <v>-1.7878513199999999</v>
      </c>
      <c r="M24">
        <f>TMTB!N24</f>
        <v>1.8</v>
      </c>
      <c r="O24">
        <f>ABS(L24-TMTB!$C$34)</f>
        <v>13.669362743286682</v>
      </c>
      <c r="P24">
        <f t="shared" si="0"/>
        <v>1.8</v>
      </c>
    </row>
    <row r="25" spans="1:16">
      <c r="A25" s="2" t="s">
        <v>27</v>
      </c>
      <c r="J25" s="5"/>
      <c r="L25">
        <f>TMTB!M25</f>
        <v>-1.78509556</v>
      </c>
      <c r="M25">
        <f>TMTB!N25</f>
        <v>1.9</v>
      </c>
      <c r="O25">
        <f>ABS(L25-TMTB!$C$34)</f>
        <v>13.666606983286682</v>
      </c>
      <c r="P25">
        <f t="shared" si="0"/>
        <v>1.9</v>
      </c>
    </row>
    <row r="26" spans="1:16">
      <c r="H26" s="1"/>
      <c r="J26" s="5"/>
      <c r="L26">
        <f>TMTB!M26</f>
        <v>-1.7823397999999999</v>
      </c>
      <c r="M26">
        <f>TMTB!N26</f>
        <v>2</v>
      </c>
      <c r="O26">
        <f>ABS(L26-TMTB!$C$34)</f>
        <v>13.663851223286681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TMTB!M27</f>
        <v>-1.7702799119999999</v>
      </c>
      <c r="M27">
        <f>TMTB!N27</f>
        <v>2.1</v>
      </c>
      <c r="O27">
        <f>ABS(L27-TMTB!$C$34)</f>
        <v>13.651791335286681</v>
      </c>
      <c r="P27">
        <f t="shared" si="0"/>
        <v>2.1</v>
      </c>
    </row>
    <row r="28" spans="1:16">
      <c r="A28">
        <f>TMTB!I27</f>
        <v>0</v>
      </c>
      <c r="B28">
        <f>TMTB!J27</f>
        <v>0</v>
      </c>
      <c r="C28">
        <v>1</v>
      </c>
      <c r="D28">
        <f>B28*C28</f>
        <v>0</v>
      </c>
      <c r="J28" s="5"/>
      <c r="L28">
        <f>TMTB!M28</f>
        <v>-1.751803384</v>
      </c>
      <c r="M28">
        <f>TMTB!N28</f>
        <v>2.2000000000000002</v>
      </c>
      <c r="O28">
        <f>ABS(L28-TMTB!$C$34)</f>
        <v>13.633314807286682</v>
      </c>
      <c r="P28">
        <f t="shared" si="0"/>
        <v>2.2000000000000002</v>
      </c>
    </row>
    <row r="29" spans="1:16">
      <c r="A29">
        <f>TMTB!I28</f>
        <v>0</v>
      </c>
      <c r="B29">
        <f>TMTB!J28</f>
        <v>0</v>
      </c>
      <c r="C29">
        <f>B8</f>
        <v>4.4113913242607259</v>
      </c>
      <c r="D29">
        <f t="shared" ref="D29:D33" si="1">B29*C29</f>
        <v>0</v>
      </c>
      <c r="J29" s="5"/>
      <c r="L29">
        <f>TMTB!M29</f>
        <v>-1.7340305840000001</v>
      </c>
      <c r="M29">
        <f>TMTB!N29</f>
        <v>2.2999999999999998</v>
      </c>
      <c r="O29">
        <f>ABS(L29-TMTB!$C$34)</f>
        <v>13.615542007286681</v>
      </c>
      <c r="P29">
        <f t="shared" si="0"/>
        <v>2.2999999999999998</v>
      </c>
    </row>
    <row r="30" spans="1:16">
      <c r="A30">
        <f>TMTB!I29</f>
        <v>0</v>
      </c>
      <c r="B30">
        <f>TMTB!J29</f>
        <v>0</v>
      </c>
      <c r="C30">
        <f>B8^2</f>
        <v>19.460373415762803</v>
      </c>
      <c r="D30">
        <f t="shared" si="1"/>
        <v>0</v>
      </c>
      <c r="J30" s="5"/>
      <c r="L30">
        <f>TMTB!M30</f>
        <v>-1.7327953920000001</v>
      </c>
      <c r="M30">
        <f>TMTB!N30</f>
        <v>2.4</v>
      </c>
      <c r="O30">
        <f>ABS(L30-TMTB!$C$34)</f>
        <v>13.614306815286682</v>
      </c>
      <c r="P30">
        <f t="shared" si="0"/>
        <v>2.4</v>
      </c>
    </row>
    <row r="31" spans="1:16">
      <c r="A31">
        <f>TMTB!I30</f>
        <v>0</v>
      </c>
      <c r="B31">
        <f>TMTB!J30</f>
        <v>0</v>
      </c>
      <c r="C31">
        <f>B8^3</f>
        <v>85.847322453170094</v>
      </c>
      <c r="D31">
        <f t="shared" si="1"/>
        <v>0</v>
      </c>
      <c r="J31" s="5"/>
      <c r="L31">
        <f>TMTB!M31</f>
        <v>-1.7315602000000001</v>
      </c>
      <c r="M31">
        <f>TMTB!N31</f>
        <v>2.5</v>
      </c>
      <c r="O31">
        <f>ABS(L31-TMTB!$C$34)</f>
        <v>13.613071623286682</v>
      </c>
      <c r="P31">
        <f t="shared" si="0"/>
        <v>2.5</v>
      </c>
    </row>
    <row r="32" spans="1:16">
      <c r="A32">
        <f>TMTB!I31</f>
        <v>0</v>
      </c>
      <c r="B32">
        <f>TMTB!J31</f>
        <v>0</v>
      </c>
      <c r="C32">
        <f>B8^4</f>
        <v>378.70613348092763</v>
      </c>
      <c r="D32">
        <f t="shared" si="1"/>
        <v>0</v>
      </c>
      <c r="J32" s="5"/>
      <c r="L32">
        <f>TMTB!M32</f>
        <v>-1.730345552</v>
      </c>
      <c r="M32">
        <f>TMTB!N32</f>
        <v>2.6</v>
      </c>
      <c r="O32">
        <f>ABS(L32-TMTB!$C$34)</f>
        <v>13.611856975286681</v>
      </c>
      <c r="P32">
        <f t="shared" si="0"/>
        <v>2.6</v>
      </c>
    </row>
    <row r="33" spans="1:16">
      <c r="A33">
        <f>TMTB!I32</f>
        <v>0</v>
      </c>
      <c r="B33">
        <f>TMTB!J32</f>
        <v>0</v>
      </c>
      <c r="C33">
        <f>B8^5</f>
        <v>1670.6209516820886</v>
      </c>
      <c r="D33">
        <f t="shared" si="1"/>
        <v>0</v>
      </c>
      <c r="J33" s="5"/>
      <c r="L33">
        <f>TMTB!M33</f>
        <v>-1.7291523040000001</v>
      </c>
      <c r="M33">
        <f>TMTB!N33</f>
        <v>2.7</v>
      </c>
      <c r="O33">
        <f>ABS(L33-TMTB!$C$34)</f>
        <v>13.610663727286681</v>
      </c>
      <c r="P33">
        <f t="shared" si="0"/>
        <v>2.7</v>
      </c>
    </row>
    <row r="34" spans="1:16">
      <c r="G34" s="21">
        <f>SQRT(D35)</f>
        <v>0</v>
      </c>
      <c r="J34" s="5"/>
      <c r="L34">
        <f>TMTB!M34</f>
        <v>-1.727959056</v>
      </c>
      <c r="M34">
        <f>TMTB!N34</f>
        <v>2.8</v>
      </c>
      <c r="O34">
        <f>ABS(L34-TMTB!$C$34)</f>
        <v>13.609470479286681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TMTB!M35</f>
        <v>-1.7128105119999999</v>
      </c>
      <c r="M35">
        <f>TMTB!N35</f>
        <v>2.9</v>
      </c>
      <c r="O35">
        <f>ABS(L35-TMTB!$C$34)</f>
        <v>13.594321935286683</v>
      </c>
      <c r="P35">
        <f t="shared" si="0"/>
        <v>2.9</v>
      </c>
    </row>
    <row r="36" spans="1:16">
      <c r="J36" s="5"/>
      <c r="L36">
        <f>TMTB!M36</f>
        <v>-1.6967518399999999</v>
      </c>
      <c r="M36">
        <f>TMTB!N36</f>
        <v>3</v>
      </c>
      <c r="O36">
        <f>ABS(L36-TMTB!$C$34)</f>
        <v>13.578263263286681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TMTB!M37</f>
        <v>-1.6849753119999999</v>
      </c>
      <c r="M37">
        <f>TMTB!N37</f>
        <v>3.1</v>
      </c>
      <c r="O37">
        <f>ABS(L37-TMTB!$C$34)</f>
        <v>13.566486735286682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0.371282</v>
      </c>
      <c r="J38" s="5"/>
      <c r="L38">
        <f>TMTB!M38</f>
        <v>-1.6799600640000001</v>
      </c>
      <c r="M38">
        <f>TMTB!N38</f>
        <v>3.2</v>
      </c>
      <c r="O38">
        <f>ABS(L38-TMTB!$C$34)</f>
        <v>13.561471487286681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TMTB!M39</f>
        <v>-1.674944816</v>
      </c>
      <c r="M39">
        <f>TMTB!N39</f>
        <v>3.3</v>
      </c>
      <c r="O39">
        <f>ABS(L39-TMTB!$C$34)</f>
        <v>13.556456239286682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TMTB!M40</f>
        <v>-1.657348144</v>
      </c>
      <c r="M40">
        <f>TMTB!N40</f>
        <v>3.4</v>
      </c>
      <c r="O40">
        <f>ABS(L40-TMTB!$C$34)</f>
        <v>13.538859567286682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TMTB!M41</f>
        <v>-1.63729656</v>
      </c>
      <c r="M41">
        <f>TMTB!N41</f>
        <v>3.5</v>
      </c>
      <c r="O41">
        <f>ABS(L41-TMTB!$C$34)</f>
        <v>13.518807983286681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TMTB!M42</f>
        <v>-1.6191495359999999</v>
      </c>
      <c r="M42">
        <f>TMTB!N42</f>
        <v>3.6</v>
      </c>
      <c r="O42">
        <f>ABS(L42-TMTB!$C$34)</f>
        <v>13.500660959286682</v>
      </c>
      <c r="P42">
        <f t="shared" si="0"/>
        <v>3.6</v>
      </c>
    </row>
    <row r="43" spans="1:16">
      <c r="A43" s="22"/>
      <c r="J43" s="5"/>
      <c r="L43">
        <f>TMTB!M43</f>
        <v>-1.605763912</v>
      </c>
      <c r="M43">
        <f>TMTB!N43</f>
        <v>3.7</v>
      </c>
      <c r="O43">
        <f>ABS(L43-TMTB!$C$34)</f>
        <v>13.487275335286682</v>
      </c>
      <c r="P43">
        <f t="shared" si="0"/>
        <v>3.7</v>
      </c>
    </row>
    <row r="44" spans="1:16">
      <c r="J44" s="5"/>
      <c r="L44">
        <f>TMTB!M44</f>
        <v>-1.5923782879999999</v>
      </c>
      <c r="M44">
        <f>TMTB!N44</f>
        <v>3.8</v>
      </c>
      <c r="O44">
        <f>ABS(L44-TMTB!$C$34)</f>
        <v>13.473889711286681</v>
      </c>
      <c r="P44">
        <f t="shared" si="0"/>
        <v>3.8</v>
      </c>
    </row>
    <row r="45" spans="1:16">
      <c r="J45" s="5"/>
      <c r="L45">
        <f>TMTB!M45</f>
        <v>-1.5850899119999999</v>
      </c>
      <c r="M45">
        <f>TMTB!N45</f>
        <v>3.9</v>
      </c>
      <c r="O45">
        <f>ABS(L45-TMTB!$C$34)</f>
        <v>13.466601335286683</v>
      </c>
      <c r="P45">
        <f t="shared" si="0"/>
        <v>3.9</v>
      </c>
    </row>
    <row r="46" spans="1:16">
      <c r="J46" s="5"/>
      <c r="L46">
        <f>TMTB!M46</f>
        <v>-1.5800033200000001</v>
      </c>
      <c r="M46">
        <f>TMTB!N46</f>
        <v>4</v>
      </c>
      <c r="O46">
        <f>ABS(L46-TMTB!$C$34)</f>
        <v>13.461514743286681</v>
      </c>
      <c r="P46">
        <f t="shared" si="0"/>
        <v>4</v>
      </c>
    </row>
    <row r="47" spans="1:16">
      <c r="J47" s="5"/>
      <c r="L47">
        <f>TMTB!M47</f>
        <v>-1.5712410560000001</v>
      </c>
      <c r="M47">
        <f>TMTB!N47</f>
        <v>4.0999999999999996</v>
      </c>
      <c r="O47">
        <f>ABS(L47-TMTB!$C$34)</f>
        <v>13.452752479286682</v>
      </c>
      <c r="P47">
        <f t="shared" si="0"/>
        <v>4.0999999999999996</v>
      </c>
    </row>
    <row r="48" spans="1:16">
      <c r="J48" s="5"/>
      <c r="L48">
        <f>TMTB!M48</f>
        <v>-1.5461424720000001</v>
      </c>
      <c r="M48">
        <f>TMTB!N48</f>
        <v>4.2</v>
      </c>
      <c r="O48">
        <f>ABS(L48-TMTB!$C$34)</f>
        <v>13.427653895286682</v>
      </c>
      <c r="P48">
        <f t="shared" si="0"/>
        <v>4.2</v>
      </c>
    </row>
    <row r="49" spans="10:16">
      <c r="J49" s="5"/>
      <c r="L49">
        <f>TMTB!M49</f>
        <v>-1.5210438879999999</v>
      </c>
      <c r="M49">
        <f>TMTB!N49</f>
        <v>4.3</v>
      </c>
      <c r="O49">
        <f>ABS(L49-TMTB!$C$34)</f>
        <v>13.402555311286681</v>
      </c>
      <c r="P49">
        <f t="shared" si="0"/>
        <v>4.3</v>
      </c>
    </row>
    <row r="50" spans="10:16">
      <c r="J50" s="5"/>
      <c r="L50">
        <f>TMTB!M50</f>
        <v>-1.5015067040000001</v>
      </c>
      <c r="M50">
        <f>TMTB!N50</f>
        <v>4.4000000000000004</v>
      </c>
      <c r="O50">
        <f>ABS(L50-TMTB!$C$34)</f>
        <v>13.383018127286682</v>
      </c>
      <c r="P50">
        <f t="shared" si="0"/>
        <v>4.4000000000000004</v>
      </c>
    </row>
    <row r="51" spans="10:16">
      <c r="J51" s="5"/>
      <c r="L51">
        <f>TMTB!M51</f>
        <v>-1.4851987200000001</v>
      </c>
      <c r="M51">
        <f>TMTB!N51</f>
        <v>4.5</v>
      </c>
      <c r="O51">
        <f>ABS(L51-TMTB!$C$34)</f>
        <v>13.366710143286682</v>
      </c>
      <c r="P51">
        <f t="shared" si="0"/>
        <v>4.5</v>
      </c>
    </row>
    <row r="52" spans="10:16">
      <c r="J52" s="5"/>
      <c r="L52">
        <f>TMTB!M52</f>
        <v>-1.4698934560000001</v>
      </c>
      <c r="M52">
        <f>TMTB!N52</f>
        <v>4.5999999999999996</v>
      </c>
      <c r="O52">
        <f>ABS(L52-TMTB!$C$34)</f>
        <v>13.351404879286681</v>
      </c>
      <c r="P52">
        <f t="shared" si="0"/>
        <v>4.5999999999999996</v>
      </c>
    </row>
    <row r="53" spans="10:16">
      <c r="J53" s="5"/>
      <c r="L53">
        <f>TMTB!M53</f>
        <v>-1.465868792</v>
      </c>
      <c r="M53">
        <f>TMTB!N53</f>
        <v>4.7</v>
      </c>
      <c r="O53">
        <f>ABS(L53-TMTB!$C$34)</f>
        <v>13.347380215286682</v>
      </c>
      <c r="P53">
        <f t="shared" si="0"/>
        <v>4.7</v>
      </c>
    </row>
    <row r="54" spans="10:16">
      <c r="J54" s="5"/>
      <c r="L54">
        <f>TMTB!M54</f>
        <v>-1.4618441280000001</v>
      </c>
      <c r="M54">
        <f>TMTB!N54</f>
        <v>4.8</v>
      </c>
      <c r="O54">
        <f>ABS(L54-TMTB!$C$34)</f>
        <v>13.343355551286681</v>
      </c>
      <c r="P54">
        <f t="shared" si="0"/>
        <v>4.8</v>
      </c>
    </row>
    <row r="55" spans="10:16">
      <c r="J55" s="5"/>
      <c r="L55">
        <f>TMTB!M55</f>
        <v>-1.4598570319999999</v>
      </c>
      <c r="M55">
        <f>TMTB!N55</f>
        <v>4.9000000000000004</v>
      </c>
      <c r="O55">
        <f>ABS(L55-TMTB!$C$34)</f>
        <v>13.341368455286682</v>
      </c>
      <c r="P55">
        <f t="shared" si="0"/>
        <v>4.9000000000000004</v>
      </c>
    </row>
    <row r="56" spans="10:16">
      <c r="J56" s="5"/>
      <c r="L56">
        <f>TMTB!M56</f>
        <v>-1.4596724000000001</v>
      </c>
      <c r="M56">
        <f>TMTB!N56</f>
        <v>5</v>
      </c>
      <c r="O56">
        <f>ABS(L56-TMTB!$C$34)</f>
        <v>13.341183823286682</v>
      </c>
      <c r="P56">
        <f t="shared" si="0"/>
        <v>5</v>
      </c>
    </row>
    <row r="57" spans="10:16">
      <c r="J57" s="5"/>
      <c r="L57">
        <f>TMTB!M57</f>
        <v>-1.459487768</v>
      </c>
      <c r="M57">
        <f>TMTB!N57</f>
        <v>5.0999999999999996</v>
      </c>
      <c r="O57">
        <f>ABS(L57-TMTB!$C$34)</f>
        <v>13.340999191286683</v>
      </c>
      <c r="P57">
        <f t="shared" si="0"/>
        <v>5.0999999999999996</v>
      </c>
    </row>
    <row r="58" spans="10:16">
      <c r="J58" s="5"/>
      <c r="L58">
        <f>TMTB!M58</f>
        <v>-1.459052384</v>
      </c>
      <c r="M58">
        <f>TMTB!N58</f>
        <v>5.2</v>
      </c>
      <c r="O58">
        <f>ABS(L58-TMTB!$C$34)</f>
        <v>13.340563807286681</v>
      </c>
      <c r="P58">
        <f t="shared" si="0"/>
        <v>5.2</v>
      </c>
    </row>
    <row r="59" spans="10:16">
      <c r="J59" s="5"/>
      <c r="L59">
        <f>TMTB!M59</f>
        <v>-1.4586117759999999</v>
      </c>
      <c r="M59">
        <f>TMTB!N59</f>
        <v>5.3</v>
      </c>
      <c r="O59">
        <f>ABS(L59-TMTB!$C$34)</f>
        <v>13.340123199286682</v>
      </c>
      <c r="P59">
        <f t="shared" si="0"/>
        <v>5.3</v>
      </c>
    </row>
    <row r="60" spans="10:16">
      <c r="J60" s="5"/>
      <c r="L60">
        <f>TMTB!M60</f>
        <v>-1.455881328</v>
      </c>
      <c r="M60">
        <f>TMTB!N60</f>
        <v>5.4</v>
      </c>
      <c r="O60">
        <f>ABS(L60-TMTB!$C$34)</f>
        <v>13.337392751286682</v>
      </c>
      <c r="P60">
        <f t="shared" si="0"/>
        <v>5.4</v>
      </c>
    </row>
    <row r="61" spans="10:16">
      <c r="J61" s="5"/>
      <c r="L61">
        <f>TMTB!M61</f>
        <v>-1.45009776</v>
      </c>
      <c r="M61">
        <f>TMTB!N61</f>
        <v>5.5</v>
      </c>
      <c r="O61">
        <f>ABS(L61-TMTB!$C$34)</f>
        <v>13.331609183286682</v>
      </c>
      <c r="P61">
        <f t="shared" si="0"/>
        <v>5.5</v>
      </c>
    </row>
    <row r="62" spans="10:16">
      <c r="J62" s="5"/>
      <c r="L62">
        <f>TMTB!M62</f>
        <v>-1.444314192</v>
      </c>
      <c r="M62">
        <f>TMTB!N62</f>
        <v>5.6</v>
      </c>
      <c r="O62">
        <f>ABS(L62-TMTB!$C$34)</f>
        <v>13.325825615286682</v>
      </c>
      <c r="P62">
        <f t="shared" si="0"/>
        <v>5.6</v>
      </c>
    </row>
    <row r="63" spans="10:16">
      <c r="J63" s="5"/>
      <c r="L63">
        <f>TMTB!M63</f>
        <v>-1.4306746960000001</v>
      </c>
      <c r="M63">
        <f>TMTB!N63</f>
        <v>5.7</v>
      </c>
      <c r="O63">
        <f>ABS(L63-TMTB!$C$34)</f>
        <v>13.312186119286682</v>
      </c>
      <c r="P63">
        <f t="shared" si="0"/>
        <v>5.7</v>
      </c>
    </row>
    <row r="64" spans="10:16">
      <c r="J64" s="5"/>
      <c r="L64">
        <f>TMTB!M64</f>
        <v>-1.415939024</v>
      </c>
      <c r="M64">
        <f>TMTB!N64</f>
        <v>5.8</v>
      </c>
      <c r="O64">
        <f>ABS(L64-TMTB!$C$34)</f>
        <v>13.297450447286682</v>
      </c>
      <c r="P64">
        <f t="shared" si="0"/>
        <v>5.8</v>
      </c>
    </row>
    <row r="65" spans="10:16">
      <c r="J65" s="5"/>
      <c r="L65">
        <f>TMTB!M65</f>
        <v>-1.402840216</v>
      </c>
      <c r="M65">
        <f>TMTB!N65</f>
        <v>5.9</v>
      </c>
      <c r="O65">
        <f>ABS(L65-TMTB!$C$34)</f>
        <v>13.284351639286681</v>
      </c>
      <c r="P65">
        <f t="shared" si="0"/>
        <v>5.9</v>
      </c>
    </row>
    <row r="66" spans="10:16">
      <c r="J66" s="5"/>
      <c r="L66">
        <f>TMTB!M66</f>
        <v>-1.3931174399999999</v>
      </c>
      <c r="M66">
        <f>TMTB!N66</f>
        <v>6</v>
      </c>
      <c r="O66">
        <f>ABS(L66-TMTB!$C$34)</f>
        <v>13.274628863286681</v>
      </c>
      <c r="P66">
        <f t="shared" si="0"/>
        <v>6</v>
      </c>
    </row>
    <row r="67" spans="10:16">
      <c r="J67" s="5"/>
      <c r="L67">
        <f>TMTB!M67</f>
        <v>-1.3833946640000001</v>
      </c>
      <c r="M67">
        <f>TMTB!N67</f>
        <v>6.1</v>
      </c>
      <c r="O67">
        <f>ABS(L67-TMTB!$C$34)</f>
        <v>13.264906087286683</v>
      </c>
      <c r="P67">
        <f t="shared" si="0"/>
        <v>6.1</v>
      </c>
    </row>
    <row r="68" spans="10:16">
      <c r="J68" s="5"/>
      <c r="L68">
        <f>TMTB!M68</f>
        <v>-1.378887312</v>
      </c>
      <c r="M68">
        <f>TMTB!N68</f>
        <v>6.2</v>
      </c>
      <c r="O68">
        <f>ABS(L68-TMTB!$C$34)</f>
        <v>13.260398735286682</v>
      </c>
      <c r="P68">
        <f t="shared" si="0"/>
        <v>6.2</v>
      </c>
    </row>
    <row r="69" spans="10:16">
      <c r="J69" s="5"/>
      <c r="L69">
        <f>TMTB!M69</f>
        <v>-1.375889688</v>
      </c>
      <c r="M69">
        <f>TMTB!N69</f>
        <v>6.3</v>
      </c>
      <c r="O69">
        <f>ABS(L69-TMTB!$C$34)</f>
        <v>13.257401111286683</v>
      </c>
      <c r="P69">
        <f t="shared" si="0"/>
        <v>6.3</v>
      </c>
    </row>
    <row r="70" spans="10:16">
      <c r="J70" s="5"/>
      <c r="L70">
        <f>TMTB!M70</f>
        <v>-1.3724074479999999</v>
      </c>
      <c r="M70">
        <f>TMTB!N70</f>
        <v>6.4</v>
      </c>
      <c r="O70">
        <f>ABS(L70-TMTB!$C$34)</f>
        <v>13.253918871286682</v>
      </c>
      <c r="P70">
        <f t="shared" si="0"/>
        <v>6.4</v>
      </c>
    </row>
    <row r="71" spans="10:16">
      <c r="J71" s="5"/>
      <c r="L71">
        <f>TMTB!M71</f>
        <v>-1.36725108</v>
      </c>
      <c r="M71">
        <f>TMTB!N71</f>
        <v>6.5</v>
      </c>
      <c r="O71">
        <f>ABS(L71-TMTB!$C$34)</f>
        <v>13.248762503286681</v>
      </c>
      <c r="P71">
        <f t="shared" ref="P71:P134" si="2">M71</f>
        <v>6.5</v>
      </c>
    </row>
    <row r="72" spans="10:16">
      <c r="J72" s="5"/>
      <c r="L72">
        <f>TMTB!M72</f>
        <v>-1.362094712</v>
      </c>
      <c r="M72">
        <f>TMTB!N72</f>
        <v>6.6</v>
      </c>
      <c r="O72">
        <f>ABS(L72-TMTB!$C$34)</f>
        <v>13.243606135286681</v>
      </c>
      <c r="P72">
        <f t="shared" si="2"/>
        <v>6.6</v>
      </c>
    </row>
    <row r="73" spans="10:16">
      <c r="J73" s="5"/>
      <c r="L73">
        <f>TMTB!M73</f>
        <v>-1.3512768639999999</v>
      </c>
      <c r="M73">
        <f>TMTB!N73</f>
        <v>6.7</v>
      </c>
      <c r="O73">
        <f>ABS(L73-TMTB!$C$34)</f>
        <v>13.232788287286681</v>
      </c>
      <c r="P73">
        <f t="shared" si="2"/>
        <v>6.7</v>
      </c>
    </row>
    <row r="74" spans="10:16">
      <c r="J74" s="5"/>
      <c r="L74">
        <f>TMTB!M74</f>
        <v>-1.337714056</v>
      </c>
      <c r="M74">
        <f>TMTB!N74</f>
        <v>6.8</v>
      </c>
      <c r="O74">
        <f>ABS(L74-TMTB!$C$34)</f>
        <v>13.219225479286681</v>
      </c>
      <c r="P74">
        <f t="shared" si="2"/>
        <v>6.8</v>
      </c>
    </row>
    <row r="75" spans="10:16">
      <c r="J75" s="5"/>
      <c r="L75">
        <f>TMTB!M75</f>
        <v>-1.323616672</v>
      </c>
      <c r="M75">
        <f>TMTB!N75</f>
        <v>6.9</v>
      </c>
      <c r="O75">
        <f>ABS(L75-TMTB!$C$34)</f>
        <v>13.205128095286682</v>
      </c>
      <c r="P75">
        <f t="shared" si="2"/>
        <v>6.9</v>
      </c>
    </row>
    <row r="76" spans="10:16">
      <c r="J76" s="5"/>
      <c r="L76">
        <f>TMTB!M76</f>
        <v>-1.3056881600000001</v>
      </c>
      <c r="M76">
        <f>TMTB!N76</f>
        <v>7</v>
      </c>
      <c r="O76">
        <f>ABS(L76-TMTB!$C$34)</f>
        <v>13.187199583286683</v>
      </c>
      <c r="P76">
        <f t="shared" si="2"/>
        <v>7</v>
      </c>
    </row>
    <row r="77" spans="10:16">
      <c r="J77" s="5"/>
      <c r="L77">
        <f>TMTB!M77</f>
        <v>-1.287759648</v>
      </c>
      <c r="M77">
        <f>TMTB!N77</f>
        <v>7.1</v>
      </c>
      <c r="O77">
        <f>ABS(L77-TMTB!$C$34)</f>
        <v>13.169271071286682</v>
      </c>
      <c r="P77">
        <f t="shared" si="2"/>
        <v>7.1</v>
      </c>
    </row>
    <row r="78" spans="10:16">
      <c r="J78" s="5"/>
      <c r="L78">
        <f>TMTB!M78</f>
        <v>-1.278237632</v>
      </c>
      <c r="M78">
        <f>TMTB!N78</f>
        <v>7.2</v>
      </c>
      <c r="O78">
        <f>ABS(L78-TMTB!$C$34)</f>
        <v>13.159749055286682</v>
      </c>
      <c r="P78">
        <f t="shared" si="2"/>
        <v>7.2</v>
      </c>
    </row>
    <row r="79" spans="10:16">
      <c r="J79" s="5"/>
      <c r="L79">
        <f>TMTB!M79</f>
        <v>-1.275020488</v>
      </c>
      <c r="M79">
        <f>TMTB!N79</f>
        <v>7.3</v>
      </c>
      <c r="O79">
        <f>ABS(L79-TMTB!$C$34)</f>
        <v>13.156531911286681</v>
      </c>
      <c r="P79">
        <f t="shared" si="2"/>
        <v>7.3</v>
      </c>
    </row>
    <row r="80" spans="10:16">
      <c r="J80" s="5"/>
      <c r="L80">
        <f>TMTB!M80</f>
        <v>-1.2717299360000001</v>
      </c>
      <c r="M80">
        <f>TMTB!N80</f>
        <v>7.4</v>
      </c>
      <c r="O80">
        <f>ABS(L80-TMTB!$C$34)</f>
        <v>13.153241359286682</v>
      </c>
      <c r="P80">
        <f t="shared" si="2"/>
        <v>7.4</v>
      </c>
    </row>
    <row r="81" spans="10:16">
      <c r="J81" s="5"/>
      <c r="L81">
        <f>TMTB!M81</f>
        <v>-1.2649158</v>
      </c>
      <c r="M81">
        <f>TMTB!N81</f>
        <v>7.5</v>
      </c>
      <c r="O81">
        <f>ABS(L81-TMTB!$C$34)</f>
        <v>13.146427223286683</v>
      </c>
      <c r="P81">
        <f t="shared" si="2"/>
        <v>7.5</v>
      </c>
    </row>
    <row r="82" spans="10:16">
      <c r="J82" s="5"/>
      <c r="L82">
        <f>TMTB!M82</f>
        <v>-1.258101664</v>
      </c>
      <c r="M82">
        <f>TMTB!N82</f>
        <v>7.6</v>
      </c>
      <c r="O82">
        <f>ABS(L82-TMTB!$C$34)</f>
        <v>13.139613087286682</v>
      </c>
      <c r="P82">
        <f t="shared" si="2"/>
        <v>7.6</v>
      </c>
    </row>
    <row r="83" spans="10:16">
      <c r="J83" s="5"/>
      <c r="L83">
        <f>TMTB!M83</f>
        <v>-1.25288428</v>
      </c>
      <c r="M83">
        <f>TMTB!N83</f>
        <v>7.7</v>
      </c>
      <c r="O83">
        <f>ABS(L83-TMTB!$C$34)</f>
        <v>13.134395703286682</v>
      </c>
      <c r="P83">
        <f t="shared" si="2"/>
        <v>7.7</v>
      </c>
    </row>
    <row r="84" spans="10:16">
      <c r="J84" s="5"/>
      <c r="L84">
        <f>TMTB!M84</f>
        <v>-1.24947192</v>
      </c>
      <c r="M84">
        <f>TMTB!N84</f>
        <v>7.8</v>
      </c>
      <c r="O84">
        <f>ABS(L84-TMTB!$C$34)</f>
        <v>13.130983343286681</v>
      </c>
      <c r="P84">
        <f t="shared" si="2"/>
        <v>7.8</v>
      </c>
    </row>
    <row r="85" spans="10:16">
      <c r="J85" s="5"/>
      <c r="L85">
        <f>TMTB!M85</f>
        <v>-1.24605956</v>
      </c>
      <c r="M85">
        <f>TMTB!N85</f>
        <v>7.9</v>
      </c>
      <c r="O85">
        <f>ABS(L85-TMTB!$C$34)</f>
        <v>13.127570983286681</v>
      </c>
      <c r="P85">
        <f t="shared" si="2"/>
        <v>7.9</v>
      </c>
    </row>
    <row r="86" spans="10:16">
      <c r="J86" s="5"/>
      <c r="L86">
        <f>TMTB!M86</f>
        <v>-1.245781</v>
      </c>
      <c r="M86">
        <f>TMTB!N86</f>
        <v>8</v>
      </c>
      <c r="O86">
        <f>ABS(L86-TMTB!$C$34)</f>
        <v>13.127292423286683</v>
      </c>
      <c r="P86">
        <f t="shared" si="2"/>
        <v>8</v>
      </c>
    </row>
    <row r="87" spans="10:16">
      <c r="J87" s="5"/>
      <c r="L87">
        <f>TMTB!M87</f>
        <v>-1.245781</v>
      </c>
      <c r="M87">
        <f>TMTB!N87</f>
        <v>8.1</v>
      </c>
      <c r="O87">
        <f>ABS(L87-TMTB!$C$34)</f>
        <v>13.127292423286683</v>
      </c>
      <c r="P87">
        <f t="shared" si="2"/>
        <v>8.1</v>
      </c>
    </row>
    <row r="88" spans="10:16">
      <c r="J88" s="5"/>
      <c r="L88">
        <f>TMTB!M88</f>
        <v>-1.2422558800000001</v>
      </c>
      <c r="M88">
        <f>TMTB!N88</f>
        <v>8.1999999999999993</v>
      </c>
      <c r="O88">
        <f>ABS(L88-TMTB!$C$34)</f>
        <v>13.123767303286682</v>
      </c>
      <c r="P88">
        <f t="shared" si="2"/>
        <v>8.1999999999999993</v>
      </c>
    </row>
    <row r="89" spans="10:16">
      <c r="J89" s="5"/>
      <c r="L89">
        <f>TMTB!M89</f>
        <v>-1.23265972</v>
      </c>
      <c r="M89">
        <f>TMTB!N89</f>
        <v>8.3000000000000007</v>
      </c>
      <c r="O89">
        <f>ABS(L89-TMTB!$C$34)</f>
        <v>13.114171143286683</v>
      </c>
      <c r="P89">
        <f t="shared" si="2"/>
        <v>8.3000000000000007</v>
      </c>
    </row>
    <row r="90" spans="10:16">
      <c r="J90" s="5"/>
      <c r="L90">
        <f>TMTB!M90</f>
        <v>-1.2230635599999999</v>
      </c>
      <c r="M90">
        <f>TMTB!N90</f>
        <v>8.4</v>
      </c>
      <c r="O90">
        <f>ABS(L90-TMTB!$C$34)</f>
        <v>13.104574983286682</v>
      </c>
      <c r="P90">
        <f t="shared" si="2"/>
        <v>8.4</v>
      </c>
    </row>
    <row r="91" spans="10:16">
      <c r="J91" s="5"/>
      <c r="L91">
        <f>TMTB!M91</f>
        <v>-1.210493</v>
      </c>
      <c r="M91">
        <f>TMTB!N91</f>
        <v>8.5</v>
      </c>
      <c r="O91">
        <f>ABS(L91-TMTB!$C$34)</f>
        <v>13.092004423286681</v>
      </c>
      <c r="P91">
        <f t="shared" si="2"/>
        <v>8.5</v>
      </c>
    </row>
    <row r="92" spans="10:16">
      <c r="J92" s="5"/>
      <c r="L92">
        <f>TMTB!M92</f>
        <v>-1.1972532</v>
      </c>
      <c r="M92">
        <f>TMTB!N92</f>
        <v>8.6</v>
      </c>
      <c r="O92">
        <f>ABS(L92-TMTB!$C$34)</f>
        <v>13.078764623286682</v>
      </c>
      <c r="P92">
        <f t="shared" si="2"/>
        <v>8.6</v>
      </c>
    </row>
    <row r="93" spans="10:16">
      <c r="J93" s="5"/>
      <c r="L93">
        <f>TMTB!M93</f>
        <v>-1.186828472</v>
      </c>
      <c r="M93">
        <f>TMTB!N93</f>
        <v>8.6999999999999993</v>
      </c>
      <c r="O93">
        <f>ABS(L93-TMTB!$C$34)</f>
        <v>13.068339895286682</v>
      </c>
      <c r="P93">
        <f t="shared" si="2"/>
        <v>8.6999999999999993</v>
      </c>
    </row>
    <row r="94" spans="10:16">
      <c r="J94" s="5"/>
      <c r="L94">
        <f>TMTB!M94</f>
        <v>-1.1841993280000001</v>
      </c>
      <c r="M94">
        <f>TMTB!N94</f>
        <v>8.8000000000000007</v>
      </c>
      <c r="O94">
        <f>ABS(L94-TMTB!$C$34)</f>
        <v>13.065710751286682</v>
      </c>
      <c r="P94">
        <f t="shared" si="2"/>
        <v>8.8000000000000007</v>
      </c>
    </row>
    <row r="95" spans="10:16">
      <c r="J95" s="5"/>
      <c r="L95">
        <f>TMTB!M95</f>
        <v>-1.1815701839999999</v>
      </c>
      <c r="M95">
        <f>TMTB!N95</f>
        <v>8.9</v>
      </c>
      <c r="O95">
        <f>ABS(L95-TMTB!$C$34)</f>
        <v>13.063081607286682</v>
      </c>
      <c r="P95">
        <f t="shared" si="2"/>
        <v>8.9</v>
      </c>
    </row>
    <row r="96" spans="10:16">
      <c r="J96" s="5"/>
      <c r="L96">
        <f>TMTB!M96</f>
        <v>-1.1740642800000001</v>
      </c>
      <c r="M96">
        <f>TMTB!N96</f>
        <v>9</v>
      </c>
      <c r="O96">
        <f>ABS(L96-TMTB!$C$34)</f>
        <v>13.055575703286681</v>
      </c>
      <c r="P96">
        <f t="shared" si="2"/>
        <v>9</v>
      </c>
    </row>
    <row r="97" spans="10:16">
      <c r="J97" s="5"/>
      <c r="L97">
        <f>TMTB!M97</f>
        <v>-1.164607672</v>
      </c>
      <c r="M97">
        <f>TMTB!N97</f>
        <v>9.1</v>
      </c>
      <c r="O97">
        <f>ABS(L97-TMTB!$C$34)</f>
        <v>13.046119095286683</v>
      </c>
      <c r="P97">
        <f t="shared" si="2"/>
        <v>9.1</v>
      </c>
    </row>
    <row r="98" spans="10:16">
      <c r="J98" s="5"/>
      <c r="L98">
        <f>TMTB!M98</f>
        <v>-1.156622936</v>
      </c>
      <c r="M98">
        <f>TMTB!N98</f>
        <v>9.1999999999999993</v>
      </c>
      <c r="O98">
        <f>ABS(L98-TMTB!$C$34)</f>
        <v>13.038134359286682</v>
      </c>
      <c r="P98">
        <f t="shared" si="2"/>
        <v>9.1999999999999993</v>
      </c>
    </row>
    <row r="99" spans="10:16">
      <c r="J99" s="5"/>
      <c r="L99">
        <f>TMTB!M99</f>
        <v>-1.1561815440000001</v>
      </c>
      <c r="M99">
        <f>TMTB!N99</f>
        <v>9.3000000000000007</v>
      </c>
      <c r="O99">
        <f>ABS(L99-TMTB!$C$34)</f>
        <v>13.037692967286683</v>
      </c>
      <c r="P99">
        <f t="shared" si="2"/>
        <v>9.3000000000000007</v>
      </c>
    </row>
    <row r="100" spans="10:16">
      <c r="J100" s="5"/>
      <c r="L100">
        <f>TMTB!M100</f>
        <v>-1.1557401519999999</v>
      </c>
      <c r="M100">
        <f>TMTB!N100</f>
        <v>9.4</v>
      </c>
      <c r="O100">
        <f>ABS(L100-TMTB!$C$34)</f>
        <v>13.037251575286682</v>
      </c>
      <c r="P100">
        <f t="shared" si="2"/>
        <v>9.4</v>
      </c>
    </row>
    <row r="101" spans="10:16">
      <c r="J101" s="5"/>
      <c r="L101">
        <f>TMTB!M101</f>
        <v>-1.1513730799999999</v>
      </c>
      <c r="M101">
        <f>TMTB!N101</f>
        <v>9.5</v>
      </c>
      <c r="O101">
        <f>ABS(L101-TMTB!$C$34)</f>
        <v>13.032884503286681</v>
      </c>
      <c r="P101">
        <f t="shared" si="2"/>
        <v>9.5</v>
      </c>
    </row>
    <row r="102" spans="10:16">
      <c r="J102" s="5"/>
      <c r="L102">
        <f>TMTB!M102</f>
        <v>-1.1445197439999999</v>
      </c>
      <c r="M102">
        <f>TMTB!N102</f>
        <v>9.6</v>
      </c>
      <c r="O102">
        <f>ABS(L102-TMTB!$C$34)</f>
        <v>13.026031167286682</v>
      </c>
      <c r="P102">
        <f t="shared" si="2"/>
        <v>9.6</v>
      </c>
    </row>
    <row r="103" spans="10:16">
      <c r="J103" s="5"/>
      <c r="L103">
        <f>TMTB!M103</f>
        <v>-1.1376064319999999</v>
      </c>
      <c r="M103">
        <f>TMTB!N103</f>
        <v>9.6999999999999993</v>
      </c>
      <c r="O103">
        <f>ABS(L103-TMTB!$C$34)</f>
        <v>13.019117855286682</v>
      </c>
      <c r="P103">
        <f t="shared" si="2"/>
        <v>9.6999999999999993</v>
      </c>
    </row>
    <row r="104" spans="10:16">
      <c r="J104" s="5"/>
      <c r="L104">
        <f>TMTB!M104</f>
        <v>-1.1297734880000001</v>
      </c>
      <c r="M104">
        <f>TMTB!N104</f>
        <v>9.8000000000000007</v>
      </c>
      <c r="O104">
        <f>ABS(L104-TMTB!$C$34)</f>
        <v>13.011284911286682</v>
      </c>
      <c r="P104">
        <f t="shared" si="2"/>
        <v>9.8000000000000007</v>
      </c>
    </row>
    <row r="105" spans="10:16">
      <c r="J105" s="5"/>
      <c r="L105">
        <f>TMTB!M105</f>
        <v>-1.1219405440000001</v>
      </c>
      <c r="M105">
        <f>TMTB!N105</f>
        <v>9.9</v>
      </c>
      <c r="O105">
        <f>ABS(L105-TMTB!$C$34)</f>
        <v>13.003451967286683</v>
      </c>
      <c r="P105">
        <f t="shared" si="2"/>
        <v>9.9</v>
      </c>
    </row>
    <row r="106" spans="10:16">
      <c r="J106" s="5"/>
      <c r="L106">
        <f>TMTB!M106</f>
        <v>-1.1123331999999999</v>
      </c>
      <c r="M106">
        <f>TMTB!N106</f>
        <v>10</v>
      </c>
      <c r="O106">
        <f>ABS(L106-TMTB!$C$34)</f>
        <v>12.993844623286682</v>
      </c>
      <c r="P106">
        <f t="shared" si="2"/>
        <v>10</v>
      </c>
    </row>
    <row r="107" spans="10:16">
      <c r="J107" s="5"/>
      <c r="L107">
        <f>TMTB!M107</f>
        <v>-1.1010224319999999</v>
      </c>
      <c r="M107">
        <f>TMTB!N107</f>
        <v>10.1</v>
      </c>
      <c r="O107">
        <f>ABS(L107-TMTB!$C$34)</f>
        <v>12.982533855286682</v>
      </c>
      <c r="P107">
        <f t="shared" si="2"/>
        <v>10.1</v>
      </c>
    </row>
    <row r="108" spans="10:16">
      <c r="J108" s="5"/>
      <c r="L108">
        <f>TMTB!M108</f>
        <v>-1.089711664</v>
      </c>
      <c r="M108">
        <f>TMTB!N108</f>
        <v>10.199999999999999</v>
      </c>
      <c r="O108">
        <f>ABS(L108-TMTB!$C$34)</f>
        <v>12.971223087286681</v>
      </c>
      <c r="P108">
        <f t="shared" si="2"/>
        <v>10.199999999999999</v>
      </c>
    </row>
    <row r="109" spans="10:16">
      <c r="J109" s="5"/>
      <c r="L109">
        <f>TMTB!M109</f>
        <v>-1.088598768</v>
      </c>
      <c r="M109">
        <f>TMTB!N109</f>
        <v>10.3</v>
      </c>
      <c r="O109">
        <f>ABS(L109-TMTB!$C$34)</f>
        <v>12.970110191286683</v>
      </c>
      <c r="P109">
        <f t="shared" si="2"/>
        <v>10.3</v>
      </c>
    </row>
    <row r="110" spans="10:16">
      <c r="J110" s="5"/>
      <c r="L110">
        <f>TMTB!M110</f>
        <v>-1.0879198240000001</v>
      </c>
      <c r="M110">
        <f>TMTB!N110</f>
        <v>10.4</v>
      </c>
      <c r="O110">
        <f>ABS(L110-TMTB!$C$34)</f>
        <v>12.969431247286682</v>
      </c>
      <c r="P110">
        <f t="shared" si="2"/>
        <v>10.4</v>
      </c>
    </row>
    <row r="111" spans="10:16">
      <c r="J111" s="5"/>
      <c r="L111">
        <f>TMTB!M111</f>
        <v>-1.0873431200000001</v>
      </c>
      <c r="M111">
        <f>TMTB!N111</f>
        <v>10.5</v>
      </c>
      <c r="O111">
        <f>ABS(L111-TMTB!$C$34)</f>
        <v>12.968854543286682</v>
      </c>
      <c r="P111">
        <f t="shared" si="2"/>
        <v>10.5</v>
      </c>
    </row>
    <row r="112" spans="10:16">
      <c r="J112" s="5"/>
      <c r="L112">
        <f>TMTB!M112</f>
        <v>-1.086914664</v>
      </c>
      <c r="M112">
        <f>TMTB!N112</f>
        <v>10.6</v>
      </c>
      <c r="O112">
        <f>ABS(L112-TMTB!$C$34)</f>
        <v>12.968426087286682</v>
      </c>
      <c r="P112">
        <f t="shared" si="2"/>
        <v>10.6</v>
      </c>
    </row>
    <row r="113" spans="10:16">
      <c r="J113" s="5"/>
      <c r="L113">
        <f>TMTB!M113</f>
        <v>-1.086486208</v>
      </c>
      <c r="M113">
        <f>TMTB!N113</f>
        <v>10.7</v>
      </c>
      <c r="O113">
        <f>ABS(L113-TMTB!$C$34)</f>
        <v>12.967997631286682</v>
      </c>
      <c r="P113">
        <f t="shared" si="2"/>
        <v>10.7</v>
      </c>
    </row>
    <row r="114" spans="10:16">
      <c r="J114" s="5"/>
      <c r="L114">
        <f>TMTB!M114</f>
        <v>-1.0847271919999999</v>
      </c>
      <c r="M114">
        <f>TMTB!N114</f>
        <v>10.8</v>
      </c>
      <c r="O114">
        <f>ABS(L114-TMTB!$C$34)</f>
        <v>12.966238615286681</v>
      </c>
      <c r="P114">
        <f t="shared" si="2"/>
        <v>10.8</v>
      </c>
    </row>
    <row r="115" spans="10:16">
      <c r="J115" s="5"/>
      <c r="L115">
        <f>TMTB!M115</f>
        <v>-1.082746416</v>
      </c>
      <c r="M115">
        <f>TMTB!N115</f>
        <v>10.9</v>
      </c>
      <c r="O115">
        <f>ABS(L115-TMTB!$C$34)</f>
        <v>12.964257839286681</v>
      </c>
      <c r="P115">
        <f t="shared" si="2"/>
        <v>10.9</v>
      </c>
    </row>
    <row r="116" spans="10:16">
      <c r="J116" s="5"/>
      <c r="L116">
        <f>TMTB!M116</f>
        <v>-1.0812996399999999</v>
      </c>
      <c r="M116">
        <f>TMTB!N116</f>
        <v>11</v>
      </c>
      <c r="O116">
        <f>ABS(L116-TMTB!$C$34)</f>
        <v>12.962811063286681</v>
      </c>
      <c r="P116">
        <f t="shared" si="2"/>
        <v>11</v>
      </c>
    </row>
    <row r="117" spans="10:16">
      <c r="J117" s="5"/>
      <c r="L117">
        <f>TMTB!M117</f>
        <v>-1.081063264</v>
      </c>
      <c r="M117">
        <f>TMTB!N117</f>
        <v>11.1</v>
      </c>
      <c r="O117">
        <f>ABS(L117-TMTB!$C$34)</f>
        <v>12.962574687286683</v>
      </c>
      <c r="P117">
        <f t="shared" si="2"/>
        <v>11.1</v>
      </c>
    </row>
    <row r="118" spans="10:16">
      <c r="J118" s="5"/>
      <c r="L118">
        <f>TMTB!M118</f>
        <v>-1.080826888</v>
      </c>
      <c r="M118">
        <f>TMTB!N118</f>
        <v>11.2</v>
      </c>
      <c r="O118">
        <f>ABS(L118-TMTB!$C$34)</f>
        <v>12.962338311286683</v>
      </c>
      <c r="P118">
        <f t="shared" si="2"/>
        <v>11.2</v>
      </c>
    </row>
    <row r="119" spans="10:16">
      <c r="J119" s="5"/>
      <c r="L119">
        <f>TMTB!M119</f>
        <v>-1.0785040079999999</v>
      </c>
      <c r="M119">
        <f>TMTB!N119</f>
        <v>11.3</v>
      </c>
      <c r="O119">
        <f>ABS(L119-TMTB!$C$34)</f>
        <v>12.960015431286681</v>
      </c>
      <c r="P119">
        <f t="shared" si="2"/>
        <v>11.3</v>
      </c>
    </row>
    <row r="120" spans="10:16">
      <c r="J120" s="5"/>
      <c r="L120">
        <f>TMTB!M120</f>
        <v>-1.075504424</v>
      </c>
      <c r="M120">
        <f>TMTB!N120</f>
        <v>11.4</v>
      </c>
      <c r="O120">
        <f>ABS(L120-TMTB!$C$34)</f>
        <v>12.957015847286682</v>
      </c>
      <c r="P120">
        <f t="shared" si="2"/>
        <v>11.4</v>
      </c>
    </row>
    <row r="121" spans="10:16">
      <c r="J121" s="5"/>
      <c r="L121">
        <f>TMTB!M121</f>
        <v>-1.0726558799999999</v>
      </c>
      <c r="M121">
        <f>TMTB!N121</f>
        <v>11.5</v>
      </c>
      <c r="O121">
        <f>ABS(L121-TMTB!$C$34)</f>
        <v>12.954167303286681</v>
      </c>
      <c r="P121">
        <f t="shared" si="2"/>
        <v>11.5</v>
      </c>
    </row>
    <row r="122" spans="10:16">
      <c r="J122" s="5"/>
      <c r="L122">
        <f>TMTB!M122</f>
        <v>-1.0703963919999999</v>
      </c>
      <c r="M122">
        <f>TMTB!N122</f>
        <v>11.6</v>
      </c>
      <c r="O122">
        <f>ABS(L122-TMTB!$C$34)</f>
        <v>12.951907815286681</v>
      </c>
      <c r="P122">
        <f t="shared" si="2"/>
        <v>11.6</v>
      </c>
    </row>
    <row r="123" spans="10:16">
      <c r="J123" s="5"/>
      <c r="L123">
        <f>TMTB!M123</f>
        <v>-1.0681369039999999</v>
      </c>
      <c r="M123">
        <f>TMTB!N123</f>
        <v>11.7</v>
      </c>
      <c r="O123">
        <f>ABS(L123-TMTB!$C$34)</f>
        <v>12.949648327286681</v>
      </c>
      <c r="P123">
        <f t="shared" si="2"/>
        <v>11.7</v>
      </c>
    </row>
    <row r="124" spans="10:16">
      <c r="J124" s="5"/>
      <c r="L124">
        <f>TMTB!M124</f>
        <v>-1.0662002319999999</v>
      </c>
      <c r="M124">
        <f>TMTB!N124</f>
        <v>11.8</v>
      </c>
      <c r="O124">
        <f>ABS(L124-TMTB!$C$34)</f>
        <v>12.947711655286682</v>
      </c>
      <c r="P124">
        <f t="shared" si="2"/>
        <v>11.8</v>
      </c>
    </row>
    <row r="125" spans="10:16">
      <c r="J125" s="5"/>
      <c r="L125">
        <f>TMTB!M125</f>
        <v>-1.064435056</v>
      </c>
      <c r="M125">
        <f>TMTB!N125</f>
        <v>11.9</v>
      </c>
      <c r="O125">
        <f>ABS(L125-TMTB!$C$34)</f>
        <v>12.945946479286683</v>
      </c>
      <c r="P125">
        <f t="shared" si="2"/>
        <v>11.9</v>
      </c>
    </row>
    <row r="126" spans="10:16">
      <c r="J126" s="5"/>
      <c r="L126">
        <f>TMTB!M126</f>
        <v>-1.06281252</v>
      </c>
      <c r="M126">
        <f>TMTB!N126</f>
        <v>12</v>
      </c>
      <c r="O126">
        <f>ABS(L126-TMTB!$C$34)</f>
        <v>12.944323943286681</v>
      </c>
      <c r="P126">
        <f t="shared" si="2"/>
        <v>12</v>
      </c>
    </row>
    <row r="127" spans="10:16">
      <c r="J127" s="5"/>
      <c r="L127">
        <f>TMTB!M127</f>
        <v>-1.062445216</v>
      </c>
      <c r="M127">
        <f>TMTB!N127</f>
        <v>12.1</v>
      </c>
      <c r="O127">
        <f>ABS(L127-TMTB!$C$34)</f>
        <v>12.943956639286682</v>
      </c>
      <c r="P127">
        <f t="shared" si="2"/>
        <v>12.1</v>
      </c>
    </row>
    <row r="128" spans="10:16">
      <c r="J128" s="5"/>
      <c r="L128">
        <f>TMTB!M128</f>
        <v>-1.0620779119999999</v>
      </c>
      <c r="M128">
        <f>TMTB!N128</f>
        <v>12.2</v>
      </c>
      <c r="O128">
        <f>ABS(L128-TMTB!$C$34)</f>
        <v>12.943589335286681</v>
      </c>
      <c r="P128">
        <f t="shared" si="2"/>
        <v>12.2</v>
      </c>
    </row>
    <row r="129" spans="10:16">
      <c r="J129" s="5"/>
      <c r="L129">
        <f>TMTB!M129</f>
        <v>-1.0609727520000001</v>
      </c>
      <c r="M129">
        <f>TMTB!N129</f>
        <v>12.3</v>
      </c>
      <c r="O129">
        <f>ABS(L129-TMTB!$C$34)</f>
        <v>12.942484175286681</v>
      </c>
      <c r="P129">
        <f t="shared" si="2"/>
        <v>12.3</v>
      </c>
    </row>
    <row r="130" spans="10:16">
      <c r="J130" s="5"/>
      <c r="L130">
        <f>TMTB!M130</f>
        <v>-1.0592663760000001</v>
      </c>
      <c r="M130">
        <f>TMTB!N130</f>
        <v>12.4</v>
      </c>
      <c r="O130">
        <f>ABS(L130-TMTB!$C$34)</f>
        <v>12.940777799286682</v>
      </c>
      <c r="P130">
        <f t="shared" si="2"/>
        <v>12.4</v>
      </c>
    </row>
    <row r="131" spans="10:16">
      <c r="J131" s="5"/>
      <c r="L131">
        <f>TMTB!M131</f>
        <v>-1.0575600000000001</v>
      </c>
      <c r="M131">
        <f>TMTB!N131</f>
        <v>12.5</v>
      </c>
      <c r="O131">
        <f>ABS(L131-TMTB!$C$34)</f>
        <v>12.939071423286682</v>
      </c>
      <c r="P131">
        <f t="shared" si="2"/>
        <v>12.5</v>
      </c>
    </row>
    <row r="132" spans="10:16">
      <c r="J132" s="5"/>
      <c r="L132">
        <f>TMTB!M132</f>
        <v>-1.0470461680000001</v>
      </c>
      <c r="M132">
        <f>TMTB!N132</f>
        <v>12.6</v>
      </c>
      <c r="O132">
        <f>ABS(L132-TMTB!$C$34)</f>
        <v>12.928557591286681</v>
      </c>
      <c r="P132">
        <f t="shared" si="2"/>
        <v>12.6</v>
      </c>
    </row>
    <row r="133" spans="10:16">
      <c r="J133" s="5"/>
      <c r="L133">
        <f>TMTB!M133</f>
        <v>-1.0365323360000001</v>
      </c>
      <c r="M133">
        <f>TMTB!N133</f>
        <v>12.7</v>
      </c>
      <c r="O133">
        <f>ABS(L133-TMTB!$C$34)</f>
        <v>12.918043759286682</v>
      </c>
      <c r="P133">
        <f t="shared" si="2"/>
        <v>12.7</v>
      </c>
    </row>
    <row r="134" spans="10:16">
      <c r="J134" s="5"/>
      <c r="L134">
        <f>TMTB!M134</f>
        <v>-1.0271274800000001</v>
      </c>
      <c r="M134">
        <f>TMTB!N134</f>
        <v>12.8</v>
      </c>
      <c r="O134">
        <f>ABS(L134-TMTB!$C$34)</f>
        <v>12.908638903286683</v>
      </c>
      <c r="P134">
        <f t="shared" si="2"/>
        <v>12.8</v>
      </c>
    </row>
    <row r="135" spans="10:16">
      <c r="J135" s="5"/>
      <c r="L135">
        <f>TMTB!M135</f>
        <v>-1.0190836400000001</v>
      </c>
      <c r="M135">
        <f>TMTB!N135</f>
        <v>12.9</v>
      </c>
      <c r="O135">
        <f>ABS(L135-TMTB!$C$34)</f>
        <v>12.900595063286682</v>
      </c>
      <c r="P135">
        <f t="shared" ref="P135:P198" si="3">M135</f>
        <v>12.9</v>
      </c>
    </row>
    <row r="136" spans="10:16">
      <c r="J136" s="5"/>
      <c r="L136">
        <f>TMTB!M136</f>
        <v>-1.0110398</v>
      </c>
      <c r="M136">
        <f>TMTB!N136</f>
        <v>13</v>
      </c>
      <c r="O136">
        <f>ABS(L136-TMTB!$C$34)</f>
        <v>12.892551223286683</v>
      </c>
      <c r="P136">
        <f t="shared" si="3"/>
        <v>13</v>
      </c>
    </row>
    <row r="137" spans="10:16">
      <c r="J137" s="5"/>
      <c r="L137">
        <f>TMTB!M137</f>
        <v>-1.0049741999999999</v>
      </c>
      <c r="M137">
        <f>TMTB!N137</f>
        <v>13.1</v>
      </c>
      <c r="O137">
        <f>ABS(L137-TMTB!$C$34)</f>
        <v>12.886485623286681</v>
      </c>
      <c r="P137">
        <f t="shared" si="3"/>
        <v>13.1</v>
      </c>
    </row>
    <row r="138" spans="10:16">
      <c r="J138" s="5"/>
      <c r="L138">
        <f>TMTB!M138</f>
        <v>-0.99913339999999995</v>
      </c>
      <c r="M138">
        <f>TMTB!N138</f>
        <v>13.2</v>
      </c>
      <c r="O138">
        <f>ABS(L138-TMTB!$C$34)</f>
        <v>12.880644823286682</v>
      </c>
      <c r="P138">
        <f t="shared" si="3"/>
        <v>13.2</v>
      </c>
    </row>
    <row r="139" spans="10:16">
      <c r="J139" s="5"/>
      <c r="L139">
        <f>TMTB!M139</f>
        <v>-0.99373215199999998</v>
      </c>
      <c r="M139">
        <f>TMTB!N139</f>
        <v>13.3</v>
      </c>
      <c r="O139">
        <f>ABS(L139-TMTB!$C$34)</f>
        <v>12.875243575286682</v>
      </c>
      <c r="P139">
        <f t="shared" si="3"/>
        <v>13.3</v>
      </c>
    </row>
    <row r="140" spans="10:16">
      <c r="J140" s="5"/>
      <c r="L140">
        <f>TMTB!M140</f>
        <v>-0.98915829600000005</v>
      </c>
      <c r="M140">
        <f>TMTB!N140</f>
        <v>13.4</v>
      </c>
      <c r="O140">
        <f>ABS(L140-TMTB!$C$34)</f>
        <v>12.870669719286681</v>
      </c>
      <c r="P140">
        <f t="shared" si="3"/>
        <v>13.4</v>
      </c>
    </row>
    <row r="141" spans="10:16">
      <c r="J141" s="5"/>
      <c r="L141">
        <f>TMTB!M141</f>
        <v>-0.98458444000000001</v>
      </c>
      <c r="M141">
        <f>TMTB!N141</f>
        <v>13.5</v>
      </c>
      <c r="O141">
        <f>ABS(L141-TMTB!$C$34)</f>
        <v>12.866095863286683</v>
      </c>
      <c r="P141">
        <f t="shared" si="3"/>
        <v>13.5</v>
      </c>
    </row>
    <row r="142" spans="10:16">
      <c r="J142" s="5"/>
      <c r="L142">
        <f>TMTB!M142</f>
        <v>-0.98334087199999998</v>
      </c>
      <c r="M142">
        <f>TMTB!N142</f>
        <v>13.6</v>
      </c>
      <c r="O142">
        <f>ABS(L142-TMTB!$C$34)</f>
        <v>12.864852295286681</v>
      </c>
      <c r="P142">
        <f t="shared" si="3"/>
        <v>13.6</v>
      </c>
    </row>
    <row r="143" spans="10:16">
      <c r="J143" s="5"/>
      <c r="L143">
        <f>TMTB!M143</f>
        <v>-0.98295122400000001</v>
      </c>
      <c r="M143">
        <f>TMTB!N143</f>
        <v>13.7</v>
      </c>
      <c r="O143">
        <f>ABS(L143-TMTB!$C$34)</f>
        <v>12.864462647286683</v>
      </c>
      <c r="P143">
        <f t="shared" si="3"/>
        <v>13.7</v>
      </c>
    </row>
    <row r="144" spans="10:16">
      <c r="J144" s="5"/>
      <c r="L144">
        <f>TMTB!M144</f>
        <v>-0.98231706399999996</v>
      </c>
      <c r="M144">
        <f>TMTB!N144</f>
        <v>13.8</v>
      </c>
      <c r="O144">
        <f>ABS(L144-TMTB!$C$34)</f>
        <v>12.863828487286682</v>
      </c>
      <c r="P144">
        <f t="shared" si="3"/>
        <v>13.8</v>
      </c>
    </row>
    <row r="145" spans="10:16">
      <c r="J145" s="5"/>
      <c r="L145">
        <f>TMTB!M145</f>
        <v>-0.98092899200000006</v>
      </c>
      <c r="M145">
        <f>TMTB!N145</f>
        <v>13.9</v>
      </c>
      <c r="O145">
        <f>ABS(L145-TMTB!$C$34)</f>
        <v>12.862440415286683</v>
      </c>
      <c r="P145">
        <f t="shared" si="3"/>
        <v>13.9</v>
      </c>
    </row>
    <row r="146" spans="10:16">
      <c r="J146" s="5"/>
      <c r="L146">
        <f>TMTB!M146</f>
        <v>-0.97954092000000004</v>
      </c>
      <c r="M146">
        <f>TMTB!N146</f>
        <v>14</v>
      </c>
      <c r="O146">
        <f>ABS(L146-TMTB!$C$34)</f>
        <v>12.861052343286682</v>
      </c>
      <c r="P146">
        <f t="shared" si="3"/>
        <v>14</v>
      </c>
    </row>
    <row r="147" spans="10:16">
      <c r="J147" s="5"/>
      <c r="L147">
        <f>TMTB!M147</f>
        <v>-0.97877083200000004</v>
      </c>
      <c r="M147">
        <f>TMTB!N147</f>
        <v>14.1</v>
      </c>
      <c r="O147">
        <f>ABS(L147-TMTB!$C$34)</f>
        <v>12.860282255286682</v>
      </c>
      <c r="P147">
        <f t="shared" si="3"/>
        <v>14.1</v>
      </c>
    </row>
    <row r="148" spans="10:16">
      <c r="J148" s="5"/>
      <c r="L148">
        <f>TMTB!M148</f>
        <v>-0.97827338399999997</v>
      </c>
      <c r="M148">
        <f>TMTB!N148</f>
        <v>14.2</v>
      </c>
      <c r="O148">
        <f>ABS(L148-TMTB!$C$34)</f>
        <v>12.859784807286681</v>
      </c>
      <c r="P148">
        <f t="shared" si="3"/>
        <v>14.2</v>
      </c>
    </row>
    <row r="149" spans="10:16">
      <c r="J149" s="5"/>
      <c r="L149">
        <f>TMTB!M149</f>
        <v>-0.97765800000000003</v>
      </c>
      <c r="M149">
        <f>TMTB!N149</f>
        <v>14.3</v>
      </c>
      <c r="O149">
        <f>ABS(L149-TMTB!$C$34)</f>
        <v>12.859169423286682</v>
      </c>
      <c r="P149">
        <f t="shared" si="3"/>
        <v>14.3</v>
      </c>
    </row>
    <row r="150" spans="10:16">
      <c r="J150" s="5"/>
      <c r="L150">
        <f>TMTB!M150</f>
        <v>-0.97633499999999995</v>
      </c>
      <c r="M150">
        <f>TMTB!N150</f>
        <v>14.4</v>
      </c>
      <c r="O150">
        <f>ABS(L150-TMTB!$C$34)</f>
        <v>12.857846423286682</v>
      </c>
      <c r="P150">
        <f t="shared" si="3"/>
        <v>14.4</v>
      </c>
    </row>
    <row r="151" spans="10:16">
      <c r="J151" s="5"/>
      <c r="L151">
        <f>TMTB!M151</f>
        <v>-0.97501199999999999</v>
      </c>
      <c r="M151">
        <f>TMTB!N151</f>
        <v>14.5</v>
      </c>
      <c r="O151">
        <f>ABS(L151-TMTB!$C$34)</f>
        <v>12.856523423286681</v>
      </c>
      <c r="P151">
        <f t="shared" si="3"/>
        <v>14.5</v>
      </c>
    </row>
    <row r="152" spans="10:16">
      <c r="J152" s="5"/>
      <c r="L152">
        <f>TMTB!M152</f>
        <v>-0.97410404799999994</v>
      </c>
      <c r="M152">
        <f>TMTB!N152</f>
        <v>14.6</v>
      </c>
      <c r="O152">
        <f>ABS(L152-TMTB!$C$34)</f>
        <v>12.855615471286681</v>
      </c>
      <c r="P152">
        <f t="shared" si="3"/>
        <v>14.6</v>
      </c>
    </row>
    <row r="153" spans="10:16">
      <c r="J153" s="5"/>
      <c r="L153">
        <f>TMTB!M153</f>
        <v>-0.973482336</v>
      </c>
      <c r="M153">
        <f>TMTB!N153</f>
        <v>14.7</v>
      </c>
      <c r="O153">
        <f>ABS(L153-TMTB!$C$34)</f>
        <v>12.854993759286682</v>
      </c>
      <c r="P153">
        <f t="shared" si="3"/>
        <v>14.7</v>
      </c>
    </row>
    <row r="154" spans="10:16">
      <c r="J154" s="5"/>
      <c r="L154">
        <f>TMTB!M154</f>
        <v>-0.97285742399999997</v>
      </c>
      <c r="M154">
        <f>TMTB!N154</f>
        <v>14.8</v>
      </c>
      <c r="O154">
        <f>ABS(L154-TMTB!$C$34)</f>
        <v>12.854368847286683</v>
      </c>
      <c r="P154">
        <f t="shared" si="3"/>
        <v>14.8</v>
      </c>
    </row>
    <row r="155" spans="10:16">
      <c r="J155" s="5"/>
      <c r="L155">
        <f>TMTB!M155</f>
        <v>-0.972157312</v>
      </c>
      <c r="M155">
        <f>TMTB!N155</f>
        <v>14.9</v>
      </c>
      <c r="O155">
        <f>ABS(L155-TMTB!$C$34)</f>
        <v>12.853668735286682</v>
      </c>
      <c r="P155">
        <f t="shared" si="3"/>
        <v>14.9</v>
      </c>
    </row>
    <row r="156" spans="10:16">
      <c r="J156" s="5"/>
      <c r="L156">
        <f>TMTB!M156</f>
        <v>-0.97145720000000002</v>
      </c>
      <c r="M156">
        <f>TMTB!N156</f>
        <v>15</v>
      </c>
      <c r="O156">
        <f>ABS(L156-TMTB!$C$34)</f>
        <v>12.852968623286682</v>
      </c>
      <c r="P156">
        <f t="shared" si="3"/>
        <v>15</v>
      </c>
    </row>
    <row r="157" spans="10:16">
      <c r="J157" s="5"/>
      <c r="L157">
        <f>TMTB!M157</f>
        <v>-0.96951446399999996</v>
      </c>
      <c r="M157">
        <f>TMTB!N157</f>
        <v>15.1</v>
      </c>
      <c r="O157">
        <f>ABS(L157-TMTB!$C$34)</f>
        <v>12.851025887286681</v>
      </c>
      <c r="P157">
        <f t="shared" si="3"/>
        <v>15.1</v>
      </c>
    </row>
    <row r="158" spans="10:16">
      <c r="J158" s="5"/>
      <c r="L158">
        <f>TMTB!M158</f>
        <v>-0.96627732799999999</v>
      </c>
      <c r="M158">
        <f>TMTB!N158</f>
        <v>15.2</v>
      </c>
      <c r="O158">
        <f>ABS(L158-TMTB!$C$34)</f>
        <v>12.847788751286682</v>
      </c>
      <c r="P158">
        <f t="shared" si="3"/>
        <v>15.2</v>
      </c>
    </row>
    <row r="159" spans="10:16">
      <c r="J159" s="5"/>
      <c r="L159">
        <f>TMTB!M159</f>
        <v>-0.96304019200000002</v>
      </c>
      <c r="M159">
        <f>TMTB!N159</f>
        <v>15.3</v>
      </c>
      <c r="O159">
        <f>ABS(L159-TMTB!$C$34)</f>
        <v>12.844551615286681</v>
      </c>
      <c r="P159">
        <f t="shared" si="3"/>
        <v>15.3</v>
      </c>
    </row>
    <row r="160" spans="10:16">
      <c r="J160" s="5"/>
      <c r="L160">
        <f>TMTB!M160</f>
        <v>-0.95963487999999997</v>
      </c>
      <c r="M160">
        <f>TMTB!N160</f>
        <v>15.4</v>
      </c>
      <c r="O160">
        <f>ABS(L160-TMTB!$C$34)</f>
        <v>12.841146303286681</v>
      </c>
      <c r="P160">
        <f t="shared" si="3"/>
        <v>15.4</v>
      </c>
    </row>
    <row r="161" spans="10:16">
      <c r="J161" s="5"/>
      <c r="L161">
        <f>TMTB!M161</f>
        <v>-0.95621860000000003</v>
      </c>
      <c r="M161">
        <f>TMTB!N161</f>
        <v>15.5</v>
      </c>
      <c r="O161">
        <f>ABS(L161-TMTB!$C$34)</f>
        <v>12.837730023286682</v>
      </c>
      <c r="P161">
        <f t="shared" si="3"/>
        <v>15.5</v>
      </c>
    </row>
    <row r="162" spans="10:16">
      <c r="J162" s="5"/>
      <c r="L162">
        <f>TMTB!M162</f>
        <v>-0.95297772800000002</v>
      </c>
      <c r="M162">
        <f>TMTB!N162</f>
        <v>15.6</v>
      </c>
      <c r="O162">
        <f>ABS(L162-TMTB!$C$34)</f>
        <v>12.834489151286682</v>
      </c>
      <c r="P162">
        <f t="shared" si="3"/>
        <v>15.6</v>
      </c>
    </row>
    <row r="163" spans="10:16">
      <c r="J163" s="5"/>
      <c r="L163">
        <f>TMTB!M163</f>
        <v>-0.95001381600000001</v>
      </c>
      <c r="M163">
        <f>TMTB!N163</f>
        <v>15.7</v>
      </c>
      <c r="O163">
        <f>ABS(L163-TMTB!$C$34)</f>
        <v>12.831525239286682</v>
      </c>
      <c r="P163">
        <f t="shared" si="3"/>
        <v>15.7</v>
      </c>
    </row>
    <row r="164" spans="10:16">
      <c r="J164" s="5"/>
      <c r="L164">
        <f>TMTB!M164</f>
        <v>-0.947049904</v>
      </c>
      <c r="M164">
        <f>TMTB!N164</f>
        <v>15.8</v>
      </c>
      <c r="O164">
        <f>ABS(L164-TMTB!$C$34)</f>
        <v>12.828561327286682</v>
      </c>
      <c r="P164">
        <f t="shared" si="3"/>
        <v>15.8</v>
      </c>
    </row>
    <row r="165" spans="10:16">
      <c r="J165" s="5"/>
      <c r="L165">
        <f>TMTB!M165</f>
        <v>-0.94560135199999995</v>
      </c>
      <c r="M165">
        <f>TMTB!N165</f>
        <v>15.9</v>
      </c>
      <c r="O165">
        <f>ABS(L165-TMTB!$C$34)</f>
        <v>12.827112775286682</v>
      </c>
      <c r="P165">
        <f t="shared" si="3"/>
        <v>15.9</v>
      </c>
    </row>
    <row r="166" spans="10:16">
      <c r="J166" s="5"/>
      <c r="L166">
        <f>TMTB!M166</f>
        <v>-0.94444848000000003</v>
      </c>
      <c r="M166">
        <f>TMTB!N166</f>
        <v>16</v>
      </c>
      <c r="O166">
        <f>ABS(L166-TMTB!$C$34)</f>
        <v>12.825959903286682</v>
      </c>
      <c r="P166">
        <f t="shared" si="3"/>
        <v>16</v>
      </c>
    </row>
    <row r="167" spans="10:16">
      <c r="J167" s="5"/>
      <c r="L167">
        <f>TMTB!M167</f>
        <v>-0.94332271199999995</v>
      </c>
      <c r="M167">
        <f>TMTB!N167</f>
        <v>16.100000000000001</v>
      </c>
      <c r="O167">
        <f>ABS(L167-TMTB!$C$34)</f>
        <v>12.824834135286682</v>
      </c>
      <c r="P167">
        <f t="shared" si="3"/>
        <v>16.100000000000001</v>
      </c>
    </row>
    <row r="168" spans="10:16">
      <c r="J168" s="5"/>
      <c r="L168">
        <f>TMTB!M168</f>
        <v>-0.94226470399999995</v>
      </c>
      <c r="M168">
        <f>TMTB!N168</f>
        <v>16.2</v>
      </c>
      <c r="O168">
        <f>ABS(L168-TMTB!$C$34)</f>
        <v>12.823776127286681</v>
      </c>
      <c r="P168">
        <f t="shared" si="3"/>
        <v>16.2</v>
      </c>
    </row>
    <row r="169" spans="10:16">
      <c r="J169" s="5"/>
      <c r="L169">
        <f>TMTB!M169</f>
        <v>-0.94120669599999995</v>
      </c>
      <c r="M169">
        <f>TMTB!N169</f>
        <v>16.3</v>
      </c>
      <c r="O169">
        <f>ABS(L169-TMTB!$C$34)</f>
        <v>12.822718119286682</v>
      </c>
      <c r="P169">
        <f t="shared" si="3"/>
        <v>16.3</v>
      </c>
    </row>
    <row r="170" spans="10:16">
      <c r="J170" s="5"/>
      <c r="L170">
        <f>TMTB!M170</f>
        <v>-0.94086552000000001</v>
      </c>
      <c r="M170">
        <f>TMTB!N170</f>
        <v>16.399999999999999</v>
      </c>
      <c r="O170">
        <f>ABS(L170-TMTB!$C$34)</f>
        <v>12.822376943286681</v>
      </c>
      <c r="P170">
        <f t="shared" si="3"/>
        <v>16.399999999999999</v>
      </c>
    </row>
    <row r="171" spans="10:16">
      <c r="J171" s="5"/>
      <c r="L171">
        <f>TMTB!M171</f>
        <v>-0.94078320000000004</v>
      </c>
      <c r="M171">
        <f>TMTB!N171</f>
        <v>16.5</v>
      </c>
      <c r="O171">
        <f>ABS(L171-TMTB!$C$34)</f>
        <v>12.822294623286682</v>
      </c>
      <c r="P171">
        <f t="shared" si="3"/>
        <v>16.5</v>
      </c>
    </row>
    <row r="172" spans="10:16">
      <c r="J172" s="5"/>
      <c r="L172">
        <f>TMTB!M172</f>
        <v>-0.93795976800000003</v>
      </c>
      <c r="M172">
        <f>TMTB!N172</f>
        <v>16.600000000000001</v>
      </c>
      <c r="O172">
        <f>ABS(L172-TMTB!$C$34)</f>
        <v>12.819471191286683</v>
      </c>
      <c r="P172">
        <f t="shared" si="3"/>
        <v>16.600000000000001</v>
      </c>
    </row>
    <row r="173" spans="10:16">
      <c r="J173" s="5"/>
      <c r="L173">
        <f>TMTB!M173</f>
        <v>-0.92295361600000003</v>
      </c>
      <c r="M173">
        <f>TMTB!N173</f>
        <v>16.7</v>
      </c>
      <c r="O173">
        <f>ABS(L173-TMTB!$C$34)</f>
        <v>12.804465039286683</v>
      </c>
      <c r="P173">
        <f t="shared" si="3"/>
        <v>16.7</v>
      </c>
    </row>
    <row r="174" spans="10:16">
      <c r="J174" s="5"/>
      <c r="L174">
        <f>TMTB!M174</f>
        <v>-0.90794746400000004</v>
      </c>
      <c r="M174">
        <f>TMTB!N174</f>
        <v>16.8</v>
      </c>
      <c r="O174">
        <f>ABS(L174-TMTB!$C$34)</f>
        <v>12.789458887286681</v>
      </c>
      <c r="P174">
        <f t="shared" si="3"/>
        <v>16.8</v>
      </c>
    </row>
    <row r="175" spans="10:16">
      <c r="J175" s="5"/>
      <c r="L175">
        <f>TMTB!M175</f>
        <v>-0.90101569599999998</v>
      </c>
      <c r="M175">
        <f>TMTB!N175</f>
        <v>16.899999999999999</v>
      </c>
      <c r="O175">
        <f>ABS(L175-TMTB!$C$34)</f>
        <v>12.782527119286682</v>
      </c>
      <c r="P175">
        <f t="shared" si="3"/>
        <v>16.899999999999999</v>
      </c>
    </row>
    <row r="176" spans="10:16">
      <c r="J176" s="5"/>
      <c r="L176">
        <f>TMTB!M176</f>
        <v>-0.89877227999999998</v>
      </c>
      <c r="M176">
        <f>TMTB!N176</f>
        <v>17</v>
      </c>
      <c r="O176">
        <f>ABS(L176-TMTB!$C$34)</f>
        <v>12.780283703286681</v>
      </c>
      <c r="P176">
        <f t="shared" si="3"/>
        <v>17</v>
      </c>
    </row>
    <row r="177" spans="10:16">
      <c r="J177" s="5"/>
      <c r="L177">
        <f>TMTB!M177</f>
        <v>-0.89621392</v>
      </c>
      <c r="M177">
        <f>TMTB!N177</f>
        <v>17.100000000000001</v>
      </c>
      <c r="O177">
        <f>ABS(L177-TMTB!$C$34)</f>
        <v>12.777725343286681</v>
      </c>
      <c r="P177">
        <f t="shared" si="3"/>
        <v>17.100000000000001</v>
      </c>
    </row>
    <row r="178" spans="10:16">
      <c r="J178" s="5"/>
      <c r="L178">
        <f>TMTB!M178</f>
        <v>-0.89011244</v>
      </c>
      <c r="M178">
        <f>TMTB!N178</f>
        <v>17.2</v>
      </c>
      <c r="O178">
        <f>ABS(L178-TMTB!$C$34)</f>
        <v>12.771623863286681</v>
      </c>
      <c r="P178">
        <f t="shared" si="3"/>
        <v>17.2</v>
      </c>
    </row>
    <row r="179" spans="10:16">
      <c r="J179" s="5"/>
      <c r="L179">
        <f>TMTB!M179</f>
        <v>-0.88401096000000001</v>
      </c>
      <c r="M179">
        <f>TMTB!N179</f>
        <v>17.3</v>
      </c>
      <c r="O179">
        <f>ABS(L179-TMTB!$C$34)</f>
        <v>12.765522383286681</v>
      </c>
      <c r="P179">
        <f t="shared" si="3"/>
        <v>17.3</v>
      </c>
    </row>
    <row r="180" spans="10:16">
      <c r="J180" s="5"/>
      <c r="L180">
        <f>TMTB!M180</f>
        <v>-0.87956599199999996</v>
      </c>
      <c r="M180">
        <f>TMTB!N180</f>
        <v>17.399999999999999</v>
      </c>
      <c r="O180">
        <f>ABS(L180-TMTB!$C$34)</f>
        <v>12.761077415286682</v>
      </c>
      <c r="P180">
        <f t="shared" si="3"/>
        <v>17.399999999999999</v>
      </c>
    </row>
    <row r="181" spans="10:16">
      <c r="J181" s="5"/>
      <c r="L181">
        <f>TMTB!M181</f>
        <v>-0.87658639999999999</v>
      </c>
      <c r="M181">
        <f>TMTB!N181</f>
        <v>17.5</v>
      </c>
      <c r="O181">
        <f>ABS(L181-TMTB!$C$34)</f>
        <v>12.758097823286683</v>
      </c>
      <c r="P181">
        <f t="shared" si="3"/>
        <v>17.5</v>
      </c>
    </row>
    <row r="182" spans="10:16">
      <c r="J182" s="5"/>
      <c r="L182">
        <f>TMTB!M182</f>
        <v>-0.87360680800000001</v>
      </c>
      <c r="M182">
        <f>TMTB!N182</f>
        <v>17.600000000000001</v>
      </c>
      <c r="O182">
        <f>ABS(L182-TMTB!$C$34)</f>
        <v>12.755118231286682</v>
      </c>
      <c r="P182">
        <f t="shared" si="3"/>
        <v>17.600000000000001</v>
      </c>
    </row>
    <row r="183" spans="10:16">
      <c r="J183" s="5"/>
      <c r="L183">
        <f>TMTB!M183</f>
        <v>-0.86763009599999996</v>
      </c>
      <c r="M183">
        <f>TMTB!N183</f>
        <v>17.7</v>
      </c>
      <c r="O183">
        <f>ABS(L183-TMTB!$C$34)</f>
        <v>12.749141519286681</v>
      </c>
      <c r="P183">
        <f t="shared" si="3"/>
        <v>17.7</v>
      </c>
    </row>
    <row r="184" spans="10:16">
      <c r="J184" s="5"/>
      <c r="L184">
        <f>TMTB!M184</f>
        <v>-0.86159094400000003</v>
      </c>
      <c r="M184">
        <f>TMTB!N184</f>
        <v>17.8</v>
      </c>
      <c r="O184">
        <f>ABS(L184-TMTB!$C$34)</f>
        <v>12.743102367286681</v>
      </c>
      <c r="P184">
        <f t="shared" si="3"/>
        <v>17.8</v>
      </c>
    </row>
    <row r="185" spans="10:16">
      <c r="J185" s="5"/>
      <c r="L185">
        <f>TMTB!M185</f>
        <v>-0.85647176000000003</v>
      </c>
      <c r="M185">
        <f>TMTB!N185</f>
        <v>17.899999999999999</v>
      </c>
      <c r="O185">
        <f>ABS(L185-TMTB!$C$34)</f>
        <v>12.737983183286682</v>
      </c>
      <c r="P185">
        <f t="shared" si="3"/>
        <v>17.899999999999999</v>
      </c>
    </row>
    <row r="186" spans="10:16">
      <c r="J186" s="5"/>
      <c r="L186">
        <f>TMTB!M186</f>
        <v>-0.85257919999999998</v>
      </c>
      <c r="M186">
        <f>TMTB!N186</f>
        <v>18</v>
      </c>
      <c r="O186">
        <f>ABS(L186-TMTB!$C$34)</f>
        <v>12.734090623286681</v>
      </c>
      <c r="P186">
        <f t="shared" si="3"/>
        <v>18</v>
      </c>
    </row>
    <row r="187" spans="10:16">
      <c r="J187" s="5"/>
      <c r="L187">
        <f>TMTB!M187</f>
        <v>-0.84868664000000005</v>
      </c>
      <c r="M187">
        <f>TMTB!N187</f>
        <v>18.100000000000001</v>
      </c>
      <c r="O187">
        <f>ABS(L187-TMTB!$C$34)</f>
        <v>12.730198063286682</v>
      </c>
      <c r="P187">
        <f t="shared" si="3"/>
        <v>18.100000000000001</v>
      </c>
    </row>
    <row r="188" spans="10:16">
      <c r="J188" s="5"/>
      <c r="L188">
        <f>TMTB!M188</f>
        <v>-0.84674043200000004</v>
      </c>
      <c r="M188">
        <f>TMTB!N188</f>
        <v>18.2</v>
      </c>
      <c r="O188">
        <f>ABS(L188-TMTB!$C$34)</f>
        <v>12.728251855286683</v>
      </c>
      <c r="P188">
        <f t="shared" si="3"/>
        <v>18.2</v>
      </c>
    </row>
    <row r="189" spans="10:16">
      <c r="J189" s="5"/>
      <c r="L189">
        <f>TMTB!M189</f>
        <v>-0.84506580799999997</v>
      </c>
      <c r="M189">
        <f>TMTB!N189</f>
        <v>18.3</v>
      </c>
      <c r="O189">
        <f>ABS(L189-TMTB!$C$34)</f>
        <v>12.726577231286681</v>
      </c>
      <c r="P189">
        <f t="shared" si="3"/>
        <v>18.3</v>
      </c>
    </row>
    <row r="190" spans="10:16">
      <c r="J190" s="5"/>
      <c r="L190">
        <f>TMTB!M190</f>
        <v>-0.84340436799999996</v>
      </c>
      <c r="M190">
        <f>TMTB!N190</f>
        <v>18.399999999999999</v>
      </c>
      <c r="O190">
        <f>ABS(L190-TMTB!$C$34)</f>
        <v>12.724915791286682</v>
      </c>
      <c r="P190">
        <f t="shared" si="3"/>
        <v>18.399999999999999</v>
      </c>
    </row>
    <row r="191" spans="10:16">
      <c r="J191" s="5"/>
      <c r="L191">
        <f>TMTB!M191</f>
        <v>-0.84177011999999996</v>
      </c>
      <c r="M191">
        <f>TMTB!N191</f>
        <v>18.5</v>
      </c>
      <c r="O191">
        <f>ABS(L191-TMTB!$C$34)</f>
        <v>12.723281543286681</v>
      </c>
      <c r="P191">
        <f t="shared" si="3"/>
        <v>18.5</v>
      </c>
    </row>
    <row r="192" spans="10:16">
      <c r="J192" s="5"/>
      <c r="L192">
        <f>TMTB!M192</f>
        <v>-0.84013587199999995</v>
      </c>
      <c r="M192">
        <f>TMTB!N192</f>
        <v>18.600000000000001</v>
      </c>
      <c r="O192">
        <f>ABS(L192-TMTB!$C$34)</f>
        <v>12.721647295286681</v>
      </c>
      <c r="P192">
        <f t="shared" si="3"/>
        <v>18.600000000000001</v>
      </c>
    </row>
    <row r="193" spans="10:16">
      <c r="J193" s="5"/>
      <c r="L193">
        <f>TMTB!M193</f>
        <v>-0.83908530400000003</v>
      </c>
      <c r="M193">
        <f>TMTB!N193</f>
        <v>18.7</v>
      </c>
      <c r="O193">
        <f>ABS(L193-TMTB!$C$34)</f>
        <v>12.720596727286681</v>
      </c>
      <c r="P193">
        <f t="shared" si="3"/>
        <v>18.7</v>
      </c>
    </row>
    <row r="194" spans="10:16">
      <c r="J194" s="5"/>
      <c r="L194">
        <f>TMTB!M194</f>
        <v>-0.838203696</v>
      </c>
      <c r="M194">
        <f>TMTB!N194</f>
        <v>18.8</v>
      </c>
      <c r="O194">
        <f>ABS(L194-TMTB!$C$34)</f>
        <v>12.719715119286683</v>
      </c>
      <c r="P194">
        <f t="shared" si="3"/>
        <v>18.8</v>
      </c>
    </row>
    <row r="195" spans="10:16">
      <c r="J195" s="5"/>
      <c r="L195">
        <f>TMTB!M195</f>
        <v>-0.83709478400000004</v>
      </c>
      <c r="M195">
        <f>TMTB!N195</f>
        <v>18.899999999999999</v>
      </c>
      <c r="O195">
        <f>ABS(L195-TMTB!$C$34)</f>
        <v>12.718606207286681</v>
      </c>
      <c r="P195">
        <f t="shared" si="3"/>
        <v>18.899999999999999</v>
      </c>
    </row>
    <row r="196" spans="10:16">
      <c r="J196" s="5"/>
      <c r="L196">
        <f>TMTB!M196</f>
        <v>-0.83520064000000005</v>
      </c>
      <c r="M196">
        <f>TMTB!N196</f>
        <v>19</v>
      </c>
      <c r="O196">
        <f>ABS(L196-TMTB!$C$34)</f>
        <v>12.716712063286682</v>
      </c>
      <c r="P196">
        <f t="shared" si="3"/>
        <v>19</v>
      </c>
    </row>
    <row r="197" spans="10:16">
      <c r="J197" s="5"/>
      <c r="L197">
        <f>TMTB!M197</f>
        <v>-0.83330649599999995</v>
      </c>
      <c r="M197">
        <f>TMTB!N197</f>
        <v>19.100000000000001</v>
      </c>
      <c r="O197">
        <f>ABS(L197-TMTB!$C$34)</f>
        <v>12.714817919286682</v>
      </c>
      <c r="P197">
        <f t="shared" si="3"/>
        <v>19.100000000000001</v>
      </c>
    </row>
    <row r="198" spans="10:16">
      <c r="J198" s="5"/>
      <c r="L198">
        <f>TMTB!M198</f>
        <v>-0.83153748800000005</v>
      </c>
      <c r="M198">
        <f>TMTB!N198</f>
        <v>19.2</v>
      </c>
      <c r="O198">
        <f>ABS(L198-TMTB!$C$34)</f>
        <v>12.713048911286682</v>
      </c>
      <c r="P198">
        <f t="shared" si="3"/>
        <v>19.2</v>
      </c>
    </row>
    <row r="199" spans="10:16">
      <c r="J199" s="5"/>
      <c r="L199">
        <f>TMTB!M199</f>
        <v>-0.82982915199999996</v>
      </c>
      <c r="M199">
        <f>TMTB!N199</f>
        <v>19.3</v>
      </c>
      <c r="O199">
        <f>ABS(L199-TMTB!$C$34)</f>
        <v>12.711340575286682</v>
      </c>
      <c r="P199">
        <f t="shared" ref="P199:P262" si="4">M199</f>
        <v>19.3</v>
      </c>
    </row>
    <row r="200" spans="10:16">
      <c r="J200" s="5"/>
      <c r="L200">
        <f>TMTB!M200</f>
        <v>-0.82804804799999998</v>
      </c>
      <c r="M200">
        <f>TMTB!N200</f>
        <v>19.399999999999999</v>
      </c>
      <c r="O200">
        <f>ABS(L200-TMTB!$C$34)</f>
        <v>12.709559471286681</v>
      </c>
      <c r="P200">
        <f t="shared" si="4"/>
        <v>19.399999999999999</v>
      </c>
    </row>
    <row r="201" spans="10:16">
      <c r="J201" s="5"/>
      <c r="L201">
        <f>TMTB!M201</f>
        <v>-0.82574544000000005</v>
      </c>
      <c r="M201">
        <f>TMTB!N201</f>
        <v>19.5</v>
      </c>
      <c r="O201">
        <f>ABS(L201-TMTB!$C$34)</f>
        <v>12.707256863286682</v>
      </c>
      <c r="P201">
        <f t="shared" si="4"/>
        <v>19.5</v>
      </c>
    </row>
    <row r="202" spans="10:16">
      <c r="J202" s="5"/>
      <c r="L202">
        <f>TMTB!M202</f>
        <v>-0.82344283200000001</v>
      </c>
      <c r="M202">
        <f>TMTB!N202</f>
        <v>19.600000000000001</v>
      </c>
      <c r="O202">
        <f>ABS(L202-TMTB!$C$34)</f>
        <v>12.704954255286681</v>
      </c>
      <c r="P202">
        <f t="shared" si="4"/>
        <v>19.600000000000001</v>
      </c>
    </row>
    <row r="203" spans="10:16">
      <c r="J203" s="5"/>
      <c r="L203">
        <f>TMTB!M203</f>
        <v>-0.82099708800000004</v>
      </c>
      <c r="M203">
        <f>TMTB!N203</f>
        <v>19.7</v>
      </c>
      <c r="O203">
        <f>ABS(L203-TMTB!$C$34)</f>
        <v>12.702508511286682</v>
      </c>
      <c r="P203">
        <f t="shared" si="4"/>
        <v>19.7</v>
      </c>
    </row>
    <row r="204" spans="10:16">
      <c r="J204" s="5"/>
      <c r="L204">
        <f>TMTB!M204</f>
        <v>-0.81844399199999995</v>
      </c>
      <c r="M204">
        <f>TMTB!N204</f>
        <v>19.8</v>
      </c>
      <c r="O204">
        <f>ABS(L204-TMTB!$C$34)</f>
        <v>12.699955415286682</v>
      </c>
      <c r="P204">
        <f t="shared" si="4"/>
        <v>19.8</v>
      </c>
    </row>
    <row r="205" spans="10:16">
      <c r="J205" s="5"/>
      <c r="L205">
        <f>TMTB!M205</f>
        <v>-0.81589921600000004</v>
      </c>
      <c r="M205">
        <f>TMTB!N205</f>
        <v>19.899999999999999</v>
      </c>
      <c r="O205">
        <f>ABS(L205-TMTB!$C$34)</f>
        <v>12.697410639286682</v>
      </c>
      <c r="P205">
        <f t="shared" si="4"/>
        <v>19.899999999999999</v>
      </c>
    </row>
    <row r="206" spans="10:16">
      <c r="J206" s="5"/>
      <c r="L206">
        <f>TMTB!M206</f>
        <v>-0.81375379999999997</v>
      </c>
      <c r="M206">
        <f>TMTB!N206</f>
        <v>20</v>
      </c>
      <c r="O206">
        <f>ABS(L206-TMTB!$C$34)</f>
        <v>12.695265223286682</v>
      </c>
      <c r="P206">
        <f t="shared" si="4"/>
        <v>20</v>
      </c>
    </row>
    <row r="207" spans="10:16">
      <c r="J207" s="5"/>
      <c r="L207">
        <f>TMTB!M207</f>
        <v>-0.81160838400000002</v>
      </c>
      <c r="M207">
        <f>TMTB!N207</f>
        <v>20.100000000000001</v>
      </c>
      <c r="O207">
        <f>ABS(L207-TMTB!$C$34)</f>
        <v>12.693119807286681</v>
      </c>
      <c r="P207">
        <f t="shared" si="4"/>
        <v>20.100000000000001</v>
      </c>
    </row>
    <row r="208" spans="10:16">
      <c r="J208" s="5"/>
      <c r="L208">
        <f>TMTB!M208</f>
        <v>-0.80966463200000005</v>
      </c>
      <c r="M208">
        <f>TMTB!N208</f>
        <v>20.2</v>
      </c>
      <c r="O208">
        <f>ABS(L208-TMTB!$C$34)</f>
        <v>12.691176055286682</v>
      </c>
      <c r="P208">
        <f t="shared" si="4"/>
        <v>20.2</v>
      </c>
    </row>
    <row r="209" spans="10:16">
      <c r="J209" s="5"/>
      <c r="L209">
        <f>TMTB!M209</f>
        <v>-0.807948848</v>
      </c>
      <c r="M209">
        <f>TMTB!N209</f>
        <v>20.3</v>
      </c>
      <c r="O209">
        <f>ABS(L209-TMTB!$C$34)</f>
        <v>12.689460271286682</v>
      </c>
      <c r="P209">
        <f t="shared" si="4"/>
        <v>20.3</v>
      </c>
    </row>
    <row r="210" spans="10:16">
      <c r="J210" s="5"/>
      <c r="L210">
        <f>TMTB!M210</f>
        <v>-0.80623306400000005</v>
      </c>
      <c r="M210">
        <f>TMTB!N210</f>
        <v>20.399999999999999</v>
      </c>
      <c r="O210">
        <f>ABS(L210-TMTB!$C$34)</f>
        <v>12.687744487286682</v>
      </c>
      <c r="P210">
        <f t="shared" si="4"/>
        <v>20.399999999999999</v>
      </c>
    </row>
    <row r="211" spans="10:16">
      <c r="J211" s="5"/>
      <c r="L211">
        <f>TMTB!M211</f>
        <v>-0.80432647999999995</v>
      </c>
      <c r="M211">
        <f>TMTB!N211</f>
        <v>20.5</v>
      </c>
      <c r="O211">
        <f>ABS(L211-TMTB!$C$34)</f>
        <v>12.685837903286682</v>
      </c>
      <c r="P211">
        <f t="shared" si="4"/>
        <v>20.5</v>
      </c>
    </row>
    <row r="212" spans="10:16">
      <c r="J212" s="5"/>
      <c r="L212">
        <f>TMTB!M212</f>
        <v>-0.80240293600000001</v>
      </c>
      <c r="M212">
        <f>TMTB!N212</f>
        <v>20.6</v>
      </c>
      <c r="O212">
        <f>ABS(L212-TMTB!$C$34)</f>
        <v>12.683914359286682</v>
      </c>
      <c r="P212">
        <f t="shared" si="4"/>
        <v>20.6</v>
      </c>
    </row>
    <row r="213" spans="10:16">
      <c r="J213" s="5"/>
      <c r="L213">
        <f>TMTB!M213</f>
        <v>-0.80023732800000003</v>
      </c>
      <c r="M213">
        <f>TMTB!N213</f>
        <v>20.7</v>
      </c>
      <c r="O213">
        <f>ABS(L213-TMTB!$C$34)</f>
        <v>12.681748751286682</v>
      </c>
      <c r="P213">
        <f t="shared" si="4"/>
        <v>20.7</v>
      </c>
    </row>
    <row r="214" spans="10:16">
      <c r="J214" s="5"/>
      <c r="L214">
        <f>TMTB!M214</f>
        <v>-0.79765483199999998</v>
      </c>
      <c r="M214">
        <f>TMTB!N214</f>
        <v>20.8</v>
      </c>
      <c r="O214">
        <f>ABS(L214-TMTB!$C$34)</f>
        <v>12.679166255286681</v>
      </c>
      <c r="P214">
        <f t="shared" si="4"/>
        <v>20.8</v>
      </c>
    </row>
    <row r="215" spans="10:16">
      <c r="J215" s="5"/>
      <c r="L215">
        <f>TMTB!M215</f>
        <v>-0.79507233600000005</v>
      </c>
      <c r="M215">
        <f>TMTB!N215</f>
        <v>20.9</v>
      </c>
      <c r="O215">
        <f>ABS(L215-TMTB!$C$34)</f>
        <v>12.676583759286682</v>
      </c>
      <c r="P215">
        <f t="shared" si="4"/>
        <v>20.9</v>
      </c>
    </row>
    <row r="216" spans="10:16">
      <c r="J216" s="5"/>
      <c r="L216">
        <f>TMTB!M216</f>
        <v>-0.79455160000000002</v>
      </c>
      <c r="M216">
        <f>TMTB!N216</f>
        <v>21</v>
      </c>
      <c r="O216">
        <f>ABS(L216-TMTB!$C$34)</f>
        <v>12.676063023286682</v>
      </c>
      <c r="P216">
        <f t="shared" si="4"/>
        <v>21</v>
      </c>
    </row>
    <row r="217" spans="10:16">
      <c r="J217" s="5"/>
      <c r="L217">
        <f>TMTB!M217</f>
        <v>-0.79449475999999997</v>
      </c>
      <c r="M217">
        <f>TMTB!N217</f>
        <v>21.1</v>
      </c>
      <c r="O217">
        <f>ABS(L217-TMTB!$C$34)</f>
        <v>12.676006183286681</v>
      </c>
      <c r="P217">
        <f t="shared" si="4"/>
        <v>21.1</v>
      </c>
    </row>
    <row r="218" spans="10:16">
      <c r="J218" s="5"/>
      <c r="L218">
        <f>TMTB!M218</f>
        <v>-0.793992488</v>
      </c>
      <c r="M218">
        <f>TMTB!N218</f>
        <v>21.2</v>
      </c>
      <c r="O218">
        <f>ABS(L218-TMTB!$C$34)</f>
        <v>12.675503911286683</v>
      </c>
      <c r="P218">
        <f t="shared" si="4"/>
        <v>21.2</v>
      </c>
    </row>
    <row r="219" spans="10:16">
      <c r="J219" s="5"/>
      <c r="L219">
        <f>TMTB!M219</f>
        <v>-0.79225671200000003</v>
      </c>
      <c r="M219">
        <f>TMTB!N219</f>
        <v>21.3</v>
      </c>
      <c r="O219">
        <f>ABS(L219-TMTB!$C$34)</f>
        <v>12.673768135286682</v>
      </c>
      <c r="P219">
        <f t="shared" si="4"/>
        <v>21.3</v>
      </c>
    </row>
    <row r="220" spans="10:16">
      <c r="J220" s="5"/>
      <c r="L220">
        <f>TMTB!M220</f>
        <v>-0.79052093599999995</v>
      </c>
      <c r="M220">
        <f>TMTB!N220</f>
        <v>21.4</v>
      </c>
      <c r="O220">
        <f>ABS(L220-TMTB!$C$34)</f>
        <v>12.672032359286682</v>
      </c>
      <c r="P220">
        <f t="shared" si="4"/>
        <v>21.4</v>
      </c>
    </row>
    <row r="221" spans="10:16">
      <c r="J221" s="5"/>
      <c r="L221">
        <f>TMTB!M221</f>
        <v>-0.78941627999999997</v>
      </c>
      <c r="M221">
        <f>TMTB!N221</f>
        <v>21.5</v>
      </c>
      <c r="O221">
        <f>ABS(L221-TMTB!$C$34)</f>
        <v>12.670927703286681</v>
      </c>
      <c r="P221">
        <f t="shared" si="4"/>
        <v>21.5</v>
      </c>
    </row>
    <row r="222" spans="10:16">
      <c r="J222" s="5"/>
      <c r="L222">
        <f>TMTB!M222</f>
        <v>-0.788564072</v>
      </c>
      <c r="M222">
        <f>TMTB!N222</f>
        <v>21.6</v>
      </c>
      <c r="O222">
        <f>ABS(L222-TMTB!$C$34)</f>
        <v>12.670075495286682</v>
      </c>
      <c r="P222">
        <f t="shared" si="4"/>
        <v>21.6</v>
      </c>
    </row>
    <row r="223" spans="10:16">
      <c r="J223" s="5"/>
      <c r="L223">
        <f>TMTB!M223</f>
        <v>-0.78775755999999997</v>
      </c>
      <c r="M223">
        <f>TMTB!N223</f>
        <v>21.7</v>
      </c>
      <c r="O223">
        <f>ABS(L223-TMTB!$C$34)</f>
        <v>12.669268983286681</v>
      </c>
      <c r="P223">
        <f t="shared" si="4"/>
        <v>21.7</v>
      </c>
    </row>
    <row r="224" spans="10:16">
      <c r="J224" s="5"/>
      <c r="L224">
        <f>TMTB!M224</f>
        <v>-0.78718524000000001</v>
      </c>
      <c r="M224">
        <f>TMTB!N224</f>
        <v>21.8</v>
      </c>
      <c r="O224">
        <f>ABS(L224-TMTB!$C$34)</f>
        <v>12.668696663286681</v>
      </c>
      <c r="P224">
        <f t="shared" si="4"/>
        <v>21.8</v>
      </c>
    </row>
    <row r="225" spans="10:16">
      <c r="J225" s="5"/>
      <c r="L225">
        <f>TMTB!M225</f>
        <v>-0.78661292000000005</v>
      </c>
      <c r="M225">
        <f>TMTB!N225</f>
        <v>21.9</v>
      </c>
      <c r="O225">
        <f>ABS(L225-TMTB!$C$34)</f>
        <v>12.668124343286681</v>
      </c>
      <c r="P225">
        <f t="shared" si="4"/>
        <v>21.9</v>
      </c>
    </row>
    <row r="226" spans="10:16">
      <c r="J226" s="5"/>
      <c r="L226">
        <f>TMTB!M226</f>
        <v>-0.78617596000000001</v>
      </c>
      <c r="M226">
        <f>TMTB!N226</f>
        <v>22</v>
      </c>
      <c r="O226">
        <f>ABS(L226-TMTB!$C$34)</f>
        <v>12.667687383286681</v>
      </c>
      <c r="P226">
        <f t="shared" si="4"/>
        <v>22</v>
      </c>
    </row>
    <row r="227" spans="10:16">
      <c r="J227" s="5"/>
      <c r="L227">
        <f>TMTB!M227</f>
        <v>-0.78582472800000003</v>
      </c>
      <c r="M227">
        <f>TMTB!N227</f>
        <v>22.1</v>
      </c>
      <c r="O227">
        <f>ABS(L227-TMTB!$C$34)</f>
        <v>12.667336151286682</v>
      </c>
      <c r="P227">
        <f t="shared" si="4"/>
        <v>22.1</v>
      </c>
    </row>
    <row r="228" spans="10:16">
      <c r="J228" s="5"/>
      <c r="L228">
        <f>TMTB!M228</f>
        <v>-0.78528284000000004</v>
      </c>
      <c r="M228">
        <f>TMTB!N228</f>
        <v>22.2</v>
      </c>
      <c r="O228">
        <f>ABS(L228-TMTB!$C$34)</f>
        <v>12.666794263286683</v>
      </c>
      <c r="P228">
        <f t="shared" si="4"/>
        <v>22.2</v>
      </c>
    </row>
    <row r="229" spans="10:16">
      <c r="J229" s="5"/>
      <c r="L229">
        <f>TMTB!M229</f>
        <v>-0.78181756000000002</v>
      </c>
      <c r="M229">
        <f>TMTB!N229</f>
        <v>22.3</v>
      </c>
      <c r="O229">
        <f>ABS(L229-TMTB!$C$34)</f>
        <v>12.663328983286682</v>
      </c>
      <c r="P229">
        <f t="shared" si="4"/>
        <v>22.3</v>
      </c>
    </row>
    <row r="230" spans="10:16">
      <c r="J230" s="5"/>
      <c r="L230">
        <f>TMTB!M230</f>
        <v>-0.77835228000000001</v>
      </c>
      <c r="M230">
        <f>TMTB!N230</f>
        <v>22.4</v>
      </c>
      <c r="O230">
        <f>ABS(L230-TMTB!$C$34)</f>
        <v>12.659863703286682</v>
      </c>
      <c r="P230">
        <f t="shared" si="4"/>
        <v>22.4</v>
      </c>
    </row>
    <row r="231" spans="10:16">
      <c r="J231" s="5"/>
      <c r="L231">
        <f>TMTB!M231</f>
        <v>-0.77554420000000002</v>
      </c>
      <c r="M231">
        <f>TMTB!N231</f>
        <v>22.5</v>
      </c>
      <c r="O231">
        <f>ABS(L231-TMTB!$C$34)</f>
        <v>12.657055623286682</v>
      </c>
      <c r="P231">
        <f t="shared" si="4"/>
        <v>22.5</v>
      </c>
    </row>
    <row r="232" spans="10:16">
      <c r="J232" s="5"/>
      <c r="L232">
        <f>TMTB!M232</f>
        <v>-0.77336703200000001</v>
      </c>
      <c r="M232">
        <f>TMTB!N232</f>
        <v>22.6</v>
      </c>
      <c r="O232">
        <f>ABS(L232-TMTB!$C$34)</f>
        <v>12.654878455286681</v>
      </c>
      <c r="P232">
        <f t="shared" si="4"/>
        <v>22.6</v>
      </c>
    </row>
    <row r="233" spans="10:16">
      <c r="J233" s="5"/>
      <c r="L233">
        <f>TMTB!M233</f>
        <v>-0.771189864</v>
      </c>
      <c r="M233">
        <f>TMTB!N233</f>
        <v>22.7</v>
      </c>
      <c r="O233">
        <f>ABS(L233-TMTB!$C$34)</f>
        <v>12.652701287286682</v>
      </c>
      <c r="P233">
        <f t="shared" si="4"/>
        <v>22.7</v>
      </c>
    </row>
    <row r="234" spans="10:16">
      <c r="J234" s="5"/>
      <c r="L234">
        <f>TMTB!M234</f>
        <v>-0.76951728799999997</v>
      </c>
      <c r="M234">
        <f>TMTB!N234</f>
        <v>22.8</v>
      </c>
      <c r="O234">
        <f>ABS(L234-TMTB!$C$34)</f>
        <v>12.651028711286681</v>
      </c>
      <c r="P234">
        <f t="shared" si="4"/>
        <v>22.8</v>
      </c>
    </row>
    <row r="235" spans="10:16">
      <c r="J235" s="5"/>
      <c r="L235">
        <f>TMTB!M235</f>
        <v>-0.76786618399999995</v>
      </c>
      <c r="M235">
        <f>TMTB!N235</f>
        <v>22.9</v>
      </c>
      <c r="O235">
        <f>ABS(L235-TMTB!$C$34)</f>
        <v>12.649377607286683</v>
      </c>
      <c r="P235">
        <f t="shared" si="4"/>
        <v>22.9</v>
      </c>
    </row>
    <row r="236" spans="10:16">
      <c r="J236" s="5"/>
      <c r="L236">
        <f>TMTB!M236</f>
        <v>-0.76640547999999997</v>
      </c>
      <c r="M236">
        <f>TMTB!N236</f>
        <v>23</v>
      </c>
      <c r="O236">
        <f>ABS(L236-TMTB!$C$34)</f>
        <v>12.647916903286681</v>
      </c>
      <c r="P236">
        <f t="shared" si="4"/>
        <v>23</v>
      </c>
    </row>
    <row r="237" spans="10:16">
      <c r="J237" s="5"/>
      <c r="L237">
        <f>TMTB!M237</f>
        <v>-0.765220856</v>
      </c>
      <c r="M237">
        <f>TMTB!N237</f>
        <v>23.1</v>
      </c>
      <c r="O237">
        <f>ABS(L237-TMTB!$C$34)</f>
        <v>12.646732279286681</v>
      </c>
      <c r="P237">
        <f t="shared" si="4"/>
        <v>23.1</v>
      </c>
    </row>
    <row r="238" spans="10:16">
      <c r="J238" s="5"/>
      <c r="L238">
        <f>TMTB!M238</f>
        <v>-0.76403623200000004</v>
      </c>
      <c r="M238">
        <f>TMTB!N238</f>
        <v>23.2</v>
      </c>
      <c r="O238">
        <f>ABS(L238-TMTB!$C$34)</f>
        <v>12.645547655286682</v>
      </c>
      <c r="P238">
        <f t="shared" si="4"/>
        <v>23.2</v>
      </c>
    </row>
    <row r="239" spans="10:16">
      <c r="J239" s="5"/>
      <c r="L239">
        <f>TMTB!M239</f>
        <v>-0.76049154399999996</v>
      </c>
      <c r="M239">
        <f>TMTB!N239</f>
        <v>23.3</v>
      </c>
      <c r="O239">
        <f>ABS(L239-TMTB!$C$34)</f>
        <v>12.642002967286682</v>
      </c>
      <c r="P239">
        <f t="shared" si="4"/>
        <v>23.3</v>
      </c>
    </row>
    <row r="240" spans="10:16">
      <c r="J240" s="5"/>
      <c r="L240">
        <f>TMTB!M240</f>
        <v>-0.75655351199999998</v>
      </c>
      <c r="M240">
        <f>TMTB!N240</f>
        <v>23.4</v>
      </c>
      <c r="O240">
        <f>ABS(L240-TMTB!$C$34)</f>
        <v>12.638064935286682</v>
      </c>
      <c r="P240">
        <f t="shared" si="4"/>
        <v>23.4</v>
      </c>
    </row>
    <row r="241" spans="10:16">
      <c r="J241" s="5"/>
      <c r="L241">
        <f>TMTB!M241</f>
        <v>-0.75075175999999999</v>
      </c>
      <c r="M241">
        <f>TMTB!N241</f>
        <v>23.5</v>
      </c>
      <c r="O241">
        <f>ABS(L241-TMTB!$C$34)</f>
        <v>12.632263183286682</v>
      </c>
      <c r="P241">
        <f t="shared" si="4"/>
        <v>23.5</v>
      </c>
    </row>
    <row r="242" spans="10:16">
      <c r="J242" s="5"/>
      <c r="L242">
        <f>TMTB!M242</f>
        <v>-0.740725576</v>
      </c>
      <c r="M242">
        <f>TMTB!N242</f>
        <v>23.6</v>
      </c>
      <c r="O242">
        <f>ABS(L242-TMTB!$C$34)</f>
        <v>12.622236999286681</v>
      </c>
      <c r="P242">
        <f t="shared" si="4"/>
        <v>23.6</v>
      </c>
    </row>
    <row r="243" spans="10:16">
      <c r="J243" s="5"/>
      <c r="L243">
        <f>TMTB!M243</f>
        <v>-0.730699392</v>
      </c>
      <c r="M243">
        <f>TMTB!N243</f>
        <v>23.7</v>
      </c>
      <c r="O243">
        <f>ABS(L243-TMTB!$C$34)</f>
        <v>12.612210815286682</v>
      </c>
      <c r="P243">
        <f t="shared" si="4"/>
        <v>23.7</v>
      </c>
    </row>
    <row r="244" spans="10:16">
      <c r="J244" s="5"/>
      <c r="L244">
        <f>TMTB!M244</f>
        <v>-0.72733054399999997</v>
      </c>
      <c r="M244">
        <f>TMTB!N244</f>
        <v>23.8</v>
      </c>
      <c r="O244">
        <f>ABS(L244-TMTB!$C$34)</f>
        <v>12.608841967286683</v>
      </c>
      <c r="P244">
        <f t="shared" si="4"/>
        <v>23.8</v>
      </c>
    </row>
    <row r="245" spans="10:16">
      <c r="J245" s="5"/>
      <c r="L245">
        <f>TMTB!M245</f>
        <v>-0.72612083199999999</v>
      </c>
      <c r="M245">
        <f>TMTB!N245</f>
        <v>23.9</v>
      </c>
      <c r="O245">
        <f>ABS(L245-TMTB!$C$34)</f>
        <v>12.607632255286681</v>
      </c>
      <c r="P245">
        <f t="shared" si="4"/>
        <v>23.9</v>
      </c>
    </row>
    <row r="246" spans="10:16">
      <c r="J246" s="5"/>
      <c r="L246">
        <f>TMTB!M246</f>
        <v>-0.72512951999999997</v>
      </c>
      <c r="M246">
        <f>TMTB!N246</f>
        <v>24</v>
      </c>
      <c r="O246">
        <f>ABS(L246-TMTB!$C$34)</f>
        <v>12.606640943286681</v>
      </c>
      <c r="P246">
        <f t="shared" si="4"/>
        <v>24</v>
      </c>
    </row>
    <row r="247" spans="10:16">
      <c r="J247" s="5"/>
      <c r="L247">
        <f>TMTB!M247</f>
        <v>-0.72498996800000004</v>
      </c>
      <c r="M247">
        <f>TMTB!N247</f>
        <v>24.1</v>
      </c>
      <c r="O247">
        <f>ABS(L247-TMTB!$C$34)</f>
        <v>12.606501391286681</v>
      </c>
      <c r="P247">
        <f t="shared" si="4"/>
        <v>24.1</v>
      </c>
    </row>
    <row r="248" spans="10:16">
      <c r="J248" s="5"/>
      <c r="L248">
        <f>TMTB!M248</f>
        <v>-0.724850416</v>
      </c>
      <c r="M248">
        <f>TMTB!N248</f>
        <v>24.2</v>
      </c>
      <c r="O248">
        <f>ABS(L248-TMTB!$C$34)</f>
        <v>12.606361839286683</v>
      </c>
      <c r="P248">
        <f t="shared" si="4"/>
        <v>24.2</v>
      </c>
    </row>
    <row r="249" spans="10:16">
      <c r="J249" s="5"/>
      <c r="L249">
        <f>TMTB!M249</f>
        <v>-0.72070574399999998</v>
      </c>
      <c r="M249">
        <f>TMTB!N249</f>
        <v>24.3</v>
      </c>
      <c r="O249">
        <f>ABS(L249-TMTB!$C$34)</f>
        <v>12.602217167286682</v>
      </c>
      <c r="P249">
        <f t="shared" si="4"/>
        <v>24.3</v>
      </c>
    </row>
    <row r="250" spans="10:16">
      <c r="J250" s="5"/>
      <c r="L250">
        <f>TMTB!M250</f>
        <v>-0.71443335200000002</v>
      </c>
      <c r="M250">
        <f>TMTB!N250</f>
        <v>24.4</v>
      </c>
      <c r="O250">
        <f>ABS(L250-TMTB!$C$34)</f>
        <v>12.595944775286682</v>
      </c>
      <c r="P250">
        <f t="shared" si="4"/>
        <v>24.4</v>
      </c>
    </row>
    <row r="251" spans="10:16">
      <c r="J251" s="5"/>
      <c r="L251">
        <f>TMTB!M251</f>
        <v>-0.70877447999999998</v>
      </c>
      <c r="M251">
        <f>TMTB!N251</f>
        <v>24.5</v>
      </c>
      <c r="O251">
        <f>ABS(L251-TMTB!$C$34)</f>
        <v>12.590285903286683</v>
      </c>
      <c r="P251">
        <f t="shared" si="4"/>
        <v>24.5</v>
      </c>
    </row>
    <row r="252" spans="10:16">
      <c r="J252" s="5"/>
      <c r="L252">
        <f>TMTB!M252</f>
        <v>-0.708514584</v>
      </c>
      <c r="M252">
        <f>TMTB!N252</f>
        <v>24.6</v>
      </c>
      <c r="O252">
        <f>ABS(L252-TMTB!$C$34)</f>
        <v>12.590026007286681</v>
      </c>
      <c r="P252">
        <f t="shared" si="4"/>
        <v>24.6</v>
      </c>
    </row>
    <row r="253" spans="10:16">
      <c r="J253" s="5"/>
      <c r="L253">
        <f>TMTB!M253</f>
        <v>-0.70825468800000002</v>
      </c>
      <c r="M253">
        <f>TMTB!N253</f>
        <v>24.7</v>
      </c>
      <c r="O253">
        <f>ABS(L253-TMTB!$C$34)</f>
        <v>12.589766111286682</v>
      </c>
      <c r="P253">
        <f t="shared" si="4"/>
        <v>24.7</v>
      </c>
    </row>
    <row r="254" spans="10:16">
      <c r="J254" s="5"/>
      <c r="L254">
        <f>TMTB!M254</f>
        <v>-0.70706642399999997</v>
      </c>
      <c r="M254">
        <f>TMTB!N254</f>
        <v>24.8</v>
      </c>
      <c r="O254">
        <f>ABS(L254-TMTB!$C$34)</f>
        <v>12.588577847286682</v>
      </c>
      <c r="P254">
        <f t="shared" si="4"/>
        <v>24.8</v>
      </c>
    </row>
    <row r="255" spans="10:16">
      <c r="J255" s="5"/>
      <c r="L255">
        <f>TMTB!M255</f>
        <v>-0.70512171199999996</v>
      </c>
      <c r="M255">
        <f>TMTB!N255</f>
        <v>24.9</v>
      </c>
      <c r="O255">
        <f>ABS(L255-TMTB!$C$34)</f>
        <v>12.586633135286682</v>
      </c>
      <c r="P255">
        <f t="shared" si="4"/>
        <v>24.9</v>
      </c>
    </row>
    <row r="256" spans="10:16">
      <c r="J256" s="5"/>
      <c r="L256">
        <f>TMTB!M256</f>
        <v>-0.70317700000000005</v>
      </c>
      <c r="M256">
        <f>TMTB!N256</f>
        <v>25</v>
      </c>
      <c r="O256">
        <f>ABS(L256-TMTB!$C$34)</f>
        <v>12.584688423286682</v>
      </c>
      <c r="P256">
        <f t="shared" si="4"/>
        <v>25</v>
      </c>
    </row>
    <row r="257" spans="10:16">
      <c r="J257" s="5"/>
      <c r="L257">
        <f>TMTB!M257</f>
        <v>-0.70142750399999998</v>
      </c>
      <c r="M257">
        <f>TMTB!N257</f>
        <v>25.1</v>
      </c>
      <c r="O257">
        <f>ABS(L257-TMTB!$C$34)</f>
        <v>12.582938927286682</v>
      </c>
      <c r="P257">
        <f t="shared" si="4"/>
        <v>25.1</v>
      </c>
    </row>
    <row r="258" spans="10:16">
      <c r="J258" s="5"/>
      <c r="L258">
        <f>TMTB!M258</f>
        <v>-0.69967800800000002</v>
      </c>
      <c r="M258">
        <f>TMTB!N258</f>
        <v>25.2</v>
      </c>
      <c r="O258">
        <f>ABS(L258-TMTB!$C$34)</f>
        <v>12.581189431286681</v>
      </c>
      <c r="P258">
        <f t="shared" si="4"/>
        <v>25.2</v>
      </c>
    </row>
    <row r="259" spans="10:16">
      <c r="J259" s="5"/>
      <c r="L259">
        <f>TMTB!M259</f>
        <v>-0.69815273600000005</v>
      </c>
      <c r="M259">
        <f>TMTB!N259</f>
        <v>25.3</v>
      </c>
      <c r="O259">
        <f>ABS(L259-TMTB!$C$34)</f>
        <v>12.579664159286683</v>
      </c>
      <c r="P259">
        <f t="shared" si="4"/>
        <v>25.3</v>
      </c>
    </row>
    <row r="260" spans="10:16">
      <c r="J260" s="5"/>
      <c r="L260">
        <f>TMTB!M260</f>
        <v>-0.69690264800000001</v>
      </c>
      <c r="M260">
        <f>TMTB!N260</f>
        <v>25.4</v>
      </c>
      <c r="O260">
        <f>ABS(L260-TMTB!$C$34)</f>
        <v>12.578414071286682</v>
      </c>
      <c r="P260">
        <f t="shared" si="4"/>
        <v>25.4</v>
      </c>
    </row>
    <row r="261" spans="10:16">
      <c r="J261" s="5"/>
      <c r="L261">
        <f>TMTB!M261</f>
        <v>-0.69565255999999998</v>
      </c>
      <c r="M261">
        <f>TMTB!N261</f>
        <v>25.5</v>
      </c>
      <c r="O261">
        <f>ABS(L261-TMTB!$C$34)</f>
        <v>12.577163983286681</v>
      </c>
      <c r="P261">
        <f t="shared" si="4"/>
        <v>25.5</v>
      </c>
    </row>
    <row r="262" spans="10:16">
      <c r="J262" s="5"/>
      <c r="L262">
        <f>TMTB!M262</f>
        <v>-0.69316448799999997</v>
      </c>
      <c r="M262">
        <f>TMTB!N262</f>
        <v>25.6</v>
      </c>
      <c r="O262">
        <f>ABS(L262-TMTB!$C$34)</f>
        <v>12.574675911286683</v>
      </c>
      <c r="P262">
        <f t="shared" si="4"/>
        <v>25.6</v>
      </c>
    </row>
    <row r="263" spans="10:16">
      <c r="J263" s="5"/>
      <c r="L263">
        <f>TMTB!M263</f>
        <v>-0.69053573599999996</v>
      </c>
      <c r="M263">
        <f>TMTB!N263</f>
        <v>25.7</v>
      </c>
      <c r="O263">
        <f>ABS(L263-TMTB!$C$34)</f>
        <v>12.572047159286681</v>
      </c>
      <c r="P263">
        <f t="shared" ref="P263:P326" si="5">M263</f>
        <v>25.7</v>
      </c>
    </row>
    <row r="264" spans="10:16">
      <c r="J264" s="5"/>
      <c r="L264">
        <f>TMTB!M264</f>
        <v>-0.68581598399999999</v>
      </c>
      <c r="M264">
        <f>TMTB!N264</f>
        <v>25.8</v>
      </c>
      <c r="O264">
        <f>ABS(L264-TMTB!$C$34)</f>
        <v>12.567327407286681</v>
      </c>
      <c r="P264">
        <f t="shared" si="5"/>
        <v>25.8</v>
      </c>
    </row>
    <row r="265" spans="10:16">
      <c r="J265" s="5"/>
      <c r="L265">
        <f>TMTB!M265</f>
        <v>-0.67716023199999997</v>
      </c>
      <c r="M265">
        <f>TMTB!N265</f>
        <v>25.9</v>
      </c>
      <c r="O265">
        <f>ABS(L265-TMTB!$C$34)</f>
        <v>12.558671655286682</v>
      </c>
      <c r="P265">
        <f t="shared" si="5"/>
        <v>25.9</v>
      </c>
    </row>
    <row r="266" spans="10:16">
      <c r="J266" s="5"/>
      <c r="L266">
        <f>TMTB!M266</f>
        <v>-0.66850447999999996</v>
      </c>
      <c r="M266">
        <f>TMTB!N266</f>
        <v>26</v>
      </c>
      <c r="O266">
        <f>ABS(L266-TMTB!$C$34)</f>
        <v>12.550015903286681</v>
      </c>
      <c r="P266">
        <f t="shared" si="5"/>
        <v>26</v>
      </c>
    </row>
    <row r="267" spans="10:16">
      <c r="J267" s="5"/>
      <c r="L267">
        <f>TMTB!M267</f>
        <v>-0.66602976000000003</v>
      </c>
      <c r="M267">
        <f>TMTB!N267</f>
        <v>26.1</v>
      </c>
      <c r="O267">
        <f>ABS(L267-TMTB!$C$34)</f>
        <v>12.547541183286683</v>
      </c>
      <c r="P267">
        <f t="shared" si="5"/>
        <v>26.1</v>
      </c>
    </row>
    <row r="268" spans="10:16">
      <c r="J268" s="5"/>
      <c r="L268">
        <f>TMTB!M268</f>
        <v>-0.66513992</v>
      </c>
      <c r="M268">
        <f>TMTB!N268</f>
        <v>26.2</v>
      </c>
      <c r="O268">
        <f>ABS(L268-TMTB!$C$34)</f>
        <v>12.546651343286682</v>
      </c>
      <c r="P268">
        <f t="shared" si="5"/>
        <v>26.2</v>
      </c>
    </row>
    <row r="269" spans="10:16">
      <c r="J269" s="5"/>
      <c r="L269">
        <f>TMTB!M269</f>
        <v>-0.66328710400000002</v>
      </c>
      <c r="M269">
        <f>TMTB!N269</f>
        <v>26.3</v>
      </c>
      <c r="O269">
        <f>ABS(L269-TMTB!$C$34)</f>
        <v>12.544798527286682</v>
      </c>
      <c r="P269">
        <f t="shared" si="5"/>
        <v>26.3</v>
      </c>
    </row>
    <row r="270" spans="10:16">
      <c r="J270" s="5"/>
      <c r="L270">
        <f>TMTB!M270</f>
        <v>-0.65846511200000002</v>
      </c>
      <c r="M270">
        <f>TMTB!N270</f>
        <v>26.4</v>
      </c>
      <c r="O270">
        <f>ABS(L270-TMTB!$C$34)</f>
        <v>12.539976535286682</v>
      </c>
      <c r="P270">
        <f t="shared" si="5"/>
        <v>26.4</v>
      </c>
    </row>
    <row r="271" spans="10:16">
      <c r="J271" s="5"/>
      <c r="L271">
        <f>TMTB!M271</f>
        <v>-0.65364312000000002</v>
      </c>
      <c r="M271">
        <f>TMTB!N271</f>
        <v>26.5</v>
      </c>
      <c r="O271">
        <f>ABS(L271-TMTB!$C$34)</f>
        <v>12.535154543286682</v>
      </c>
      <c r="P271">
        <f t="shared" si="5"/>
        <v>26.5</v>
      </c>
    </row>
    <row r="272" spans="10:16">
      <c r="J272" s="5"/>
      <c r="L272">
        <f>TMTB!M272</f>
        <v>-0.64802579999999999</v>
      </c>
      <c r="M272">
        <f>TMTB!N272</f>
        <v>26.6</v>
      </c>
      <c r="O272">
        <f>ABS(L272-TMTB!$C$34)</f>
        <v>12.529537223286681</v>
      </c>
      <c r="P272">
        <f t="shared" si="5"/>
        <v>26.6</v>
      </c>
    </row>
    <row r="273" spans="10:16">
      <c r="J273" s="5"/>
      <c r="L273">
        <f>TMTB!M273</f>
        <v>-0.64205760000000001</v>
      </c>
      <c r="M273">
        <f>TMTB!N273</f>
        <v>26.7</v>
      </c>
      <c r="O273">
        <f>ABS(L273-TMTB!$C$34)</f>
        <v>12.523569023286681</v>
      </c>
      <c r="P273">
        <f t="shared" si="5"/>
        <v>26.7</v>
      </c>
    </row>
    <row r="274" spans="10:16">
      <c r="J274" s="5"/>
      <c r="L274">
        <f>TMTB!M274</f>
        <v>-0.63676912799999996</v>
      </c>
      <c r="M274">
        <f>TMTB!N274</f>
        <v>26.8</v>
      </c>
      <c r="O274">
        <f>ABS(L274-TMTB!$C$34)</f>
        <v>12.518280551286681</v>
      </c>
      <c r="P274">
        <f t="shared" si="5"/>
        <v>26.8</v>
      </c>
    </row>
    <row r="275" spans="10:16">
      <c r="J275" s="5"/>
      <c r="L275">
        <f>TMTB!M275</f>
        <v>-0.63555902399999997</v>
      </c>
      <c r="M275">
        <f>TMTB!N275</f>
        <v>26.9</v>
      </c>
      <c r="O275">
        <f>ABS(L275-TMTB!$C$34)</f>
        <v>12.517070447286681</v>
      </c>
      <c r="P275">
        <f t="shared" si="5"/>
        <v>26.9</v>
      </c>
    </row>
    <row r="276" spans="10:16">
      <c r="J276" s="5"/>
      <c r="L276">
        <f>TMTB!M276</f>
        <v>-0.63434891999999998</v>
      </c>
      <c r="M276">
        <f>TMTB!N276</f>
        <v>27</v>
      </c>
      <c r="O276">
        <f>ABS(L276-TMTB!$C$34)</f>
        <v>12.515860343286683</v>
      </c>
      <c r="P276">
        <f t="shared" si="5"/>
        <v>27</v>
      </c>
    </row>
    <row r="277" spans="10:16">
      <c r="J277" s="5"/>
      <c r="L277">
        <f>TMTB!M277</f>
        <v>-0.63253584799999996</v>
      </c>
      <c r="M277">
        <f>TMTB!N277</f>
        <v>27.1</v>
      </c>
      <c r="O277">
        <f>ABS(L277-TMTB!$C$34)</f>
        <v>12.514047271286682</v>
      </c>
      <c r="P277">
        <f t="shared" si="5"/>
        <v>27.1</v>
      </c>
    </row>
    <row r="278" spans="10:16">
      <c r="J278" s="5"/>
      <c r="L278">
        <f>TMTB!M278</f>
        <v>-0.63030693599999998</v>
      </c>
      <c r="M278">
        <f>TMTB!N278</f>
        <v>27.2</v>
      </c>
      <c r="O278">
        <f>ABS(L278-TMTB!$C$34)</f>
        <v>12.511818359286682</v>
      </c>
      <c r="P278">
        <f t="shared" si="5"/>
        <v>27.2</v>
      </c>
    </row>
    <row r="279" spans="10:16">
      <c r="J279" s="5"/>
      <c r="L279">
        <f>TMTB!M279</f>
        <v>-0.62812031199999996</v>
      </c>
      <c r="M279">
        <f>TMTB!N279</f>
        <v>27.3</v>
      </c>
      <c r="O279">
        <f>ABS(L279-TMTB!$C$34)</f>
        <v>12.509631735286682</v>
      </c>
      <c r="P279">
        <f t="shared" si="5"/>
        <v>27.3</v>
      </c>
    </row>
    <row r="280" spans="10:16">
      <c r="J280" s="5"/>
      <c r="L280">
        <f>TMTB!M280</f>
        <v>-0.62692745599999999</v>
      </c>
      <c r="M280">
        <f>TMTB!N280</f>
        <v>27.4</v>
      </c>
      <c r="O280">
        <f>ABS(L280-TMTB!$C$34)</f>
        <v>12.508438879286683</v>
      </c>
      <c r="P280">
        <f t="shared" si="5"/>
        <v>27.4</v>
      </c>
    </row>
    <row r="281" spans="10:16">
      <c r="J281" s="5"/>
      <c r="L281">
        <f>TMTB!M281</f>
        <v>-0.62573460000000003</v>
      </c>
      <c r="M281">
        <f>TMTB!N281</f>
        <v>27.5</v>
      </c>
      <c r="O281">
        <f>ABS(L281-TMTB!$C$34)</f>
        <v>12.507246023286681</v>
      </c>
      <c r="P281">
        <f t="shared" si="5"/>
        <v>27.5</v>
      </c>
    </row>
    <row r="282" spans="10:16">
      <c r="J282" s="5"/>
      <c r="L282">
        <f>TMTB!M282</f>
        <v>-0.62470244799999997</v>
      </c>
      <c r="M282">
        <f>TMTB!N282</f>
        <v>27.6</v>
      </c>
      <c r="O282">
        <f>ABS(L282-TMTB!$C$34)</f>
        <v>12.506213871286683</v>
      </c>
      <c r="P282">
        <f t="shared" si="5"/>
        <v>27.6</v>
      </c>
    </row>
    <row r="283" spans="10:16">
      <c r="J283" s="5"/>
      <c r="L283">
        <f>TMTB!M283</f>
        <v>-0.62383769600000005</v>
      </c>
      <c r="M283">
        <f>TMTB!N283</f>
        <v>27.7</v>
      </c>
      <c r="O283">
        <f>ABS(L283-TMTB!$C$34)</f>
        <v>12.505349119286683</v>
      </c>
      <c r="P283">
        <f t="shared" si="5"/>
        <v>27.7</v>
      </c>
    </row>
    <row r="284" spans="10:16">
      <c r="J284" s="5"/>
      <c r="L284">
        <f>TMTB!M284</f>
        <v>-0.62297294400000003</v>
      </c>
      <c r="M284">
        <f>TMTB!N284</f>
        <v>27.8</v>
      </c>
      <c r="O284">
        <f>ABS(L284-TMTB!$C$34)</f>
        <v>12.504484367286683</v>
      </c>
      <c r="P284">
        <f t="shared" si="5"/>
        <v>27.8</v>
      </c>
    </row>
    <row r="285" spans="10:16">
      <c r="J285" s="5"/>
      <c r="L285">
        <f>TMTB!M285</f>
        <v>-0.62167616000000003</v>
      </c>
      <c r="M285">
        <f>TMTB!N285</f>
        <v>27.9</v>
      </c>
      <c r="O285">
        <f>ABS(L285-TMTB!$C$34)</f>
        <v>12.503187583286682</v>
      </c>
      <c r="P285">
        <f t="shared" si="5"/>
        <v>27.9</v>
      </c>
    </row>
    <row r="286" spans="10:16">
      <c r="J286" s="5"/>
      <c r="L286">
        <f>TMTB!M286</f>
        <v>-0.62035119999999999</v>
      </c>
      <c r="M286">
        <f>TMTB!N286</f>
        <v>28</v>
      </c>
      <c r="O286">
        <f>ABS(L286-TMTB!$C$34)</f>
        <v>12.501862623286682</v>
      </c>
      <c r="P286">
        <f t="shared" si="5"/>
        <v>28</v>
      </c>
    </row>
    <row r="287" spans="10:16">
      <c r="J287" s="5"/>
      <c r="L287">
        <f>TMTB!M287</f>
        <v>-0.618785472</v>
      </c>
      <c r="M287">
        <f>TMTB!N287</f>
        <v>28.1</v>
      </c>
      <c r="O287">
        <f>ABS(L287-TMTB!$C$34)</f>
        <v>12.500296895286683</v>
      </c>
      <c r="P287">
        <f t="shared" si="5"/>
        <v>28.1</v>
      </c>
    </row>
    <row r="288" spans="10:16">
      <c r="J288" s="5"/>
      <c r="L288">
        <f>TMTB!M288</f>
        <v>-0.61683958400000005</v>
      </c>
      <c r="M288">
        <f>TMTB!N288</f>
        <v>28.2</v>
      </c>
      <c r="O288">
        <f>ABS(L288-TMTB!$C$34)</f>
        <v>12.498351007286683</v>
      </c>
      <c r="P288">
        <f t="shared" si="5"/>
        <v>28.2</v>
      </c>
    </row>
    <row r="289" spans="10:16">
      <c r="J289" s="5"/>
      <c r="L289">
        <f>TMTB!M289</f>
        <v>-0.61489369599999999</v>
      </c>
      <c r="M289">
        <f>TMTB!N289</f>
        <v>28.3</v>
      </c>
      <c r="O289">
        <f>ABS(L289-TMTB!$C$34)</f>
        <v>12.496405119286681</v>
      </c>
      <c r="P289">
        <f t="shared" si="5"/>
        <v>28.3</v>
      </c>
    </row>
    <row r="290" spans="10:16">
      <c r="J290" s="5"/>
      <c r="L290">
        <f>TMTB!M290</f>
        <v>-0.61435427200000003</v>
      </c>
      <c r="M290">
        <f>TMTB!N290</f>
        <v>28.4</v>
      </c>
      <c r="O290">
        <f>ABS(L290-TMTB!$C$34)</f>
        <v>12.495865695286682</v>
      </c>
      <c r="P290">
        <f t="shared" si="5"/>
        <v>28.4</v>
      </c>
    </row>
    <row r="291" spans="10:16">
      <c r="J291" s="5"/>
      <c r="L291">
        <f>TMTB!M291</f>
        <v>-0.61408927999999996</v>
      </c>
      <c r="M291">
        <f>TMTB!N291</f>
        <v>28.5</v>
      </c>
      <c r="O291">
        <f>ABS(L291-TMTB!$C$34)</f>
        <v>12.495600703286682</v>
      </c>
      <c r="P291">
        <f t="shared" si="5"/>
        <v>28.5</v>
      </c>
    </row>
    <row r="292" spans="10:16">
      <c r="J292" s="5"/>
      <c r="L292">
        <f>TMTB!M292</f>
        <v>-0.613750032</v>
      </c>
      <c r="M292">
        <f>TMTB!N292</f>
        <v>28.6</v>
      </c>
      <c r="O292">
        <f>ABS(L292-TMTB!$C$34)</f>
        <v>12.495261455286682</v>
      </c>
      <c r="P292">
        <f t="shared" si="5"/>
        <v>28.6</v>
      </c>
    </row>
    <row r="293" spans="10:16">
      <c r="J293" s="5"/>
      <c r="L293">
        <f>TMTB!M293</f>
        <v>-0.61322514400000006</v>
      </c>
      <c r="M293">
        <f>TMTB!N293</f>
        <v>28.7</v>
      </c>
      <c r="O293">
        <f>ABS(L293-TMTB!$C$34)</f>
        <v>12.494736567286681</v>
      </c>
      <c r="P293">
        <f t="shared" si="5"/>
        <v>28.7</v>
      </c>
    </row>
    <row r="294" spans="10:16">
      <c r="J294" s="5"/>
      <c r="L294">
        <f>TMTB!M294</f>
        <v>-0.612700256</v>
      </c>
      <c r="M294">
        <f>TMTB!N294</f>
        <v>28.8</v>
      </c>
      <c r="O294">
        <f>ABS(L294-TMTB!$C$34)</f>
        <v>12.494211679286682</v>
      </c>
      <c r="P294">
        <f t="shared" si="5"/>
        <v>28.8</v>
      </c>
    </row>
    <row r="295" spans="10:16">
      <c r="J295" s="5"/>
      <c r="L295">
        <f>TMTB!M295</f>
        <v>-0.61180471199999997</v>
      </c>
      <c r="M295">
        <f>TMTB!N295</f>
        <v>28.9</v>
      </c>
      <c r="O295">
        <f>ABS(L295-TMTB!$C$34)</f>
        <v>12.493316135286682</v>
      </c>
      <c r="P295">
        <f t="shared" si="5"/>
        <v>28.9</v>
      </c>
    </row>
    <row r="296" spans="10:16">
      <c r="J296" s="5"/>
      <c r="L296">
        <f>TMTB!M296</f>
        <v>-0.61077532000000001</v>
      </c>
      <c r="M296">
        <f>TMTB!N296</f>
        <v>29</v>
      </c>
      <c r="O296">
        <f>ABS(L296-TMTB!$C$34)</f>
        <v>12.492286743286682</v>
      </c>
      <c r="P296">
        <f t="shared" si="5"/>
        <v>29</v>
      </c>
    </row>
    <row r="297" spans="10:16">
      <c r="J297" s="5"/>
      <c r="L297">
        <f>TMTB!M297</f>
        <v>-0.60958421600000001</v>
      </c>
      <c r="M297">
        <f>TMTB!N297</f>
        <v>29.1</v>
      </c>
      <c r="O297">
        <f>ABS(L297-TMTB!$C$34)</f>
        <v>12.491095639286682</v>
      </c>
      <c r="P297">
        <f t="shared" si="5"/>
        <v>29.1</v>
      </c>
    </row>
    <row r="298" spans="10:16">
      <c r="J298" s="5"/>
      <c r="L298">
        <f>TMTB!M298</f>
        <v>-0.60767439199999995</v>
      </c>
      <c r="M298">
        <f>TMTB!N298</f>
        <v>29.2</v>
      </c>
      <c r="O298">
        <f>ABS(L298-TMTB!$C$34)</f>
        <v>12.489185815286682</v>
      </c>
      <c r="P298">
        <f t="shared" si="5"/>
        <v>29.2</v>
      </c>
    </row>
    <row r="299" spans="10:16">
      <c r="J299" s="5"/>
      <c r="L299">
        <f>TMTB!M299</f>
        <v>-0.605764568</v>
      </c>
      <c r="M299">
        <f>TMTB!N299</f>
        <v>29.3</v>
      </c>
      <c r="O299">
        <f>ABS(L299-TMTB!$C$34)</f>
        <v>12.487275991286682</v>
      </c>
      <c r="P299">
        <f t="shared" si="5"/>
        <v>29.3</v>
      </c>
    </row>
    <row r="300" spans="10:16">
      <c r="J300" s="5"/>
      <c r="L300">
        <f>TMTB!M300</f>
        <v>-0.60422600000000004</v>
      </c>
      <c r="M300">
        <f>TMTB!N300</f>
        <v>29.4</v>
      </c>
      <c r="O300">
        <f>ABS(L300-TMTB!$C$34)</f>
        <v>12.485737423286682</v>
      </c>
      <c r="P300">
        <f t="shared" si="5"/>
        <v>29.4</v>
      </c>
    </row>
    <row r="301" spans="10:16">
      <c r="J301" s="5"/>
      <c r="L301">
        <f>TMTB!M301</f>
        <v>-0.60290299999999997</v>
      </c>
      <c r="M301">
        <f>TMTB!N301</f>
        <v>29.5</v>
      </c>
      <c r="O301">
        <f>ABS(L301-TMTB!$C$34)</f>
        <v>12.484414423286681</v>
      </c>
      <c r="P301">
        <f t="shared" si="5"/>
        <v>29.5</v>
      </c>
    </row>
    <row r="302" spans="10:16">
      <c r="J302" s="5"/>
      <c r="L302">
        <f>TMTB!M302</f>
        <v>-0.601680416</v>
      </c>
      <c r="M302">
        <f>TMTB!N302</f>
        <v>29.6</v>
      </c>
      <c r="O302">
        <f>ABS(L302-TMTB!$C$34)</f>
        <v>12.483191839286683</v>
      </c>
      <c r="P302">
        <f t="shared" si="5"/>
        <v>29.6</v>
      </c>
    </row>
    <row r="303" spans="10:16">
      <c r="J303" s="5"/>
      <c r="L303">
        <f>TMTB!M303</f>
        <v>-0.60158751200000005</v>
      </c>
      <c r="M303">
        <f>TMTB!N303</f>
        <v>29.7</v>
      </c>
      <c r="O303">
        <f>ABS(L303-TMTB!$C$34)</f>
        <v>12.483098935286682</v>
      </c>
      <c r="P303">
        <f t="shared" si="5"/>
        <v>29.7</v>
      </c>
    </row>
    <row r="304" spans="10:16">
      <c r="J304" s="5"/>
      <c r="L304">
        <f>TMTB!M304</f>
        <v>-0.60149460799999999</v>
      </c>
      <c r="M304">
        <f>TMTB!N304</f>
        <v>29.8</v>
      </c>
      <c r="O304">
        <f>ABS(L304-TMTB!$C$34)</f>
        <v>12.483006031286681</v>
      </c>
      <c r="P304">
        <f t="shared" si="5"/>
        <v>29.8</v>
      </c>
    </row>
    <row r="305" spans="10:16">
      <c r="J305" s="5"/>
      <c r="L305">
        <f>TMTB!M305</f>
        <v>-0.59985896800000005</v>
      </c>
      <c r="M305">
        <f>TMTB!N305</f>
        <v>29.9</v>
      </c>
      <c r="O305">
        <f>ABS(L305-TMTB!$C$34)</f>
        <v>12.481370391286681</v>
      </c>
      <c r="P305">
        <f t="shared" si="5"/>
        <v>29.9</v>
      </c>
    </row>
    <row r="306" spans="10:16">
      <c r="J306" s="5"/>
      <c r="L306">
        <f>TMTB!M306</f>
        <v>-0.59685860000000002</v>
      </c>
      <c r="M306">
        <f>TMTB!N306</f>
        <v>30</v>
      </c>
      <c r="O306">
        <f>ABS(L306-TMTB!$C$34)</f>
        <v>12.478370023286683</v>
      </c>
      <c r="P306">
        <f t="shared" si="5"/>
        <v>30</v>
      </c>
    </row>
    <row r="307" spans="10:16">
      <c r="J307" s="5"/>
      <c r="L307">
        <f>TMTB!M307</f>
        <v>-0.59385823199999999</v>
      </c>
      <c r="M307">
        <f>TMTB!N307</f>
        <v>30.1</v>
      </c>
      <c r="O307">
        <f>ABS(L307-TMTB!$C$34)</f>
        <v>12.475369655286682</v>
      </c>
      <c r="P307">
        <f t="shared" si="5"/>
        <v>30.1</v>
      </c>
    </row>
    <row r="308" spans="10:16">
      <c r="J308" s="5"/>
      <c r="L308">
        <f>TMTB!M308</f>
        <v>-0.59379700000000002</v>
      </c>
      <c r="M308">
        <f>TMTB!N308</f>
        <v>30.2</v>
      </c>
      <c r="O308">
        <f>ABS(L308-TMTB!$C$34)</f>
        <v>12.475308423286682</v>
      </c>
      <c r="P308">
        <f t="shared" si="5"/>
        <v>30.2</v>
      </c>
    </row>
    <row r="309" spans="10:16">
      <c r="J309" s="5"/>
      <c r="L309">
        <f>TMTB!M309</f>
        <v>-0.59379700000000002</v>
      </c>
      <c r="M309">
        <f>TMTB!N309</f>
        <v>30.3</v>
      </c>
      <c r="O309">
        <f>ABS(L309-TMTB!$C$34)</f>
        <v>12.475308423286682</v>
      </c>
      <c r="P309">
        <f t="shared" si="5"/>
        <v>30.3</v>
      </c>
    </row>
    <row r="310" spans="10:16">
      <c r="J310" s="5"/>
      <c r="L310">
        <f>TMTB!M310</f>
        <v>-0.59360816800000005</v>
      </c>
      <c r="M310">
        <f>TMTB!N310</f>
        <v>30.4</v>
      </c>
      <c r="O310">
        <f>ABS(L310-TMTB!$C$34)</f>
        <v>12.475119591286681</v>
      </c>
      <c r="P310">
        <f t="shared" si="5"/>
        <v>30.4</v>
      </c>
    </row>
    <row r="311" spans="10:16">
      <c r="J311" s="5"/>
      <c r="L311">
        <f>TMTB!M311</f>
        <v>-0.59316756000000004</v>
      </c>
      <c r="M311">
        <f>TMTB!N311</f>
        <v>30.5</v>
      </c>
      <c r="O311">
        <f>ABS(L311-TMTB!$C$34)</f>
        <v>12.474678983286681</v>
      </c>
      <c r="P311">
        <f t="shared" si="5"/>
        <v>30.5</v>
      </c>
    </row>
    <row r="312" spans="10:16">
      <c r="J312" s="5"/>
      <c r="L312">
        <f>TMTB!M312</f>
        <v>-0.59272695200000003</v>
      </c>
      <c r="M312">
        <f>TMTB!N312</f>
        <v>30.6</v>
      </c>
      <c r="O312">
        <f>ABS(L312-TMTB!$C$34)</f>
        <v>12.474238375286681</v>
      </c>
      <c r="P312">
        <f t="shared" si="5"/>
        <v>30.6</v>
      </c>
    </row>
    <row r="313" spans="10:16">
      <c r="J313" s="5"/>
      <c r="L313">
        <f>TMTB!M313</f>
        <v>-0.59190140800000002</v>
      </c>
      <c r="M313">
        <f>TMTB!N313</f>
        <v>30.7</v>
      </c>
      <c r="O313">
        <f>ABS(L313-TMTB!$C$34)</f>
        <v>12.473412831286682</v>
      </c>
      <c r="P313">
        <f t="shared" si="5"/>
        <v>30.7</v>
      </c>
    </row>
    <row r="314" spans="10:16">
      <c r="J314" s="5"/>
      <c r="L314">
        <f>TMTB!M314</f>
        <v>-0.59102215199999997</v>
      </c>
      <c r="M314">
        <f>TMTB!N314</f>
        <v>30.8</v>
      </c>
      <c r="O314">
        <f>ABS(L314-TMTB!$C$34)</f>
        <v>12.472533575286683</v>
      </c>
      <c r="P314">
        <f t="shared" si="5"/>
        <v>30.8</v>
      </c>
    </row>
    <row r="315" spans="10:16">
      <c r="J315" s="5"/>
      <c r="L315">
        <f>TMTB!M315</f>
        <v>-0.58976708799999999</v>
      </c>
      <c r="M315">
        <f>TMTB!N315</f>
        <v>30.9</v>
      </c>
      <c r="O315">
        <f>ABS(L315-TMTB!$C$34)</f>
        <v>12.471278511286682</v>
      </c>
      <c r="P315">
        <f t="shared" si="5"/>
        <v>30.9</v>
      </c>
    </row>
    <row r="316" spans="10:16">
      <c r="J316" s="5"/>
      <c r="L316">
        <f>TMTB!M316</f>
        <v>-0.58773692</v>
      </c>
      <c r="M316">
        <f>TMTB!N316</f>
        <v>31</v>
      </c>
      <c r="O316">
        <f>ABS(L316-TMTB!$C$34)</f>
        <v>12.469248343286681</v>
      </c>
      <c r="P316">
        <f t="shared" si="5"/>
        <v>31</v>
      </c>
    </row>
    <row r="317" spans="10:16">
      <c r="J317" s="5"/>
      <c r="L317">
        <f>TMTB!M317</f>
        <v>-0.585706752</v>
      </c>
      <c r="M317">
        <f>TMTB!N317</f>
        <v>31.1</v>
      </c>
      <c r="O317">
        <f>ABS(L317-TMTB!$C$34)</f>
        <v>12.467218175286682</v>
      </c>
      <c r="P317">
        <f t="shared" si="5"/>
        <v>31.1</v>
      </c>
    </row>
    <row r="318" spans="10:16">
      <c r="J318" s="5"/>
      <c r="L318">
        <f>TMTB!M318</f>
        <v>-0.58484972000000002</v>
      </c>
      <c r="M318">
        <f>TMTB!N318</f>
        <v>31.2</v>
      </c>
      <c r="O318">
        <f>ABS(L318-TMTB!$C$34)</f>
        <v>12.466361143286681</v>
      </c>
      <c r="P318">
        <f t="shared" si="5"/>
        <v>31.2</v>
      </c>
    </row>
    <row r="319" spans="10:16">
      <c r="J319" s="5"/>
      <c r="L319">
        <f>TMTB!M319</f>
        <v>-0.58433228000000004</v>
      </c>
      <c r="M319">
        <f>TMTB!N319</f>
        <v>31.3</v>
      </c>
      <c r="O319">
        <f>ABS(L319-TMTB!$C$34)</f>
        <v>12.465843703286682</v>
      </c>
      <c r="P319">
        <f t="shared" si="5"/>
        <v>31.3</v>
      </c>
    </row>
    <row r="320" spans="10:16">
      <c r="J320" s="5"/>
      <c r="L320">
        <f>TMTB!M320</f>
        <v>-0.58337897599999999</v>
      </c>
      <c r="M320">
        <f>TMTB!N320</f>
        <v>31.4</v>
      </c>
      <c r="O320">
        <f>ABS(L320-TMTB!$C$34)</f>
        <v>12.464890399286682</v>
      </c>
      <c r="P320">
        <f t="shared" si="5"/>
        <v>31.4</v>
      </c>
    </row>
    <row r="321" spans="10:16">
      <c r="J321" s="5"/>
      <c r="L321">
        <f>TMTB!M321</f>
        <v>-0.58091996000000001</v>
      </c>
      <c r="M321">
        <f>TMTB!N321</f>
        <v>31.5</v>
      </c>
      <c r="O321">
        <f>ABS(L321-TMTB!$C$34)</f>
        <v>12.462431383286681</v>
      </c>
      <c r="P321">
        <f t="shared" si="5"/>
        <v>31.5</v>
      </c>
    </row>
    <row r="322" spans="10:16">
      <c r="J322" s="5"/>
      <c r="L322">
        <f>TMTB!M322</f>
        <v>-0.57846094400000003</v>
      </c>
      <c r="M322">
        <f>TMTB!N322</f>
        <v>31.6</v>
      </c>
      <c r="O322">
        <f>ABS(L322-TMTB!$C$34)</f>
        <v>12.459972367286682</v>
      </c>
      <c r="P322">
        <f t="shared" si="5"/>
        <v>31.6</v>
      </c>
    </row>
    <row r="323" spans="10:16">
      <c r="J323" s="5"/>
      <c r="L323">
        <f>TMTB!M323</f>
        <v>-0.57535486400000002</v>
      </c>
      <c r="M323">
        <f>TMTB!N323</f>
        <v>31.7</v>
      </c>
      <c r="O323">
        <f>ABS(L323-TMTB!$C$34)</f>
        <v>12.456866287286681</v>
      </c>
      <c r="P323">
        <f t="shared" si="5"/>
        <v>31.7</v>
      </c>
    </row>
    <row r="324" spans="10:16">
      <c r="J324" s="5"/>
      <c r="L324">
        <f>TMTB!M324</f>
        <v>-0.57193505600000005</v>
      </c>
      <c r="M324">
        <f>TMTB!N324</f>
        <v>31.8</v>
      </c>
      <c r="O324">
        <f>ABS(L324-TMTB!$C$34)</f>
        <v>12.453446479286683</v>
      </c>
      <c r="P324">
        <f t="shared" si="5"/>
        <v>31.8</v>
      </c>
    </row>
    <row r="325" spans="10:16">
      <c r="J325" s="5"/>
      <c r="L325">
        <f>TMTB!M325</f>
        <v>-0.56890673599999997</v>
      </c>
      <c r="M325">
        <f>TMTB!N325</f>
        <v>31.9</v>
      </c>
      <c r="O325">
        <f>ABS(L325-TMTB!$C$34)</f>
        <v>12.450418159286682</v>
      </c>
      <c r="P325">
        <f t="shared" si="5"/>
        <v>31.9</v>
      </c>
    </row>
    <row r="326" spans="10:16">
      <c r="J326" s="5"/>
      <c r="L326">
        <f>TMTB!M326</f>
        <v>-0.56868408000000004</v>
      </c>
      <c r="M326">
        <f>TMTB!N326</f>
        <v>32</v>
      </c>
      <c r="O326">
        <f>ABS(L326-TMTB!$C$34)</f>
        <v>12.450195503286682</v>
      </c>
      <c r="P326">
        <f t="shared" si="5"/>
        <v>32</v>
      </c>
    </row>
    <row r="327" spans="10:16">
      <c r="J327" s="5"/>
      <c r="L327">
        <f>TMTB!M327</f>
        <v>-0.56846142399999999</v>
      </c>
      <c r="M327">
        <f>TMTB!N327</f>
        <v>32.1</v>
      </c>
      <c r="O327">
        <f>ABS(L327-TMTB!$C$34)</f>
        <v>12.449972847286682</v>
      </c>
      <c r="P327">
        <f t="shared" ref="P327:P390" si="6">M327</f>
        <v>32.1</v>
      </c>
    </row>
    <row r="328" spans="10:16">
      <c r="J328" s="5"/>
      <c r="L328">
        <f>TMTB!M328</f>
        <v>-0.56306996799999998</v>
      </c>
      <c r="M328">
        <f>TMTB!N328</f>
        <v>32.200000000000003</v>
      </c>
      <c r="O328">
        <f>ABS(L328-TMTB!$C$34)</f>
        <v>12.444581391286683</v>
      </c>
      <c r="P328">
        <f t="shared" si="6"/>
        <v>32.200000000000003</v>
      </c>
    </row>
    <row r="329" spans="10:16">
      <c r="J329" s="5"/>
      <c r="L329">
        <f>TMTB!M329</f>
        <v>-0.55380191199999995</v>
      </c>
      <c r="M329">
        <f>TMTB!N329</f>
        <v>32.299999999999997</v>
      </c>
      <c r="O329">
        <f>ABS(L329-TMTB!$C$34)</f>
        <v>12.435313335286683</v>
      </c>
      <c r="P329">
        <f t="shared" si="6"/>
        <v>32.299999999999997</v>
      </c>
    </row>
    <row r="330" spans="10:16">
      <c r="J330" s="5"/>
      <c r="L330">
        <f>TMTB!M330</f>
        <v>-0.54458116000000001</v>
      </c>
      <c r="M330">
        <f>TMTB!N330</f>
        <v>32.4</v>
      </c>
      <c r="O330">
        <f>ABS(L330-TMTB!$C$34)</f>
        <v>12.426092583286682</v>
      </c>
      <c r="P330">
        <f t="shared" si="6"/>
        <v>32.4</v>
      </c>
    </row>
    <row r="331" spans="10:16">
      <c r="J331" s="5"/>
      <c r="L331">
        <f>TMTB!M331</f>
        <v>-0.53763099999999997</v>
      </c>
      <c r="M331">
        <f>TMTB!N331</f>
        <v>32.5</v>
      </c>
      <c r="O331">
        <f>ABS(L331-TMTB!$C$34)</f>
        <v>12.419142423286681</v>
      </c>
      <c r="P331">
        <f t="shared" si="6"/>
        <v>32.5</v>
      </c>
    </row>
    <row r="332" spans="10:16">
      <c r="J332" s="5"/>
      <c r="L332">
        <f>TMTB!M332</f>
        <v>-0.53068084000000004</v>
      </c>
      <c r="M332">
        <f>TMTB!N332</f>
        <v>32.6</v>
      </c>
      <c r="O332">
        <f>ABS(L332-TMTB!$C$34)</f>
        <v>12.412192263286682</v>
      </c>
      <c r="P332">
        <f t="shared" si="6"/>
        <v>32.6</v>
      </c>
    </row>
    <row r="333" spans="10:16">
      <c r="J333" s="5"/>
      <c r="L333">
        <f>TMTB!M333</f>
        <v>-0.52499880799999998</v>
      </c>
      <c r="M333">
        <f>TMTB!N333</f>
        <v>32.700000000000003</v>
      </c>
      <c r="O333">
        <f>ABS(L333-TMTB!$C$34)</f>
        <v>12.406510231286681</v>
      </c>
      <c r="P333">
        <f t="shared" si="6"/>
        <v>32.700000000000003</v>
      </c>
    </row>
    <row r="334" spans="10:16">
      <c r="J334" s="5"/>
      <c r="L334">
        <f>TMTB!M334</f>
        <v>-0.52075031199999999</v>
      </c>
      <c r="M334">
        <f>TMTB!N334</f>
        <v>32.799999999999997</v>
      </c>
      <c r="O334">
        <f>ABS(L334-TMTB!$C$34)</f>
        <v>12.402261735286682</v>
      </c>
      <c r="P334">
        <f t="shared" si="6"/>
        <v>32.799999999999997</v>
      </c>
    </row>
    <row r="335" spans="10:16">
      <c r="J335" s="5"/>
      <c r="L335">
        <f>TMTB!M335</f>
        <v>-0.516501816</v>
      </c>
      <c r="M335">
        <f>TMTB!N335</f>
        <v>32.9</v>
      </c>
      <c r="O335">
        <f>ABS(L335-TMTB!$C$34)</f>
        <v>12.398013239286682</v>
      </c>
      <c r="P335">
        <f t="shared" si="6"/>
        <v>32.9</v>
      </c>
    </row>
    <row r="336" spans="10:16">
      <c r="J336" s="5"/>
      <c r="L336">
        <f>TMTB!M336</f>
        <v>-0.51453680000000002</v>
      </c>
      <c r="M336">
        <f>TMTB!N336</f>
        <v>33</v>
      </c>
      <c r="O336">
        <f>ABS(L336-TMTB!$C$34)</f>
        <v>12.396048223286682</v>
      </c>
      <c r="P336">
        <f t="shared" si="6"/>
        <v>33</v>
      </c>
    </row>
    <row r="337" spans="10:16">
      <c r="J337" s="5"/>
      <c r="L337">
        <f>TMTB!M337</f>
        <v>-0.51277476</v>
      </c>
      <c r="M337">
        <f>TMTB!N337</f>
        <v>33.1</v>
      </c>
      <c r="O337">
        <f>ABS(L337-TMTB!$C$34)</f>
        <v>12.394286183286681</v>
      </c>
      <c r="P337">
        <f t="shared" si="6"/>
        <v>33.1</v>
      </c>
    </row>
    <row r="338" spans="10:16">
      <c r="J338" s="5"/>
      <c r="L338">
        <f>TMTB!M338</f>
        <v>-0.51064033600000003</v>
      </c>
      <c r="M338">
        <f>TMTB!N338</f>
        <v>33.200000000000003</v>
      </c>
      <c r="O338">
        <f>ABS(L338-TMTB!$C$34)</f>
        <v>12.392151759286682</v>
      </c>
      <c r="P338">
        <f t="shared" si="6"/>
        <v>33.200000000000003</v>
      </c>
    </row>
    <row r="339" spans="10:16">
      <c r="J339" s="5"/>
      <c r="L339">
        <f>TMTB!M339</f>
        <v>-0.50786458400000001</v>
      </c>
      <c r="M339">
        <f>TMTB!N339</f>
        <v>33.299999999999997</v>
      </c>
      <c r="O339">
        <f>ABS(L339-TMTB!$C$34)</f>
        <v>12.389376007286682</v>
      </c>
      <c r="P339">
        <f t="shared" si="6"/>
        <v>33.299999999999997</v>
      </c>
    </row>
    <row r="340" spans="10:16">
      <c r="J340" s="5"/>
      <c r="L340">
        <f>TMTB!M340</f>
        <v>-0.50508883199999999</v>
      </c>
      <c r="M340">
        <f>TMTB!N340</f>
        <v>33.4</v>
      </c>
      <c r="O340">
        <f>ABS(L340-TMTB!$C$34)</f>
        <v>12.386600255286682</v>
      </c>
      <c r="P340">
        <f t="shared" si="6"/>
        <v>33.4</v>
      </c>
    </row>
    <row r="341" spans="10:16">
      <c r="J341" s="5"/>
      <c r="L341">
        <f>TMTB!M341</f>
        <v>-0.50105548</v>
      </c>
      <c r="M341">
        <f>TMTB!N341</f>
        <v>33.5</v>
      </c>
      <c r="O341">
        <f>ABS(L341-TMTB!$C$34)</f>
        <v>12.382566903286682</v>
      </c>
      <c r="P341">
        <f t="shared" si="6"/>
        <v>33.5</v>
      </c>
    </row>
    <row r="342" spans="10:16">
      <c r="J342" s="5"/>
      <c r="L342">
        <f>TMTB!M342</f>
        <v>-0.49673916800000001</v>
      </c>
      <c r="M342">
        <f>TMTB!N342</f>
        <v>33.6</v>
      </c>
      <c r="O342">
        <f>ABS(L342-TMTB!$C$34)</f>
        <v>12.378250591286681</v>
      </c>
      <c r="P342">
        <f t="shared" si="6"/>
        <v>33.6</v>
      </c>
    </row>
    <row r="343" spans="10:16">
      <c r="J343" s="5"/>
      <c r="L343">
        <f>TMTB!M343</f>
        <v>-0.49260215200000002</v>
      </c>
      <c r="M343">
        <f>TMTB!N343</f>
        <v>33.700000000000003</v>
      </c>
      <c r="O343">
        <f>ABS(L343-TMTB!$C$34)</f>
        <v>12.374113575286682</v>
      </c>
      <c r="P343">
        <f t="shared" si="6"/>
        <v>33.700000000000003</v>
      </c>
    </row>
    <row r="344" spans="10:16">
      <c r="J344" s="5"/>
      <c r="L344">
        <f>TMTB!M344</f>
        <v>-0.48896164800000003</v>
      </c>
      <c r="M344">
        <f>TMTB!N344</f>
        <v>33.799999999999997</v>
      </c>
      <c r="O344">
        <f>ABS(L344-TMTB!$C$34)</f>
        <v>12.370473071286682</v>
      </c>
      <c r="P344">
        <f t="shared" si="6"/>
        <v>33.799999999999997</v>
      </c>
    </row>
    <row r="345" spans="10:16">
      <c r="J345" s="5"/>
      <c r="L345">
        <f>TMTB!M345</f>
        <v>-0.48532114399999998</v>
      </c>
      <c r="M345">
        <f>TMTB!N345</f>
        <v>33.9</v>
      </c>
      <c r="O345">
        <f>ABS(L345-TMTB!$C$34)</f>
        <v>12.366832567286682</v>
      </c>
      <c r="P345">
        <f t="shared" si="6"/>
        <v>33.9</v>
      </c>
    </row>
    <row r="346" spans="10:16">
      <c r="J346" s="5"/>
      <c r="L346">
        <f>TMTB!M346</f>
        <v>-0.48348020000000003</v>
      </c>
      <c r="M346">
        <f>TMTB!N346</f>
        <v>34</v>
      </c>
      <c r="O346">
        <f>ABS(L346-TMTB!$C$34)</f>
        <v>12.364991623286683</v>
      </c>
      <c r="P346">
        <f t="shared" si="6"/>
        <v>34</v>
      </c>
    </row>
    <row r="347" spans="10:16">
      <c r="J347" s="5"/>
      <c r="L347">
        <f>TMTB!M347</f>
        <v>-0.48235908</v>
      </c>
      <c r="M347">
        <f>TMTB!N347</f>
        <v>34.1</v>
      </c>
      <c r="O347">
        <f>ABS(L347-TMTB!$C$34)</f>
        <v>12.363870503286682</v>
      </c>
      <c r="P347">
        <f t="shared" si="6"/>
        <v>34.1</v>
      </c>
    </row>
    <row r="348" spans="10:16">
      <c r="J348" s="5"/>
      <c r="L348">
        <f>TMTB!M348</f>
        <v>-0.48004800800000003</v>
      </c>
      <c r="M348">
        <f>TMTB!N348</f>
        <v>34.200000000000003</v>
      </c>
      <c r="O348">
        <f>ABS(L348-TMTB!$C$34)</f>
        <v>12.361559431286683</v>
      </c>
      <c r="P348">
        <f t="shared" si="6"/>
        <v>34.200000000000003</v>
      </c>
    </row>
    <row r="349" spans="10:16">
      <c r="J349" s="5"/>
      <c r="L349">
        <f>TMTB!M349</f>
        <v>-0.471638432</v>
      </c>
      <c r="M349">
        <f>TMTB!N349</f>
        <v>34.299999999999997</v>
      </c>
      <c r="O349">
        <f>ABS(L349-TMTB!$C$34)</f>
        <v>12.353149855286683</v>
      </c>
      <c r="P349">
        <f t="shared" si="6"/>
        <v>34.299999999999997</v>
      </c>
    </row>
    <row r="350" spans="10:16">
      <c r="J350" s="5"/>
      <c r="L350">
        <f>TMTB!M350</f>
        <v>-0.46322885600000002</v>
      </c>
      <c r="M350">
        <f>TMTB!N350</f>
        <v>34.4</v>
      </c>
      <c r="O350">
        <f>ABS(L350-TMTB!$C$34)</f>
        <v>12.344740279286682</v>
      </c>
      <c r="P350">
        <f t="shared" si="6"/>
        <v>34.4</v>
      </c>
    </row>
    <row r="351" spans="10:16">
      <c r="J351" s="5"/>
      <c r="L351">
        <f>TMTB!M351</f>
        <v>-0.45793183999999998</v>
      </c>
      <c r="M351">
        <f>TMTB!N351</f>
        <v>34.5</v>
      </c>
      <c r="O351">
        <f>ABS(L351-TMTB!$C$34)</f>
        <v>12.339443263286682</v>
      </c>
      <c r="P351">
        <f t="shared" si="6"/>
        <v>34.5</v>
      </c>
    </row>
    <row r="352" spans="10:16">
      <c r="J352" s="5"/>
      <c r="L352">
        <f>TMTB!M352</f>
        <v>-0.45460611200000001</v>
      </c>
      <c r="M352">
        <f>TMTB!N352</f>
        <v>34.6</v>
      </c>
      <c r="O352">
        <f>ABS(L352-TMTB!$C$34)</f>
        <v>12.336117535286682</v>
      </c>
      <c r="P352">
        <f t="shared" si="6"/>
        <v>34.6</v>
      </c>
    </row>
    <row r="353" spans="10:16">
      <c r="J353" s="5"/>
      <c r="L353">
        <f>TMTB!M353</f>
        <v>-0.45142208</v>
      </c>
      <c r="M353">
        <f>TMTB!N353</f>
        <v>34.700000000000003</v>
      </c>
      <c r="O353">
        <f>ABS(L353-TMTB!$C$34)</f>
        <v>12.332933503286682</v>
      </c>
      <c r="P353">
        <f t="shared" si="6"/>
        <v>34.700000000000003</v>
      </c>
    </row>
    <row r="354" spans="10:16">
      <c r="J354" s="5"/>
      <c r="L354">
        <f>TMTB!M354</f>
        <v>-0.45041071999999999</v>
      </c>
      <c r="M354">
        <f>TMTB!N354</f>
        <v>34.799999999999997</v>
      </c>
      <c r="O354">
        <f>ABS(L354-TMTB!$C$34)</f>
        <v>12.331922143286683</v>
      </c>
      <c r="P354">
        <f t="shared" si="6"/>
        <v>34.799999999999997</v>
      </c>
    </row>
    <row r="355" spans="10:16">
      <c r="J355" s="5"/>
      <c r="L355">
        <f>TMTB!M355</f>
        <v>-0.44939936000000003</v>
      </c>
      <c r="M355">
        <f>TMTB!N355</f>
        <v>34.9</v>
      </c>
      <c r="O355">
        <f>ABS(L355-TMTB!$C$34)</f>
        <v>12.330910783286681</v>
      </c>
      <c r="P355">
        <f t="shared" si="6"/>
        <v>34.9</v>
      </c>
    </row>
    <row r="356" spans="10:16">
      <c r="J356" s="5"/>
      <c r="L356">
        <f>TMTB!M356</f>
        <v>-0.44840259999999998</v>
      </c>
      <c r="M356">
        <f>TMTB!N356</f>
        <v>35</v>
      </c>
      <c r="O356">
        <f>ABS(L356-TMTB!$C$34)</f>
        <v>12.329914023286682</v>
      </c>
      <c r="P356">
        <f t="shared" si="6"/>
        <v>35</v>
      </c>
    </row>
    <row r="357" spans="10:16">
      <c r="J357" s="5"/>
      <c r="L357">
        <f>TMTB!M357</f>
        <v>-0.447419856</v>
      </c>
      <c r="M357">
        <f>TMTB!N357</f>
        <v>35.1</v>
      </c>
      <c r="O357">
        <f>ABS(L357-TMTB!$C$34)</f>
        <v>12.328931279286682</v>
      </c>
      <c r="P357">
        <f t="shared" si="6"/>
        <v>35.1</v>
      </c>
    </row>
    <row r="358" spans="10:16">
      <c r="J358" s="5"/>
      <c r="L358">
        <f>TMTB!M358</f>
        <v>-0.44643711200000002</v>
      </c>
      <c r="M358">
        <f>TMTB!N358</f>
        <v>35.200000000000003</v>
      </c>
      <c r="O358">
        <f>ABS(L358-TMTB!$C$34)</f>
        <v>12.327948535286682</v>
      </c>
      <c r="P358">
        <f t="shared" si="6"/>
        <v>35.200000000000003</v>
      </c>
    </row>
    <row r="359" spans="10:16">
      <c r="J359" s="5"/>
      <c r="L359">
        <f>TMTB!M359</f>
        <v>-0.44385072800000003</v>
      </c>
      <c r="M359">
        <f>TMTB!N359</f>
        <v>35.299999999999997</v>
      </c>
      <c r="O359">
        <f>ABS(L359-TMTB!$C$34)</f>
        <v>12.325362151286681</v>
      </c>
      <c r="P359">
        <f t="shared" si="6"/>
        <v>35.299999999999997</v>
      </c>
    </row>
    <row r="360" spans="10:16">
      <c r="J360" s="5"/>
      <c r="L360">
        <f>TMTB!M360</f>
        <v>-0.44119610399999998</v>
      </c>
      <c r="M360">
        <f>TMTB!N360</f>
        <v>35.4</v>
      </c>
      <c r="O360">
        <f>ABS(L360-TMTB!$C$34)</f>
        <v>12.322707527286681</v>
      </c>
      <c r="P360">
        <f t="shared" si="6"/>
        <v>35.4</v>
      </c>
    </row>
    <row r="361" spans="10:16">
      <c r="J361" s="5"/>
      <c r="L361">
        <f>TMTB!M361</f>
        <v>-0.43840163999999998</v>
      </c>
      <c r="M361">
        <f>TMTB!N361</f>
        <v>35.5</v>
      </c>
      <c r="O361">
        <f>ABS(L361-TMTB!$C$34)</f>
        <v>12.319913063286682</v>
      </c>
      <c r="P361">
        <f t="shared" si="6"/>
        <v>35.5</v>
      </c>
    </row>
    <row r="362" spans="10:16">
      <c r="J362" s="5"/>
      <c r="L362">
        <f>TMTB!M362</f>
        <v>-0.43540440800000002</v>
      </c>
      <c r="M362">
        <f>TMTB!N362</f>
        <v>35.6</v>
      </c>
      <c r="O362">
        <f>ABS(L362-TMTB!$C$34)</f>
        <v>12.316915831286682</v>
      </c>
      <c r="P362">
        <f t="shared" si="6"/>
        <v>35.6</v>
      </c>
    </row>
    <row r="363" spans="10:16">
      <c r="J363" s="5"/>
      <c r="L363">
        <f>TMTB!M363</f>
        <v>-0.432407176</v>
      </c>
      <c r="M363">
        <f>TMTB!N363</f>
        <v>35.700000000000003</v>
      </c>
      <c r="O363">
        <f>ABS(L363-TMTB!$C$34)</f>
        <v>12.313918599286682</v>
      </c>
      <c r="P363">
        <f t="shared" si="6"/>
        <v>35.700000000000003</v>
      </c>
    </row>
    <row r="364" spans="10:16">
      <c r="J364" s="5"/>
      <c r="L364">
        <f>TMTB!M364</f>
        <v>-0.43126130400000001</v>
      </c>
      <c r="M364">
        <f>TMTB!N364</f>
        <v>35.799999999999997</v>
      </c>
      <c r="O364">
        <f>ABS(L364-TMTB!$C$34)</f>
        <v>12.312772727286681</v>
      </c>
      <c r="P364">
        <f t="shared" si="6"/>
        <v>35.799999999999997</v>
      </c>
    </row>
    <row r="365" spans="10:16">
      <c r="J365" s="5"/>
      <c r="L365">
        <f>TMTB!M365</f>
        <v>-0.43042399199999998</v>
      </c>
      <c r="M365">
        <f>TMTB!N365</f>
        <v>35.9</v>
      </c>
      <c r="O365">
        <f>ABS(L365-TMTB!$C$34)</f>
        <v>12.311935415286682</v>
      </c>
      <c r="P365">
        <f t="shared" si="6"/>
        <v>35.9</v>
      </c>
    </row>
    <row r="366" spans="10:16">
      <c r="J366" s="5"/>
      <c r="L366">
        <f>TMTB!M366</f>
        <v>-0.42928968000000001</v>
      </c>
      <c r="M366">
        <f>TMTB!N366</f>
        <v>36</v>
      </c>
      <c r="O366">
        <f>ABS(L366-TMTB!$C$34)</f>
        <v>12.310801103286682</v>
      </c>
      <c r="P366">
        <f t="shared" si="6"/>
        <v>36</v>
      </c>
    </row>
    <row r="367" spans="10:16">
      <c r="J367" s="5"/>
      <c r="L367">
        <f>TMTB!M367</f>
        <v>-0.427482168</v>
      </c>
      <c r="M367">
        <f>TMTB!N367</f>
        <v>36.1</v>
      </c>
      <c r="O367">
        <f>ABS(L367-TMTB!$C$34)</f>
        <v>12.308993591286681</v>
      </c>
      <c r="P367">
        <f t="shared" si="6"/>
        <v>36.1</v>
      </c>
    </row>
    <row r="368" spans="10:16">
      <c r="J368" s="5"/>
      <c r="L368">
        <f>TMTB!M368</f>
        <v>-0.42567465599999998</v>
      </c>
      <c r="M368">
        <f>TMTB!N368</f>
        <v>36.200000000000003</v>
      </c>
      <c r="O368">
        <f>ABS(L368-TMTB!$C$34)</f>
        <v>12.307186079286682</v>
      </c>
      <c r="P368">
        <f t="shared" si="6"/>
        <v>36.200000000000003</v>
      </c>
    </row>
    <row r="369" spans="10:16">
      <c r="J369" s="5"/>
      <c r="L369">
        <f>TMTB!M369</f>
        <v>-0.424751296</v>
      </c>
      <c r="M369">
        <f>TMTB!N369</f>
        <v>36.299999999999997</v>
      </c>
      <c r="O369">
        <f>ABS(L369-TMTB!$C$34)</f>
        <v>12.306262719286682</v>
      </c>
      <c r="P369">
        <f t="shared" si="6"/>
        <v>36.299999999999997</v>
      </c>
    </row>
    <row r="370" spans="10:16">
      <c r="J370" s="5"/>
      <c r="L370">
        <f>TMTB!M370</f>
        <v>-0.42411468800000002</v>
      </c>
      <c r="M370">
        <f>TMTB!N370</f>
        <v>36.4</v>
      </c>
      <c r="O370">
        <f>ABS(L370-TMTB!$C$34)</f>
        <v>12.305626111286681</v>
      </c>
      <c r="P370">
        <f t="shared" si="6"/>
        <v>36.4</v>
      </c>
    </row>
    <row r="371" spans="10:16">
      <c r="J371" s="5"/>
      <c r="L371">
        <f>TMTB!M371</f>
        <v>-0.42342807999999998</v>
      </c>
      <c r="M371">
        <f>TMTB!N371</f>
        <v>36.5</v>
      </c>
      <c r="O371">
        <f>ABS(L371-TMTB!$C$34)</f>
        <v>12.304939503286683</v>
      </c>
      <c r="P371">
        <f t="shared" si="6"/>
        <v>36.5</v>
      </c>
    </row>
    <row r="372" spans="10:16">
      <c r="J372" s="5"/>
      <c r="L372">
        <f>TMTB!M372</f>
        <v>-0.42254647200000001</v>
      </c>
      <c r="M372">
        <f>TMTB!N372</f>
        <v>36.6</v>
      </c>
      <c r="O372">
        <f>ABS(L372-TMTB!$C$34)</f>
        <v>12.304057895286682</v>
      </c>
      <c r="P372">
        <f t="shared" si="6"/>
        <v>36.6</v>
      </c>
    </row>
    <row r="373" spans="10:16">
      <c r="J373" s="5"/>
      <c r="L373">
        <f>TMTB!M373</f>
        <v>-0.42166486399999997</v>
      </c>
      <c r="M373">
        <f>TMTB!N373</f>
        <v>36.700000000000003</v>
      </c>
      <c r="O373">
        <f>ABS(L373-TMTB!$C$34)</f>
        <v>12.303176287286682</v>
      </c>
      <c r="P373">
        <f t="shared" si="6"/>
        <v>36.700000000000003</v>
      </c>
    </row>
    <row r="374" spans="10:16">
      <c r="J374" s="5"/>
      <c r="L374">
        <f>TMTB!M374</f>
        <v>-0.41772047200000001</v>
      </c>
      <c r="M374">
        <f>TMTB!N374</f>
        <v>36.799999999999997</v>
      </c>
      <c r="O374">
        <f>ABS(L374-TMTB!$C$34)</f>
        <v>12.299231895286681</v>
      </c>
      <c r="P374">
        <f t="shared" si="6"/>
        <v>36.799999999999997</v>
      </c>
    </row>
    <row r="375" spans="10:16">
      <c r="J375" s="5"/>
      <c r="L375">
        <f>TMTB!M375</f>
        <v>-0.412148976</v>
      </c>
      <c r="M375">
        <f>TMTB!N375</f>
        <v>36.9</v>
      </c>
      <c r="O375">
        <f>ABS(L375-TMTB!$C$34)</f>
        <v>12.293660399286681</v>
      </c>
      <c r="P375">
        <f t="shared" si="6"/>
        <v>36.9</v>
      </c>
    </row>
    <row r="376" spans="10:16">
      <c r="J376" s="5"/>
      <c r="L376">
        <f>TMTB!M376</f>
        <v>-0.40709956000000003</v>
      </c>
      <c r="M376">
        <f>TMTB!N376</f>
        <v>37</v>
      </c>
      <c r="O376">
        <f>ABS(L376-TMTB!$C$34)</f>
        <v>12.288610983286683</v>
      </c>
      <c r="P376">
        <f t="shared" si="6"/>
        <v>37</v>
      </c>
    </row>
    <row r="377" spans="10:16">
      <c r="J377" s="5"/>
      <c r="L377">
        <f>TMTB!M377</f>
        <v>-0.40664444799999999</v>
      </c>
      <c r="M377">
        <f>TMTB!N377</f>
        <v>37.1</v>
      </c>
      <c r="O377">
        <f>ABS(L377-TMTB!$C$34)</f>
        <v>12.288155871286682</v>
      </c>
      <c r="P377">
        <f t="shared" si="6"/>
        <v>37.1</v>
      </c>
    </row>
    <row r="378" spans="10:16">
      <c r="J378" s="5"/>
      <c r="L378">
        <f>TMTB!M378</f>
        <v>-0.40618933600000001</v>
      </c>
      <c r="M378">
        <f>TMTB!N378</f>
        <v>37.200000000000003</v>
      </c>
      <c r="O378">
        <f>ABS(L378-TMTB!$C$34)</f>
        <v>12.287700759286682</v>
      </c>
      <c r="P378">
        <f t="shared" si="6"/>
        <v>37.200000000000003</v>
      </c>
    </row>
    <row r="379" spans="10:16">
      <c r="J379" s="5"/>
      <c r="L379">
        <f>TMTB!M379</f>
        <v>-0.40427687200000001</v>
      </c>
      <c r="M379">
        <f>TMTB!N379</f>
        <v>37.299999999999997</v>
      </c>
      <c r="O379">
        <f>ABS(L379-TMTB!$C$34)</f>
        <v>12.285788295286682</v>
      </c>
      <c r="P379">
        <f t="shared" si="6"/>
        <v>37.299999999999997</v>
      </c>
    </row>
    <row r="380" spans="10:16">
      <c r="J380" s="5"/>
      <c r="L380">
        <f>TMTB!M380</f>
        <v>-0.40117693599999998</v>
      </c>
      <c r="M380">
        <f>TMTB!N380</f>
        <v>37.4</v>
      </c>
      <c r="O380">
        <f>ABS(L380-TMTB!$C$34)</f>
        <v>12.282688359286682</v>
      </c>
      <c r="P380">
        <f t="shared" si="6"/>
        <v>37.4</v>
      </c>
    </row>
    <row r="381" spans="10:16">
      <c r="J381" s="5"/>
      <c r="L381">
        <f>TMTB!M381</f>
        <v>-0.39807700000000001</v>
      </c>
      <c r="M381">
        <f>TMTB!N381</f>
        <v>37.5</v>
      </c>
      <c r="O381">
        <f>ABS(L381-TMTB!$C$34)</f>
        <v>12.279588423286683</v>
      </c>
      <c r="P381">
        <f t="shared" si="6"/>
        <v>37.5</v>
      </c>
    </row>
    <row r="382" spans="10:16">
      <c r="J382" s="5"/>
      <c r="L382">
        <f>TMTB!M382</f>
        <v>-0.396212648</v>
      </c>
      <c r="M382">
        <f>TMTB!N382</f>
        <v>37.6</v>
      </c>
      <c r="O382">
        <f>ABS(L382-TMTB!$C$34)</f>
        <v>12.277724071286682</v>
      </c>
      <c r="P382">
        <f t="shared" si="6"/>
        <v>37.6</v>
      </c>
    </row>
    <row r="383" spans="10:16">
      <c r="J383" s="5"/>
      <c r="L383">
        <f>TMTB!M383</f>
        <v>-0.39434829599999999</v>
      </c>
      <c r="M383">
        <f>TMTB!N383</f>
        <v>37.700000000000003</v>
      </c>
      <c r="O383">
        <f>ABS(L383-TMTB!$C$34)</f>
        <v>12.275859719286682</v>
      </c>
      <c r="P383">
        <f t="shared" si="6"/>
        <v>37.700000000000003</v>
      </c>
    </row>
    <row r="384" spans="10:16">
      <c r="J384" s="5"/>
      <c r="L384">
        <f>TMTB!M384</f>
        <v>-0.39216203999999999</v>
      </c>
      <c r="M384">
        <f>TMTB!N384</f>
        <v>37.799999999999997</v>
      </c>
      <c r="O384">
        <f>ABS(L384-TMTB!$C$34)</f>
        <v>12.273673463286682</v>
      </c>
      <c r="P384">
        <f t="shared" si="6"/>
        <v>37.799999999999997</v>
      </c>
    </row>
    <row r="385" spans="10:16">
      <c r="J385" s="5"/>
      <c r="L385">
        <f>TMTB!M385</f>
        <v>-0.38958071999999999</v>
      </c>
      <c r="M385">
        <f>TMTB!N385</f>
        <v>37.9</v>
      </c>
      <c r="O385">
        <f>ABS(L385-TMTB!$C$34)</f>
        <v>12.271092143286682</v>
      </c>
      <c r="P385">
        <f t="shared" si="6"/>
        <v>37.9</v>
      </c>
    </row>
    <row r="386" spans="10:16">
      <c r="J386" s="5"/>
      <c r="L386">
        <f>TMTB!M386</f>
        <v>-0.38699939999999999</v>
      </c>
      <c r="M386">
        <f>TMTB!N386</f>
        <v>38</v>
      </c>
      <c r="O386">
        <f>ABS(L386-TMTB!$C$34)</f>
        <v>12.268510823286682</v>
      </c>
      <c r="P386">
        <f t="shared" si="6"/>
        <v>38</v>
      </c>
    </row>
    <row r="387" spans="10:16">
      <c r="J387" s="5"/>
      <c r="L387">
        <f>TMTB!M387</f>
        <v>-0.38636604800000002</v>
      </c>
      <c r="M387">
        <f>TMTB!N387</f>
        <v>38.1</v>
      </c>
      <c r="O387">
        <f>ABS(L387-TMTB!$C$34)</f>
        <v>12.267877471286681</v>
      </c>
      <c r="P387">
        <f t="shared" si="6"/>
        <v>38.1</v>
      </c>
    </row>
    <row r="388" spans="10:16">
      <c r="J388" s="5"/>
      <c r="L388">
        <f>TMTB!M388</f>
        <v>-0.38595405599999999</v>
      </c>
      <c r="M388">
        <f>TMTB!N388</f>
        <v>38.200000000000003</v>
      </c>
      <c r="O388">
        <f>ABS(L388-TMTB!$C$34)</f>
        <v>12.267465479286681</v>
      </c>
      <c r="P388">
        <f t="shared" si="6"/>
        <v>38.200000000000003</v>
      </c>
    </row>
    <row r="389" spans="10:16">
      <c r="J389" s="5"/>
      <c r="L389">
        <f>TMTB!M389</f>
        <v>-0.38494992</v>
      </c>
      <c r="M389">
        <f>TMTB!N389</f>
        <v>38.299999999999997</v>
      </c>
      <c r="O389">
        <f>ABS(L389-TMTB!$C$34)</f>
        <v>12.266461343286682</v>
      </c>
      <c r="P389">
        <f t="shared" si="6"/>
        <v>38.299999999999997</v>
      </c>
    </row>
    <row r="390" spans="10:16">
      <c r="J390" s="5"/>
      <c r="L390">
        <f>TMTB!M390</f>
        <v>-0.38283116</v>
      </c>
      <c r="M390">
        <f>TMTB!N390</f>
        <v>38.4</v>
      </c>
      <c r="O390">
        <f>ABS(L390-TMTB!$C$34)</f>
        <v>12.264342583286682</v>
      </c>
      <c r="P390">
        <f t="shared" si="6"/>
        <v>38.4</v>
      </c>
    </row>
    <row r="391" spans="10:16">
      <c r="J391" s="5"/>
      <c r="L391">
        <f>TMTB!M391</f>
        <v>-0.38071240000000001</v>
      </c>
      <c r="M391">
        <f>TMTB!N391</f>
        <v>38.5</v>
      </c>
      <c r="O391">
        <f>ABS(L391-TMTB!$C$34)</f>
        <v>12.262223823286682</v>
      </c>
      <c r="P391">
        <f t="shared" ref="P391:P454" si="7">M391</f>
        <v>38.5</v>
      </c>
    </row>
    <row r="392" spans="10:16">
      <c r="J392" s="5"/>
      <c r="L392">
        <f>TMTB!M392</f>
        <v>-0.37870939199999998</v>
      </c>
      <c r="M392">
        <f>TMTB!N392</f>
        <v>38.6</v>
      </c>
      <c r="O392">
        <f>ABS(L392-TMTB!$C$34)</f>
        <v>12.260220815286681</v>
      </c>
      <c r="P392">
        <f t="shared" si="7"/>
        <v>38.6</v>
      </c>
    </row>
    <row r="393" spans="10:16">
      <c r="J393" s="5"/>
      <c r="L393">
        <f>TMTB!M393</f>
        <v>-0.37673606399999998</v>
      </c>
      <c r="M393">
        <f>TMTB!N393</f>
        <v>38.700000000000003</v>
      </c>
      <c r="O393">
        <f>ABS(L393-TMTB!$C$34)</f>
        <v>12.258247487286681</v>
      </c>
      <c r="P393">
        <f t="shared" si="7"/>
        <v>38.700000000000003</v>
      </c>
    </row>
    <row r="394" spans="10:16">
      <c r="J394" s="5"/>
      <c r="L394">
        <f>TMTB!M394</f>
        <v>-0.37471022399999998</v>
      </c>
      <c r="M394">
        <f>TMTB!N394</f>
        <v>38.799999999999997</v>
      </c>
      <c r="O394">
        <f>ABS(L394-TMTB!$C$34)</f>
        <v>12.256221647286681</v>
      </c>
      <c r="P394">
        <f t="shared" si="7"/>
        <v>38.799999999999997</v>
      </c>
    </row>
    <row r="395" spans="10:16">
      <c r="J395" s="5"/>
      <c r="L395">
        <f>TMTB!M395</f>
        <v>-0.37252247199999999</v>
      </c>
      <c r="M395">
        <f>TMTB!N395</f>
        <v>38.9</v>
      </c>
      <c r="O395">
        <f>ABS(L395-TMTB!$C$34)</f>
        <v>12.254033895286682</v>
      </c>
      <c r="P395">
        <f t="shared" si="7"/>
        <v>38.9</v>
      </c>
    </row>
    <row r="396" spans="10:16">
      <c r="J396" s="5"/>
      <c r="L396">
        <f>TMTB!M396</f>
        <v>-0.37033472000000001</v>
      </c>
      <c r="M396">
        <f>TMTB!N396</f>
        <v>39</v>
      </c>
      <c r="O396">
        <f>ABS(L396-TMTB!$C$34)</f>
        <v>12.251846143286683</v>
      </c>
      <c r="P396">
        <f t="shared" si="7"/>
        <v>39</v>
      </c>
    </row>
    <row r="397" spans="10:16">
      <c r="J397" s="5"/>
      <c r="L397">
        <f>TMTB!M397</f>
        <v>-0.36935872800000003</v>
      </c>
      <c r="M397">
        <f>TMTB!N397</f>
        <v>39.1</v>
      </c>
      <c r="O397">
        <f>ABS(L397-TMTB!$C$34)</f>
        <v>12.250870151286682</v>
      </c>
      <c r="P397">
        <f t="shared" si="7"/>
        <v>39.1</v>
      </c>
    </row>
    <row r="398" spans="10:16">
      <c r="J398" s="5"/>
      <c r="L398">
        <f>TMTB!M398</f>
        <v>-0.36891733599999998</v>
      </c>
      <c r="M398">
        <f>TMTB!N398</f>
        <v>39.200000000000003</v>
      </c>
      <c r="O398">
        <f>ABS(L398-TMTB!$C$34)</f>
        <v>12.250428759286681</v>
      </c>
      <c r="P398">
        <f t="shared" si="7"/>
        <v>39.200000000000003</v>
      </c>
    </row>
    <row r="399" spans="10:16">
      <c r="J399" s="5"/>
      <c r="L399">
        <f>TMTB!M399</f>
        <v>-0.3685138</v>
      </c>
      <c r="M399">
        <f>TMTB!N399</f>
        <v>39.299999999999997</v>
      </c>
      <c r="O399">
        <f>ABS(L399-TMTB!$C$34)</f>
        <v>12.250025223286682</v>
      </c>
      <c r="P399">
        <f t="shared" si="7"/>
        <v>39.299999999999997</v>
      </c>
    </row>
    <row r="400" spans="10:16">
      <c r="J400" s="5"/>
      <c r="L400">
        <f>TMTB!M400</f>
        <v>-0.36833739999999998</v>
      </c>
      <c r="M400">
        <f>TMTB!N400</f>
        <v>39.4</v>
      </c>
      <c r="O400">
        <f>ABS(L400-TMTB!$C$34)</f>
        <v>12.249848823286682</v>
      </c>
      <c r="P400">
        <f t="shared" si="7"/>
        <v>39.4</v>
      </c>
    </row>
    <row r="401" spans="10:16">
      <c r="J401" s="5"/>
      <c r="L401">
        <f>TMTB!M401</f>
        <v>-0.36816100000000002</v>
      </c>
      <c r="M401">
        <f>TMTB!N401</f>
        <v>39.5</v>
      </c>
      <c r="O401">
        <f>ABS(L401-TMTB!$C$34)</f>
        <v>12.249672423286682</v>
      </c>
      <c r="P401">
        <f t="shared" si="7"/>
        <v>39.5</v>
      </c>
    </row>
    <row r="402" spans="10:16">
      <c r="J402" s="5"/>
      <c r="L402">
        <f>TMTB!M402</f>
        <v>-0.36449485599999998</v>
      </c>
      <c r="M402">
        <f>TMTB!N402</f>
        <v>39.6</v>
      </c>
      <c r="O402">
        <f>ABS(L402-TMTB!$C$34)</f>
        <v>12.246006279286682</v>
      </c>
      <c r="P402">
        <f t="shared" si="7"/>
        <v>39.6</v>
      </c>
    </row>
    <row r="403" spans="10:16">
      <c r="J403" s="5"/>
      <c r="L403">
        <f>TMTB!M403</f>
        <v>-0.35842199200000002</v>
      </c>
      <c r="M403">
        <f>TMTB!N403</f>
        <v>39.700000000000003</v>
      </c>
      <c r="O403">
        <f>ABS(L403-TMTB!$C$34)</f>
        <v>12.239933415286682</v>
      </c>
      <c r="P403">
        <f t="shared" si="7"/>
        <v>39.700000000000003</v>
      </c>
    </row>
    <row r="404" spans="10:16">
      <c r="J404" s="5"/>
      <c r="L404">
        <f>TMTB!M404</f>
        <v>-0.35242308</v>
      </c>
      <c r="M404">
        <f>TMTB!N404</f>
        <v>39.799999999999997</v>
      </c>
      <c r="O404">
        <f>ABS(L404-TMTB!$C$34)</f>
        <v>12.233934503286681</v>
      </c>
      <c r="P404">
        <f t="shared" si="7"/>
        <v>39.799999999999997</v>
      </c>
    </row>
    <row r="405" spans="10:16">
      <c r="J405" s="5"/>
      <c r="L405">
        <f>TMTB!M405</f>
        <v>-0.34816204000000001</v>
      </c>
      <c r="M405">
        <f>TMTB!N405</f>
        <v>39.9</v>
      </c>
      <c r="O405">
        <f>ABS(L405-TMTB!$C$34)</f>
        <v>12.229673463286682</v>
      </c>
      <c r="P405">
        <f t="shared" si="7"/>
        <v>39.9</v>
      </c>
    </row>
    <row r="406" spans="10:16">
      <c r="J406" s="5"/>
      <c r="L406">
        <f>TMTB!M406</f>
        <v>-0.34390100000000001</v>
      </c>
      <c r="M406">
        <f>TMTB!N406</f>
        <v>40</v>
      </c>
      <c r="O406">
        <f>ABS(L406-TMTB!$C$34)</f>
        <v>12.225412423286683</v>
      </c>
      <c r="P406">
        <f t="shared" si="7"/>
        <v>40</v>
      </c>
    </row>
    <row r="407" spans="10:16">
      <c r="J407" s="5"/>
      <c r="L407">
        <f>TMTB!M407</f>
        <v>-0.34090984800000002</v>
      </c>
      <c r="M407">
        <f>TMTB!N407</f>
        <v>40.1</v>
      </c>
      <c r="O407">
        <f>ABS(L407-TMTB!$C$34)</f>
        <v>12.222421271286683</v>
      </c>
      <c r="P407">
        <f t="shared" si="7"/>
        <v>40.1</v>
      </c>
    </row>
    <row r="408" spans="10:16">
      <c r="J408" s="5"/>
      <c r="L408">
        <f>TMTB!M408</f>
        <v>-0.33924149599999998</v>
      </c>
      <c r="M408">
        <f>TMTB!N408</f>
        <v>40.200000000000003</v>
      </c>
      <c r="O408">
        <f>ABS(L408-TMTB!$C$34)</f>
        <v>12.220752919286682</v>
      </c>
      <c r="P408">
        <f t="shared" si="7"/>
        <v>40.200000000000003</v>
      </c>
    </row>
    <row r="409" spans="10:16">
      <c r="J409" s="5"/>
      <c r="L409">
        <f>TMTB!M409</f>
        <v>-0.33757314399999999</v>
      </c>
      <c r="M409">
        <f>TMTB!N409</f>
        <v>40.299999999999997</v>
      </c>
      <c r="O409">
        <f>ABS(L409-TMTB!$C$34)</f>
        <v>12.219084567286682</v>
      </c>
      <c r="P409">
        <f t="shared" si="7"/>
        <v>40.299999999999997</v>
      </c>
    </row>
    <row r="410" spans="10:16">
      <c r="J410" s="5"/>
      <c r="L410">
        <f>TMTB!M410</f>
        <v>-0.33696757599999999</v>
      </c>
      <c r="M410">
        <f>TMTB!N410</f>
        <v>40.4</v>
      </c>
      <c r="O410">
        <f>ABS(L410-TMTB!$C$34)</f>
        <v>12.218478999286681</v>
      </c>
      <c r="P410">
        <f t="shared" si="7"/>
        <v>40.4</v>
      </c>
    </row>
    <row r="411" spans="10:16">
      <c r="J411" s="5"/>
      <c r="L411">
        <f>TMTB!M411</f>
        <v>-0.33643131999999998</v>
      </c>
      <c r="M411">
        <f>TMTB!N411</f>
        <v>40.5</v>
      </c>
      <c r="O411">
        <f>ABS(L411-TMTB!$C$34)</f>
        <v>12.217942743286681</v>
      </c>
      <c r="P411">
        <f t="shared" si="7"/>
        <v>40.5</v>
      </c>
    </row>
    <row r="412" spans="10:16">
      <c r="J412" s="5"/>
      <c r="L412">
        <f>TMTB!M412</f>
        <v>-0.33601043200000003</v>
      </c>
      <c r="M412">
        <f>TMTB!N412</f>
        <v>40.6</v>
      </c>
      <c r="O412">
        <f>ABS(L412-TMTB!$C$34)</f>
        <v>12.217521855286682</v>
      </c>
      <c r="P412">
        <f t="shared" si="7"/>
        <v>40.6</v>
      </c>
    </row>
    <row r="413" spans="10:16">
      <c r="J413" s="5"/>
      <c r="L413">
        <f>TMTB!M413</f>
        <v>-0.335771704</v>
      </c>
      <c r="M413">
        <f>TMTB!N413</f>
        <v>40.700000000000003</v>
      </c>
      <c r="O413">
        <f>ABS(L413-TMTB!$C$34)</f>
        <v>12.217283127286683</v>
      </c>
      <c r="P413">
        <f t="shared" si="7"/>
        <v>40.700000000000003</v>
      </c>
    </row>
    <row r="414" spans="10:16">
      <c r="J414" s="5"/>
      <c r="L414">
        <f>TMTB!M414</f>
        <v>-0.33553297599999998</v>
      </c>
      <c r="M414">
        <f>TMTB!N414</f>
        <v>40.799999999999997</v>
      </c>
      <c r="O414">
        <f>ABS(L414-TMTB!$C$34)</f>
        <v>12.217044399286682</v>
      </c>
      <c r="P414">
        <f t="shared" si="7"/>
        <v>40.799999999999997</v>
      </c>
    </row>
    <row r="415" spans="10:16">
      <c r="J415" s="5"/>
      <c r="L415">
        <f>TMTB!M415</f>
        <v>-0.332831296</v>
      </c>
      <c r="M415">
        <f>TMTB!N415</f>
        <v>40.9</v>
      </c>
      <c r="O415">
        <f>ABS(L415-TMTB!$C$34)</f>
        <v>12.214342719286682</v>
      </c>
      <c r="P415">
        <f t="shared" si="7"/>
        <v>40.9</v>
      </c>
    </row>
    <row r="416" spans="10:16">
      <c r="J416" s="5"/>
      <c r="L416">
        <f>TMTB!M416</f>
        <v>-0.32964904</v>
      </c>
      <c r="M416">
        <f>TMTB!N416</f>
        <v>41</v>
      </c>
      <c r="O416">
        <f>ABS(L416-TMTB!$C$34)</f>
        <v>12.211160463286681</v>
      </c>
      <c r="P416">
        <f t="shared" si="7"/>
        <v>41</v>
      </c>
    </row>
    <row r="417" spans="10:16">
      <c r="J417" s="5"/>
      <c r="L417">
        <f>TMTB!M417</f>
        <v>-0.32682496</v>
      </c>
      <c r="M417">
        <f>TMTB!N417</f>
        <v>41.1</v>
      </c>
      <c r="O417">
        <f>ABS(L417-TMTB!$C$34)</f>
        <v>12.208336383286682</v>
      </c>
      <c r="P417">
        <f t="shared" si="7"/>
        <v>41.1</v>
      </c>
    </row>
    <row r="418" spans="10:16">
      <c r="J418" s="5"/>
      <c r="L418">
        <f>TMTB!M418</f>
        <v>-0.32489632000000002</v>
      </c>
      <c r="M418">
        <f>TMTB!N418</f>
        <v>41.2</v>
      </c>
      <c r="O418">
        <f>ABS(L418-TMTB!$C$34)</f>
        <v>12.206407743286682</v>
      </c>
      <c r="P418">
        <f t="shared" si="7"/>
        <v>41.2</v>
      </c>
    </row>
    <row r="419" spans="10:16">
      <c r="J419" s="5"/>
      <c r="L419">
        <f>TMTB!M419</f>
        <v>-0.32296767999999998</v>
      </c>
      <c r="M419">
        <f>TMTB!N419</f>
        <v>41.3</v>
      </c>
      <c r="O419">
        <f>ABS(L419-TMTB!$C$34)</f>
        <v>12.204479103286682</v>
      </c>
      <c r="P419">
        <f t="shared" si="7"/>
        <v>41.3</v>
      </c>
    </row>
    <row r="420" spans="10:16">
      <c r="J420" s="5"/>
      <c r="L420">
        <f>TMTB!M420</f>
        <v>-0.32232323200000002</v>
      </c>
      <c r="M420">
        <f>TMTB!N420</f>
        <v>41.4</v>
      </c>
      <c r="O420">
        <f>ABS(L420-TMTB!$C$34)</f>
        <v>12.203834655286682</v>
      </c>
      <c r="P420">
        <f t="shared" si="7"/>
        <v>41.4</v>
      </c>
    </row>
    <row r="421" spans="10:16">
      <c r="J421" s="5"/>
      <c r="L421">
        <f>TMTB!M421</f>
        <v>-0.32214251999999999</v>
      </c>
      <c r="M421">
        <f>TMTB!N421</f>
        <v>41.5</v>
      </c>
      <c r="O421">
        <f>ABS(L421-TMTB!$C$34)</f>
        <v>12.203653943286682</v>
      </c>
      <c r="P421">
        <f t="shared" si="7"/>
        <v>41.5</v>
      </c>
    </row>
    <row r="422" spans="10:16">
      <c r="J422" s="5"/>
      <c r="L422">
        <f>TMTB!M422</f>
        <v>-0.32181485599999998</v>
      </c>
      <c r="M422">
        <f>TMTB!N422</f>
        <v>41.6</v>
      </c>
      <c r="O422">
        <f>ABS(L422-TMTB!$C$34)</f>
        <v>12.203326279286681</v>
      </c>
      <c r="P422">
        <f t="shared" si="7"/>
        <v>41.6</v>
      </c>
    </row>
    <row r="423" spans="10:16">
      <c r="J423" s="5"/>
      <c r="L423">
        <f>TMTB!M423</f>
        <v>-0.32083407200000003</v>
      </c>
      <c r="M423">
        <f>TMTB!N423</f>
        <v>41.7</v>
      </c>
      <c r="O423">
        <f>ABS(L423-TMTB!$C$34)</f>
        <v>12.202345495286682</v>
      </c>
      <c r="P423">
        <f t="shared" si="7"/>
        <v>41.7</v>
      </c>
    </row>
    <row r="424" spans="10:16">
      <c r="J424" s="5"/>
      <c r="L424">
        <f>TMTB!M424</f>
        <v>-0.31985328800000001</v>
      </c>
      <c r="M424">
        <f>TMTB!N424</f>
        <v>41.8</v>
      </c>
      <c r="O424">
        <f>ABS(L424-TMTB!$C$34)</f>
        <v>12.201364711286683</v>
      </c>
      <c r="P424">
        <f t="shared" si="7"/>
        <v>41.8</v>
      </c>
    </row>
    <row r="425" spans="10:16">
      <c r="J425" s="5"/>
      <c r="L425">
        <f>TMTB!M425</f>
        <v>-0.31939082400000002</v>
      </c>
      <c r="M425">
        <f>TMTB!N425</f>
        <v>41.9</v>
      </c>
      <c r="O425">
        <f>ABS(L425-TMTB!$C$34)</f>
        <v>12.200902247286681</v>
      </c>
      <c r="P425">
        <f t="shared" si="7"/>
        <v>41.9</v>
      </c>
    </row>
    <row r="426" spans="10:16">
      <c r="J426" s="5"/>
      <c r="L426">
        <f>TMTB!M426</f>
        <v>-0.31922931999999998</v>
      </c>
      <c r="M426">
        <f>TMTB!N426</f>
        <v>42</v>
      </c>
      <c r="O426">
        <f>ABS(L426-TMTB!$C$34)</f>
        <v>12.200740743286682</v>
      </c>
      <c r="P426">
        <f t="shared" si="7"/>
        <v>42</v>
      </c>
    </row>
    <row r="427" spans="10:16">
      <c r="J427" s="5"/>
      <c r="L427">
        <f>TMTB!M427</f>
        <v>-0.31896765599999999</v>
      </c>
      <c r="M427">
        <f>TMTB!N427</f>
        <v>42.1</v>
      </c>
      <c r="O427">
        <f>ABS(L427-TMTB!$C$34)</f>
        <v>12.200479079286682</v>
      </c>
      <c r="P427">
        <f t="shared" si="7"/>
        <v>42.1</v>
      </c>
    </row>
    <row r="428" spans="10:16">
      <c r="J428" s="5"/>
      <c r="L428">
        <f>TMTB!M428</f>
        <v>-0.31757919200000001</v>
      </c>
      <c r="M428">
        <f>TMTB!N428</f>
        <v>42.2</v>
      </c>
      <c r="O428">
        <f>ABS(L428-TMTB!$C$34)</f>
        <v>12.199090615286682</v>
      </c>
      <c r="P428">
        <f t="shared" si="7"/>
        <v>42.2</v>
      </c>
    </row>
    <row r="429" spans="10:16">
      <c r="J429" s="5"/>
      <c r="L429">
        <f>TMTB!M429</f>
        <v>-0.31619072799999998</v>
      </c>
      <c r="M429">
        <f>TMTB!N429</f>
        <v>42.3</v>
      </c>
      <c r="O429">
        <f>ABS(L429-TMTB!$C$34)</f>
        <v>12.197702151286682</v>
      </c>
      <c r="P429">
        <f t="shared" si="7"/>
        <v>42.3</v>
      </c>
    </row>
    <row r="430" spans="10:16">
      <c r="J430" s="5"/>
      <c r="L430">
        <f>TMTB!M430</f>
        <v>-0.315499896</v>
      </c>
      <c r="M430">
        <f>TMTB!N430</f>
        <v>42.4</v>
      </c>
      <c r="O430">
        <f>ABS(L430-TMTB!$C$34)</f>
        <v>12.197011319286682</v>
      </c>
      <c r="P430">
        <f t="shared" si="7"/>
        <v>42.4</v>
      </c>
    </row>
    <row r="431" spans="10:16">
      <c r="J431" s="5"/>
      <c r="L431">
        <f>TMTB!M431</f>
        <v>-0.31542619999999999</v>
      </c>
      <c r="M431">
        <f>TMTB!N431</f>
        <v>42.5</v>
      </c>
      <c r="O431">
        <f>ABS(L431-TMTB!$C$34)</f>
        <v>12.196937623286681</v>
      </c>
      <c r="P431">
        <f t="shared" si="7"/>
        <v>42.5</v>
      </c>
    </row>
    <row r="432" spans="10:16">
      <c r="J432" s="5"/>
      <c r="L432">
        <f>TMTB!M432</f>
        <v>-0.31535250399999998</v>
      </c>
      <c r="M432">
        <f>TMTB!N432</f>
        <v>42.6</v>
      </c>
      <c r="O432">
        <f>ABS(L432-TMTB!$C$34)</f>
        <v>12.196863927286682</v>
      </c>
      <c r="P432">
        <f t="shared" si="7"/>
        <v>42.6</v>
      </c>
    </row>
    <row r="433" spans="10:16">
      <c r="J433" s="5"/>
      <c r="L433">
        <f>TMTB!M433</f>
        <v>-0.31138236000000002</v>
      </c>
      <c r="M433">
        <f>TMTB!N433</f>
        <v>42.7</v>
      </c>
      <c r="O433">
        <f>ABS(L433-TMTB!$C$34)</f>
        <v>12.192893783286681</v>
      </c>
      <c r="P433">
        <f t="shared" si="7"/>
        <v>42.7</v>
      </c>
    </row>
    <row r="434" spans="10:16">
      <c r="J434" s="5"/>
      <c r="L434">
        <f>TMTB!M434</f>
        <v>-0.30733104</v>
      </c>
      <c r="M434">
        <f>TMTB!N434</f>
        <v>42.8</v>
      </c>
      <c r="O434">
        <f>ABS(L434-TMTB!$C$34)</f>
        <v>12.188842463286681</v>
      </c>
      <c r="P434">
        <f t="shared" si="7"/>
        <v>42.8</v>
      </c>
    </row>
    <row r="435" spans="10:16">
      <c r="J435" s="5"/>
      <c r="L435">
        <f>TMTB!M435</f>
        <v>-0.303101976</v>
      </c>
      <c r="M435">
        <f>TMTB!N435</f>
        <v>42.9</v>
      </c>
      <c r="O435">
        <f>ABS(L435-TMTB!$C$34)</f>
        <v>12.184613399286683</v>
      </c>
      <c r="P435">
        <f t="shared" si="7"/>
        <v>42.9</v>
      </c>
    </row>
    <row r="436" spans="10:16">
      <c r="J436" s="5"/>
      <c r="L436">
        <f>TMTB!M436</f>
        <v>-0.29863592</v>
      </c>
      <c r="M436">
        <f>TMTB!N436</f>
        <v>43</v>
      </c>
      <c r="O436">
        <f>ABS(L436-TMTB!$C$34)</f>
        <v>12.180147343286682</v>
      </c>
      <c r="P436">
        <f t="shared" si="7"/>
        <v>43</v>
      </c>
    </row>
    <row r="437" spans="10:16">
      <c r="J437" s="5"/>
      <c r="L437">
        <f>TMTB!M437</f>
        <v>-0.294169864</v>
      </c>
      <c r="M437">
        <f>TMTB!N437</f>
        <v>43.1</v>
      </c>
      <c r="O437">
        <f>ABS(L437-TMTB!$C$34)</f>
        <v>12.175681287286682</v>
      </c>
      <c r="P437">
        <f t="shared" si="7"/>
        <v>43.1</v>
      </c>
    </row>
    <row r="438" spans="10:16">
      <c r="J438" s="5"/>
      <c r="L438">
        <f>TMTB!M438</f>
        <v>-0.28947126400000001</v>
      </c>
      <c r="M438">
        <f>TMTB!N438</f>
        <v>43.2</v>
      </c>
      <c r="O438">
        <f>ABS(L438-TMTB!$C$34)</f>
        <v>12.170982687286681</v>
      </c>
      <c r="P438">
        <f t="shared" si="7"/>
        <v>43.2</v>
      </c>
    </row>
    <row r="439" spans="10:16">
      <c r="J439" s="5"/>
      <c r="L439">
        <f>TMTB!M439</f>
        <v>-0.28474021599999999</v>
      </c>
      <c r="M439">
        <f>TMTB!N439</f>
        <v>43.3</v>
      </c>
      <c r="O439">
        <f>ABS(L439-TMTB!$C$34)</f>
        <v>12.166251639286681</v>
      </c>
      <c r="P439">
        <f t="shared" si="7"/>
        <v>43.3</v>
      </c>
    </row>
    <row r="440" spans="10:16">
      <c r="J440" s="5"/>
      <c r="L440">
        <f>TMTB!M440</f>
        <v>-0.281282384</v>
      </c>
      <c r="M440">
        <f>TMTB!N440</f>
        <v>43.4</v>
      </c>
      <c r="O440">
        <f>ABS(L440-TMTB!$C$34)</f>
        <v>12.162793807286683</v>
      </c>
      <c r="P440">
        <f t="shared" si="7"/>
        <v>43.4</v>
      </c>
    </row>
    <row r="441" spans="10:16">
      <c r="J441" s="5"/>
      <c r="L441">
        <f>TMTB!M441</f>
        <v>-0.28045056000000002</v>
      </c>
      <c r="M441">
        <f>TMTB!N441</f>
        <v>43.5</v>
      </c>
      <c r="O441">
        <f>ABS(L441-TMTB!$C$34)</f>
        <v>12.161961983286682</v>
      </c>
      <c r="P441">
        <f t="shared" si="7"/>
        <v>43.5</v>
      </c>
    </row>
    <row r="442" spans="10:16">
      <c r="J442" s="5"/>
      <c r="L442">
        <f>TMTB!M442</f>
        <v>-0.27961873599999998</v>
      </c>
      <c r="M442">
        <f>TMTB!N442</f>
        <v>43.6</v>
      </c>
      <c r="O442">
        <f>ABS(L442-TMTB!$C$34)</f>
        <v>12.161130159286682</v>
      </c>
      <c r="P442">
        <f t="shared" si="7"/>
        <v>43.6</v>
      </c>
    </row>
    <row r="443" spans="10:16">
      <c r="J443" s="5"/>
      <c r="L443">
        <f>TMTB!M443</f>
        <v>-0.27884071999999999</v>
      </c>
      <c r="M443">
        <f>TMTB!N443</f>
        <v>43.7</v>
      </c>
      <c r="O443">
        <f>ABS(L443-TMTB!$C$34)</f>
        <v>12.160352143286682</v>
      </c>
      <c r="P443">
        <f t="shared" si="7"/>
        <v>43.7</v>
      </c>
    </row>
    <row r="444" spans="10:16">
      <c r="J444" s="5"/>
      <c r="L444">
        <f>TMTB!M444</f>
        <v>-0.27807828000000001</v>
      </c>
      <c r="M444">
        <f>TMTB!N444</f>
        <v>43.8</v>
      </c>
      <c r="O444">
        <f>ABS(L444-TMTB!$C$34)</f>
        <v>12.159589703286683</v>
      </c>
      <c r="P444">
        <f t="shared" si="7"/>
        <v>43.8</v>
      </c>
    </row>
    <row r="445" spans="10:16">
      <c r="J445" s="5"/>
      <c r="L445">
        <f>TMTB!M445</f>
        <v>-0.27721780800000001</v>
      </c>
      <c r="M445">
        <f>TMTB!N445</f>
        <v>43.9</v>
      </c>
      <c r="O445">
        <f>ABS(L445-TMTB!$C$34)</f>
        <v>12.158729231286681</v>
      </c>
      <c r="P445">
        <f t="shared" si="7"/>
        <v>43.9</v>
      </c>
    </row>
    <row r="446" spans="10:16">
      <c r="J446" s="5"/>
      <c r="L446">
        <f>TMTB!M446</f>
        <v>-0.27601868000000002</v>
      </c>
      <c r="M446">
        <f>TMTB!N446</f>
        <v>44</v>
      </c>
      <c r="O446">
        <f>ABS(L446-TMTB!$C$34)</f>
        <v>12.157530103286682</v>
      </c>
      <c r="P446">
        <f t="shared" si="7"/>
        <v>44</v>
      </c>
    </row>
    <row r="447" spans="10:16">
      <c r="J447" s="5"/>
      <c r="L447">
        <f>TMTB!M447</f>
        <v>-0.27481955200000002</v>
      </c>
      <c r="M447">
        <f>TMTB!N447</f>
        <v>44.1</v>
      </c>
      <c r="O447">
        <f>ABS(L447-TMTB!$C$34)</f>
        <v>12.156330975286682</v>
      </c>
      <c r="P447">
        <f t="shared" si="7"/>
        <v>44.1</v>
      </c>
    </row>
    <row r="448" spans="10:16">
      <c r="J448" s="5"/>
      <c r="L448">
        <f>TMTB!M448</f>
        <v>-0.273624384</v>
      </c>
      <c r="M448">
        <f>TMTB!N448</f>
        <v>44.2</v>
      </c>
      <c r="O448">
        <f>ABS(L448-TMTB!$C$34)</f>
        <v>12.155135807286682</v>
      </c>
      <c r="P448">
        <f t="shared" si="7"/>
        <v>44.2</v>
      </c>
    </row>
    <row r="449" spans="10:16">
      <c r="J449" s="5"/>
      <c r="L449">
        <f>TMTB!M449</f>
        <v>-0.27243113600000002</v>
      </c>
      <c r="M449">
        <f>TMTB!N449</f>
        <v>44.3</v>
      </c>
      <c r="O449">
        <f>ABS(L449-TMTB!$C$34)</f>
        <v>12.153942559286682</v>
      </c>
      <c r="P449">
        <f t="shared" si="7"/>
        <v>44.3</v>
      </c>
    </row>
    <row r="450" spans="10:16">
      <c r="J450" s="5"/>
      <c r="L450">
        <f>TMTB!M450</f>
        <v>-0.271175104</v>
      </c>
      <c r="M450">
        <f>TMTB!N450</f>
        <v>44.4</v>
      </c>
      <c r="O450">
        <f>ABS(L450-TMTB!$C$34)</f>
        <v>12.152686527286681</v>
      </c>
      <c r="P450">
        <f t="shared" si="7"/>
        <v>44.4</v>
      </c>
    </row>
    <row r="451" spans="10:16">
      <c r="J451" s="5"/>
      <c r="L451">
        <f>TMTB!M451</f>
        <v>-0.26946912000000001</v>
      </c>
      <c r="M451">
        <f>TMTB!N451</f>
        <v>44.5</v>
      </c>
      <c r="O451">
        <f>ABS(L451-TMTB!$C$34)</f>
        <v>12.150980543286682</v>
      </c>
      <c r="P451">
        <f t="shared" si="7"/>
        <v>44.5</v>
      </c>
    </row>
    <row r="452" spans="10:16">
      <c r="J452" s="5"/>
      <c r="L452">
        <f>TMTB!M452</f>
        <v>-0.26776313600000001</v>
      </c>
      <c r="M452">
        <f>TMTB!N452</f>
        <v>44.6</v>
      </c>
      <c r="O452">
        <f>ABS(L452-TMTB!$C$34)</f>
        <v>12.149274559286681</v>
      </c>
      <c r="P452">
        <f t="shared" si="7"/>
        <v>44.6</v>
      </c>
    </row>
    <row r="453" spans="10:16">
      <c r="J453" s="5"/>
      <c r="L453">
        <f>TMTB!M453</f>
        <v>-0.265772224</v>
      </c>
      <c r="M453">
        <f>TMTB!N453</f>
        <v>44.7</v>
      </c>
      <c r="O453">
        <f>ABS(L453-TMTB!$C$34)</f>
        <v>12.147283647286681</v>
      </c>
      <c r="P453">
        <f t="shared" si="7"/>
        <v>44.7</v>
      </c>
    </row>
    <row r="454" spans="10:16">
      <c r="J454" s="5"/>
      <c r="L454">
        <f>TMTB!M454</f>
        <v>-0.263567616</v>
      </c>
      <c r="M454">
        <f>TMTB!N454</f>
        <v>44.8</v>
      </c>
      <c r="O454">
        <f>ABS(L454-TMTB!$C$34)</f>
        <v>12.145079039286681</v>
      </c>
      <c r="P454">
        <f t="shared" si="7"/>
        <v>44.8</v>
      </c>
    </row>
    <row r="455" spans="10:16">
      <c r="J455" s="5"/>
      <c r="L455">
        <f>TMTB!M455</f>
        <v>-0.26125234400000003</v>
      </c>
      <c r="M455">
        <f>TMTB!N455</f>
        <v>44.9</v>
      </c>
      <c r="O455">
        <f>ABS(L455-TMTB!$C$34)</f>
        <v>12.142763767286683</v>
      </c>
      <c r="P455">
        <f t="shared" ref="P455:P518" si="8">M455</f>
        <v>44.9</v>
      </c>
    </row>
    <row r="456" spans="10:16">
      <c r="J456" s="5"/>
      <c r="L456">
        <f>TMTB!M456</f>
        <v>-0.2536252</v>
      </c>
      <c r="M456">
        <f>TMTB!N456</f>
        <v>45</v>
      </c>
      <c r="O456">
        <f>ABS(L456-TMTB!$C$34)</f>
        <v>12.135136623286682</v>
      </c>
      <c r="P456">
        <f t="shared" si="8"/>
        <v>45</v>
      </c>
    </row>
    <row r="457" spans="10:16">
      <c r="J457" s="5"/>
      <c r="L457">
        <f>TMTB!M457</f>
        <v>-0.24599805599999999</v>
      </c>
      <c r="M457">
        <f>TMTB!N457</f>
        <v>45.1</v>
      </c>
      <c r="O457">
        <f>ABS(L457-TMTB!$C$34)</f>
        <v>12.127509479286681</v>
      </c>
      <c r="P457">
        <f t="shared" si="8"/>
        <v>45.1</v>
      </c>
    </row>
    <row r="458" spans="10:16">
      <c r="J458" s="5"/>
      <c r="L458">
        <f>TMTB!M458</f>
        <v>-0.24132999999999999</v>
      </c>
      <c r="M458">
        <f>TMTB!N458</f>
        <v>45.2</v>
      </c>
      <c r="O458">
        <f>ABS(L458-TMTB!$C$34)</f>
        <v>12.122841423286681</v>
      </c>
      <c r="P458">
        <f t="shared" si="8"/>
        <v>45.2</v>
      </c>
    </row>
    <row r="459" spans="10:16">
      <c r="J459" s="5"/>
      <c r="L459">
        <f>TMTB!M459</f>
        <v>-0.240007</v>
      </c>
      <c r="M459">
        <f>TMTB!N459</f>
        <v>45.3</v>
      </c>
      <c r="O459">
        <f>ABS(L459-TMTB!$C$34)</f>
        <v>12.121518423286682</v>
      </c>
      <c r="P459">
        <f t="shared" si="8"/>
        <v>45.3</v>
      </c>
    </row>
    <row r="460" spans="10:16">
      <c r="J460" s="5"/>
      <c r="L460">
        <f>TMTB!M460</f>
        <v>-0.23868400000000001</v>
      </c>
      <c r="M460">
        <f>TMTB!N460</f>
        <v>45.4</v>
      </c>
      <c r="O460">
        <f>ABS(L460-TMTB!$C$34)</f>
        <v>12.120195423286681</v>
      </c>
      <c r="P460">
        <f t="shared" si="8"/>
        <v>45.4</v>
      </c>
    </row>
    <row r="461" spans="10:16">
      <c r="J461" s="5"/>
      <c r="L461">
        <f>TMTB!M461</f>
        <v>-0.23807271999999999</v>
      </c>
      <c r="M461">
        <f>TMTB!N461</f>
        <v>45.5</v>
      </c>
      <c r="O461">
        <f>ABS(L461-TMTB!$C$34)</f>
        <v>12.119584143286682</v>
      </c>
      <c r="P461">
        <f t="shared" si="8"/>
        <v>45.5</v>
      </c>
    </row>
    <row r="462" spans="10:16">
      <c r="J462" s="5"/>
      <c r="L462">
        <f>TMTB!M462</f>
        <v>-0.237524704</v>
      </c>
      <c r="M462">
        <f>TMTB!N462</f>
        <v>45.6</v>
      </c>
      <c r="O462">
        <f>ABS(L462-TMTB!$C$34)</f>
        <v>12.119036127286682</v>
      </c>
      <c r="P462">
        <f t="shared" si="8"/>
        <v>45.6</v>
      </c>
    </row>
    <row r="463" spans="10:16">
      <c r="J463" s="5"/>
      <c r="L463">
        <f>TMTB!M463</f>
        <v>-0.23669790399999999</v>
      </c>
      <c r="M463">
        <f>TMTB!N463</f>
        <v>45.7</v>
      </c>
      <c r="O463">
        <f>ABS(L463-TMTB!$C$34)</f>
        <v>12.118209327286682</v>
      </c>
      <c r="P463">
        <f t="shared" si="8"/>
        <v>45.7</v>
      </c>
    </row>
    <row r="464" spans="10:16">
      <c r="J464" s="5"/>
      <c r="L464">
        <f>TMTB!M464</f>
        <v>-0.235390976</v>
      </c>
      <c r="M464">
        <f>TMTB!N464</f>
        <v>45.8</v>
      </c>
      <c r="O464">
        <f>ABS(L464-TMTB!$C$34)</f>
        <v>12.116902399286682</v>
      </c>
      <c r="P464">
        <f t="shared" si="8"/>
        <v>45.8</v>
      </c>
    </row>
    <row r="465" spans="10:16">
      <c r="J465" s="5"/>
      <c r="L465">
        <f>TMTB!M465</f>
        <v>-0.23408404799999999</v>
      </c>
      <c r="M465">
        <f>TMTB!N465</f>
        <v>45.9</v>
      </c>
      <c r="O465">
        <f>ABS(L465-TMTB!$C$34)</f>
        <v>12.115595471286682</v>
      </c>
      <c r="P465">
        <f t="shared" si="8"/>
        <v>45.9</v>
      </c>
    </row>
    <row r="466" spans="10:16">
      <c r="J466" s="5"/>
      <c r="L466">
        <f>TMTB!M466</f>
        <v>-0.23363120000000001</v>
      </c>
      <c r="M466">
        <f>TMTB!N466</f>
        <v>46</v>
      </c>
      <c r="O466">
        <f>ABS(L466-TMTB!$C$34)</f>
        <v>12.115142623286681</v>
      </c>
      <c r="P466">
        <f t="shared" si="8"/>
        <v>46</v>
      </c>
    </row>
    <row r="467" spans="10:16">
      <c r="J467" s="5"/>
      <c r="L467">
        <f>TMTB!M467</f>
        <v>-0.23337052</v>
      </c>
      <c r="M467">
        <f>TMTB!N467</f>
        <v>46.1</v>
      </c>
      <c r="O467">
        <f>ABS(L467-TMTB!$C$34)</f>
        <v>12.114881943286681</v>
      </c>
      <c r="P467">
        <f t="shared" si="8"/>
        <v>46.1</v>
      </c>
    </row>
    <row r="468" spans="10:16">
      <c r="J468" s="5"/>
      <c r="L468">
        <f>TMTB!M468</f>
        <v>-0.23306210399999999</v>
      </c>
      <c r="M468">
        <f>TMTB!N468</f>
        <v>46.2</v>
      </c>
      <c r="O468">
        <f>ABS(L468-TMTB!$C$34)</f>
        <v>12.114573527286682</v>
      </c>
      <c r="P468">
        <f t="shared" si="8"/>
        <v>46.2</v>
      </c>
    </row>
    <row r="469" spans="10:16">
      <c r="J469" s="5"/>
      <c r="L469">
        <f>TMTB!M469</f>
        <v>-0.23262149600000001</v>
      </c>
      <c r="M469">
        <f>TMTB!N469</f>
        <v>46.3</v>
      </c>
      <c r="O469">
        <f>ABS(L469-TMTB!$C$34)</f>
        <v>12.114132919286682</v>
      </c>
      <c r="P469">
        <f t="shared" si="8"/>
        <v>46.3</v>
      </c>
    </row>
    <row r="470" spans="10:16">
      <c r="J470" s="5"/>
      <c r="L470">
        <f>TMTB!M470</f>
        <v>-0.232180888</v>
      </c>
      <c r="M470">
        <f>TMTB!N470</f>
        <v>46.4</v>
      </c>
      <c r="O470">
        <f>ABS(L470-TMTB!$C$34)</f>
        <v>12.113692311286682</v>
      </c>
      <c r="P470">
        <f t="shared" si="8"/>
        <v>46.4</v>
      </c>
    </row>
    <row r="471" spans="10:16">
      <c r="J471" s="5"/>
      <c r="L471">
        <f>TMTB!M471</f>
        <v>-0.22922252000000001</v>
      </c>
      <c r="M471">
        <f>TMTB!N471</f>
        <v>46.5</v>
      </c>
      <c r="O471">
        <f>ABS(L471-TMTB!$C$34)</f>
        <v>12.110733943286682</v>
      </c>
      <c r="P471">
        <f t="shared" si="8"/>
        <v>46.5</v>
      </c>
    </row>
    <row r="472" spans="10:16">
      <c r="J472" s="5"/>
      <c r="L472">
        <f>TMTB!M472</f>
        <v>-0.22525704799999999</v>
      </c>
      <c r="M472">
        <f>TMTB!N472</f>
        <v>46.6</v>
      </c>
      <c r="O472">
        <f>ABS(L472-TMTB!$C$34)</f>
        <v>12.106768471286681</v>
      </c>
      <c r="P472">
        <f t="shared" si="8"/>
        <v>46.6</v>
      </c>
    </row>
    <row r="473" spans="10:16">
      <c r="J473" s="5"/>
      <c r="L473">
        <f>TMTB!M473</f>
        <v>-0.2214334</v>
      </c>
      <c r="M473">
        <f>TMTB!N473</f>
        <v>46.7</v>
      </c>
      <c r="O473">
        <f>ABS(L473-TMTB!$C$34)</f>
        <v>12.102944823286682</v>
      </c>
      <c r="P473">
        <f t="shared" si="8"/>
        <v>46.7</v>
      </c>
    </row>
    <row r="474" spans="10:16">
      <c r="J474" s="5"/>
      <c r="L474">
        <f>TMTB!M474</f>
        <v>-0.21833659999999999</v>
      </c>
      <c r="M474">
        <f>TMTB!N474</f>
        <v>46.8</v>
      </c>
      <c r="O474">
        <f>ABS(L474-TMTB!$C$34)</f>
        <v>12.099848023286683</v>
      </c>
      <c r="P474">
        <f t="shared" si="8"/>
        <v>46.8</v>
      </c>
    </row>
    <row r="475" spans="10:16">
      <c r="J475" s="5"/>
      <c r="L475">
        <f>TMTB!M475</f>
        <v>-0.21523980000000001</v>
      </c>
      <c r="M475">
        <f>TMTB!N475</f>
        <v>46.9</v>
      </c>
      <c r="O475">
        <f>ABS(L475-TMTB!$C$34)</f>
        <v>12.096751223286683</v>
      </c>
      <c r="P475">
        <f t="shared" si="8"/>
        <v>46.9</v>
      </c>
    </row>
    <row r="476" spans="10:16">
      <c r="J476" s="5"/>
      <c r="L476">
        <f>TMTB!M476</f>
        <v>-0.21323764000000001</v>
      </c>
      <c r="M476">
        <f>TMTB!N476</f>
        <v>47</v>
      </c>
      <c r="O476">
        <f>ABS(L476-TMTB!$C$34)</f>
        <v>12.094749063286681</v>
      </c>
      <c r="P476">
        <f t="shared" si="8"/>
        <v>47</v>
      </c>
    </row>
    <row r="477" spans="10:16">
      <c r="J477" s="5"/>
      <c r="L477">
        <f>TMTB!M477</f>
        <v>-0.211928752</v>
      </c>
      <c r="M477">
        <f>TMTB!N477</f>
        <v>47.1</v>
      </c>
      <c r="O477">
        <f>ABS(L477-TMTB!$C$34)</f>
        <v>12.093440175286682</v>
      </c>
      <c r="P477">
        <f t="shared" si="8"/>
        <v>47.1</v>
      </c>
    </row>
    <row r="478" spans="10:16">
      <c r="J478" s="5"/>
      <c r="L478">
        <f>TMTB!M478</f>
        <v>-0.21055040799999999</v>
      </c>
      <c r="M478">
        <f>TMTB!N478</f>
        <v>47.2</v>
      </c>
      <c r="O478">
        <f>ABS(L478-TMTB!$C$34)</f>
        <v>12.092061831286681</v>
      </c>
      <c r="P478">
        <f t="shared" si="8"/>
        <v>47.2</v>
      </c>
    </row>
    <row r="479" spans="10:16">
      <c r="J479" s="5"/>
      <c r="L479">
        <f>TMTB!M479</f>
        <v>-0.208107072</v>
      </c>
      <c r="M479">
        <f>TMTB!N479</f>
        <v>47.3</v>
      </c>
      <c r="O479">
        <f>ABS(L479-TMTB!$C$34)</f>
        <v>12.089618495286683</v>
      </c>
      <c r="P479">
        <f t="shared" si="8"/>
        <v>47.3</v>
      </c>
    </row>
    <row r="480" spans="10:16">
      <c r="J480" s="5"/>
      <c r="L480">
        <f>TMTB!M480</f>
        <v>-0.20566373600000001</v>
      </c>
      <c r="M480">
        <f>TMTB!N480</f>
        <v>47.4</v>
      </c>
      <c r="O480">
        <f>ABS(L480-TMTB!$C$34)</f>
        <v>12.087175159286682</v>
      </c>
      <c r="P480">
        <f t="shared" si="8"/>
        <v>47.4</v>
      </c>
    </row>
    <row r="481" spans="10:16">
      <c r="J481" s="5"/>
      <c r="L481">
        <f>TMTB!M481</f>
        <v>-0.200378</v>
      </c>
      <c r="M481">
        <f>TMTB!N481</f>
        <v>47.5</v>
      </c>
      <c r="O481">
        <f>ABS(L481-TMTB!$C$34)</f>
        <v>12.081889423286682</v>
      </c>
      <c r="P481">
        <f t="shared" si="8"/>
        <v>47.5</v>
      </c>
    </row>
    <row r="482" spans="10:16">
      <c r="J482" s="5"/>
      <c r="L482">
        <f>TMTB!M482</f>
        <v>-0.19236355999999999</v>
      </c>
      <c r="M482">
        <f>TMTB!N482</f>
        <v>47.6</v>
      </c>
      <c r="O482">
        <f>ABS(L482-TMTB!$C$34)</f>
        <v>12.073874983286682</v>
      </c>
      <c r="P482">
        <f t="shared" si="8"/>
        <v>47.6</v>
      </c>
    </row>
    <row r="483" spans="10:16">
      <c r="J483" s="5"/>
      <c r="L483">
        <f>TMTB!M483</f>
        <v>-0.18434912000000001</v>
      </c>
      <c r="M483">
        <f>TMTB!N483</f>
        <v>47.7</v>
      </c>
      <c r="O483">
        <f>ABS(L483-TMTB!$C$34)</f>
        <v>12.065860543286682</v>
      </c>
      <c r="P483">
        <f t="shared" si="8"/>
        <v>47.7</v>
      </c>
    </row>
    <row r="484" spans="10:16">
      <c r="J484" s="5"/>
      <c r="L484">
        <f>TMTB!M484</f>
        <v>-0.183052672</v>
      </c>
      <c r="M484">
        <f>TMTB!N484</f>
        <v>47.8</v>
      </c>
      <c r="O484">
        <f>ABS(L484-TMTB!$C$34)</f>
        <v>12.064564095286682</v>
      </c>
      <c r="P484">
        <f t="shared" si="8"/>
        <v>47.8</v>
      </c>
    </row>
    <row r="485" spans="10:16">
      <c r="J485" s="5"/>
      <c r="L485">
        <f>TMTB!M485</f>
        <v>-0.18204209599999999</v>
      </c>
      <c r="M485">
        <f>TMTB!N485</f>
        <v>47.9</v>
      </c>
      <c r="O485">
        <f>ABS(L485-TMTB!$C$34)</f>
        <v>12.063553519286682</v>
      </c>
      <c r="P485">
        <f t="shared" si="8"/>
        <v>47.9</v>
      </c>
    </row>
    <row r="486" spans="10:16">
      <c r="J486" s="5"/>
      <c r="L486">
        <f>TMTB!M486</f>
        <v>-0.18065104000000001</v>
      </c>
      <c r="M486">
        <f>TMTB!N486</f>
        <v>48</v>
      </c>
      <c r="O486">
        <f>ABS(L486-TMTB!$C$34)</f>
        <v>12.062162463286683</v>
      </c>
      <c r="P486">
        <f t="shared" si="8"/>
        <v>48</v>
      </c>
    </row>
    <row r="487" spans="10:16">
      <c r="J487" s="5"/>
      <c r="L487">
        <f>TMTB!M487</f>
        <v>-0.17870828799999999</v>
      </c>
      <c r="M487">
        <f>TMTB!N487</f>
        <v>48.1</v>
      </c>
      <c r="O487">
        <f>ABS(L487-TMTB!$C$34)</f>
        <v>12.060219711286681</v>
      </c>
      <c r="P487">
        <f t="shared" si="8"/>
        <v>48.1</v>
      </c>
    </row>
    <row r="488" spans="10:16">
      <c r="J488" s="5"/>
      <c r="L488">
        <f>TMTB!M488</f>
        <v>-0.176765536</v>
      </c>
      <c r="M488">
        <f>TMTB!N488</f>
        <v>48.2</v>
      </c>
      <c r="O488">
        <f>ABS(L488-TMTB!$C$34)</f>
        <v>12.058276959286681</v>
      </c>
      <c r="P488">
        <f t="shared" si="8"/>
        <v>48.2</v>
      </c>
    </row>
    <row r="489" spans="10:16">
      <c r="J489" s="5"/>
      <c r="L489">
        <f>TMTB!M489</f>
        <v>-0.17281753599999999</v>
      </c>
      <c r="M489">
        <f>TMTB!N489</f>
        <v>48.3</v>
      </c>
      <c r="O489">
        <f>ABS(L489-TMTB!$C$34)</f>
        <v>12.054328959286682</v>
      </c>
      <c r="P489">
        <f t="shared" si="8"/>
        <v>48.3</v>
      </c>
    </row>
    <row r="490" spans="10:16">
      <c r="J490" s="5"/>
      <c r="L490">
        <f>TMTB!M490</f>
        <v>-0.16853532800000001</v>
      </c>
      <c r="M490">
        <f>TMTB!N490</f>
        <v>48.4</v>
      </c>
      <c r="O490">
        <f>ABS(L490-TMTB!$C$34)</f>
        <v>12.050046751286683</v>
      </c>
      <c r="P490">
        <f t="shared" si="8"/>
        <v>48.4</v>
      </c>
    </row>
    <row r="491" spans="10:16">
      <c r="J491" s="5"/>
      <c r="L491">
        <f>TMTB!M491</f>
        <v>-0.16497191999999999</v>
      </c>
      <c r="M491">
        <f>TMTB!N491</f>
        <v>48.5</v>
      </c>
      <c r="O491">
        <f>ABS(L491-TMTB!$C$34)</f>
        <v>12.046483343286681</v>
      </c>
      <c r="P491">
        <f t="shared" si="8"/>
        <v>48.5</v>
      </c>
    </row>
    <row r="492" spans="10:16">
      <c r="J492" s="5"/>
      <c r="L492">
        <f>TMTB!M492</f>
        <v>-0.16303779199999999</v>
      </c>
      <c r="M492">
        <f>TMTB!N492</f>
        <v>48.6</v>
      </c>
      <c r="O492">
        <f>ABS(L492-TMTB!$C$34)</f>
        <v>12.044549215286683</v>
      </c>
      <c r="P492">
        <f t="shared" si="8"/>
        <v>48.6</v>
      </c>
    </row>
    <row r="493" spans="10:16">
      <c r="J493" s="5"/>
      <c r="L493">
        <f>TMTB!M493</f>
        <v>-0.16110366400000001</v>
      </c>
      <c r="M493">
        <f>TMTB!N493</f>
        <v>48.7</v>
      </c>
      <c r="O493">
        <f>ABS(L493-TMTB!$C$34)</f>
        <v>12.042615087286682</v>
      </c>
      <c r="P493">
        <f t="shared" si="8"/>
        <v>48.7</v>
      </c>
    </row>
    <row r="494" spans="10:16">
      <c r="J494" s="5"/>
      <c r="L494">
        <f>TMTB!M494</f>
        <v>-0.15850768000000001</v>
      </c>
      <c r="M494">
        <f>TMTB!N494</f>
        <v>48.8</v>
      </c>
      <c r="O494">
        <f>ABS(L494-TMTB!$C$34)</f>
        <v>12.040019103286681</v>
      </c>
      <c r="P494">
        <f t="shared" si="8"/>
        <v>48.8</v>
      </c>
    </row>
    <row r="495" spans="10:16">
      <c r="J495" s="5"/>
      <c r="L495">
        <f>TMTB!M495</f>
        <v>-0.15569704000000001</v>
      </c>
      <c r="M495">
        <f>TMTB!N495</f>
        <v>48.9</v>
      </c>
      <c r="O495">
        <f>ABS(L495-TMTB!$C$34)</f>
        <v>12.037208463286682</v>
      </c>
      <c r="P495">
        <f t="shared" si="8"/>
        <v>48.9</v>
      </c>
    </row>
    <row r="496" spans="10:16">
      <c r="J496" s="5"/>
      <c r="L496">
        <f>TMTB!M496</f>
        <v>-0.15163863999999999</v>
      </c>
      <c r="M496">
        <f>TMTB!N496</f>
        <v>49</v>
      </c>
      <c r="O496">
        <f>ABS(L496-TMTB!$C$34)</f>
        <v>12.033150063286682</v>
      </c>
      <c r="P496">
        <f t="shared" si="8"/>
        <v>49</v>
      </c>
    </row>
    <row r="497" spans="10:16">
      <c r="J497" s="5"/>
      <c r="L497">
        <f>TMTB!M497</f>
        <v>-0.14271397599999999</v>
      </c>
      <c r="M497">
        <f>TMTB!N497</f>
        <v>49.1</v>
      </c>
      <c r="O497">
        <f>ABS(L497-TMTB!$C$34)</f>
        <v>12.024225399286681</v>
      </c>
      <c r="P497">
        <f t="shared" si="8"/>
        <v>49.1</v>
      </c>
    </row>
    <row r="498" spans="10:16">
      <c r="J498" s="5"/>
      <c r="L498">
        <f>TMTB!M498</f>
        <v>-0.13378931199999999</v>
      </c>
      <c r="M498">
        <f>TMTB!N498</f>
        <v>49.2</v>
      </c>
      <c r="O498">
        <f>ABS(L498-TMTB!$C$34)</f>
        <v>12.015300735286681</v>
      </c>
      <c r="P498">
        <f t="shared" si="8"/>
        <v>49.2</v>
      </c>
    </row>
    <row r="499" spans="10:16">
      <c r="J499" s="5"/>
      <c r="L499">
        <f>TMTB!M499</f>
        <v>-0.120835976</v>
      </c>
      <c r="M499">
        <f>TMTB!N499</f>
        <v>49.3</v>
      </c>
      <c r="O499">
        <f>ABS(L499-TMTB!$C$34)</f>
        <v>12.002347399286682</v>
      </c>
      <c r="P499">
        <f t="shared" si="8"/>
        <v>49.3</v>
      </c>
    </row>
    <row r="500" spans="10:16">
      <c r="J500" s="5"/>
      <c r="L500">
        <f>TMTB!M500</f>
        <v>-0.105742408</v>
      </c>
      <c r="M500">
        <f>TMTB!N500</f>
        <v>49.4</v>
      </c>
      <c r="O500">
        <f>ABS(L500-TMTB!$C$34)</f>
        <v>11.987253831286681</v>
      </c>
      <c r="P500">
        <f t="shared" si="8"/>
        <v>49.4</v>
      </c>
    </row>
    <row r="501" spans="10:16">
      <c r="J501" s="5"/>
      <c r="L501">
        <f>TMTB!M501</f>
        <v>-9.1826360000000107E-2</v>
      </c>
      <c r="M501">
        <f>TMTB!N501</f>
        <v>49.5</v>
      </c>
      <c r="O501">
        <f>ABS(L501-TMTB!$C$34)</f>
        <v>11.973337783286683</v>
      </c>
      <c r="P501">
        <f t="shared" si="8"/>
        <v>49.5</v>
      </c>
    </row>
    <row r="502" spans="10:16">
      <c r="J502" s="5"/>
      <c r="L502">
        <f>TMTB!M502</f>
        <v>-8.8272488000000093E-2</v>
      </c>
      <c r="M502">
        <f>TMTB!N502</f>
        <v>49.6</v>
      </c>
      <c r="O502">
        <f>ABS(L502-TMTB!$C$34)</f>
        <v>11.969783911286681</v>
      </c>
      <c r="P502">
        <f t="shared" si="8"/>
        <v>49.6</v>
      </c>
    </row>
    <row r="503" spans="10:16">
      <c r="J503" s="5"/>
      <c r="L503">
        <f>TMTB!M503</f>
        <v>-8.4718615999999899E-2</v>
      </c>
      <c r="M503">
        <f>TMTB!N503</f>
        <v>49.7</v>
      </c>
      <c r="O503">
        <f>ABS(L503-TMTB!$C$34)</f>
        <v>11.966230039286682</v>
      </c>
      <c r="P503">
        <f t="shared" si="8"/>
        <v>49.7</v>
      </c>
    </row>
    <row r="504" spans="10:16">
      <c r="J504" s="5"/>
      <c r="L504">
        <f>TMTB!M504</f>
        <v>-8.1503215999999906E-2</v>
      </c>
      <c r="M504">
        <f>TMTB!N504</f>
        <v>49.8</v>
      </c>
      <c r="O504">
        <f>ABS(L504-TMTB!$C$34)</f>
        <v>11.963014639286682</v>
      </c>
      <c r="P504">
        <f t="shared" si="8"/>
        <v>49.8</v>
      </c>
    </row>
    <row r="505" spans="10:16">
      <c r="J505" s="5"/>
      <c r="L505">
        <f>TMTB!M505</f>
        <v>-7.8563607999999993E-2</v>
      </c>
      <c r="M505">
        <f>TMTB!N505</f>
        <v>49.9</v>
      </c>
      <c r="O505">
        <f>ABS(L505-TMTB!$C$34)</f>
        <v>11.960075031286681</v>
      </c>
      <c r="P505">
        <f t="shared" si="8"/>
        <v>49.9</v>
      </c>
    </row>
    <row r="506" spans="10:16">
      <c r="J506" s="5"/>
      <c r="L506">
        <f>TMTB!M506</f>
        <v>-7.5623999999999997E-2</v>
      </c>
      <c r="M506">
        <f>TMTB!N506</f>
        <v>50</v>
      </c>
      <c r="O506">
        <f>ABS(L506-TMTB!$C$34)</f>
        <v>11.957135423286681</v>
      </c>
      <c r="P506">
        <f t="shared" si="8"/>
        <v>50</v>
      </c>
    </row>
    <row r="507" spans="10:16">
      <c r="J507" s="5"/>
      <c r="L507">
        <f>TMTB!M507</f>
        <v>-7.4967400000000003E-2</v>
      </c>
      <c r="M507">
        <f>TMTB!N507</f>
        <v>50.1</v>
      </c>
      <c r="O507">
        <f>ABS(L507-TMTB!$C$34)</f>
        <v>11.956478823286682</v>
      </c>
      <c r="P507">
        <f t="shared" si="8"/>
        <v>50.1</v>
      </c>
    </row>
    <row r="508" spans="10:16">
      <c r="J508" s="5"/>
      <c r="L508">
        <f>TMTB!M508</f>
        <v>-7.4310799999999996E-2</v>
      </c>
      <c r="M508">
        <f>TMTB!N508</f>
        <v>50.2</v>
      </c>
      <c r="O508">
        <f>ABS(L508-TMTB!$C$34)</f>
        <v>11.955822223286681</v>
      </c>
      <c r="P508">
        <f t="shared" si="8"/>
        <v>50.2</v>
      </c>
    </row>
    <row r="509" spans="10:16">
      <c r="J509" s="5"/>
      <c r="L509">
        <f>TMTB!M509</f>
        <v>-7.2502280000000099E-2</v>
      </c>
      <c r="M509">
        <f>TMTB!N509</f>
        <v>50.3</v>
      </c>
      <c r="O509">
        <f>ABS(L509-TMTB!$C$34)</f>
        <v>11.954013703286682</v>
      </c>
      <c r="P509">
        <f t="shared" si="8"/>
        <v>50.3</v>
      </c>
    </row>
    <row r="510" spans="10:16">
      <c r="J510" s="5"/>
      <c r="L510">
        <f>TMTB!M510</f>
        <v>-6.9280039999999904E-2</v>
      </c>
      <c r="M510">
        <f>TMTB!N510</f>
        <v>50.4</v>
      </c>
      <c r="O510">
        <f>ABS(L510-TMTB!$C$34)</f>
        <v>11.950791463286683</v>
      </c>
      <c r="P510">
        <f t="shared" si="8"/>
        <v>50.4</v>
      </c>
    </row>
    <row r="511" spans="10:16">
      <c r="J511" s="5"/>
      <c r="L511">
        <f>TMTB!M511</f>
        <v>-6.6057799999999903E-2</v>
      </c>
      <c r="M511">
        <f>TMTB!N511</f>
        <v>50.5</v>
      </c>
      <c r="O511">
        <f>ABS(L511-TMTB!$C$34)</f>
        <v>11.947569223286681</v>
      </c>
      <c r="P511">
        <f t="shared" si="8"/>
        <v>50.5</v>
      </c>
    </row>
    <row r="512" spans="10:16">
      <c r="J512" s="5"/>
      <c r="L512">
        <f>TMTB!M512</f>
        <v>-6.5728999999999996E-2</v>
      </c>
      <c r="M512">
        <f>TMTB!N512</f>
        <v>50.6</v>
      </c>
      <c r="O512">
        <f>ABS(L512-TMTB!$C$34)</f>
        <v>11.947240423286681</v>
      </c>
      <c r="P512">
        <f t="shared" si="8"/>
        <v>50.6</v>
      </c>
    </row>
    <row r="513" spans="10:16">
      <c r="J513" s="5"/>
      <c r="L513">
        <f>TMTB!M513</f>
        <v>-6.5728999999999996E-2</v>
      </c>
      <c r="M513">
        <f>TMTB!N513</f>
        <v>50.7</v>
      </c>
      <c r="O513">
        <f>ABS(L513-TMTB!$C$34)</f>
        <v>11.947240423286681</v>
      </c>
      <c r="P513">
        <f t="shared" si="8"/>
        <v>50.7</v>
      </c>
    </row>
    <row r="514" spans="10:16">
      <c r="J514" s="5"/>
      <c r="L514">
        <f>TMTB!M514</f>
        <v>-6.4353495999999996E-2</v>
      </c>
      <c r="M514">
        <f>TMTB!N514</f>
        <v>50.8</v>
      </c>
      <c r="O514">
        <f>ABS(L514-TMTB!$C$34)</f>
        <v>11.945864919286683</v>
      </c>
      <c r="P514">
        <f t="shared" si="8"/>
        <v>50.8</v>
      </c>
    </row>
    <row r="515" spans="10:16">
      <c r="J515" s="5"/>
      <c r="L515">
        <f>TMTB!M515</f>
        <v>-6.0388808000000099E-2</v>
      </c>
      <c r="M515">
        <f>TMTB!N515</f>
        <v>50.9</v>
      </c>
      <c r="O515">
        <f>ABS(L515-TMTB!$C$34)</f>
        <v>11.941900231286683</v>
      </c>
      <c r="P515">
        <f t="shared" si="8"/>
        <v>50.9</v>
      </c>
    </row>
    <row r="516" spans="10:16">
      <c r="J516" s="5"/>
      <c r="L516">
        <f>TMTB!M516</f>
        <v>-5.64241199999998E-2</v>
      </c>
      <c r="M516">
        <f>TMTB!N516</f>
        <v>51</v>
      </c>
      <c r="O516">
        <f>ABS(L516-TMTB!$C$34)</f>
        <v>11.937935543286681</v>
      </c>
      <c r="P516">
        <f t="shared" si="8"/>
        <v>51</v>
      </c>
    </row>
    <row r="517" spans="10:16">
      <c r="J517" s="5"/>
      <c r="L517">
        <f>TMTB!M517</f>
        <v>-5.3904927999999901E-2</v>
      </c>
      <c r="M517">
        <f>TMTB!N517</f>
        <v>51.1</v>
      </c>
      <c r="O517">
        <f>ABS(L517-TMTB!$C$34)</f>
        <v>11.935416351286682</v>
      </c>
      <c r="P517">
        <f t="shared" si="8"/>
        <v>51.1</v>
      </c>
    </row>
    <row r="518" spans="10:16">
      <c r="J518" s="5"/>
      <c r="L518">
        <f>TMTB!M518</f>
        <v>-5.1756376E-2</v>
      </c>
      <c r="M518">
        <f>TMTB!N518</f>
        <v>51.2</v>
      </c>
      <c r="O518">
        <f>ABS(L518-TMTB!$C$34)</f>
        <v>11.933267799286682</v>
      </c>
      <c r="P518">
        <f t="shared" si="8"/>
        <v>51.2</v>
      </c>
    </row>
    <row r="519" spans="10:16">
      <c r="J519" s="5"/>
      <c r="L519">
        <f>TMTB!M519</f>
        <v>-5.0039920000000002E-2</v>
      </c>
      <c r="M519">
        <f>TMTB!N519</f>
        <v>51.3</v>
      </c>
      <c r="O519">
        <f>ABS(L519-TMTB!$C$34)</f>
        <v>11.931551343286682</v>
      </c>
      <c r="P519">
        <f t="shared" ref="P519:P582" si="9">M519</f>
        <v>51.3</v>
      </c>
    </row>
    <row r="520" spans="10:16">
      <c r="J520" s="5"/>
      <c r="L520">
        <f>TMTB!M520</f>
        <v>-4.965576E-2</v>
      </c>
      <c r="M520">
        <f>TMTB!N520</f>
        <v>51.4</v>
      </c>
      <c r="O520">
        <f>ABS(L520-TMTB!$C$34)</f>
        <v>11.931167183286682</v>
      </c>
      <c r="P520">
        <f t="shared" si="9"/>
        <v>51.4</v>
      </c>
    </row>
    <row r="521" spans="10:16">
      <c r="J521" s="5"/>
      <c r="L521">
        <f>TMTB!M521</f>
        <v>-4.9271599999999999E-2</v>
      </c>
      <c r="M521">
        <f>TMTB!N521</f>
        <v>51.5</v>
      </c>
      <c r="O521">
        <f>ABS(L521-TMTB!$C$34)</f>
        <v>11.930783023286683</v>
      </c>
      <c r="P521">
        <f t="shared" si="9"/>
        <v>51.5</v>
      </c>
    </row>
    <row r="522" spans="10:16">
      <c r="J522" s="5"/>
      <c r="L522">
        <f>TMTB!M522</f>
        <v>-4.5881568000000102E-2</v>
      </c>
      <c r="M522">
        <f>TMTB!N522</f>
        <v>51.6</v>
      </c>
      <c r="O522">
        <f>ABS(L522-TMTB!$C$34)</f>
        <v>11.927392991286682</v>
      </c>
      <c r="P522">
        <f t="shared" si="9"/>
        <v>51.6</v>
      </c>
    </row>
    <row r="523" spans="10:16">
      <c r="J523" s="5"/>
      <c r="L523">
        <f>TMTB!M523</f>
        <v>-4.1165415999999802E-2</v>
      </c>
      <c r="M523">
        <f>TMTB!N523</f>
        <v>51.7</v>
      </c>
      <c r="O523">
        <f>ABS(L523-TMTB!$C$34)</f>
        <v>11.922676839286682</v>
      </c>
      <c r="P523">
        <f t="shared" si="9"/>
        <v>51.7</v>
      </c>
    </row>
    <row r="524" spans="10:16">
      <c r="J524" s="5"/>
      <c r="L524">
        <f>TMTB!M524</f>
        <v>-3.68697679999999E-2</v>
      </c>
      <c r="M524">
        <f>TMTB!N524</f>
        <v>51.8</v>
      </c>
      <c r="O524">
        <f>ABS(L524-TMTB!$C$34)</f>
        <v>11.918381191286683</v>
      </c>
      <c r="P524">
        <f t="shared" si="9"/>
        <v>51.8</v>
      </c>
    </row>
    <row r="525" spans="10:16">
      <c r="J525" s="5"/>
      <c r="L525">
        <f>TMTB!M525</f>
        <v>-3.5097143999999997E-2</v>
      </c>
      <c r="M525">
        <f>TMTB!N525</f>
        <v>51.9</v>
      </c>
      <c r="O525">
        <f>ABS(L525-TMTB!$C$34)</f>
        <v>11.916608567286682</v>
      </c>
      <c r="P525">
        <f t="shared" si="9"/>
        <v>51.9</v>
      </c>
    </row>
    <row r="526" spans="10:16">
      <c r="J526" s="5"/>
      <c r="L526">
        <f>TMTB!M526</f>
        <v>-3.3324520000000003E-2</v>
      </c>
      <c r="M526">
        <f>TMTB!N526</f>
        <v>52</v>
      </c>
      <c r="O526">
        <f>ABS(L526-TMTB!$C$34)</f>
        <v>11.914835943286683</v>
      </c>
      <c r="P526">
        <f t="shared" si="9"/>
        <v>52</v>
      </c>
    </row>
    <row r="527" spans="10:16">
      <c r="J527" s="5"/>
      <c r="L527">
        <f>TMTB!M527</f>
        <v>-3.0200728E-2</v>
      </c>
      <c r="M527">
        <f>TMTB!N527</f>
        <v>52.1</v>
      </c>
      <c r="O527">
        <f>ABS(L527-TMTB!$C$34)</f>
        <v>11.911712151286682</v>
      </c>
      <c r="P527">
        <f t="shared" si="9"/>
        <v>52.1</v>
      </c>
    </row>
    <row r="528" spans="10:16">
      <c r="J528" s="5"/>
      <c r="L528">
        <f>TMTB!M528</f>
        <v>-2.6145096E-2</v>
      </c>
      <c r="M528">
        <f>TMTB!N528</f>
        <v>52.2</v>
      </c>
      <c r="O528">
        <f>ABS(L528-TMTB!$C$34)</f>
        <v>11.907656519286682</v>
      </c>
      <c r="P528">
        <f t="shared" si="9"/>
        <v>52.2</v>
      </c>
    </row>
    <row r="529" spans="10:16">
      <c r="J529" s="5"/>
      <c r="L529">
        <f>TMTB!M529</f>
        <v>-2.2255E-2</v>
      </c>
      <c r="M529">
        <f>TMTB!N529</f>
        <v>52.3</v>
      </c>
      <c r="O529">
        <f>ABS(L529-TMTB!$C$34)</f>
        <v>11.903766423286681</v>
      </c>
      <c r="P529">
        <f t="shared" si="9"/>
        <v>52.3</v>
      </c>
    </row>
    <row r="530" spans="10:16">
      <c r="J530" s="5"/>
      <c r="L530">
        <f>TMTB!M530</f>
        <v>-2.2255E-2</v>
      </c>
      <c r="M530">
        <f>TMTB!N530</f>
        <v>52.4</v>
      </c>
      <c r="O530">
        <f>ABS(L530-TMTB!$C$34)</f>
        <v>11.903766423286681</v>
      </c>
      <c r="P530">
        <f t="shared" si="9"/>
        <v>52.4</v>
      </c>
    </row>
    <row r="531" spans="10:16">
      <c r="J531" s="5"/>
      <c r="L531">
        <f>TMTB!M531</f>
        <v>-2.2255E-2</v>
      </c>
      <c r="M531">
        <f>TMTB!N531</f>
        <v>52.5</v>
      </c>
      <c r="O531">
        <f>ABS(L531-TMTB!$C$34)</f>
        <v>11.903766423286681</v>
      </c>
      <c r="P531">
        <f t="shared" si="9"/>
        <v>52.5</v>
      </c>
    </row>
    <row r="532" spans="10:16">
      <c r="J532" s="5"/>
      <c r="L532">
        <f>TMTB!M532</f>
        <v>-2.145244E-2</v>
      </c>
      <c r="M532">
        <f>TMTB!N532</f>
        <v>52.6</v>
      </c>
      <c r="O532">
        <f>ABS(L532-TMTB!$C$34)</f>
        <v>11.902963863286681</v>
      </c>
      <c r="P532">
        <f t="shared" si="9"/>
        <v>52.6</v>
      </c>
    </row>
    <row r="533" spans="10:16">
      <c r="J533" s="5"/>
      <c r="L533">
        <f>TMTB!M533</f>
        <v>-1.9813879999999999E-2</v>
      </c>
      <c r="M533">
        <f>TMTB!N533</f>
        <v>52.7</v>
      </c>
      <c r="O533">
        <f>ABS(L533-TMTB!$C$34)</f>
        <v>11.901325303286681</v>
      </c>
      <c r="P533">
        <f t="shared" si="9"/>
        <v>52.7</v>
      </c>
    </row>
    <row r="534" spans="10:16">
      <c r="J534" s="5"/>
      <c r="L534">
        <f>TMTB!M534</f>
        <v>-1.8175319999999998E-2</v>
      </c>
      <c r="M534">
        <f>TMTB!N534</f>
        <v>52.8</v>
      </c>
      <c r="O534">
        <f>ABS(L534-TMTB!$C$34)</f>
        <v>11.899686743286681</v>
      </c>
      <c r="P534">
        <f t="shared" si="9"/>
        <v>52.8</v>
      </c>
    </row>
    <row r="535" spans="10:16">
      <c r="J535" s="5"/>
      <c r="L535">
        <f>TMTB!M535</f>
        <v>-1.7815560000000001E-2</v>
      </c>
      <c r="M535">
        <f>TMTB!N535</f>
        <v>52.9</v>
      </c>
      <c r="O535">
        <f>ABS(L535-TMTB!$C$34)</f>
        <v>11.899326983286683</v>
      </c>
      <c r="P535">
        <f t="shared" si="9"/>
        <v>52.9</v>
      </c>
    </row>
    <row r="536" spans="10:16">
      <c r="J536" s="5"/>
      <c r="L536">
        <f>TMTB!M536</f>
        <v>-1.7539200000000001E-2</v>
      </c>
      <c r="M536">
        <f>TMTB!N536</f>
        <v>53</v>
      </c>
      <c r="O536">
        <f>ABS(L536-TMTB!$C$34)</f>
        <v>11.899050623286682</v>
      </c>
      <c r="P536">
        <f t="shared" si="9"/>
        <v>53</v>
      </c>
    </row>
    <row r="537" spans="10:16">
      <c r="J537" s="5"/>
      <c r="L537">
        <f>TMTB!M537</f>
        <v>-1.6009903999999901E-2</v>
      </c>
      <c r="M537">
        <f>TMTB!N537</f>
        <v>53.1</v>
      </c>
      <c r="O537">
        <f>ABS(L537-TMTB!$C$34)</f>
        <v>11.897521327286682</v>
      </c>
      <c r="P537">
        <f t="shared" si="9"/>
        <v>53.1</v>
      </c>
    </row>
    <row r="538" spans="10:16">
      <c r="J538" s="5"/>
      <c r="L538">
        <f>TMTB!M538</f>
        <v>-1.25022879999999E-2</v>
      </c>
      <c r="M538">
        <f>TMTB!N538</f>
        <v>53.2</v>
      </c>
      <c r="O538">
        <f>ABS(L538-TMTB!$C$34)</f>
        <v>11.894013711286682</v>
      </c>
      <c r="P538">
        <f t="shared" si="9"/>
        <v>53.2</v>
      </c>
    </row>
    <row r="539" spans="10:16">
      <c r="J539" s="5"/>
      <c r="L539">
        <f>TMTB!M539</f>
        <v>-8.9946719999999397E-3</v>
      </c>
      <c r="M539">
        <f>TMTB!N539</f>
        <v>53.3</v>
      </c>
      <c r="O539">
        <f>ABS(L539-TMTB!$C$34)</f>
        <v>11.890506095286682</v>
      </c>
      <c r="P539">
        <f t="shared" si="9"/>
        <v>53.3</v>
      </c>
    </row>
    <row r="540" spans="10:16">
      <c r="J540" s="5"/>
      <c r="L540">
        <f>TMTB!M540</f>
        <v>-8.14812E-3</v>
      </c>
      <c r="M540">
        <f>TMTB!N540</f>
        <v>53.4</v>
      </c>
      <c r="O540">
        <f>ABS(L540-TMTB!$C$34)</f>
        <v>11.889659543286681</v>
      </c>
      <c r="P540">
        <f t="shared" si="9"/>
        <v>53.4</v>
      </c>
    </row>
    <row r="541" spans="10:16">
      <c r="J541" s="5"/>
      <c r="L541">
        <f>TMTB!M541</f>
        <v>-7.8207999999999993E-3</v>
      </c>
      <c r="M541">
        <f>TMTB!N541</f>
        <v>53.5</v>
      </c>
      <c r="O541">
        <f>ABS(L541-TMTB!$C$34)</f>
        <v>11.889332223286681</v>
      </c>
      <c r="P541">
        <f t="shared" si="9"/>
        <v>53.5</v>
      </c>
    </row>
    <row r="542" spans="10:16">
      <c r="J542" s="5"/>
      <c r="L542">
        <f>TMTB!M542</f>
        <v>-7.5324559999999903E-3</v>
      </c>
      <c r="M542">
        <f>TMTB!N542</f>
        <v>53.6</v>
      </c>
      <c r="O542">
        <f>ABS(L542-TMTB!$C$34)</f>
        <v>11.889043879286682</v>
      </c>
      <c r="P542">
        <f t="shared" si="9"/>
        <v>53.6</v>
      </c>
    </row>
    <row r="543" spans="10:16">
      <c r="J543" s="5"/>
      <c r="L543">
        <f>TMTB!M543</f>
        <v>-7.3415519999999899E-3</v>
      </c>
      <c r="M543">
        <f>TMTB!N543</f>
        <v>53.7</v>
      </c>
      <c r="O543">
        <f>ABS(L543-TMTB!$C$34)</f>
        <v>11.888852975286682</v>
      </c>
      <c r="P543">
        <f t="shared" si="9"/>
        <v>53.7</v>
      </c>
    </row>
    <row r="544" spans="10:16">
      <c r="J544" s="5"/>
      <c r="L544">
        <f>TMTB!M544</f>
        <v>-7.1506479999999904E-3</v>
      </c>
      <c r="M544">
        <f>TMTB!N544</f>
        <v>53.8</v>
      </c>
      <c r="O544">
        <f>ABS(L544-TMTB!$C$34)</f>
        <v>11.888662071286682</v>
      </c>
      <c r="P544">
        <f t="shared" si="9"/>
        <v>53.8</v>
      </c>
    </row>
    <row r="545" spans="10:16">
      <c r="J545" s="5"/>
      <c r="L545">
        <f>TMTB!M545</f>
        <v>-6.1317439999999598E-3</v>
      </c>
      <c r="M545">
        <f>TMTB!N545</f>
        <v>53.9</v>
      </c>
      <c r="O545">
        <f>ABS(L545-TMTB!$C$34)</f>
        <v>11.887643167286681</v>
      </c>
      <c r="P545">
        <f t="shared" si="9"/>
        <v>53.9</v>
      </c>
    </row>
    <row r="546" spans="10:16">
      <c r="J546" s="5"/>
      <c r="L546">
        <f>TMTB!M546</f>
        <v>-4.8138399999999798E-3</v>
      </c>
      <c r="M546">
        <f>TMTB!N546</f>
        <v>54</v>
      </c>
      <c r="O546">
        <f>ABS(L546-TMTB!$C$34)</f>
        <v>11.886325263286682</v>
      </c>
      <c r="P546">
        <f t="shared" si="9"/>
        <v>54</v>
      </c>
    </row>
    <row r="547" spans="10:16">
      <c r="J547" s="5"/>
      <c r="L547">
        <f>TMTB!M547</f>
        <v>-3.3468959999999898E-3</v>
      </c>
      <c r="M547">
        <f>TMTB!N547</f>
        <v>54.1</v>
      </c>
      <c r="O547">
        <f>ABS(L547-TMTB!$C$34)</f>
        <v>11.884858319286682</v>
      </c>
      <c r="P547">
        <f t="shared" si="9"/>
        <v>54.1</v>
      </c>
    </row>
    <row r="548" spans="10:16">
      <c r="J548" s="5"/>
      <c r="L548">
        <f>TMTB!M548</f>
        <v>-1.2175519999998499E-3</v>
      </c>
      <c r="M548">
        <f>TMTB!N548</f>
        <v>54.2</v>
      </c>
      <c r="O548">
        <f>ABS(L548-TMTB!$C$34)</f>
        <v>11.882728975286682</v>
      </c>
      <c r="P548">
        <f t="shared" si="9"/>
        <v>54.2</v>
      </c>
    </row>
    <row r="549" spans="10:16">
      <c r="J549" s="5"/>
      <c r="L549">
        <f>TMTB!M549</f>
        <v>9.1179200000012504E-4</v>
      </c>
      <c r="M549">
        <f>TMTB!N549</f>
        <v>54.3</v>
      </c>
      <c r="O549">
        <f>ABS(L549-TMTB!$C$34)</f>
        <v>11.880599631286682</v>
      </c>
      <c r="P549">
        <f t="shared" si="9"/>
        <v>54.3</v>
      </c>
    </row>
    <row r="550" spans="10:16">
      <c r="J550" s="5"/>
      <c r="L550">
        <f>TMTB!M550</f>
        <v>1.694E-3</v>
      </c>
      <c r="M550">
        <f>TMTB!N550</f>
        <v>54.4</v>
      </c>
      <c r="O550">
        <f>ABS(L550-TMTB!$C$34)</f>
        <v>11.879817423286681</v>
      </c>
      <c r="P550">
        <f t="shared" si="9"/>
        <v>54.4</v>
      </c>
    </row>
    <row r="551" spans="10:16">
      <c r="J551" s="5"/>
      <c r="L551">
        <f>TMTB!M551</f>
        <v>1.694E-3</v>
      </c>
      <c r="M551">
        <f>TMTB!N551</f>
        <v>54.5</v>
      </c>
      <c r="O551">
        <f>ABS(L551-TMTB!$C$34)</f>
        <v>11.879817423286681</v>
      </c>
      <c r="P551">
        <f t="shared" si="9"/>
        <v>54.5</v>
      </c>
    </row>
    <row r="552" spans="10:16">
      <c r="J552" s="5"/>
      <c r="L552">
        <f>TMTB!M552</f>
        <v>1.72881600000001E-3</v>
      </c>
      <c r="M552">
        <f>TMTB!N552</f>
        <v>54.6</v>
      </c>
      <c r="O552">
        <f>ABS(L552-TMTB!$C$34)</f>
        <v>11.879782607286682</v>
      </c>
      <c r="P552">
        <f t="shared" si="9"/>
        <v>54.6</v>
      </c>
    </row>
    <row r="553" spans="10:16">
      <c r="J553" s="5"/>
      <c r="L553">
        <f>TMTB!M553</f>
        <v>2.1553120000000099E-3</v>
      </c>
      <c r="M553">
        <f>TMTB!N553</f>
        <v>54.7</v>
      </c>
      <c r="O553">
        <f>ABS(L553-TMTB!$C$34)</f>
        <v>11.879356111286683</v>
      </c>
      <c r="P553">
        <f t="shared" si="9"/>
        <v>54.7</v>
      </c>
    </row>
    <row r="554" spans="10:16">
      <c r="J554" s="5"/>
      <c r="L554">
        <f>TMTB!M554</f>
        <v>2.58180800000003E-3</v>
      </c>
      <c r="M554">
        <f>TMTB!N554</f>
        <v>54.8</v>
      </c>
      <c r="O554">
        <f>ABS(L554-TMTB!$C$34)</f>
        <v>11.878929615286681</v>
      </c>
      <c r="P554">
        <f t="shared" si="9"/>
        <v>54.8</v>
      </c>
    </row>
    <row r="555" spans="10:16">
      <c r="J555" s="5"/>
      <c r="L555">
        <f>TMTB!M555</f>
        <v>4.3199520000001997E-3</v>
      </c>
      <c r="M555">
        <f>TMTB!N555</f>
        <v>54.9</v>
      </c>
      <c r="O555">
        <f>ABS(L555-TMTB!$C$34)</f>
        <v>11.877191471286682</v>
      </c>
      <c r="P555">
        <f t="shared" si="9"/>
        <v>54.9</v>
      </c>
    </row>
    <row r="556" spans="10:16">
      <c r="J556" s="5"/>
      <c r="L556">
        <f>TMTB!M556</f>
        <v>7.2184000000001698E-3</v>
      </c>
      <c r="M556">
        <f>TMTB!N556</f>
        <v>55</v>
      </c>
      <c r="O556">
        <f>ABS(L556-TMTB!$C$34)</f>
        <v>11.874293023286683</v>
      </c>
      <c r="P556">
        <f t="shared" si="9"/>
        <v>55</v>
      </c>
    </row>
    <row r="557" spans="10:16">
      <c r="J557" s="5"/>
      <c r="L557">
        <f>TMTB!M557</f>
        <v>1.01168480000001E-2</v>
      </c>
      <c r="M557">
        <f>TMTB!N557</f>
        <v>55.1</v>
      </c>
      <c r="O557">
        <f>ABS(L557-TMTB!$C$34)</f>
        <v>11.871394575286681</v>
      </c>
      <c r="P557">
        <f t="shared" si="9"/>
        <v>55.1</v>
      </c>
    </row>
    <row r="558" spans="10:16">
      <c r="J558" s="5"/>
      <c r="L558">
        <f>TMTB!M558</f>
        <v>1.0424064E-2</v>
      </c>
      <c r="M558">
        <f>TMTB!N558</f>
        <v>55.2</v>
      </c>
      <c r="O558">
        <f>ABS(L558-TMTB!$C$34)</f>
        <v>11.871087359286681</v>
      </c>
      <c r="P558">
        <f t="shared" si="9"/>
        <v>55.2</v>
      </c>
    </row>
    <row r="559" spans="10:16">
      <c r="J559" s="5"/>
      <c r="L559">
        <f>TMTB!M559</f>
        <v>1.0677295999999999E-2</v>
      </c>
      <c r="M559">
        <f>TMTB!N559</f>
        <v>55.3</v>
      </c>
      <c r="O559">
        <f>ABS(L559-TMTB!$C$34)</f>
        <v>11.870834127286681</v>
      </c>
      <c r="P559">
        <f t="shared" si="9"/>
        <v>55.3</v>
      </c>
    </row>
    <row r="560" spans="10:16">
      <c r="J560" s="5"/>
      <c r="L560">
        <f>TMTB!M560</f>
        <v>1.1000752000000001E-2</v>
      </c>
      <c r="M560">
        <f>TMTB!N560</f>
        <v>55.4</v>
      </c>
      <c r="O560">
        <f>ABS(L560-TMTB!$C$34)</f>
        <v>11.870510671286683</v>
      </c>
      <c r="P560">
        <f t="shared" si="9"/>
        <v>55.4</v>
      </c>
    </row>
    <row r="561" spans="10:16">
      <c r="J561" s="5"/>
      <c r="L561">
        <f>TMTB!M561</f>
        <v>1.141784E-2</v>
      </c>
      <c r="M561">
        <f>TMTB!N561</f>
        <v>55.5</v>
      </c>
      <c r="O561">
        <f>ABS(L561-TMTB!$C$34)</f>
        <v>11.870093583286682</v>
      </c>
      <c r="P561">
        <f t="shared" si="9"/>
        <v>55.5</v>
      </c>
    </row>
    <row r="562" spans="10:16">
      <c r="J562" s="5"/>
      <c r="L562">
        <f>TMTB!M562</f>
        <v>1.1834928E-2</v>
      </c>
      <c r="M562">
        <f>TMTB!N562</f>
        <v>55.6</v>
      </c>
      <c r="O562">
        <f>ABS(L562-TMTB!$C$34)</f>
        <v>11.869676495286681</v>
      </c>
      <c r="P562">
        <f t="shared" si="9"/>
        <v>55.6</v>
      </c>
    </row>
    <row r="563" spans="10:16">
      <c r="J563" s="5"/>
      <c r="L563">
        <f>TMTB!M563</f>
        <v>1.5026032000000199E-2</v>
      </c>
      <c r="M563">
        <f>TMTB!N563</f>
        <v>55.7</v>
      </c>
      <c r="O563">
        <f>ABS(L563-TMTB!$C$34)</f>
        <v>11.866485391286682</v>
      </c>
      <c r="P563">
        <f t="shared" si="9"/>
        <v>55.7</v>
      </c>
    </row>
    <row r="564" spans="10:16">
      <c r="J564" s="5"/>
      <c r="L564">
        <f>TMTB!M564</f>
        <v>1.8604208000000198E-2</v>
      </c>
      <c r="M564">
        <f>TMTB!N564</f>
        <v>55.8</v>
      </c>
      <c r="O564">
        <f>ABS(L564-TMTB!$C$34)</f>
        <v>11.862907215286681</v>
      </c>
      <c r="P564">
        <f t="shared" si="9"/>
        <v>55.8</v>
      </c>
    </row>
    <row r="565" spans="10:16">
      <c r="J565" s="5"/>
      <c r="L565">
        <f>TMTB!M565</f>
        <v>2.1199728000000001E-2</v>
      </c>
      <c r="M565">
        <f>TMTB!N565</f>
        <v>55.9</v>
      </c>
      <c r="O565">
        <f>ABS(L565-TMTB!$C$34)</f>
        <v>11.860311695286683</v>
      </c>
      <c r="P565">
        <f t="shared" si="9"/>
        <v>55.9</v>
      </c>
    </row>
    <row r="566" spans="10:16">
      <c r="J566" s="5"/>
      <c r="L566">
        <f>TMTB!M566</f>
        <v>2.176852E-2</v>
      </c>
      <c r="M566">
        <f>TMTB!N566</f>
        <v>56</v>
      </c>
      <c r="O566">
        <f>ABS(L566-TMTB!$C$34)</f>
        <v>11.859742903286682</v>
      </c>
      <c r="P566">
        <f t="shared" si="9"/>
        <v>56</v>
      </c>
    </row>
    <row r="567" spans="10:16">
      <c r="J567" s="5"/>
      <c r="L567">
        <f>TMTB!M567</f>
        <v>2.2337312000000099E-2</v>
      </c>
      <c r="M567">
        <f>TMTB!N567</f>
        <v>56.1</v>
      </c>
      <c r="O567">
        <f>ABS(L567-TMTB!$C$34)</f>
        <v>11.859174111286682</v>
      </c>
      <c r="P567">
        <f t="shared" si="9"/>
        <v>56.1</v>
      </c>
    </row>
    <row r="568" spans="10:16">
      <c r="J568" s="5"/>
      <c r="L568">
        <f>TMTB!M568</f>
        <v>2.3559096000000099E-2</v>
      </c>
      <c r="M568">
        <f>TMTB!N568</f>
        <v>56.2</v>
      </c>
      <c r="O568">
        <f>ABS(L568-TMTB!$C$34)</f>
        <v>11.857952327286682</v>
      </c>
      <c r="P568">
        <f t="shared" si="9"/>
        <v>56.2</v>
      </c>
    </row>
    <row r="569" spans="10:16">
      <c r="J569" s="5"/>
      <c r="L569">
        <f>TMTB!M569</f>
        <v>2.4969904000000102E-2</v>
      </c>
      <c r="M569">
        <f>TMTB!N569</f>
        <v>56.3</v>
      </c>
      <c r="O569">
        <f>ABS(L569-TMTB!$C$34)</f>
        <v>11.856541519286681</v>
      </c>
      <c r="P569">
        <f t="shared" si="9"/>
        <v>56.3</v>
      </c>
    </row>
    <row r="570" spans="10:16">
      <c r="J570" s="5"/>
      <c r="L570">
        <f>TMTB!M570</f>
        <v>2.66332720000001E-2</v>
      </c>
      <c r="M570">
        <f>TMTB!N570</f>
        <v>56.4</v>
      </c>
      <c r="O570">
        <f>ABS(L570-TMTB!$C$34)</f>
        <v>11.854878151286682</v>
      </c>
      <c r="P570">
        <f t="shared" si="9"/>
        <v>56.4</v>
      </c>
    </row>
    <row r="571" spans="10:16">
      <c r="J571" s="5"/>
      <c r="L571">
        <f>TMTB!M571</f>
        <v>2.91691200000001E-2</v>
      </c>
      <c r="M571">
        <f>TMTB!N571</f>
        <v>56.5</v>
      </c>
      <c r="O571">
        <f>ABS(L571-TMTB!$C$34)</f>
        <v>11.852342303286681</v>
      </c>
      <c r="P571">
        <f t="shared" si="9"/>
        <v>56.5</v>
      </c>
    </row>
    <row r="572" spans="10:16">
      <c r="J572" s="5"/>
      <c r="L572">
        <f>TMTB!M572</f>
        <v>3.1704968000000097E-2</v>
      </c>
      <c r="M572">
        <f>TMTB!N572</f>
        <v>56.6</v>
      </c>
      <c r="O572">
        <f>ABS(L572-TMTB!$C$34)</f>
        <v>11.849806455286682</v>
      </c>
      <c r="P572">
        <f t="shared" si="9"/>
        <v>56.6</v>
      </c>
    </row>
    <row r="573" spans="10:16">
      <c r="J573" s="5"/>
      <c r="L573">
        <f>TMTB!M573</f>
        <v>3.5710768000000101E-2</v>
      </c>
      <c r="M573">
        <f>TMTB!N573</f>
        <v>56.7</v>
      </c>
      <c r="O573">
        <f>ABS(L573-TMTB!$C$34)</f>
        <v>11.845800655286682</v>
      </c>
      <c r="P573">
        <f t="shared" si="9"/>
        <v>56.7</v>
      </c>
    </row>
    <row r="574" spans="10:16">
      <c r="J574" s="5"/>
      <c r="L574">
        <f>TMTB!M574</f>
        <v>4.0429272000000398E-2</v>
      </c>
      <c r="M574">
        <f>TMTB!N574</f>
        <v>56.8</v>
      </c>
      <c r="O574">
        <f>ABS(L574-TMTB!$C$34)</f>
        <v>11.841082151286681</v>
      </c>
      <c r="P574">
        <f t="shared" si="9"/>
        <v>56.8</v>
      </c>
    </row>
    <row r="575" spans="10:16">
      <c r="J575" s="5"/>
      <c r="L575">
        <f>TMTB!M575</f>
        <v>4.4615648000000001E-2</v>
      </c>
      <c r="M575">
        <f>TMTB!N575</f>
        <v>56.9</v>
      </c>
      <c r="O575">
        <f>ABS(L575-TMTB!$C$34)</f>
        <v>11.836895775286681</v>
      </c>
      <c r="P575">
        <f t="shared" si="9"/>
        <v>56.9</v>
      </c>
    </row>
    <row r="576" spans="10:16">
      <c r="J576" s="5"/>
      <c r="L576">
        <f>TMTB!M576</f>
        <v>4.4988439999999998E-2</v>
      </c>
      <c r="M576">
        <f>TMTB!N576</f>
        <v>57</v>
      </c>
      <c r="O576">
        <f>ABS(L576-TMTB!$C$34)</f>
        <v>11.836522983286683</v>
      </c>
      <c r="P576">
        <f t="shared" si="9"/>
        <v>57</v>
      </c>
    </row>
    <row r="577" spans="10:16">
      <c r="J577" s="5"/>
      <c r="L577">
        <f>TMTB!M577</f>
        <v>4.5361232000000001E-2</v>
      </c>
      <c r="M577">
        <f>TMTB!N577</f>
        <v>57.1</v>
      </c>
      <c r="O577">
        <f>ABS(L577-TMTB!$C$34)</f>
        <v>11.836150191286682</v>
      </c>
      <c r="P577">
        <f t="shared" si="9"/>
        <v>57.1</v>
      </c>
    </row>
    <row r="578" spans="10:16">
      <c r="J578" s="5"/>
      <c r="L578">
        <f>TMTB!M578</f>
        <v>4.5520999999999999E-2</v>
      </c>
      <c r="M578">
        <f>TMTB!N578</f>
        <v>57.2</v>
      </c>
      <c r="O578">
        <f>ABS(L578-TMTB!$C$34)</f>
        <v>11.835990423286681</v>
      </c>
      <c r="P578">
        <f t="shared" si="9"/>
        <v>57.2</v>
      </c>
    </row>
    <row r="579" spans="10:16">
      <c r="J579" s="5"/>
      <c r="L579">
        <f>TMTB!M579</f>
        <v>4.5520999999999999E-2</v>
      </c>
      <c r="M579">
        <f>TMTB!N579</f>
        <v>57.3</v>
      </c>
      <c r="O579">
        <f>ABS(L579-TMTB!$C$34)</f>
        <v>11.835990423286681</v>
      </c>
      <c r="P579">
        <f t="shared" si="9"/>
        <v>57.3</v>
      </c>
    </row>
    <row r="580" spans="10:16">
      <c r="J580" s="5"/>
      <c r="L580">
        <f>TMTB!M580</f>
        <v>4.5611816000000402E-2</v>
      </c>
      <c r="M580">
        <f>TMTB!N580</f>
        <v>57.4</v>
      </c>
      <c r="O580">
        <f>ABS(L580-TMTB!$C$34)</f>
        <v>11.835899607286681</v>
      </c>
      <c r="P580">
        <f t="shared" si="9"/>
        <v>57.4</v>
      </c>
    </row>
    <row r="581" spans="10:16">
      <c r="J581" s="5"/>
      <c r="L581">
        <f>TMTB!M581</f>
        <v>5.0061800000000399E-2</v>
      </c>
      <c r="M581">
        <f>TMTB!N581</f>
        <v>57.5</v>
      </c>
      <c r="O581">
        <f>ABS(L581-TMTB!$C$34)</f>
        <v>11.831449623286682</v>
      </c>
      <c r="P581">
        <f t="shared" si="9"/>
        <v>57.5</v>
      </c>
    </row>
    <row r="582" spans="10:16">
      <c r="J582" s="5"/>
      <c r="L582">
        <f>TMTB!M582</f>
        <v>5.4511784000000299E-2</v>
      </c>
      <c r="M582">
        <f>TMTB!N582</f>
        <v>57.6</v>
      </c>
      <c r="O582">
        <f>ABS(L582-TMTB!$C$34)</f>
        <v>11.826999639286681</v>
      </c>
      <c r="P582">
        <f t="shared" si="9"/>
        <v>57.6</v>
      </c>
    </row>
    <row r="583" spans="10:16">
      <c r="J583" s="5"/>
      <c r="L583">
        <f>TMTB!M583</f>
        <v>5.8432583999999697E-2</v>
      </c>
      <c r="M583">
        <f>TMTB!N583</f>
        <v>57.7</v>
      </c>
      <c r="O583">
        <f>ABS(L583-TMTB!$C$34)</f>
        <v>11.823078839286682</v>
      </c>
      <c r="P583">
        <f t="shared" ref="P583:P646" si="10">M583</f>
        <v>57.7</v>
      </c>
    </row>
    <row r="584" spans="10:16">
      <c r="J584" s="5"/>
      <c r="L584">
        <f>TMTB!M584</f>
        <v>6.1755175999999898E-2</v>
      </c>
      <c r="M584">
        <f>TMTB!N584</f>
        <v>57.8</v>
      </c>
      <c r="O584">
        <f>ABS(L584-TMTB!$C$34)</f>
        <v>11.819756247286682</v>
      </c>
      <c r="P584">
        <f t="shared" si="10"/>
        <v>57.8</v>
      </c>
    </row>
    <row r="585" spans="10:16">
      <c r="J585" s="5"/>
      <c r="L585">
        <f>TMTB!M585</f>
        <v>6.5077767999999897E-2</v>
      </c>
      <c r="M585">
        <f>TMTB!N585</f>
        <v>57.9</v>
      </c>
      <c r="O585">
        <f>ABS(L585-TMTB!$C$34)</f>
        <v>11.816433655286682</v>
      </c>
      <c r="P585">
        <f t="shared" si="10"/>
        <v>57.9</v>
      </c>
    </row>
    <row r="586" spans="10:16">
      <c r="J586" s="5"/>
      <c r="L586">
        <f>TMTB!M586</f>
        <v>7.0524719999999805E-2</v>
      </c>
      <c r="M586">
        <f>TMTB!N586</f>
        <v>58</v>
      </c>
      <c r="O586">
        <f>ABS(L586-TMTB!$C$34)</f>
        <v>11.810986703286682</v>
      </c>
      <c r="P586">
        <f t="shared" si="10"/>
        <v>58</v>
      </c>
    </row>
    <row r="587" spans="10:16">
      <c r="J587" s="5"/>
      <c r="L587">
        <f>TMTB!M587</f>
        <v>7.6160503999999699E-2</v>
      </c>
      <c r="M587">
        <f>TMTB!N587</f>
        <v>58.1</v>
      </c>
      <c r="O587">
        <f>ABS(L587-TMTB!$C$34)</f>
        <v>11.805350919286683</v>
      </c>
      <c r="P587">
        <f t="shared" si="10"/>
        <v>58.1</v>
      </c>
    </row>
    <row r="588" spans="10:16">
      <c r="J588" s="5"/>
      <c r="L588">
        <f>TMTB!M588</f>
        <v>7.9918095999999994E-2</v>
      </c>
      <c r="M588">
        <f>TMTB!N588</f>
        <v>58.2</v>
      </c>
      <c r="O588">
        <f>ABS(L588-TMTB!$C$34)</f>
        <v>11.801593327286682</v>
      </c>
      <c r="P588">
        <f t="shared" si="10"/>
        <v>58.2</v>
      </c>
    </row>
    <row r="589" spans="10:16">
      <c r="J589" s="5"/>
      <c r="L589">
        <f>TMTB!M589</f>
        <v>8.0441024E-2</v>
      </c>
      <c r="M589">
        <f>TMTB!N589</f>
        <v>58.3</v>
      </c>
      <c r="O589">
        <f>ABS(L589-TMTB!$C$34)</f>
        <v>11.801070399286681</v>
      </c>
      <c r="P589">
        <f t="shared" si="10"/>
        <v>58.3</v>
      </c>
    </row>
    <row r="590" spans="10:16">
      <c r="J590" s="5"/>
      <c r="L590">
        <f>TMTB!M590</f>
        <v>8.0963952000000006E-2</v>
      </c>
      <c r="M590">
        <f>TMTB!N590</f>
        <v>58.4</v>
      </c>
      <c r="O590">
        <f>ABS(L590-TMTB!$C$34)</f>
        <v>11.800547471286682</v>
      </c>
      <c r="P590">
        <f t="shared" si="10"/>
        <v>58.4</v>
      </c>
    </row>
    <row r="591" spans="10:16">
      <c r="J591" s="5"/>
      <c r="L591">
        <f>TMTB!M591</f>
        <v>8.1352800000000003E-2</v>
      </c>
      <c r="M591">
        <f>TMTB!N591</f>
        <v>58.5</v>
      </c>
      <c r="O591">
        <f>ABS(L591-TMTB!$C$34)</f>
        <v>11.800158623286682</v>
      </c>
      <c r="P591">
        <f t="shared" si="10"/>
        <v>58.5</v>
      </c>
    </row>
    <row r="592" spans="10:16">
      <c r="J592" s="5"/>
      <c r="L592">
        <f>TMTB!M592</f>
        <v>8.1711480000000003E-2</v>
      </c>
      <c r="M592">
        <f>TMTB!N592</f>
        <v>58.6</v>
      </c>
      <c r="O592">
        <f>ABS(L592-TMTB!$C$34)</f>
        <v>11.799799943286683</v>
      </c>
      <c r="P592">
        <f t="shared" si="10"/>
        <v>58.6</v>
      </c>
    </row>
    <row r="593" spans="10:16">
      <c r="J593" s="5"/>
      <c r="L593">
        <f>TMTB!M593</f>
        <v>8.2098344000000004E-2</v>
      </c>
      <c r="M593">
        <f>TMTB!N593</f>
        <v>58.7</v>
      </c>
      <c r="O593">
        <f>ABS(L593-TMTB!$C$34)</f>
        <v>11.799413079286682</v>
      </c>
      <c r="P593">
        <f t="shared" si="10"/>
        <v>58.7</v>
      </c>
    </row>
    <row r="594" spans="10:16">
      <c r="J594" s="5"/>
      <c r="L594">
        <f>TMTB!M594</f>
        <v>8.2563256000000002E-2</v>
      </c>
      <c r="M594">
        <f>TMTB!N594</f>
        <v>58.8</v>
      </c>
      <c r="O594">
        <f>ABS(L594-TMTB!$C$34)</f>
        <v>11.798948167286682</v>
      </c>
      <c r="P594">
        <f t="shared" si="10"/>
        <v>58.8</v>
      </c>
    </row>
    <row r="595" spans="10:16">
      <c r="J595" s="5"/>
      <c r="L595">
        <f>TMTB!M595</f>
        <v>8.3028167999999999E-2</v>
      </c>
      <c r="M595">
        <f>TMTB!N595</f>
        <v>58.9</v>
      </c>
      <c r="O595">
        <f>ABS(L595-TMTB!$C$34)</f>
        <v>11.798483255286682</v>
      </c>
      <c r="P595">
        <f t="shared" si="10"/>
        <v>58.9</v>
      </c>
    </row>
    <row r="596" spans="10:16">
      <c r="J596" s="5"/>
      <c r="L596">
        <f>TMTB!M596</f>
        <v>8.5822120000000002E-2</v>
      </c>
      <c r="M596">
        <f>TMTB!N596</f>
        <v>59</v>
      </c>
      <c r="O596">
        <f>ABS(L596-TMTB!$C$34)</f>
        <v>11.795689303286682</v>
      </c>
      <c r="P596">
        <f t="shared" si="10"/>
        <v>59</v>
      </c>
    </row>
    <row r="597" spans="10:16">
      <c r="J597" s="5"/>
      <c r="L597">
        <f>TMTB!M597</f>
        <v>8.9547688E-2</v>
      </c>
      <c r="M597">
        <f>TMTB!N597</f>
        <v>59.1</v>
      </c>
      <c r="O597">
        <f>ABS(L597-TMTB!$C$34)</f>
        <v>11.791963735286682</v>
      </c>
      <c r="P597">
        <f t="shared" si="10"/>
        <v>59.1</v>
      </c>
    </row>
    <row r="598" spans="10:16">
      <c r="J598" s="5"/>
      <c r="L598">
        <f>TMTB!M598</f>
        <v>9.37460239999999E-2</v>
      </c>
      <c r="M598">
        <f>TMTB!N598</f>
        <v>59.2</v>
      </c>
      <c r="O598">
        <f>ABS(L598-TMTB!$C$34)</f>
        <v>11.787765399286682</v>
      </c>
      <c r="P598">
        <f t="shared" si="10"/>
        <v>59.2</v>
      </c>
    </row>
    <row r="599" spans="10:16">
      <c r="J599" s="5"/>
      <c r="L599">
        <f>TMTB!M599</f>
        <v>0.10036729599999999</v>
      </c>
      <c r="M599">
        <f>TMTB!N599</f>
        <v>59.3</v>
      </c>
      <c r="O599">
        <f>ABS(L599-TMTB!$C$34)</f>
        <v>11.781144127286682</v>
      </c>
      <c r="P599">
        <f t="shared" si="10"/>
        <v>59.3</v>
      </c>
    </row>
    <row r="600" spans="10:16">
      <c r="J600" s="5"/>
      <c r="L600">
        <f>TMTB!M600</f>
        <v>0.10698856800000001</v>
      </c>
      <c r="M600">
        <f>TMTB!N600</f>
        <v>59.4</v>
      </c>
      <c r="O600">
        <f>ABS(L600-TMTB!$C$34)</f>
        <v>11.774522855286682</v>
      </c>
      <c r="P600">
        <f t="shared" si="10"/>
        <v>59.4</v>
      </c>
    </row>
    <row r="601" spans="10:16">
      <c r="J601" s="5"/>
      <c r="L601">
        <f>TMTB!M601</f>
        <v>0.10988288</v>
      </c>
      <c r="M601">
        <f>TMTB!N601</f>
        <v>59.5</v>
      </c>
      <c r="O601">
        <f>ABS(L601-TMTB!$C$34)</f>
        <v>11.771628543286681</v>
      </c>
      <c r="P601">
        <f t="shared" si="10"/>
        <v>59.5</v>
      </c>
    </row>
    <row r="602" spans="10:16">
      <c r="J602" s="5"/>
      <c r="L602">
        <f>TMTB!M602</f>
        <v>0.110416784</v>
      </c>
      <c r="M602">
        <f>TMTB!N602</f>
        <v>59.6</v>
      </c>
      <c r="O602">
        <f>ABS(L602-TMTB!$C$34)</f>
        <v>11.771094639286682</v>
      </c>
      <c r="P602">
        <f t="shared" si="10"/>
        <v>59.6</v>
      </c>
    </row>
    <row r="603" spans="10:16">
      <c r="J603" s="5"/>
      <c r="L603">
        <f>TMTB!M603</f>
        <v>0.110965256</v>
      </c>
      <c r="M603">
        <f>TMTB!N603</f>
        <v>59.7</v>
      </c>
      <c r="O603">
        <f>ABS(L603-TMTB!$C$34)</f>
        <v>11.770546167286682</v>
      </c>
      <c r="P603">
        <f t="shared" si="10"/>
        <v>59.7</v>
      </c>
    </row>
    <row r="604" spans="10:16">
      <c r="J604" s="5"/>
      <c r="L604">
        <f>TMTB!M604</f>
        <v>0.111737104</v>
      </c>
      <c r="M604">
        <f>TMTB!N604</f>
        <v>59.8</v>
      </c>
      <c r="O604">
        <f>ABS(L604-TMTB!$C$34)</f>
        <v>11.769774319286682</v>
      </c>
      <c r="P604">
        <f t="shared" si="10"/>
        <v>59.8</v>
      </c>
    </row>
    <row r="605" spans="10:16">
      <c r="J605" s="5"/>
      <c r="L605">
        <f>TMTB!M605</f>
        <v>0.112508952</v>
      </c>
      <c r="M605">
        <f>TMTB!N605</f>
        <v>59.9</v>
      </c>
      <c r="O605">
        <f>ABS(L605-TMTB!$C$34)</f>
        <v>11.769002471286681</v>
      </c>
      <c r="P605">
        <f t="shared" si="10"/>
        <v>59.9</v>
      </c>
    </row>
    <row r="606" spans="10:16">
      <c r="J606" s="5"/>
      <c r="L606">
        <f>TMTB!M606</f>
        <v>0.1140506</v>
      </c>
      <c r="M606">
        <f>TMTB!N606</f>
        <v>60</v>
      </c>
      <c r="O606">
        <f>ABS(L606-TMTB!$C$34)</f>
        <v>11.767460823286681</v>
      </c>
      <c r="P606">
        <f t="shared" si="10"/>
        <v>60</v>
      </c>
    </row>
    <row r="607" spans="10:16">
      <c r="J607" s="5"/>
      <c r="L607">
        <f>TMTB!M607</f>
        <v>0.11633125599999999</v>
      </c>
      <c r="M607">
        <f>TMTB!N607</f>
        <v>60.1</v>
      </c>
      <c r="O607">
        <f>ABS(L607-TMTB!$C$34)</f>
        <v>11.765180167286681</v>
      </c>
      <c r="P607">
        <f t="shared" si="10"/>
        <v>60.1</v>
      </c>
    </row>
    <row r="608" spans="10:16">
      <c r="J608" s="5"/>
      <c r="L608">
        <f>TMTB!M608</f>
        <v>0.118611912</v>
      </c>
      <c r="M608">
        <f>TMTB!N608</f>
        <v>60.2</v>
      </c>
      <c r="O608">
        <f>ABS(L608-TMTB!$C$34)</f>
        <v>11.762899511286681</v>
      </c>
      <c r="P608">
        <f t="shared" si="10"/>
        <v>60.2</v>
      </c>
    </row>
    <row r="609" spans="10:16">
      <c r="J609" s="5"/>
      <c r="L609">
        <f>TMTB!M609</f>
        <v>0.122230376</v>
      </c>
      <c r="M609">
        <f>TMTB!N609</f>
        <v>60.3</v>
      </c>
      <c r="O609">
        <f>ABS(L609-TMTB!$C$34)</f>
        <v>11.759281047286683</v>
      </c>
      <c r="P609">
        <f t="shared" si="10"/>
        <v>60.3</v>
      </c>
    </row>
    <row r="610" spans="10:16">
      <c r="J610" s="5"/>
      <c r="L610">
        <f>TMTB!M610</f>
        <v>0.125905768</v>
      </c>
      <c r="M610">
        <f>TMTB!N610</f>
        <v>60.4</v>
      </c>
      <c r="O610">
        <f>ABS(L610-TMTB!$C$34)</f>
        <v>11.755605655286681</v>
      </c>
      <c r="P610">
        <f t="shared" si="10"/>
        <v>60.4</v>
      </c>
    </row>
    <row r="611" spans="10:16">
      <c r="J611" s="5"/>
      <c r="L611">
        <f>TMTB!M611</f>
        <v>0.12893076000000001</v>
      </c>
      <c r="M611">
        <f>TMTB!N611</f>
        <v>60.5</v>
      </c>
      <c r="O611">
        <f>ABS(L611-TMTB!$C$34)</f>
        <v>11.752580663286682</v>
      </c>
      <c r="P611">
        <f t="shared" si="10"/>
        <v>60.5</v>
      </c>
    </row>
    <row r="612" spans="10:16">
      <c r="J612" s="5"/>
      <c r="L612">
        <f>TMTB!M612</f>
        <v>0.131012672</v>
      </c>
      <c r="M612">
        <f>TMTB!N612</f>
        <v>60.6</v>
      </c>
      <c r="O612">
        <f>ABS(L612-TMTB!$C$34)</f>
        <v>11.750498751286681</v>
      </c>
      <c r="P612">
        <f t="shared" si="10"/>
        <v>60.6</v>
      </c>
    </row>
    <row r="613" spans="10:16">
      <c r="J613" s="5"/>
      <c r="L613">
        <f>TMTB!M613</f>
        <v>0.13309458399999999</v>
      </c>
      <c r="M613">
        <f>TMTB!N613</f>
        <v>60.7</v>
      </c>
      <c r="O613">
        <f>ABS(L613-TMTB!$C$34)</f>
        <v>11.748416839286682</v>
      </c>
      <c r="P613">
        <f t="shared" si="10"/>
        <v>60.7</v>
      </c>
    </row>
    <row r="614" spans="10:16">
      <c r="J614" s="5"/>
      <c r="L614">
        <f>TMTB!M614</f>
        <v>0.13577188800000001</v>
      </c>
      <c r="M614">
        <f>TMTB!N614</f>
        <v>60.8</v>
      </c>
      <c r="O614">
        <f>ABS(L614-TMTB!$C$34)</f>
        <v>11.745739535286681</v>
      </c>
      <c r="P614">
        <f t="shared" si="10"/>
        <v>60.8</v>
      </c>
    </row>
    <row r="615" spans="10:16">
      <c r="J615" s="5"/>
      <c r="L615">
        <f>TMTB!M615</f>
        <v>0.138548424</v>
      </c>
      <c r="M615">
        <f>TMTB!N615</f>
        <v>60.9</v>
      </c>
      <c r="O615">
        <f>ABS(L615-TMTB!$C$34)</f>
        <v>11.742962999286682</v>
      </c>
      <c r="P615">
        <f t="shared" si="10"/>
        <v>60.9</v>
      </c>
    </row>
    <row r="616" spans="10:16">
      <c r="J616" s="5"/>
      <c r="L616">
        <f>TMTB!M616</f>
        <v>0.14389848</v>
      </c>
      <c r="M616">
        <f>TMTB!N616</f>
        <v>61</v>
      </c>
      <c r="O616">
        <f>ABS(L616-TMTB!$C$34)</f>
        <v>11.737612943286681</v>
      </c>
      <c r="P616">
        <f t="shared" si="10"/>
        <v>61</v>
      </c>
    </row>
    <row r="617" spans="10:16">
      <c r="J617" s="5"/>
      <c r="L617">
        <f>TMTB!M617</f>
        <v>0.15508184799999999</v>
      </c>
      <c r="M617">
        <f>TMTB!N617</f>
        <v>61.1</v>
      </c>
      <c r="O617">
        <f>ABS(L617-TMTB!$C$34)</f>
        <v>11.726429575286682</v>
      </c>
      <c r="P617">
        <f t="shared" si="10"/>
        <v>61.1</v>
      </c>
    </row>
    <row r="618" spans="10:16">
      <c r="J618" s="5"/>
      <c r="L618">
        <f>TMTB!M618</f>
        <v>0.16626521599999999</v>
      </c>
      <c r="M618">
        <f>TMTB!N618</f>
        <v>61.2</v>
      </c>
      <c r="O618">
        <f>ABS(L618-TMTB!$C$34)</f>
        <v>11.715246207286683</v>
      </c>
      <c r="P618">
        <f t="shared" si="10"/>
        <v>61.2</v>
      </c>
    </row>
    <row r="619" spans="10:16">
      <c r="J619" s="5"/>
      <c r="L619">
        <f>TMTB!M619</f>
        <v>0.16922540799999999</v>
      </c>
      <c r="M619">
        <f>TMTB!N619</f>
        <v>61.3</v>
      </c>
      <c r="O619">
        <f>ABS(L619-TMTB!$C$34)</f>
        <v>11.712286015286681</v>
      </c>
      <c r="P619">
        <f t="shared" si="10"/>
        <v>61.3</v>
      </c>
    </row>
    <row r="620" spans="10:16">
      <c r="J620" s="5"/>
      <c r="L620">
        <f>TMTB!M620</f>
        <v>0.16951862400000001</v>
      </c>
      <c r="M620">
        <f>TMTB!N620</f>
        <v>61.4</v>
      </c>
      <c r="O620">
        <f>ABS(L620-TMTB!$C$34)</f>
        <v>11.711992799286682</v>
      </c>
      <c r="P620">
        <f t="shared" si="10"/>
        <v>61.4</v>
      </c>
    </row>
    <row r="621" spans="10:16">
      <c r="J621" s="5"/>
      <c r="L621">
        <f>TMTB!M621</f>
        <v>0.16978199999999999</v>
      </c>
      <c r="M621">
        <f>TMTB!N621</f>
        <v>61.5</v>
      </c>
      <c r="O621">
        <f>ABS(L621-TMTB!$C$34)</f>
        <v>11.711729423286682</v>
      </c>
      <c r="P621">
        <f t="shared" si="10"/>
        <v>61.5</v>
      </c>
    </row>
    <row r="622" spans="10:16">
      <c r="J622" s="5"/>
      <c r="L622">
        <f>TMTB!M622</f>
        <v>0.169929</v>
      </c>
      <c r="M622">
        <f>TMTB!N622</f>
        <v>61.6</v>
      </c>
      <c r="O622">
        <f>ABS(L622-TMTB!$C$34)</f>
        <v>11.711582423286682</v>
      </c>
      <c r="P622">
        <f t="shared" si="10"/>
        <v>61.6</v>
      </c>
    </row>
    <row r="623" spans="10:16">
      <c r="J623" s="5"/>
      <c r="L623">
        <f>TMTB!M623</f>
        <v>0.170076</v>
      </c>
      <c r="M623">
        <f>TMTB!N623</f>
        <v>61.7</v>
      </c>
      <c r="O623">
        <f>ABS(L623-TMTB!$C$34)</f>
        <v>11.711435423286682</v>
      </c>
      <c r="P623">
        <f t="shared" si="10"/>
        <v>61.7</v>
      </c>
    </row>
    <row r="624" spans="10:16">
      <c r="J624" s="5"/>
      <c r="L624">
        <f>TMTB!M624</f>
        <v>0.17092264800000001</v>
      </c>
      <c r="M624">
        <f>TMTB!N624</f>
        <v>61.8</v>
      </c>
      <c r="O624">
        <f>ABS(L624-TMTB!$C$34)</f>
        <v>11.710588775286682</v>
      </c>
      <c r="P624">
        <f t="shared" si="10"/>
        <v>61.8</v>
      </c>
    </row>
    <row r="625" spans="10:16">
      <c r="J625" s="5"/>
      <c r="L625">
        <f>TMTB!M625</f>
        <v>0.172140984</v>
      </c>
      <c r="M625">
        <f>TMTB!N625</f>
        <v>61.9</v>
      </c>
      <c r="O625">
        <f>ABS(L625-TMTB!$C$34)</f>
        <v>11.709370439286682</v>
      </c>
      <c r="P625">
        <f t="shared" si="10"/>
        <v>61.9</v>
      </c>
    </row>
    <row r="626" spans="10:16">
      <c r="J626" s="5"/>
      <c r="L626">
        <f>TMTB!M626</f>
        <v>0.17354712</v>
      </c>
      <c r="M626">
        <f>TMTB!N626</f>
        <v>62</v>
      </c>
      <c r="O626">
        <f>ABS(L626-TMTB!$C$34)</f>
        <v>11.707964303286682</v>
      </c>
      <c r="P626">
        <f t="shared" si="10"/>
        <v>62</v>
      </c>
    </row>
    <row r="627" spans="10:16">
      <c r="J627" s="5"/>
      <c r="L627">
        <f>TMTB!M627</f>
        <v>0.17660589600000001</v>
      </c>
      <c r="M627">
        <f>TMTB!N627</f>
        <v>62.1</v>
      </c>
      <c r="O627">
        <f>ABS(L627-TMTB!$C$34)</f>
        <v>11.704905527286682</v>
      </c>
      <c r="P627">
        <f t="shared" si="10"/>
        <v>62.1</v>
      </c>
    </row>
    <row r="628" spans="10:16">
      <c r="J628" s="5"/>
      <c r="L628">
        <f>TMTB!M628</f>
        <v>0.179664672</v>
      </c>
      <c r="M628">
        <f>TMTB!N628</f>
        <v>62.2</v>
      </c>
      <c r="O628">
        <f>ABS(L628-TMTB!$C$34)</f>
        <v>11.701846751286682</v>
      </c>
      <c r="P628">
        <f t="shared" si="10"/>
        <v>62.2</v>
      </c>
    </row>
    <row r="629" spans="10:16">
      <c r="J629" s="5"/>
      <c r="L629">
        <f>TMTB!M629</f>
        <v>0.181740648</v>
      </c>
      <c r="M629">
        <f>TMTB!N629</f>
        <v>62.3</v>
      </c>
      <c r="O629">
        <f>ABS(L629-TMTB!$C$34)</f>
        <v>11.699770775286682</v>
      </c>
      <c r="P629">
        <f t="shared" si="10"/>
        <v>62.3</v>
      </c>
    </row>
    <row r="630" spans="10:16">
      <c r="J630" s="5"/>
      <c r="L630">
        <f>TMTB!M630</f>
        <v>0.18301582399999999</v>
      </c>
      <c r="M630">
        <f>TMTB!N630</f>
        <v>62.4</v>
      </c>
      <c r="O630">
        <f>ABS(L630-TMTB!$C$34)</f>
        <v>11.698495599286682</v>
      </c>
      <c r="P630">
        <f t="shared" si="10"/>
        <v>62.4</v>
      </c>
    </row>
    <row r="631" spans="10:16">
      <c r="J631" s="5"/>
      <c r="L631">
        <f>TMTB!M631</f>
        <v>0.18429100000000001</v>
      </c>
      <c r="M631">
        <f>TMTB!N631</f>
        <v>62.5</v>
      </c>
      <c r="O631">
        <f>ABS(L631-TMTB!$C$34)</f>
        <v>11.697220423286682</v>
      </c>
      <c r="P631">
        <f t="shared" si="10"/>
        <v>62.5</v>
      </c>
    </row>
    <row r="632" spans="10:16">
      <c r="J632" s="5"/>
      <c r="L632">
        <f>TMTB!M632</f>
        <v>0.18648698399999999</v>
      </c>
      <c r="M632">
        <f>TMTB!N632</f>
        <v>62.6</v>
      </c>
      <c r="O632">
        <f>ABS(L632-TMTB!$C$34)</f>
        <v>11.695024439286682</v>
      </c>
      <c r="P632">
        <f t="shared" si="10"/>
        <v>62.6</v>
      </c>
    </row>
    <row r="633" spans="10:16">
      <c r="J633" s="5"/>
      <c r="L633">
        <f>TMTB!M633</f>
        <v>0.18868296800000001</v>
      </c>
      <c r="M633">
        <f>TMTB!N633</f>
        <v>62.7</v>
      </c>
      <c r="O633">
        <f>ABS(L633-TMTB!$C$34)</f>
        <v>11.692828455286682</v>
      </c>
      <c r="P633">
        <f t="shared" si="10"/>
        <v>62.7</v>
      </c>
    </row>
    <row r="634" spans="10:16">
      <c r="J634" s="5"/>
      <c r="L634">
        <f>TMTB!M634</f>
        <v>0.190400232</v>
      </c>
      <c r="M634">
        <f>TMTB!N634</f>
        <v>62.8</v>
      </c>
      <c r="O634">
        <f>ABS(L634-TMTB!$C$34)</f>
        <v>11.691111191286682</v>
      </c>
      <c r="P634">
        <f t="shared" si="10"/>
        <v>62.8</v>
      </c>
    </row>
    <row r="635" spans="10:16">
      <c r="J635" s="5"/>
      <c r="L635">
        <f>TMTB!M635</f>
        <v>0.19152997599999999</v>
      </c>
      <c r="M635">
        <f>TMTB!N635</f>
        <v>62.9</v>
      </c>
      <c r="O635">
        <f>ABS(L635-TMTB!$C$34)</f>
        <v>11.689981447286682</v>
      </c>
      <c r="P635">
        <f t="shared" si="10"/>
        <v>62.9</v>
      </c>
    </row>
    <row r="636" spans="10:16">
      <c r="J636" s="5"/>
      <c r="L636">
        <f>TMTB!M636</f>
        <v>0.19265972000000001</v>
      </c>
      <c r="M636">
        <f>TMTB!N636</f>
        <v>63</v>
      </c>
      <c r="O636">
        <f>ABS(L636-TMTB!$C$34)</f>
        <v>11.688851703286682</v>
      </c>
      <c r="P636">
        <f t="shared" si="10"/>
        <v>63</v>
      </c>
    </row>
    <row r="637" spans="10:16">
      <c r="J637" s="5"/>
      <c r="L637">
        <f>TMTB!M637</f>
        <v>0.193507864</v>
      </c>
      <c r="M637">
        <f>TMTB!N637</f>
        <v>63.1</v>
      </c>
      <c r="O637">
        <f>ABS(L637-TMTB!$C$34)</f>
        <v>11.688003559286681</v>
      </c>
      <c r="P637">
        <f t="shared" si="10"/>
        <v>63.1</v>
      </c>
    </row>
    <row r="638" spans="10:16">
      <c r="J638" s="5"/>
      <c r="L638">
        <f>TMTB!M638</f>
        <v>0.19432400799999999</v>
      </c>
      <c r="M638">
        <f>TMTB!N638</f>
        <v>63.2</v>
      </c>
      <c r="O638">
        <f>ABS(L638-TMTB!$C$34)</f>
        <v>11.687187415286681</v>
      </c>
      <c r="P638">
        <f t="shared" si="10"/>
        <v>63.2</v>
      </c>
    </row>
    <row r="639" spans="10:16">
      <c r="J639" s="5"/>
      <c r="L639">
        <f>TMTB!M639</f>
        <v>0.19505773600000001</v>
      </c>
      <c r="M639">
        <f>TMTB!N639</f>
        <v>63.3</v>
      </c>
      <c r="O639">
        <f>ABS(L639-TMTB!$C$34)</f>
        <v>11.686453687286681</v>
      </c>
      <c r="P639">
        <f t="shared" si="10"/>
        <v>63.3</v>
      </c>
    </row>
    <row r="640" spans="10:16">
      <c r="J640" s="5"/>
      <c r="L640">
        <f>TMTB!M640</f>
        <v>0.195636328</v>
      </c>
      <c r="M640">
        <f>TMTB!N640</f>
        <v>63.4</v>
      </c>
      <c r="O640">
        <f>ABS(L640-TMTB!$C$34)</f>
        <v>11.685875095286681</v>
      </c>
      <c r="P640">
        <f t="shared" si="10"/>
        <v>63.4</v>
      </c>
    </row>
    <row r="641" spans="10:16">
      <c r="J641" s="5"/>
      <c r="L641">
        <f>TMTB!M641</f>
        <v>0.19621491999999999</v>
      </c>
      <c r="M641">
        <f>TMTB!N641</f>
        <v>63.5</v>
      </c>
      <c r="O641">
        <f>ABS(L641-TMTB!$C$34)</f>
        <v>11.685296503286683</v>
      </c>
      <c r="P641">
        <f t="shared" si="10"/>
        <v>63.5</v>
      </c>
    </row>
    <row r="642" spans="10:16">
      <c r="J642" s="5"/>
      <c r="L642">
        <f>TMTB!M642</f>
        <v>0.198745696</v>
      </c>
      <c r="M642">
        <f>TMTB!N642</f>
        <v>63.6</v>
      </c>
      <c r="O642">
        <f>ABS(L642-TMTB!$C$34)</f>
        <v>11.682765727286682</v>
      </c>
      <c r="P642">
        <f t="shared" si="10"/>
        <v>63.6</v>
      </c>
    </row>
    <row r="643" spans="10:16">
      <c r="J643" s="5"/>
      <c r="L643">
        <f>TMTB!M643</f>
        <v>0.201777032</v>
      </c>
      <c r="M643">
        <f>TMTB!N643</f>
        <v>63.7</v>
      </c>
      <c r="O643">
        <f>ABS(L643-TMTB!$C$34)</f>
        <v>11.679734391286681</v>
      </c>
      <c r="P643">
        <f t="shared" si="10"/>
        <v>63.7</v>
      </c>
    </row>
    <row r="644" spans="10:16">
      <c r="J644" s="5"/>
      <c r="L644">
        <f>TMTB!M644</f>
        <v>0.205628016</v>
      </c>
      <c r="M644">
        <f>TMTB!N644</f>
        <v>63.8</v>
      </c>
      <c r="O644">
        <f>ABS(L644-TMTB!$C$34)</f>
        <v>11.675883407286682</v>
      </c>
      <c r="P644">
        <f t="shared" si="10"/>
        <v>63.8</v>
      </c>
    </row>
    <row r="645" spans="10:16">
      <c r="J645" s="5"/>
      <c r="L645">
        <f>TMTB!M645</f>
        <v>0.21200624800000001</v>
      </c>
      <c r="M645">
        <f>TMTB!N645</f>
        <v>63.9</v>
      </c>
      <c r="O645">
        <f>ABS(L645-TMTB!$C$34)</f>
        <v>11.669505175286682</v>
      </c>
      <c r="P645">
        <f t="shared" si="10"/>
        <v>63.9</v>
      </c>
    </row>
    <row r="646" spans="10:16">
      <c r="J646" s="5"/>
      <c r="L646">
        <f>TMTB!M646</f>
        <v>0.21838447999999999</v>
      </c>
      <c r="M646">
        <f>TMTB!N646</f>
        <v>64</v>
      </c>
      <c r="O646">
        <f>ABS(L646-TMTB!$C$34)</f>
        <v>11.663126943286683</v>
      </c>
      <c r="P646">
        <f t="shared" si="10"/>
        <v>64</v>
      </c>
    </row>
    <row r="647" spans="10:16">
      <c r="J647" s="5"/>
      <c r="L647">
        <f>TMTB!M647</f>
        <v>0.225237352</v>
      </c>
      <c r="M647">
        <f>TMTB!N647</f>
        <v>64.099999999999994</v>
      </c>
      <c r="O647">
        <f>ABS(L647-TMTB!$C$34)</f>
        <v>11.656274071286681</v>
      </c>
      <c r="P647">
        <f t="shared" ref="P647:P710" si="11">M647</f>
        <v>64.099999999999994</v>
      </c>
    </row>
    <row r="648" spans="10:16">
      <c r="J648" s="5"/>
      <c r="L648">
        <f>TMTB!M648</f>
        <v>0.23229962400000001</v>
      </c>
      <c r="M648">
        <f>TMTB!N648</f>
        <v>64.2</v>
      </c>
      <c r="O648">
        <f>ABS(L648-TMTB!$C$34)</f>
        <v>11.649211799286682</v>
      </c>
      <c r="P648">
        <f t="shared" si="11"/>
        <v>64.2</v>
      </c>
    </row>
    <row r="649" spans="10:16">
      <c r="J649" s="5"/>
      <c r="L649">
        <f>TMTB!M649</f>
        <v>0.23847485600000001</v>
      </c>
      <c r="M649">
        <f>TMTB!N649</f>
        <v>64.3</v>
      </c>
      <c r="O649">
        <f>ABS(L649-TMTB!$C$34)</f>
        <v>11.643036567286682</v>
      </c>
      <c r="P649">
        <f t="shared" si="11"/>
        <v>64.3</v>
      </c>
    </row>
    <row r="650" spans="10:16">
      <c r="J650" s="5"/>
      <c r="L650">
        <f>TMTB!M650</f>
        <v>0.23932784800000001</v>
      </c>
      <c r="M650">
        <f>TMTB!N650</f>
        <v>64.400000000000006</v>
      </c>
      <c r="O650">
        <f>ABS(L650-TMTB!$C$34)</f>
        <v>11.642183575286682</v>
      </c>
      <c r="P650">
        <f t="shared" si="11"/>
        <v>64.400000000000006</v>
      </c>
    </row>
    <row r="651" spans="10:16">
      <c r="J651" s="5"/>
      <c r="L651">
        <f>TMTB!M651</f>
        <v>0.24018084000000001</v>
      </c>
      <c r="M651">
        <f>TMTB!N651</f>
        <v>64.5</v>
      </c>
      <c r="O651">
        <f>ABS(L651-TMTB!$C$34)</f>
        <v>11.641330583286681</v>
      </c>
      <c r="P651">
        <f t="shared" si="11"/>
        <v>64.5</v>
      </c>
    </row>
    <row r="652" spans="10:16">
      <c r="J652" s="5"/>
      <c r="L652">
        <f>TMTB!M652</f>
        <v>0.240812736</v>
      </c>
      <c r="M652">
        <f>TMTB!N652</f>
        <v>64.599999999999994</v>
      </c>
      <c r="O652">
        <f>ABS(L652-TMTB!$C$34)</f>
        <v>11.640698687286681</v>
      </c>
      <c r="P652">
        <f t="shared" si="11"/>
        <v>64.599999999999994</v>
      </c>
    </row>
    <row r="653" spans="10:16">
      <c r="J653" s="5"/>
      <c r="L653">
        <f>TMTB!M653</f>
        <v>0.24129215200000001</v>
      </c>
      <c r="M653">
        <f>TMTB!N653</f>
        <v>64.7</v>
      </c>
      <c r="O653">
        <f>ABS(L653-TMTB!$C$34)</f>
        <v>11.640219271286682</v>
      </c>
      <c r="P653">
        <f t="shared" si="11"/>
        <v>64.7</v>
      </c>
    </row>
    <row r="654" spans="10:16">
      <c r="J654" s="5"/>
      <c r="L654">
        <f>TMTB!M654</f>
        <v>0.2417984</v>
      </c>
      <c r="M654">
        <f>TMTB!N654</f>
        <v>64.8</v>
      </c>
      <c r="O654">
        <f>ABS(L654-TMTB!$C$34)</f>
        <v>11.639713023286681</v>
      </c>
      <c r="P654">
        <f t="shared" si="11"/>
        <v>64.8</v>
      </c>
    </row>
    <row r="655" spans="10:16">
      <c r="J655" s="5"/>
      <c r="L655">
        <f>TMTB!M655</f>
        <v>0.24293519999999999</v>
      </c>
      <c r="M655">
        <f>TMTB!N655</f>
        <v>64.900000000000006</v>
      </c>
      <c r="O655">
        <f>ABS(L655-TMTB!$C$34)</f>
        <v>11.638576223286682</v>
      </c>
      <c r="P655">
        <f t="shared" si="11"/>
        <v>64.900000000000006</v>
      </c>
    </row>
    <row r="656" spans="10:16">
      <c r="J656" s="5"/>
      <c r="L656">
        <f>TMTB!M656</f>
        <v>0.24407200000000001</v>
      </c>
      <c r="M656">
        <f>TMTB!N656</f>
        <v>65</v>
      </c>
      <c r="O656">
        <f>ABS(L656-TMTB!$C$34)</f>
        <v>11.637439423286683</v>
      </c>
      <c r="P656">
        <f t="shared" si="11"/>
        <v>65</v>
      </c>
    </row>
    <row r="657" spans="10:16">
      <c r="J657" s="5"/>
      <c r="L657">
        <f>TMTB!M657</f>
        <v>0.252908576</v>
      </c>
      <c r="M657">
        <f>TMTB!N657</f>
        <v>65.099999999999994</v>
      </c>
      <c r="O657">
        <f>ABS(L657-TMTB!$C$34)</f>
        <v>11.628602847286682</v>
      </c>
      <c r="P657">
        <f t="shared" si="11"/>
        <v>65.099999999999994</v>
      </c>
    </row>
    <row r="658" spans="10:16">
      <c r="J658" s="5"/>
      <c r="L658">
        <f>TMTB!M658</f>
        <v>0.26976575200000003</v>
      </c>
      <c r="M658">
        <f>TMTB!N658</f>
        <v>65.2</v>
      </c>
      <c r="O658">
        <f>ABS(L658-TMTB!$C$34)</f>
        <v>11.611745671286682</v>
      </c>
      <c r="P658">
        <f t="shared" si="11"/>
        <v>65.2</v>
      </c>
    </row>
    <row r="659" spans="10:16">
      <c r="J659" s="5"/>
      <c r="L659">
        <f>TMTB!M659</f>
        <v>0.286622928</v>
      </c>
      <c r="M659">
        <f>TMTB!N659</f>
        <v>65.3</v>
      </c>
      <c r="O659">
        <f>ABS(L659-TMTB!$C$34)</f>
        <v>11.594888495286682</v>
      </c>
      <c r="P659">
        <f t="shared" si="11"/>
        <v>65.3</v>
      </c>
    </row>
    <row r="660" spans="10:16">
      <c r="J660" s="5"/>
      <c r="L660">
        <f>TMTB!M660</f>
        <v>0.28929517599999999</v>
      </c>
      <c r="M660">
        <f>TMTB!N660</f>
        <v>65.400000000000006</v>
      </c>
      <c r="O660">
        <f>ABS(L660-TMTB!$C$34)</f>
        <v>11.592216247286682</v>
      </c>
      <c r="P660">
        <f t="shared" si="11"/>
        <v>65.400000000000006</v>
      </c>
    </row>
    <row r="661" spans="10:16">
      <c r="J661" s="5"/>
      <c r="L661">
        <f>TMTB!M661</f>
        <v>0.29104232000000002</v>
      </c>
      <c r="M661">
        <f>TMTB!N661</f>
        <v>65.5</v>
      </c>
      <c r="O661">
        <f>ABS(L661-TMTB!$C$34)</f>
        <v>11.590469103286681</v>
      </c>
      <c r="P661">
        <f t="shared" si="11"/>
        <v>65.5</v>
      </c>
    </row>
    <row r="662" spans="10:16">
      <c r="J662" s="5"/>
      <c r="L662">
        <f>TMTB!M662</f>
        <v>0.29341144800000002</v>
      </c>
      <c r="M662">
        <f>TMTB!N662</f>
        <v>65.599999999999994</v>
      </c>
      <c r="O662">
        <f>ABS(L662-TMTB!$C$34)</f>
        <v>11.588099975286681</v>
      </c>
      <c r="P662">
        <f t="shared" si="11"/>
        <v>65.599999999999994</v>
      </c>
    </row>
    <row r="663" spans="10:16">
      <c r="J663" s="5"/>
      <c r="L663">
        <f>TMTB!M663</f>
        <v>0.29676265600000001</v>
      </c>
      <c r="M663">
        <f>TMTB!N663</f>
        <v>65.7</v>
      </c>
      <c r="O663">
        <f>ABS(L663-TMTB!$C$34)</f>
        <v>11.584748767286682</v>
      </c>
      <c r="P663">
        <f t="shared" si="11"/>
        <v>65.7</v>
      </c>
    </row>
    <row r="664" spans="10:16">
      <c r="J664" s="5"/>
      <c r="L664">
        <f>TMTB!M664</f>
        <v>0.30011386400000001</v>
      </c>
      <c r="M664">
        <f>TMTB!N664</f>
        <v>65.8</v>
      </c>
      <c r="O664">
        <f>ABS(L664-TMTB!$C$34)</f>
        <v>11.581397559286682</v>
      </c>
      <c r="P664">
        <f t="shared" si="11"/>
        <v>65.8</v>
      </c>
    </row>
    <row r="665" spans="10:16">
      <c r="J665" s="5"/>
      <c r="L665">
        <f>TMTB!M665</f>
        <v>0.301114296</v>
      </c>
      <c r="M665">
        <f>TMTB!N665</f>
        <v>65.900000000000006</v>
      </c>
      <c r="O665">
        <f>ABS(L665-TMTB!$C$34)</f>
        <v>11.580397127286682</v>
      </c>
      <c r="P665">
        <f t="shared" si="11"/>
        <v>65.900000000000006</v>
      </c>
    </row>
    <row r="666" spans="10:16">
      <c r="J666" s="5"/>
      <c r="L666">
        <f>TMTB!M666</f>
        <v>0.30165604000000001</v>
      </c>
      <c r="M666">
        <f>TMTB!N666</f>
        <v>66</v>
      </c>
      <c r="O666">
        <f>ABS(L666-TMTB!$C$34)</f>
        <v>11.579855383286683</v>
      </c>
      <c r="P666">
        <f t="shared" si="11"/>
        <v>66</v>
      </c>
    </row>
    <row r="667" spans="10:16">
      <c r="J667" s="5"/>
      <c r="L667">
        <f>TMTB!M667</f>
        <v>0.30204300000000001</v>
      </c>
      <c r="M667">
        <f>TMTB!N667</f>
        <v>66.099999999999994</v>
      </c>
      <c r="O667">
        <f>ABS(L667-TMTB!$C$34)</f>
        <v>11.579468423286682</v>
      </c>
      <c r="P667">
        <f t="shared" si="11"/>
        <v>66.099999999999994</v>
      </c>
    </row>
    <row r="668" spans="10:16">
      <c r="J668" s="5"/>
      <c r="L668">
        <f>TMTB!M668</f>
        <v>0.30204300000000001</v>
      </c>
      <c r="M668">
        <f>TMTB!N668</f>
        <v>66.2</v>
      </c>
      <c r="O668">
        <f>ABS(L668-TMTB!$C$34)</f>
        <v>11.579468423286682</v>
      </c>
      <c r="P668">
        <f t="shared" si="11"/>
        <v>66.2</v>
      </c>
    </row>
    <row r="669" spans="10:16">
      <c r="J669" s="5"/>
      <c r="L669">
        <f>TMTB!M669</f>
        <v>0.30204300000000001</v>
      </c>
      <c r="M669">
        <f>TMTB!N669</f>
        <v>66.3</v>
      </c>
      <c r="O669">
        <f>ABS(L669-TMTB!$C$34)</f>
        <v>11.579468423286682</v>
      </c>
      <c r="P669">
        <f t="shared" si="11"/>
        <v>66.3</v>
      </c>
    </row>
    <row r="670" spans="10:16">
      <c r="J670" s="5"/>
      <c r="L670">
        <f>TMTB!M670</f>
        <v>0.304536792</v>
      </c>
      <c r="M670">
        <f>TMTB!N670</f>
        <v>66.400000000000006</v>
      </c>
      <c r="O670">
        <f>ABS(L670-TMTB!$C$34)</f>
        <v>11.576974631286681</v>
      </c>
      <c r="P670">
        <f t="shared" si="11"/>
        <v>66.400000000000006</v>
      </c>
    </row>
    <row r="671" spans="10:16">
      <c r="J671" s="5"/>
      <c r="L671">
        <f>TMTB!M671</f>
        <v>0.30793112</v>
      </c>
      <c r="M671">
        <f>TMTB!N671</f>
        <v>66.5</v>
      </c>
      <c r="O671">
        <f>ABS(L671-TMTB!$C$34)</f>
        <v>11.573580303286683</v>
      </c>
      <c r="P671">
        <f t="shared" si="11"/>
        <v>66.5</v>
      </c>
    </row>
    <row r="672" spans="10:16">
      <c r="J672" s="5"/>
      <c r="L672">
        <f>TMTB!M672</f>
        <v>0.31223207200000003</v>
      </c>
      <c r="M672">
        <f>TMTB!N672</f>
        <v>66.599999999999994</v>
      </c>
      <c r="O672">
        <f>ABS(L672-TMTB!$C$34)</f>
        <v>11.569279351286681</v>
      </c>
      <c r="P672">
        <f t="shared" si="11"/>
        <v>66.599999999999994</v>
      </c>
    </row>
    <row r="673" spans="10:16">
      <c r="J673" s="5"/>
      <c r="L673">
        <f>TMTB!M673</f>
        <v>0.32056246399999999</v>
      </c>
      <c r="M673">
        <f>TMTB!N673</f>
        <v>66.7</v>
      </c>
      <c r="O673">
        <f>ABS(L673-TMTB!$C$34)</f>
        <v>11.560948959286682</v>
      </c>
      <c r="P673">
        <f t="shared" si="11"/>
        <v>66.7</v>
      </c>
    </row>
    <row r="674" spans="10:16">
      <c r="J674" s="5"/>
      <c r="L674">
        <f>TMTB!M674</f>
        <v>0.32889285600000001</v>
      </c>
      <c r="M674">
        <f>TMTB!N674</f>
        <v>66.8</v>
      </c>
      <c r="O674">
        <f>ABS(L674-TMTB!$C$34)</f>
        <v>11.552618567286682</v>
      </c>
      <c r="P674">
        <f t="shared" si="11"/>
        <v>66.8</v>
      </c>
    </row>
    <row r="675" spans="10:16">
      <c r="J675" s="5"/>
      <c r="L675">
        <f>TMTB!M675</f>
        <v>0.33542028800000001</v>
      </c>
      <c r="M675">
        <f>TMTB!N675</f>
        <v>66.900000000000006</v>
      </c>
      <c r="O675">
        <f>ABS(L675-TMTB!$C$34)</f>
        <v>11.546091135286682</v>
      </c>
      <c r="P675">
        <f t="shared" si="11"/>
        <v>66.900000000000006</v>
      </c>
    </row>
    <row r="676" spans="10:16">
      <c r="J676" s="5"/>
      <c r="L676">
        <f>TMTB!M676</f>
        <v>0.34090084000000098</v>
      </c>
      <c r="M676">
        <f>TMTB!N676</f>
        <v>67</v>
      </c>
      <c r="O676">
        <f>ABS(L676-TMTB!$C$34)</f>
        <v>11.54061058328668</v>
      </c>
      <c r="P676">
        <f t="shared" si="11"/>
        <v>67</v>
      </c>
    </row>
    <row r="677" spans="10:16">
      <c r="J677" s="5"/>
      <c r="L677">
        <f>TMTB!M677</f>
        <v>0.34593969600000002</v>
      </c>
      <c r="M677">
        <f>TMTB!N677</f>
        <v>67.099999999999994</v>
      </c>
      <c r="O677">
        <f>ABS(L677-TMTB!$C$34)</f>
        <v>11.535571727286682</v>
      </c>
      <c r="P677">
        <f t="shared" si="11"/>
        <v>67.099999999999994</v>
      </c>
    </row>
    <row r="678" spans="10:16">
      <c r="J678" s="5"/>
      <c r="L678">
        <f>TMTB!M678</f>
        <v>0.34600947199999998</v>
      </c>
      <c r="M678">
        <f>TMTB!N678</f>
        <v>67.2</v>
      </c>
      <c r="O678">
        <f>ABS(L678-TMTB!$C$34)</f>
        <v>11.535501951286681</v>
      </c>
      <c r="P678">
        <f t="shared" si="11"/>
        <v>67.2</v>
      </c>
    </row>
    <row r="679" spans="10:16">
      <c r="J679" s="5"/>
      <c r="L679">
        <f>TMTB!M679</f>
        <v>0.34607924800000001</v>
      </c>
      <c r="M679">
        <f>TMTB!N679</f>
        <v>67.3</v>
      </c>
      <c r="O679">
        <f>ABS(L679-TMTB!$C$34)</f>
        <v>11.535432175286681</v>
      </c>
      <c r="P679">
        <f t="shared" si="11"/>
        <v>67.3</v>
      </c>
    </row>
    <row r="680" spans="10:16">
      <c r="J680" s="5"/>
      <c r="L680">
        <f>TMTB!M680</f>
        <v>0.346513024</v>
      </c>
      <c r="M680">
        <f>TMTB!N680</f>
        <v>67.400000000000006</v>
      </c>
      <c r="O680">
        <f>ABS(L680-TMTB!$C$34)</f>
        <v>11.534998399286682</v>
      </c>
      <c r="P680">
        <f t="shared" si="11"/>
        <v>67.400000000000006</v>
      </c>
    </row>
    <row r="681" spans="10:16">
      <c r="J681" s="5"/>
      <c r="L681">
        <f>TMTB!M681</f>
        <v>0.34726879999999999</v>
      </c>
      <c r="M681">
        <f>TMTB!N681</f>
        <v>67.5</v>
      </c>
      <c r="O681">
        <f>ABS(L681-TMTB!$C$34)</f>
        <v>11.534242623286682</v>
      </c>
      <c r="P681">
        <f t="shared" si="11"/>
        <v>67.5</v>
      </c>
    </row>
    <row r="682" spans="10:16">
      <c r="J682" s="5"/>
      <c r="L682">
        <f>TMTB!M682</f>
        <v>0.34802457599999997</v>
      </c>
      <c r="M682">
        <f>TMTB!N682</f>
        <v>67.599999999999994</v>
      </c>
      <c r="O682">
        <f>ABS(L682-TMTB!$C$34)</f>
        <v>11.533486847286682</v>
      </c>
      <c r="P682">
        <f t="shared" si="11"/>
        <v>67.599999999999994</v>
      </c>
    </row>
    <row r="683" spans="10:16">
      <c r="J683" s="5"/>
      <c r="L683">
        <f>TMTB!M683</f>
        <v>0.34804000000000002</v>
      </c>
      <c r="M683">
        <f>TMTB!N683</f>
        <v>67.7</v>
      </c>
      <c r="O683">
        <f>ABS(L683-TMTB!$C$34)</f>
        <v>11.533471423286683</v>
      </c>
      <c r="P683">
        <f t="shared" si="11"/>
        <v>67.7</v>
      </c>
    </row>
    <row r="684" spans="10:16">
      <c r="J684" s="5"/>
      <c r="L684">
        <f>TMTB!M684</f>
        <v>0.34804000000000002</v>
      </c>
      <c r="M684">
        <f>TMTB!N684</f>
        <v>67.8</v>
      </c>
      <c r="O684">
        <f>ABS(L684-TMTB!$C$34)</f>
        <v>11.533471423286683</v>
      </c>
      <c r="P684">
        <f t="shared" si="11"/>
        <v>67.8</v>
      </c>
    </row>
    <row r="685" spans="10:16">
      <c r="J685" s="5"/>
      <c r="L685">
        <f>TMTB!M685</f>
        <v>0.34806402400000003</v>
      </c>
      <c r="M685">
        <f>TMTB!N685</f>
        <v>67.900000000000006</v>
      </c>
      <c r="O685">
        <f>ABS(L685-TMTB!$C$34)</f>
        <v>11.533447399286683</v>
      </c>
      <c r="P685">
        <f t="shared" si="11"/>
        <v>67.900000000000006</v>
      </c>
    </row>
    <row r="686" spans="10:16">
      <c r="J686" s="5"/>
      <c r="L686">
        <f>TMTB!M686</f>
        <v>0.34812008</v>
      </c>
      <c r="M686">
        <f>TMTB!N686</f>
        <v>68</v>
      </c>
      <c r="O686">
        <f>ABS(L686-TMTB!$C$34)</f>
        <v>11.533391343286683</v>
      </c>
      <c r="P686">
        <f t="shared" si="11"/>
        <v>68</v>
      </c>
    </row>
    <row r="687" spans="10:16">
      <c r="J687" s="5"/>
      <c r="L687">
        <f>TMTB!M687</f>
        <v>0.34817613600000002</v>
      </c>
      <c r="M687">
        <f>TMTB!N687</f>
        <v>68.099999999999994</v>
      </c>
      <c r="O687">
        <f>ABS(L687-TMTB!$C$34)</f>
        <v>11.533335287286683</v>
      </c>
      <c r="P687">
        <f t="shared" si="11"/>
        <v>68.099999999999994</v>
      </c>
    </row>
    <row r="688" spans="10:16">
      <c r="J688" s="5"/>
      <c r="L688">
        <f>TMTB!M688</f>
        <v>0.35100242399999998</v>
      </c>
      <c r="M688">
        <f>TMTB!N688</f>
        <v>68.2</v>
      </c>
      <c r="O688">
        <f>ABS(L688-TMTB!$C$34)</f>
        <v>11.530508999286681</v>
      </c>
      <c r="P688">
        <f t="shared" si="11"/>
        <v>68.2</v>
      </c>
    </row>
    <row r="689" spans="10:16">
      <c r="J689" s="5"/>
      <c r="L689">
        <f>TMTB!M689</f>
        <v>0.35421525599999998</v>
      </c>
      <c r="M689">
        <f>TMTB!N689</f>
        <v>68.3</v>
      </c>
      <c r="O689">
        <f>ABS(L689-TMTB!$C$34)</f>
        <v>11.527296167286682</v>
      </c>
      <c r="P689">
        <f t="shared" si="11"/>
        <v>68.3</v>
      </c>
    </row>
    <row r="690" spans="10:16">
      <c r="J690" s="5"/>
      <c r="L690">
        <f>TMTB!M690</f>
        <v>0.35860671200000099</v>
      </c>
      <c r="M690">
        <f>TMTB!N690</f>
        <v>68.400000000000006</v>
      </c>
      <c r="O690">
        <f>ABS(L690-TMTB!$C$34)</f>
        <v>11.522904711286682</v>
      </c>
      <c r="P690">
        <f t="shared" si="11"/>
        <v>68.400000000000006</v>
      </c>
    </row>
    <row r="691" spans="10:16">
      <c r="J691" s="5"/>
      <c r="L691">
        <f>TMTB!M691</f>
        <v>0.36542908000000102</v>
      </c>
      <c r="M691">
        <f>TMTB!N691</f>
        <v>68.5</v>
      </c>
      <c r="O691">
        <f>ABS(L691-TMTB!$C$34)</f>
        <v>11.516082343286682</v>
      </c>
      <c r="P691">
        <f t="shared" si="11"/>
        <v>68.5</v>
      </c>
    </row>
    <row r="692" spans="10:16">
      <c r="J692" s="5"/>
      <c r="L692">
        <f>TMTB!M692</f>
        <v>0.37225144800000098</v>
      </c>
      <c r="M692">
        <f>TMTB!N692</f>
        <v>68.599999999999994</v>
      </c>
      <c r="O692">
        <f>ABS(L692-TMTB!$C$34)</f>
        <v>11.509259975286682</v>
      </c>
      <c r="P692">
        <f t="shared" si="11"/>
        <v>68.599999999999994</v>
      </c>
    </row>
    <row r="693" spans="10:16">
      <c r="J693" s="5"/>
      <c r="L693">
        <f>TMTB!M693</f>
        <v>0.37973805600000099</v>
      </c>
      <c r="M693">
        <f>TMTB!N693</f>
        <v>68.7</v>
      </c>
      <c r="O693">
        <f>ABS(L693-TMTB!$C$34)</f>
        <v>11.501773367286681</v>
      </c>
      <c r="P693">
        <f t="shared" si="11"/>
        <v>68.7</v>
      </c>
    </row>
    <row r="694" spans="10:16">
      <c r="J694" s="5"/>
      <c r="L694">
        <f>TMTB!M694</f>
        <v>0.38741694399999999</v>
      </c>
      <c r="M694">
        <f>TMTB!N694</f>
        <v>68.8</v>
      </c>
      <c r="O694">
        <f>ABS(L694-TMTB!$C$34)</f>
        <v>11.494094479286682</v>
      </c>
      <c r="P694">
        <f t="shared" si="11"/>
        <v>68.8</v>
      </c>
    </row>
    <row r="695" spans="10:16">
      <c r="J695" s="5"/>
      <c r="L695">
        <f>TMTB!M695</f>
        <v>0.39418309600000001</v>
      </c>
      <c r="M695">
        <f>TMTB!N695</f>
        <v>68.900000000000006</v>
      </c>
      <c r="O695">
        <f>ABS(L695-TMTB!$C$34)</f>
        <v>11.487328327286681</v>
      </c>
      <c r="P695">
        <f t="shared" si="11"/>
        <v>68.900000000000006</v>
      </c>
    </row>
    <row r="696" spans="10:16">
      <c r="J696" s="5"/>
      <c r="L696">
        <f>TMTB!M696</f>
        <v>0.39779616000000001</v>
      </c>
      <c r="M696">
        <f>TMTB!N696</f>
        <v>69</v>
      </c>
      <c r="O696">
        <f>ABS(L696-TMTB!$C$34)</f>
        <v>11.483715263286681</v>
      </c>
      <c r="P696">
        <f t="shared" si="11"/>
        <v>69</v>
      </c>
    </row>
    <row r="697" spans="10:16">
      <c r="J697" s="5"/>
      <c r="L697">
        <f>TMTB!M697</f>
        <v>0.40140922400000001</v>
      </c>
      <c r="M697">
        <f>TMTB!N697</f>
        <v>69.099999999999994</v>
      </c>
      <c r="O697">
        <f>ABS(L697-TMTB!$C$34)</f>
        <v>11.480102199286682</v>
      </c>
      <c r="P697">
        <f t="shared" si="11"/>
        <v>69.099999999999994</v>
      </c>
    </row>
    <row r="698" spans="10:16">
      <c r="J698" s="5"/>
      <c r="L698">
        <f>TMTB!M698</f>
        <v>0.40348000000000001</v>
      </c>
      <c r="M698">
        <f>TMTB!N698</f>
        <v>69.2</v>
      </c>
      <c r="O698">
        <f>ABS(L698-TMTB!$C$34)</f>
        <v>11.478031423286682</v>
      </c>
      <c r="P698">
        <f t="shared" si="11"/>
        <v>69.2</v>
      </c>
    </row>
    <row r="699" spans="10:16">
      <c r="J699" s="5"/>
      <c r="L699">
        <f>TMTB!M699</f>
        <v>0.40480300000000002</v>
      </c>
      <c r="M699">
        <f>TMTB!N699</f>
        <v>69.3</v>
      </c>
      <c r="O699">
        <f>ABS(L699-TMTB!$C$34)</f>
        <v>11.476708423286683</v>
      </c>
      <c r="P699">
        <f t="shared" si="11"/>
        <v>69.3</v>
      </c>
    </row>
    <row r="700" spans="10:16">
      <c r="J700" s="5"/>
      <c r="L700">
        <f>TMTB!M700</f>
        <v>0.40611265600000002</v>
      </c>
      <c r="M700">
        <f>TMTB!N700</f>
        <v>69.400000000000006</v>
      </c>
      <c r="O700">
        <f>ABS(L700-TMTB!$C$34)</f>
        <v>11.475398767286682</v>
      </c>
      <c r="P700">
        <f t="shared" si="11"/>
        <v>69.400000000000006</v>
      </c>
    </row>
    <row r="701" spans="10:16">
      <c r="J701" s="5"/>
      <c r="L701">
        <f>TMTB!M701</f>
        <v>0.40732668</v>
      </c>
      <c r="M701">
        <f>TMTB!N701</f>
        <v>69.5</v>
      </c>
      <c r="O701">
        <f>ABS(L701-TMTB!$C$34)</f>
        <v>11.474184743286681</v>
      </c>
      <c r="P701">
        <f t="shared" si="11"/>
        <v>69.5</v>
      </c>
    </row>
    <row r="702" spans="10:16">
      <c r="J702" s="5"/>
      <c r="L702">
        <f>TMTB!M702</f>
        <v>0.40854070399999998</v>
      </c>
      <c r="M702">
        <f>TMTB!N702</f>
        <v>69.599999999999994</v>
      </c>
      <c r="O702">
        <f>ABS(L702-TMTB!$C$34)</f>
        <v>11.472970719286682</v>
      </c>
      <c r="P702">
        <f t="shared" si="11"/>
        <v>69.599999999999994</v>
      </c>
    </row>
    <row r="703" spans="10:16">
      <c r="J703" s="5"/>
      <c r="L703">
        <f>TMTB!M703</f>
        <v>0.40990211999999998</v>
      </c>
      <c r="M703">
        <f>TMTB!N703</f>
        <v>69.7</v>
      </c>
      <c r="O703">
        <f>ABS(L703-TMTB!$C$34)</f>
        <v>11.471609303286682</v>
      </c>
      <c r="P703">
        <f t="shared" si="11"/>
        <v>69.7</v>
      </c>
    </row>
    <row r="704" spans="10:16">
      <c r="J704" s="5"/>
      <c r="L704">
        <f>TMTB!M704</f>
        <v>0.41137407999999998</v>
      </c>
      <c r="M704">
        <f>TMTB!N704</f>
        <v>69.8</v>
      </c>
      <c r="O704">
        <f>ABS(L704-TMTB!$C$34)</f>
        <v>11.470137343286682</v>
      </c>
      <c r="P704">
        <f t="shared" si="11"/>
        <v>69.8</v>
      </c>
    </row>
    <row r="705" spans="10:16">
      <c r="J705" s="5"/>
      <c r="L705">
        <f>TMTB!M705</f>
        <v>0.41282302399999998</v>
      </c>
      <c r="M705">
        <f>TMTB!N705</f>
        <v>69.900000000000006</v>
      </c>
      <c r="O705">
        <f>ABS(L705-TMTB!$C$34)</f>
        <v>11.468688399286682</v>
      </c>
      <c r="P705">
        <f t="shared" si="11"/>
        <v>69.900000000000006</v>
      </c>
    </row>
    <row r="706" spans="10:16">
      <c r="J706" s="5"/>
      <c r="L706">
        <f>TMTB!M706</f>
        <v>0.41316720000000001</v>
      </c>
      <c r="M706">
        <f>TMTB!N706</f>
        <v>70</v>
      </c>
      <c r="O706">
        <f>ABS(L706-TMTB!$C$34)</f>
        <v>11.468344223286682</v>
      </c>
      <c r="P706">
        <f t="shared" si="11"/>
        <v>70</v>
      </c>
    </row>
    <row r="707" spans="10:16">
      <c r="J707" s="5"/>
      <c r="L707">
        <f>TMTB!M707</f>
        <v>0.41351137599999999</v>
      </c>
      <c r="M707">
        <f>TMTB!N707</f>
        <v>70.099999999999994</v>
      </c>
      <c r="O707">
        <f>ABS(L707-TMTB!$C$34)</f>
        <v>11.468000047286681</v>
      </c>
      <c r="P707">
        <f t="shared" si="11"/>
        <v>70.099999999999994</v>
      </c>
    </row>
    <row r="708" spans="10:16">
      <c r="J708" s="5"/>
      <c r="L708">
        <f>TMTB!M708</f>
        <v>0.41377330400000001</v>
      </c>
      <c r="M708">
        <f>TMTB!N708</f>
        <v>70.2</v>
      </c>
      <c r="O708">
        <f>ABS(L708-TMTB!$C$34)</f>
        <v>11.467738119286683</v>
      </c>
      <c r="P708">
        <f t="shared" si="11"/>
        <v>70.2</v>
      </c>
    </row>
    <row r="709" spans="10:16">
      <c r="J709" s="5"/>
      <c r="L709">
        <f>TMTB!M709</f>
        <v>0.41394225600000001</v>
      </c>
      <c r="M709">
        <f>TMTB!N709</f>
        <v>70.3</v>
      </c>
      <c r="O709">
        <f>ABS(L709-TMTB!$C$34)</f>
        <v>11.467569167286682</v>
      </c>
      <c r="P709">
        <f t="shared" si="11"/>
        <v>70.3</v>
      </c>
    </row>
    <row r="710" spans="10:16">
      <c r="J710" s="5"/>
      <c r="L710">
        <f>TMTB!M710</f>
        <v>0.41411120800000001</v>
      </c>
      <c r="M710">
        <f>TMTB!N710</f>
        <v>70.400000000000006</v>
      </c>
      <c r="O710">
        <f>ABS(L710-TMTB!$C$34)</f>
        <v>11.467400215286682</v>
      </c>
      <c r="P710">
        <f t="shared" si="11"/>
        <v>70.400000000000006</v>
      </c>
    </row>
    <row r="711" spans="10:16">
      <c r="J711" s="5"/>
      <c r="L711">
        <f>TMTB!M711</f>
        <v>0.41612912000000002</v>
      </c>
      <c r="M711">
        <f>TMTB!N711</f>
        <v>70.5</v>
      </c>
      <c r="O711">
        <f>ABS(L711-TMTB!$C$34)</f>
        <v>11.465382303286681</v>
      </c>
      <c r="P711">
        <f t="shared" ref="P711:P774" si="12">M711</f>
        <v>70.5</v>
      </c>
    </row>
    <row r="712" spans="10:16">
      <c r="J712" s="5"/>
      <c r="L712">
        <f>TMTB!M712</f>
        <v>0.41831138400000001</v>
      </c>
      <c r="M712">
        <f>TMTB!N712</f>
        <v>70.599999999999994</v>
      </c>
      <c r="O712">
        <f>ABS(L712-TMTB!$C$34)</f>
        <v>11.463200039286681</v>
      </c>
      <c r="P712">
        <f t="shared" si="12"/>
        <v>70.599999999999994</v>
      </c>
    </row>
    <row r="713" spans="10:16">
      <c r="J713" s="5"/>
      <c r="L713">
        <f>TMTB!M713</f>
        <v>0.42142792000000001</v>
      </c>
      <c r="M713">
        <f>TMTB!N713</f>
        <v>70.7</v>
      </c>
      <c r="O713">
        <f>ABS(L713-TMTB!$C$34)</f>
        <v>11.460083503286683</v>
      </c>
      <c r="P713">
        <f t="shared" si="12"/>
        <v>70.7</v>
      </c>
    </row>
    <row r="714" spans="10:16">
      <c r="J714" s="5"/>
      <c r="L714">
        <f>TMTB!M714</f>
        <v>0.42615347999999997</v>
      </c>
      <c r="M714">
        <f>TMTB!N714</f>
        <v>70.8</v>
      </c>
      <c r="O714">
        <f>ABS(L714-TMTB!$C$34)</f>
        <v>11.455357943286682</v>
      </c>
      <c r="P714">
        <f t="shared" si="12"/>
        <v>70.8</v>
      </c>
    </row>
    <row r="715" spans="10:16">
      <c r="J715" s="5"/>
      <c r="L715">
        <f>TMTB!M715</f>
        <v>0.43087903999999999</v>
      </c>
      <c r="M715">
        <f>TMTB!N715</f>
        <v>70.900000000000006</v>
      </c>
      <c r="O715">
        <f>ABS(L715-TMTB!$C$34)</f>
        <v>11.450632383286681</v>
      </c>
      <c r="P715">
        <f t="shared" si="12"/>
        <v>70.900000000000006</v>
      </c>
    </row>
    <row r="716" spans="10:16">
      <c r="J716" s="5"/>
      <c r="L716">
        <f>TMTB!M716</f>
        <v>0.43261675999999999</v>
      </c>
      <c r="M716">
        <f>TMTB!N716</f>
        <v>71</v>
      </c>
      <c r="O716">
        <f>ABS(L716-TMTB!$C$34)</f>
        <v>11.448894663286682</v>
      </c>
      <c r="P716">
        <f t="shared" si="12"/>
        <v>71</v>
      </c>
    </row>
    <row r="717" spans="10:16">
      <c r="J717" s="5"/>
      <c r="L717">
        <f>TMTB!M717</f>
        <v>0.43368221600000001</v>
      </c>
      <c r="M717">
        <f>TMTB!N717</f>
        <v>71.099999999999994</v>
      </c>
      <c r="O717">
        <f>ABS(L717-TMTB!$C$34)</f>
        <v>11.447829207286683</v>
      </c>
      <c r="P717">
        <f t="shared" si="12"/>
        <v>71.099999999999994</v>
      </c>
    </row>
    <row r="718" spans="10:16">
      <c r="J718" s="5"/>
      <c r="L718">
        <f>TMTB!M718</f>
        <v>0.434563904</v>
      </c>
      <c r="M718">
        <f>TMTB!N718</f>
        <v>71.2</v>
      </c>
      <c r="O718">
        <f>ABS(L718-TMTB!$C$34)</f>
        <v>11.446947519286681</v>
      </c>
      <c r="P718">
        <f t="shared" si="12"/>
        <v>71.2</v>
      </c>
    </row>
    <row r="719" spans="10:16">
      <c r="J719" s="5"/>
      <c r="L719">
        <f>TMTB!M719</f>
        <v>0.43493669600000001</v>
      </c>
      <c r="M719">
        <f>TMTB!N719</f>
        <v>71.3</v>
      </c>
      <c r="O719">
        <f>ABS(L719-TMTB!$C$34)</f>
        <v>11.446574727286682</v>
      </c>
      <c r="P719">
        <f t="shared" si="12"/>
        <v>71.3</v>
      </c>
    </row>
    <row r="720" spans="10:16">
      <c r="J720" s="5"/>
      <c r="L720">
        <f>TMTB!M720</f>
        <v>0.43530948800000002</v>
      </c>
      <c r="M720">
        <f>TMTB!N720</f>
        <v>71.400000000000006</v>
      </c>
      <c r="O720">
        <f>ABS(L720-TMTB!$C$34)</f>
        <v>11.446201935286682</v>
      </c>
      <c r="P720">
        <f t="shared" si="12"/>
        <v>71.400000000000006</v>
      </c>
    </row>
    <row r="721" spans="10:16">
      <c r="J721" s="5"/>
      <c r="L721">
        <f>TMTB!M721</f>
        <v>0.43671295999999998</v>
      </c>
      <c r="M721">
        <f>TMTB!N721</f>
        <v>71.5</v>
      </c>
      <c r="O721">
        <f>ABS(L721-TMTB!$C$34)</f>
        <v>11.444798463286682</v>
      </c>
      <c r="P721">
        <f t="shared" si="12"/>
        <v>71.5</v>
      </c>
    </row>
    <row r="722" spans="10:16">
      <c r="J722" s="5"/>
      <c r="L722">
        <f>TMTB!M722</f>
        <v>0.43852870399999999</v>
      </c>
      <c r="M722">
        <f>TMTB!N722</f>
        <v>71.599999999999994</v>
      </c>
      <c r="O722">
        <f>ABS(L722-TMTB!$C$34)</f>
        <v>11.442982719286682</v>
      </c>
      <c r="P722">
        <f t="shared" si="12"/>
        <v>71.599999999999994</v>
      </c>
    </row>
    <row r="723" spans="10:16">
      <c r="J723" s="5"/>
      <c r="L723">
        <f>TMTB!M723</f>
        <v>0.44029900799999999</v>
      </c>
      <c r="M723">
        <f>TMTB!N723</f>
        <v>71.7</v>
      </c>
      <c r="O723">
        <f>ABS(L723-TMTB!$C$34)</f>
        <v>11.441212415286682</v>
      </c>
      <c r="P723">
        <f t="shared" si="12"/>
        <v>71.7</v>
      </c>
    </row>
    <row r="724" spans="10:16">
      <c r="J724" s="5"/>
      <c r="L724">
        <f>TMTB!M724</f>
        <v>0.441836432</v>
      </c>
      <c r="M724">
        <f>TMTB!N724</f>
        <v>71.8</v>
      </c>
      <c r="O724">
        <f>ABS(L724-TMTB!$C$34)</f>
        <v>11.439674991286681</v>
      </c>
      <c r="P724">
        <f t="shared" si="12"/>
        <v>71.8</v>
      </c>
    </row>
    <row r="725" spans="10:16">
      <c r="J725" s="5"/>
      <c r="L725">
        <f>TMTB!M725</f>
        <v>0.44337385600000001</v>
      </c>
      <c r="M725">
        <f>TMTB!N725</f>
        <v>71.900000000000006</v>
      </c>
      <c r="O725">
        <f>ABS(L725-TMTB!$C$34)</f>
        <v>11.438137567286681</v>
      </c>
      <c r="P725">
        <f t="shared" si="12"/>
        <v>71.900000000000006</v>
      </c>
    </row>
    <row r="726" spans="10:16">
      <c r="J726" s="5"/>
      <c r="L726">
        <f>TMTB!M726</f>
        <v>0.44665848000000002</v>
      </c>
      <c r="M726">
        <f>TMTB!N726</f>
        <v>72</v>
      </c>
      <c r="O726">
        <f>ABS(L726-TMTB!$C$34)</f>
        <v>11.434852943286682</v>
      </c>
      <c r="P726">
        <f t="shared" si="12"/>
        <v>72</v>
      </c>
    </row>
    <row r="727" spans="10:16">
      <c r="J727" s="5"/>
      <c r="L727">
        <f>TMTB!M727</f>
        <v>0.45104966400000002</v>
      </c>
      <c r="M727">
        <f>TMTB!N727</f>
        <v>72.099999999999994</v>
      </c>
      <c r="O727">
        <f>ABS(L727-TMTB!$C$34)</f>
        <v>11.430461759286683</v>
      </c>
      <c r="P727">
        <f t="shared" si="12"/>
        <v>72.099999999999994</v>
      </c>
    </row>
    <row r="728" spans="10:16">
      <c r="J728" s="5"/>
      <c r="L728">
        <f>TMTB!M728</f>
        <v>0.45533294400000002</v>
      </c>
      <c r="M728">
        <f>TMTB!N728</f>
        <v>72.2</v>
      </c>
      <c r="O728">
        <f>ABS(L728-TMTB!$C$34)</f>
        <v>11.426178479286682</v>
      </c>
      <c r="P728">
        <f t="shared" si="12"/>
        <v>72.2</v>
      </c>
    </row>
    <row r="729" spans="10:16">
      <c r="J729" s="5"/>
      <c r="L729">
        <f>TMTB!M729</f>
        <v>0.45796169599999997</v>
      </c>
      <c r="M729">
        <f>TMTB!N729</f>
        <v>72.3</v>
      </c>
      <c r="O729">
        <f>ABS(L729-TMTB!$C$34)</f>
        <v>11.423549727286682</v>
      </c>
      <c r="P729">
        <f t="shared" si="12"/>
        <v>72.3</v>
      </c>
    </row>
    <row r="730" spans="10:16">
      <c r="J730" s="5"/>
      <c r="L730">
        <f>TMTB!M730</f>
        <v>0.46059044799999999</v>
      </c>
      <c r="M730">
        <f>TMTB!N730</f>
        <v>72.400000000000006</v>
      </c>
      <c r="O730">
        <f>ABS(L730-TMTB!$C$34)</f>
        <v>11.420920975286682</v>
      </c>
      <c r="P730">
        <f t="shared" si="12"/>
        <v>72.400000000000006</v>
      </c>
    </row>
    <row r="731" spans="10:16">
      <c r="J731" s="5"/>
      <c r="L731">
        <f>TMTB!M731</f>
        <v>0.4625012</v>
      </c>
      <c r="M731">
        <f>TMTB!N731</f>
        <v>72.5</v>
      </c>
      <c r="O731">
        <f>ABS(L731-TMTB!$C$34)</f>
        <v>11.419010223286682</v>
      </c>
      <c r="P731">
        <f t="shared" si="12"/>
        <v>72.5</v>
      </c>
    </row>
    <row r="732" spans="10:16">
      <c r="J732" s="5"/>
      <c r="L732">
        <f>TMTB!M732</f>
        <v>0.463722672</v>
      </c>
      <c r="M732">
        <f>TMTB!N732</f>
        <v>72.599999999999994</v>
      </c>
      <c r="O732">
        <f>ABS(L732-TMTB!$C$34)</f>
        <v>11.417788751286682</v>
      </c>
      <c r="P732">
        <f t="shared" si="12"/>
        <v>72.599999999999994</v>
      </c>
    </row>
    <row r="733" spans="10:16">
      <c r="J733" s="5"/>
      <c r="L733">
        <f>TMTB!M733</f>
        <v>0.464944144</v>
      </c>
      <c r="M733">
        <f>TMTB!N733</f>
        <v>72.7</v>
      </c>
      <c r="O733">
        <f>ABS(L733-TMTB!$C$34)</f>
        <v>11.416567279286681</v>
      </c>
      <c r="P733">
        <f t="shared" si="12"/>
        <v>72.7</v>
      </c>
    </row>
    <row r="734" spans="10:16">
      <c r="J734" s="5"/>
      <c r="L734">
        <f>TMTB!M734</f>
        <v>0.46699507200000001</v>
      </c>
      <c r="M734">
        <f>TMTB!N734</f>
        <v>72.8</v>
      </c>
      <c r="O734">
        <f>ABS(L734-TMTB!$C$34)</f>
        <v>11.414516351286682</v>
      </c>
      <c r="P734">
        <f t="shared" si="12"/>
        <v>72.8</v>
      </c>
    </row>
    <row r="735" spans="10:16">
      <c r="J735" s="5"/>
      <c r="L735">
        <f>TMTB!M735</f>
        <v>0.46908129599999998</v>
      </c>
      <c r="M735">
        <f>TMTB!N735</f>
        <v>72.900000000000006</v>
      </c>
      <c r="O735">
        <f>ABS(L735-TMTB!$C$34)</f>
        <v>11.412430127286681</v>
      </c>
      <c r="P735">
        <f t="shared" si="12"/>
        <v>72.900000000000006</v>
      </c>
    </row>
    <row r="736" spans="10:16">
      <c r="J736" s="5"/>
      <c r="L736">
        <f>TMTB!M736</f>
        <v>0.470856</v>
      </c>
      <c r="M736">
        <f>TMTB!N736</f>
        <v>73</v>
      </c>
      <c r="O736">
        <f>ABS(L736-TMTB!$C$34)</f>
        <v>11.410655423286682</v>
      </c>
      <c r="P736">
        <f t="shared" si="12"/>
        <v>73</v>
      </c>
    </row>
    <row r="737" spans="10:16">
      <c r="J737" s="5"/>
      <c r="L737">
        <f>TMTB!M737</f>
        <v>0.47217900000000002</v>
      </c>
      <c r="M737">
        <f>TMTB!N737</f>
        <v>73.099999999999994</v>
      </c>
      <c r="O737">
        <f>ABS(L737-TMTB!$C$34)</f>
        <v>11.409332423286681</v>
      </c>
      <c r="P737">
        <f t="shared" si="12"/>
        <v>73.099999999999994</v>
      </c>
    </row>
    <row r="738" spans="10:16">
      <c r="J738" s="5"/>
      <c r="L738">
        <f>TMTB!M738</f>
        <v>0.47350199999999998</v>
      </c>
      <c r="M738">
        <f>TMTB!N738</f>
        <v>73.2</v>
      </c>
      <c r="O738">
        <f>ABS(L738-TMTB!$C$34)</f>
        <v>11.408009423286682</v>
      </c>
      <c r="P738">
        <f t="shared" si="12"/>
        <v>73.2</v>
      </c>
    </row>
    <row r="739" spans="10:16">
      <c r="J739" s="5"/>
      <c r="L739">
        <f>TMTB!M739</f>
        <v>0.478135272</v>
      </c>
      <c r="M739">
        <f>TMTB!N739</f>
        <v>73.3</v>
      </c>
      <c r="O739">
        <f>ABS(L739-TMTB!$C$34)</f>
        <v>11.403376151286682</v>
      </c>
      <c r="P739">
        <f t="shared" si="12"/>
        <v>73.3</v>
      </c>
    </row>
    <row r="740" spans="10:16">
      <c r="J740" s="5"/>
      <c r="L740">
        <f>TMTB!M740</f>
        <v>0.483320256</v>
      </c>
      <c r="M740">
        <f>TMTB!N740</f>
        <v>73.400000000000006</v>
      </c>
      <c r="O740">
        <f>ABS(L740-TMTB!$C$34)</f>
        <v>11.398191167286681</v>
      </c>
      <c r="P740">
        <f t="shared" si="12"/>
        <v>73.400000000000006</v>
      </c>
    </row>
    <row r="741" spans="10:16">
      <c r="J741" s="5"/>
      <c r="L741">
        <f>TMTB!M741</f>
        <v>0.48960095999999997</v>
      </c>
      <c r="M741">
        <f>TMTB!N741</f>
        <v>73.5</v>
      </c>
      <c r="O741">
        <f>ABS(L741-TMTB!$C$34)</f>
        <v>11.391910463286681</v>
      </c>
      <c r="P741">
        <f t="shared" si="12"/>
        <v>73.5</v>
      </c>
    </row>
    <row r="742" spans="10:16">
      <c r="J742" s="5"/>
      <c r="L742">
        <f>TMTB!M742</f>
        <v>0.49836529600000001</v>
      </c>
      <c r="M742">
        <f>TMTB!N742</f>
        <v>73.599999999999994</v>
      </c>
      <c r="O742">
        <f>ABS(L742-TMTB!$C$34)</f>
        <v>11.383146127286683</v>
      </c>
      <c r="P742">
        <f t="shared" si="12"/>
        <v>73.599999999999994</v>
      </c>
    </row>
    <row r="743" spans="10:16">
      <c r="J743" s="5"/>
      <c r="L743">
        <f>TMTB!M743</f>
        <v>0.50712963200000005</v>
      </c>
      <c r="M743">
        <f>TMTB!N743</f>
        <v>73.7</v>
      </c>
      <c r="O743">
        <f>ABS(L743-TMTB!$C$34)</f>
        <v>11.374381791286682</v>
      </c>
      <c r="P743">
        <f t="shared" si="12"/>
        <v>73.7</v>
      </c>
    </row>
    <row r="744" spans="10:16">
      <c r="J744" s="5"/>
      <c r="L744">
        <f>TMTB!M744</f>
        <v>0.51369912799999995</v>
      </c>
      <c r="M744">
        <f>TMTB!N744</f>
        <v>73.8</v>
      </c>
      <c r="O744">
        <f>ABS(L744-TMTB!$C$34)</f>
        <v>11.367812295286681</v>
      </c>
      <c r="P744">
        <f t="shared" si="12"/>
        <v>73.8</v>
      </c>
    </row>
    <row r="745" spans="10:16">
      <c r="J745" s="5"/>
      <c r="L745">
        <f>TMTB!M745</f>
        <v>0.51955678400000005</v>
      </c>
      <c r="M745">
        <f>TMTB!N745</f>
        <v>73.900000000000006</v>
      </c>
      <c r="O745">
        <f>ABS(L745-TMTB!$C$34)</f>
        <v>11.361954639286681</v>
      </c>
      <c r="P745">
        <f t="shared" si="12"/>
        <v>73.900000000000006</v>
      </c>
    </row>
    <row r="746" spans="10:16">
      <c r="J746" s="5"/>
      <c r="L746">
        <f>TMTB!M746</f>
        <v>0.52442515999999995</v>
      </c>
      <c r="M746">
        <f>TMTB!N746</f>
        <v>74</v>
      </c>
      <c r="O746">
        <f>ABS(L746-TMTB!$C$34)</f>
        <v>11.357086263286682</v>
      </c>
      <c r="P746">
        <f t="shared" si="12"/>
        <v>74</v>
      </c>
    </row>
    <row r="747" spans="10:16">
      <c r="J747" s="5"/>
      <c r="L747">
        <f>TMTB!M747</f>
        <v>0.52543534400000003</v>
      </c>
      <c r="M747">
        <f>TMTB!N747</f>
        <v>74.099999999999994</v>
      </c>
      <c r="O747">
        <f>ABS(L747-TMTB!$C$34)</f>
        <v>11.356076079286682</v>
      </c>
      <c r="P747">
        <f t="shared" si="12"/>
        <v>74.099999999999994</v>
      </c>
    </row>
    <row r="748" spans="10:16">
      <c r="J748" s="5"/>
      <c r="L748">
        <f>TMTB!M748</f>
        <v>0.526445528</v>
      </c>
      <c r="M748">
        <f>TMTB!N748</f>
        <v>74.2</v>
      </c>
      <c r="O748">
        <f>ABS(L748-TMTB!$C$34)</f>
        <v>11.355065895286682</v>
      </c>
      <c r="P748">
        <f t="shared" si="12"/>
        <v>74.2</v>
      </c>
    </row>
    <row r="749" spans="10:16">
      <c r="J749" s="5"/>
      <c r="L749">
        <f>TMTB!M749</f>
        <v>0.52705199999999996</v>
      </c>
      <c r="M749">
        <f>TMTB!N749</f>
        <v>74.3</v>
      </c>
      <c r="O749">
        <f>ABS(L749-TMTB!$C$34)</f>
        <v>11.354459423286682</v>
      </c>
      <c r="P749">
        <f t="shared" si="12"/>
        <v>74.3</v>
      </c>
    </row>
    <row r="750" spans="10:16">
      <c r="J750" s="5"/>
      <c r="L750">
        <f>TMTB!M750</f>
        <v>0.52744400000000002</v>
      </c>
      <c r="M750">
        <f>TMTB!N750</f>
        <v>74.400000000000006</v>
      </c>
      <c r="O750">
        <f>ABS(L750-TMTB!$C$34)</f>
        <v>11.354067423286683</v>
      </c>
      <c r="P750">
        <f t="shared" si="12"/>
        <v>74.400000000000006</v>
      </c>
    </row>
    <row r="751" spans="10:16">
      <c r="J751" s="5"/>
      <c r="L751">
        <f>TMTB!M751</f>
        <v>0.52889444000000096</v>
      </c>
      <c r="M751">
        <f>TMTB!N751</f>
        <v>74.5</v>
      </c>
      <c r="O751">
        <f>ABS(L751-TMTB!$C$34)</f>
        <v>11.352616983286682</v>
      </c>
      <c r="P751">
        <f t="shared" si="12"/>
        <v>74.5</v>
      </c>
    </row>
    <row r="752" spans="10:16">
      <c r="J752" s="5"/>
      <c r="L752">
        <f>TMTB!M752</f>
        <v>0.53965915200000003</v>
      </c>
      <c r="M752">
        <f>TMTB!N752</f>
        <v>74.599999999999994</v>
      </c>
      <c r="O752">
        <f>ABS(L752-TMTB!$C$34)</f>
        <v>11.341852271286681</v>
      </c>
      <c r="P752">
        <f t="shared" si="12"/>
        <v>74.599999999999994</v>
      </c>
    </row>
    <row r="753" spans="10:16">
      <c r="J753" s="5"/>
      <c r="L753">
        <f>TMTB!M753</f>
        <v>0.55042386399999998</v>
      </c>
      <c r="M753">
        <f>TMTB!N753</f>
        <v>74.7</v>
      </c>
      <c r="O753">
        <f>ABS(L753-TMTB!$C$34)</f>
        <v>11.331087559286681</v>
      </c>
      <c r="P753">
        <f t="shared" si="12"/>
        <v>74.7</v>
      </c>
    </row>
    <row r="754" spans="10:16">
      <c r="J754" s="5"/>
      <c r="L754">
        <f>TMTB!M754</f>
        <v>0.56974887200000102</v>
      </c>
      <c r="M754">
        <f>TMTB!N754</f>
        <v>74.8</v>
      </c>
      <c r="O754">
        <f>ABS(L754-TMTB!$C$34)</f>
        <v>11.31176255128668</v>
      </c>
      <c r="P754">
        <f t="shared" si="12"/>
        <v>74.8</v>
      </c>
    </row>
    <row r="755" spans="10:16">
      <c r="J755" s="5"/>
      <c r="L755">
        <f>TMTB!M755</f>
        <v>0.59604893599999997</v>
      </c>
      <c r="M755">
        <f>TMTB!N755</f>
        <v>74.900000000000006</v>
      </c>
      <c r="O755">
        <f>ABS(L755-TMTB!$C$34)</f>
        <v>11.285462487286681</v>
      </c>
      <c r="P755">
        <f t="shared" si="12"/>
        <v>74.900000000000006</v>
      </c>
    </row>
    <row r="756" spans="10:16">
      <c r="J756" s="5"/>
      <c r="L756">
        <f>TMTB!M756</f>
        <v>0.62234900000000004</v>
      </c>
      <c r="M756">
        <f>TMTB!N756</f>
        <v>75</v>
      </c>
      <c r="O756">
        <f>ABS(L756-TMTB!$C$34)</f>
        <v>11.259162423286682</v>
      </c>
      <c r="P756">
        <f t="shared" si="12"/>
        <v>75</v>
      </c>
    </row>
    <row r="757" spans="10:16">
      <c r="J757" s="5"/>
      <c r="L757">
        <f>TMTB!M757</f>
        <v>0.625746464</v>
      </c>
      <c r="M757">
        <f>TMTB!N757</f>
        <v>75.099999999999994</v>
      </c>
      <c r="O757">
        <f>ABS(L757-TMTB!$C$34)</f>
        <v>11.255764959286681</v>
      </c>
      <c r="P757">
        <f t="shared" si="12"/>
        <v>75.099999999999994</v>
      </c>
    </row>
    <row r="758" spans="10:16">
      <c r="J758" s="5"/>
      <c r="L758">
        <f>TMTB!M758</f>
        <v>0.62914392799999996</v>
      </c>
      <c r="M758">
        <f>TMTB!N758</f>
        <v>75.2</v>
      </c>
      <c r="O758">
        <f>ABS(L758-TMTB!$C$34)</f>
        <v>11.252367495286682</v>
      </c>
      <c r="P758">
        <f t="shared" si="12"/>
        <v>75.2</v>
      </c>
    </row>
    <row r="759" spans="10:16">
      <c r="J759" s="5"/>
      <c r="L759">
        <f>TMTB!M759</f>
        <v>0.63118143999999998</v>
      </c>
      <c r="M759">
        <f>TMTB!N759</f>
        <v>75.3</v>
      </c>
      <c r="O759">
        <f>ABS(L759-TMTB!$C$34)</f>
        <v>11.250329983286681</v>
      </c>
      <c r="P759">
        <f t="shared" si="12"/>
        <v>75.3</v>
      </c>
    </row>
    <row r="760" spans="10:16">
      <c r="J760" s="5"/>
      <c r="L760">
        <f>TMTB!M760</f>
        <v>0.63154991999999999</v>
      </c>
      <c r="M760">
        <f>TMTB!N760</f>
        <v>75.400000000000006</v>
      </c>
      <c r="O760">
        <f>ABS(L760-TMTB!$C$34)</f>
        <v>11.249961503286682</v>
      </c>
      <c r="P760">
        <f t="shared" si="12"/>
        <v>75.400000000000006</v>
      </c>
    </row>
    <row r="761" spans="10:16">
      <c r="J761" s="5"/>
      <c r="L761">
        <f>TMTB!M761</f>
        <v>0.63191839999999999</v>
      </c>
      <c r="M761">
        <f>TMTB!N761</f>
        <v>75.5</v>
      </c>
      <c r="O761">
        <f>ABS(L761-TMTB!$C$34)</f>
        <v>11.249593023286682</v>
      </c>
      <c r="P761">
        <f t="shared" si="12"/>
        <v>75.5</v>
      </c>
    </row>
    <row r="762" spans="10:16">
      <c r="J762" s="5"/>
      <c r="L762">
        <f>TMTB!M762</f>
        <v>0.63314505600000004</v>
      </c>
      <c r="M762">
        <f>TMTB!N762</f>
        <v>75.599999999999994</v>
      </c>
      <c r="O762">
        <f>ABS(L762-TMTB!$C$34)</f>
        <v>11.248366367286682</v>
      </c>
      <c r="P762">
        <f t="shared" si="12"/>
        <v>75.599999999999994</v>
      </c>
    </row>
    <row r="763" spans="10:16">
      <c r="J763" s="5"/>
      <c r="L763">
        <f>TMTB!M763</f>
        <v>0.63446923200000005</v>
      </c>
      <c r="M763">
        <f>TMTB!N763</f>
        <v>75.7</v>
      </c>
      <c r="O763">
        <f>ABS(L763-TMTB!$C$34)</f>
        <v>11.247042191286681</v>
      </c>
      <c r="P763">
        <f t="shared" si="12"/>
        <v>75.7</v>
      </c>
    </row>
    <row r="764" spans="10:16">
      <c r="J764" s="5"/>
      <c r="L764">
        <f>TMTB!M764</f>
        <v>0.63662219200000003</v>
      </c>
      <c r="M764">
        <f>TMTB!N764</f>
        <v>75.8</v>
      </c>
      <c r="O764">
        <f>ABS(L764-TMTB!$C$34)</f>
        <v>11.244889231286681</v>
      </c>
      <c r="P764">
        <f t="shared" si="12"/>
        <v>75.8</v>
      </c>
    </row>
    <row r="765" spans="10:16">
      <c r="J765" s="5"/>
      <c r="L765">
        <f>TMTB!M765</f>
        <v>0.64033521599999998</v>
      </c>
      <c r="M765">
        <f>TMTB!N765</f>
        <v>75.900000000000006</v>
      </c>
      <c r="O765">
        <f>ABS(L765-TMTB!$C$34)</f>
        <v>11.241176207286681</v>
      </c>
      <c r="P765">
        <f t="shared" si="12"/>
        <v>75.900000000000006</v>
      </c>
    </row>
    <row r="766" spans="10:16">
      <c r="J766" s="5"/>
      <c r="L766">
        <f>TMTB!M766</f>
        <v>0.64404824000000005</v>
      </c>
      <c r="M766">
        <f>TMTB!N766</f>
        <v>76</v>
      </c>
      <c r="O766">
        <f>ABS(L766-TMTB!$C$34)</f>
        <v>11.237463183286682</v>
      </c>
      <c r="P766">
        <f t="shared" si="12"/>
        <v>76</v>
      </c>
    </row>
    <row r="767" spans="10:16">
      <c r="J767" s="5"/>
      <c r="L767">
        <f>TMTB!M767</f>
        <v>0.65118421599999998</v>
      </c>
      <c r="M767">
        <f>TMTB!N767</f>
        <v>76.099999999999994</v>
      </c>
      <c r="O767">
        <f>ABS(L767-TMTB!$C$34)</f>
        <v>11.230327207286681</v>
      </c>
      <c r="P767">
        <f t="shared" si="12"/>
        <v>76.099999999999994</v>
      </c>
    </row>
    <row r="768" spans="10:16">
      <c r="J768" s="5"/>
      <c r="L768">
        <f>TMTB!M768</f>
        <v>0.65919787200000002</v>
      </c>
      <c r="M768">
        <f>TMTB!N768</f>
        <v>76.2</v>
      </c>
      <c r="O768">
        <f>ABS(L768-TMTB!$C$34)</f>
        <v>11.222313551286682</v>
      </c>
      <c r="P768">
        <f t="shared" si="12"/>
        <v>76.2</v>
      </c>
    </row>
    <row r="769" spans="10:16">
      <c r="J769" s="5"/>
      <c r="L769">
        <f>TMTB!M769</f>
        <v>0.66547863200000001</v>
      </c>
      <c r="M769">
        <f>TMTB!N769</f>
        <v>76.3</v>
      </c>
      <c r="O769">
        <f>ABS(L769-TMTB!$C$34)</f>
        <v>11.216032791286683</v>
      </c>
      <c r="P769">
        <f t="shared" si="12"/>
        <v>76.3</v>
      </c>
    </row>
    <row r="770" spans="10:16">
      <c r="J770" s="5"/>
      <c r="L770">
        <f>TMTB!M770</f>
        <v>0.66641629599999996</v>
      </c>
      <c r="M770">
        <f>TMTB!N770</f>
        <v>76.400000000000006</v>
      </c>
      <c r="O770">
        <f>ABS(L770-TMTB!$C$34)</f>
        <v>11.215095127286682</v>
      </c>
      <c r="P770">
        <f t="shared" si="12"/>
        <v>76.400000000000006</v>
      </c>
    </row>
    <row r="771" spans="10:16">
      <c r="J771" s="5"/>
      <c r="L771">
        <f>TMTB!M771</f>
        <v>0.66735396000000002</v>
      </c>
      <c r="M771">
        <f>TMTB!N771</f>
        <v>76.5</v>
      </c>
      <c r="O771">
        <f>ABS(L771-TMTB!$C$34)</f>
        <v>11.214157463286682</v>
      </c>
      <c r="P771">
        <f t="shared" si="12"/>
        <v>76.5</v>
      </c>
    </row>
    <row r="772" spans="10:16">
      <c r="J772" s="5"/>
      <c r="L772">
        <f>TMTB!M772</f>
        <v>0.67142343199999999</v>
      </c>
      <c r="M772">
        <f>TMTB!N772</f>
        <v>76.599999999999994</v>
      </c>
      <c r="O772">
        <f>ABS(L772-TMTB!$C$34)</f>
        <v>11.210087991286683</v>
      </c>
      <c r="P772">
        <f t="shared" si="12"/>
        <v>76.599999999999994</v>
      </c>
    </row>
    <row r="773" spans="10:16">
      <c r="J773" s="5"/>
      <c r="L773">
        <f>TMTB!M773</f>
        <v>0.676874584</v>
      </c>
      <c r="M773">
        <f>TMTB!N773</f>
        <v>76.7</v>
      </c>
      <c r="O773">
        <f>ABS(L773-TMTB!$C$34)</f>
        <v>11.204636839286682</v>
      </c>
      <c r="P773">
        <f t="shared" si="12"/>
        <v>76.7</v>
      </c>
    </row>
    <row r="774" spans="10:16">
      <c r="J774" s="5"/>
      <c r="L774">
        <f>TMTB!M774</f>
        <v>0.68179793600000005</v>
      </c>
      <c r="M774">
        <f>TMTB!N774</f>
        <v>76.8</v>
      </c>
      <c r="O774">
        <f>ABS(L774-TMTB!$C$34)</f>
        <v>11.199713487286681</v>
      </c>
      <c r="P774">
        <f t="shared" si="12"/>
        <v>76.8</v>
      </c>
    </row>
    <row r="775" spans="10:16">
      <c r="J775" s="5"/>
      <c r="L775">
        <f>TMTB!M775</f>
        <v>0.68355448799999996</v>
      </c>
      <c r="M775">
        <f>TMTB!N775</f>
        <v>76.900000000000006</v>
      </c>
      <c r="O775">
        <f>ABS(L775-TMTB!$C$34)</f>
        <v>11.197956935286681</v>
      </c>
      <c r="P775">
        <f t="shared" ref="P775:P838" si="13">M775</f>
        <v>76.900000000000006</v>
      </c>
    </row>
    <row r="776" spans="10:16">
      <c r="J776" s="5"/>
      <c r="L776">
        <f>TMTB!M776</f>
        <v>0.68531103999999998</v>
      </c>
      <c r="M776">
        <f>TMTB!N776</f>
        <v>77</v>
      </c>
      <c r="O776">
        <f>ABS(L776-TMTB!$C$34)</f>
        <v>11.196200383286682</v>
      </c>
      <c r="P776">
        <f t="shared" si="13"/>
        <v>77</v>
      </c>
    </row>
    <row r="777" spans="10:16">
      <c r="J777" s="5"/>
      <c r="L777">
        <f>TMTB!M777</f>
        <v>0.68938109599999997</v>
      </c>
      <c r="M777">
        <f>TMTB!N777</f>
        <v>77.099999999999994</v>
      </c>
      <c r="O777">
        <f>ABS(L777-TMTB!$C$34)</f>
        <v>11.192130327286682</v>
      </c>
      <c r="P777">
        <f t="shared" si="13"/>
        <v>77.099999999999994</v>
      </c>
    </row>
    <row r="778" spans="10:16">
      <c r="J778" s="5"/>
      <c r="L778">
        <f>TMTB!M778</f>
        <v>0.69504667200000003</v>
      </c>
      <c r="M778">
        <f>TMTB!N778</f>
        <v>77.2</v>
      </c>
      <c r="O778">
        <f>ABS(L778-TMTB!$C$34)</f>
        <v>11.186464751286682</v>
      </c>
      <c r="P778">
        <f t="shared" si="13"/>
        <v>77.2</v>
      </c>
    </row>
    <row r="779" spans="10:16">
      <c r="J779" s="5"/>
      <c r="L779">
        <f>TMTB!M779</f>
        <v>0.70051099999999999</v>
      </c>
      <c r="M779">
        <f>TMTB!N779</f>
        <v>77.3</v>
      </c>
      <c r="O779">
        <f>ABS(L779-TMTB!$C$34)</f>
        <v>11.181000423286681</v>
      </c>
      <c r="P779">
        <f t="shared" si="13"/>
        <v>77.3</v>
      </c>
    </row>
    <row r="780" spans="10:16">
      <c r="J780" s="5"/>
      <c r="L780">
        <f>TMTB!M780</f>
        <v>0.70124600000000004</v>
      </c>
      <c r="M780">
        <f>TMTB!N780</f>
        <v>77.400000000000006</v>
      </c>
      <c r="O780">
        <f>ABS(L780-TMTB!$C$34)</f>
        <v>11.180265423286682</v>
      </c>
      <c r="P780">
        <f t="shared" si="13"/>
        <v>77.400000000000006</v>
      </c>
    </row>
    <row r="781" spans="10:16">
      <c r="J781" s="5"/>
      <c r="L781">
        <f>TMTB!M781</f>
        <v>0.70198099999999997</v>
      </c>
      <c r="M781">
        <f>TMTB!N781</f>
        <v>77.5</v>
      </c>
      <c r="O781">
        <f>ABS(L781-TMTB!$C$34)</f>
        <v>11.179530423286682</v>
      </c>
      <c r="P781">
        <f t="shared" si="13"/>
        <v>77.5</v>
      </c>
    </row>
    <row r="782" spans="10:16">
      <c r="J782" s="5"/>
      <c r="L782">
        <f>TMTB!M782</f>
        <v>0.70277993599999999</v>
      </c>
      <c r="M782">
        <f>TMTB!N782</f>
        <v>77.599999999999994</v>
      </c>
      <c r="O782">
        <f>ABS(L782-TMTB!$C$34)</f>
        <v>11.178731487286681</v>
      </c>
      <c r="P782">
        <f t="shared" si="13"/>
        <v>77.599999999999994</v>
      </c>
    </row>
    <row r="783" spans="10:16">
      <c r="J783" s="5"/>
      <c r="L783">
        <f>TMTB!M783</f>
        <v>0.70364547200000005</v>
      </c>
      <c r="M783">
        <f>TMTB!N783</f>
        <v>77.7</v>
      </c>
      <c r="O783">
        <f>ABS(L783-TMTB!$C$34)</f>
        <v>11.177865951286682</v>
      </c>
      <c r="P783">
        <f t="shared" si="13"/>
        <v>77.7</v>
      </c>
    </row>
    <row r="784" spans="10:16">
      <c r="J784" s="5"/>
      <c r="L784">
        <f>TMTB!M784</f>
        <v>0.70451100799999999</v>
      </c>
      <c r="M784">
        <f>TMTB!N784</f>
        <v>77.8</v>
      </c>
      <c r="O784">
        <f>ABS(L784-TMTB!$C$34)</f>
        <v>11.177000415286681</v>
      </c>
      <c r="P784">
        <f t="shared" si="13"/>
        <v>77.8</v>
      </c>
    </row>
    <row r="785" spans="10:16">
      <c r="J785" s="5"/>
      <c r="L785">
        <f>TMTB!M785</f>
        <v>0.70559292799999995</v>
      </c>
      <c r="M785">
        <f>TMTB!N785</f>
        <v>77.900000000000006</v>
      </c>
      <c r="O785">
        <f>ABS(L785-TMTB!$C$34)</f>
        <v>11.175918495286682</v>
      </c>
      <c r="P785">
        <f t="shared" si="13"/>
        <v>77.900000000000006</v>
      </c>
    </row>
    <row r="786" spans="10:16">
      <c r="J786" s="5"/>
      <c r="L786">
        <f>TMTB!M786</f>
        <v>0.70668896000000003</v>
      </c>
      <c r="M786">
        <f>TMTB!N786</f>
        <v>78</v>
      </c>
      <c r="O786">
        <f>ABS(L786-TMTB!$C$34)</f>
        <v>11.174822463286683</v>
      </c>
      <c r="P786">
        <f t="shared" si="13"/>
        <v>78</v>
      </c>
    </row>
    <row r="787" spans="10:16">
      <c r="J787" s="5"/>
      <c r="L787">
        <f>TMTB!M787</f>
        <v>0.70837612000000005</v>
      </c>
      <c r="M787">
        <f>TMTB!N787</f>
        <v>78.099999999999994</v>
      </c>
      <c r="O787">
        <f>ABS(L787-TMTB!$C$34)</f>
        <v>11.173135303286681</v>
      </c>
      <c r="P787">
        <f t="shared" si="13"/>
        <v>78.099999999999994</v>
      </c>
    </row>
    <row r="788" spans="10:16">
      <c r="J788" s="5"/>
      <c r="L788">
        <f>TMTB!M788</f>
        <v>0.71099663999999996</v>
      </c>
      <c r="M788">
        <f>TMTB!N788</f>
        <v>78.2</v>
      </c>
      <c r="O788">
        <f>ABS(L788-TMTB!$C$34)</f>
        <v>11.170514783286682</v>
      </c>
      <c r="P788">
        <f t="shared" si="13"/>
        <v>78.2</v>
      </c>
    </row>
    <row r="789" spans="10:16">
      <c r="J789" s="5"/>
      <c r="L789">
        <f>TMTB!M789</f>
        <v>0.71361715999999997</v>
      </c>
      <c r="M789">
        <f>TMTB!N789</f>
        <v>78.3</v>
      </c>
      <c r="O789">
        <f>ABS(L789-TMTB!$C$34)</f>
        <v>11.167894263286682</v>
      </c>
      <c r="P789">
        <f t="shared" si="13"/>
        <v>78.3</v>
      </c>
    </row>
    <row r="790" spans="10:16">
      <c r="J790" s="5"/>
      <c r="L790">
        <f>TMTB!M790</f>
        <v>0.71609992</v>
      </c>
      <c r="M790">
        <f>TMTB!N790</f>
        <v>78.400000000000006</v>
      </c>
      <c r="O790">
        <f>ABS(L790-TMTB!$C$34)</f>
        <v>11.165411503286682</v>
      </c>
      <c r="P790">
        <f t="shared" si="13"/>
        <v>78.400000000000006</v>
      </c>
    </row>
    <row r="791" spans="10:16">
      <c r="J791" s="5"/>
      <c r="L791">
        <f>TMTB!M791</f>
        <v>0.71855579999999997</v>
      </c>
      <c r="M791">
        <f>TMTB!N791</f>
        <v>78.5</v>
      </c>
      <c r="O791">
        <f>ABS(L791-TMTB!$C$34)</f>
        <v>11.162955623286681</v>
      </c>
      <c r="P791">
        <f t="shared" si="13"/>
        <v>78.5</v>
      </c>
    </row>
    <row r="792" spans="10:16">
      <c r="J792" s="5"/>
      <c r="L792">
        <f>TMTB!M792</f>
        <v>0.72157302400000001</v>
      </c>
      <c r="M792">
        <f>TMTB!N792</f>
        <v>78.599999999999994</v>
      </c>
      <c r="O792">
        <f>ABS(L792-TMTB!$C$34)</f>
        <v>11.159938399286682</v>
      </c>
      <c r="P792">
        <f t="shared" si="13"/>
        <v>78.599999999999994</v>
      </c>
    </row>
    <row r="793" spans="10:16">
      <c r="J793" s="5"/>
      <c r="L793">
        <f>TMTB!M793</f>
        <v>0.72599360800000001</v>
      </c>
      <c r="M793">
        <f>TMTB!N793</f>
        <v>78.7</v>
      </c>
      <c r="O793">
        <f>ABS(L793-TMTB!$C$34)</f>
        <v>11.155517815286682</v>
      </c>
      <c r="P793">
        <f t="shared" si="13"/>
        <v>78.7</v>
      </c>
    </row>
    <row r="794" spans="10:16">
      <c r="J794" s="5"/>
      <c r="L794">
        <f>TMTB!M794</f>
        <v>0.73041419200000002</v>
      </c>
      <c r="M794">
        <f>TMTB!N794</f>
        <v>78.8</v>
      </c>
      <c r="O794">
        <f>ABS(L794-TMTB!$C$34)</f>
        <v>11.151097231286682</v>
      </c>
      <c r="P794">
        <f t="shared" si="13"/>
        <v>78.8</v>
      </c>
    </row>
    <row r="795" spans="10:16">
      <c r="J795" s="5"/>
      <c r="L795">
        <f>TMTB!M795</f>
        <v>0.73498914400000004</v>
      </c>
      <c r="M795">
        <f>TMTB!N795</f>
        <v>78.900000000000006</v>
      </c>
      <c r="O795">
        <f>ABS(L795-TMTB!$C$34)</f>
        <v>11.146522279286682</v>
      </c>
      <c r="P795">
        <f t="shared" si="13"/>
        <v>78.900000000000006</v>
      </c>
    </row>
    <row r="796" spans="10:16">
      <c r="J796" s="5"/>
      <c r="L796">
        <f>TMTB!M796</f>
        <v>0.73961984000000003</v>
      </c>
      <c r="M796">
        <f>TMTB!N796</f>
        <v>79</v>
      </c>
      <c r="O796">
        <f>ABS(L796-TMTB!$C$34)</f>
        <v>11.141891583286682</v>
      </c>
      <c r="P796">
        <f t="shared" si="13"/>
        <v>79</v>
      </c>
    </row>
    <row r="797" spans="10:16">
      <c r="J797" s="5"/>
      <c r="L797">
        <f>TMTB!M797</f>
        <v>0.74448748799999998</v>
      </c>
      <c r="M797">
        <f>TMTB!N797</f>
        <v>79.099999999999994</v>
      </c>
      <c r="O797">
        <f>ABS(L797-TMTB!$C$34)</f>
        <v>11.137023935286681</v>
      </c>
      <c r="P797">
        <f t="shared" si="13"/>
        <v>79.099999999999994</v>
      </c>
    </row>
    <row r="798" spans="10:16">
      <c r="J798" s="5"/>
      <c r="L798">
        <f>TMTB!M798</f>
        <v>0.75040825600000005</v>
      </c>
      <c r="M798">
        <f>TMTB!N798</f>
        <v>79.2</v>
      </c>
      <c r="O798">
        <f>ABS(L798-TMTB!$C$34)</f>
        <v>11.131103167286682</v>
      </c>
      <c r="P798">
        <f t="shared" si="13"/>
        <v>79.2</v>
      </c>
    </row>
    <row r="799" spans="10:16">
      <c r="J799" s="5"/>
      <c r="L799">
        <f>TMTB!M799</f>
        <v>0.75632902400000002</v>
      </c>
      <c r="M799">
        <f>TMTB!N799</f>
        <v>79.3</v>
      </c>
      <c r="O799">
        <f>ABS(L799-TMTB!$C$34)</f>
        <v>11.125182399286683</v>
      </c>
      <c r="P799">
        <f t="shared" si="13"/>
        <v>79.3</v>
      </c>
    </row>
    <row r="800" spans="10:16">
      <c r="J800" s="5"/>
      <c r="L800">
        <f>TMTB!M800</f>
        <v>0.76025611999999998</v>
      </c>
      <c r="M800">
        <f>TMTB!N800</f>
        <v>79.400000000000006</v>
      </c>
      <c r="O800">
        <f>ABS(L800-TMTB!$C$34)</f>
        <v>11.121255303286683</v>
      </c>
      <c r="P800">
        <f t="shared" si="13"/>
        <v>79.400000000000006</v>
      </c>
    </row>
    <row r="801" spans="10:16">
      <c r="J801" s="5"/>
      <c r="L801">
        <f>TMTB!M801</f>
        <v>0.76302559999999997</v>
      </c>
      <c r="M801">
        <f>TMTB!N801</f>
        <v>79.5</v>
      </c>
      <c r="O801">
        <f>ABS(L801-TMTB!$C$34)</f>
        <v>11.118485823286681</v>
      </c>
      <c r="P801">
        <f t="shared" si="13"/>
        <v>79.5</v>
      </c>
    </row>
    <row r="802" spans="10:16">
      <c r="J802" s="5"/>
      <c r="L802">
        <f>TMTB!M802</f>
        <v>0.76581783199999998</v>
      </c>
      <c r="M802">
        <f>TMTB!N802</f>
        <v>79.599999999999994</v>
      </c>
      <c r="O802">
        <f>ABS(L802-TMTB!$C$34)</f>
        <v>11.115693591286682</v>
      </c>
      <c r="P802">
        <f t="shared" si="13"/>
        <v>79.599999999999994</v>
      </c>
    </row>
    <row r="803" spans="10:16">
      <c r="J803" s="5"/>
      <c r="L803">
        <f>TMTB!M803</f>
        <v>0.76886602400000004</v>
      </c>
      <c r="M803">
        <f>TMTB!N803</f>
        <v>79.7</v>
      </c>
      <c r="O803">
        <f>ABS(L803-TMTB!$C$34)</f>
        <v>11.112645399286682</v>
      </c>
      <c r="P803">
        <f t="shared" si="13"/>
        <v>79.7</v>
      </c>
    </row>
    <row r="804" spans="10:16">
      <c r="J804" s="5"/>
      <c r="L804">
        <f>TMTB!M804</f>
        <v>0.77191421599999999</v>
      </c>
      <c r="M804">
        <f>TMTB!N804</f>
        <v>79.8</v>
      </c>
      <c r="O804">
        <f>ABS(L804-TMTB!$C$34)</f>
        <v>11.109597207286681</v>
      </c>
      <c r="P804">
        <f t="shared" si="13"/>
        <v>79.8</v>
      </c>
    </row>
    <row r="805" spans="10:16">
      <c r="J805" s="5"/>
      <c r="L805">
        <f>TMTB!M805</f>
        <v>0.77819140000000098</v>
      </c>
      <c r="M805">
        <f>TMTB!N805</f>
        <v>79.900000000000006</v>
      </c>
      <c r="O805">
        <f>ABS(L805-TMTB!$C$34)</f>
        <v>11.103320023286681</v>
      </c>
      <c r="P805">
        <f t="shared" si="13"/>
        <v>79.900000000000006</v>
      </c>
    </row>
    <row r="806" spans="10:16">
      <c r="J806" s="5"/>
      <c r="L806">
        <f>TMTB!M806</f>
        <v>0.78732500000000005</v>
      </c>
      <c r="M806">
        <f>TMTB!N806</f>
        <v>80</v>
      </c>
      <c r="O806">
        <f>ABS(L806-TMTB!$C$34)</f>
        <v>11.094186423286683</v>
      </c>
      <c r="P806">
        <f t="shared" si="13"/>
        <v>80</v>
      </c>
    </row>
    <row r="807" spans="10:16">
      <c r="J807" s="5"/>
      <c r="L807">
        <f>TMTB!M807</f>
        <v>0.79645860000000002</v>
      </c>
      <c r="M807">
        <f>TMTB!N807</f>
        <v>80.099999999999994</v>
      </c>
      <c r="O807">
        <f>ABS(L807-TMTB!$C$34)</f>
        <v>11.085052823286683</v>
      </c>
      <c r="P807">
        <f t="shared" si="13"/>
        <v>80.099999999999994</v>
      </c>
    </row>
    <row r="808" spans="10:16">
      <c r="J808" s="5"/>
      <c r="L808">
        <f>TMTB!M808</f>
        <v>0.798137608</v>
      </c>
      <c r="M808">
        <f>TMTB!N808</f>
        <v>80.2</v>
      </c>
      <c r="O808">
        <f>ABS(L808-TMTB!$C$34)</f>
        <v>11.083373815286683</v>
      </c>
      <c r="P808">
        <f t="shared" si="13"/>
        <v>80.2</v>
      </c>
    </row>
    <row r="809" spans="10:16">
      <c r="J809" s="5"/>
      <c r="L809">
        <f>TMTB!M809</f>
        <v>0.79966131200000001</v>
      </c>
      <c r="M809">
        <f>TMTB!N809</f>
        <v>80.3</v>
      </c>
      <c r="O809">
        <f>ABS(L809-TMTB!$C$34)</f>
        <v>11.081850111286682</v>
      </c>
      <c r="P809">
        <f t="shared" si="13"/>
        <v>80.3</v>
      </c>
    </row>
    <row r="810" spans="10:16">
      <c r="J810" s="5"/>
      <c r="L810">
        <f>TMTB!M810</f>
        <v>0.80063464799999995</v>
      </c>
      <c r="M810">
        <f>TMTB!N810</f>
        <v>80.400000000000006</v>
      </c>
      <c r="O810">
        <f>ABS(L810-TMTB!$C$34)</f>
        <v>11.080876775286683</v>
      </c>
      <c r="P810">
        <f t="shared" si="13"/>
        <v>80.400000000000006</v>
      </c>
    </row>
    <row r="811" spans="10:16">
      <c r="J811" s="5"/>
      <c r="L811">
        <f>TMTB!M811</f>
        <v>0.80087416</v>
      </c>
      <c r="M811">
        <f>TMTB!N811</f>
        <v>80.5</v>
      </c>
      <c r="O811">
        <f>ABS(L811-TMTB!$C$34)</f>
        <v>11.080637263286683</v>
      </c>
      <c r="P811">
        <f t="shared" si="13"/>
        <v>80.5</v>
      </c>
    </row>
    <row r="812" spans="10:16">
      <c r="J812" s="5"/>
      <c r="L812">
        <f>TMTB!M812</f>
        <v>0.80111367200000005</v>
      </c>
      <c r="M812">
        <f>TMTB!N812</f>
        <v>80.599999999999994</v>
      </c>
      <c r="O812">
        <f>ABS(L812-TMTB!$C$34)</f>
        <v>11.080397751286682</v>
      </c>
      <c r="P812">
        <f t="shared" si="13"/>
        <v>80.599999999999994</v>
      </c>
    </row>
    <row r="813" spans="10:16">
      <c r="J813" s="5"/>
      <c r="L813">
        <f>TMTB!M813</f>
        <v>0.80182687200000002</v>
      </c>
      <c r="M813">
        <f>TMTB!N813</f>
        <v>80.7</v>
      </c>
      <c r="O813">
        <f>ABS(L813-TMTB!$C$34)</f>
        <v>11.079684551286682</v>
      </c>
      <c r="P813">
        <f t="shared" si="13"/>
        <v>80.7</v>
      </c>
    </row>
    <row r="814" spans="10:16">
      <c r="J814" s="5"/>
      <c r="L814">
        <f>TMTB!M814</f>
        <v>0.80260616799999995</v>
      </c>
      <c r="M814">
        <f>TMTB!N814</f>
        <v>80.8</v>
      </c>
      <c r="O814">
        <f>ABS(L814-TMTB!$C$34)</f>
        <v>11.078905255286681</v>
      </c>
      <c r="P814">
        <f t="shared" si="13"/>
        <v>80.8</v>
      </c>
    </row>
    <row r="815" spans="10:16">
      <c r="J815" s="5"/>
      <c r="L815">
        <f>TMTB!M815</f>
        <v>0.80386661599999998</v>
      </c>
      <c r="M815">
        <f>TMTB!N815</f>
        <v>80.900000000000006</v>
      </c>
      <c r="O815">
        <f>ABS(L815-TMTB!$C$34)</f>
        <v>11.077644807286681</v>
      </c>
      <c r="P815">
        <f t="shared" si="13"/>
        <v>80.900000000000006</v>
      </c>
    </row>
    <row r="816" spans="10:16">
      <c r="J816" s="5"/>
      <c r="L816">
        <f>TMTB!M816</f>
        <v>0.80611944000000002</v>
      </c>
      <c r="M816">
        <f>TMTB!N816</f>
        <v>81</v>
      </c>
      <c r="O816">
        <f>ABS(L816-TMTB!$C$34)</f>
        <v>11.075391983286682</v>
      </c>
      <c r="P816">
        <f t="shared" si="13"/>
        <v>81</v>
      </c>
    </row>
    <row r="817" spans="10:16">
      <c r="J817" s="5"/>
      <c r="L817">
        <f>TMTB!M817</f>
        <v>0.80837226399999995</v>
      </c>
      <c r="M817">
        <f>TMTB!N817</f>
        <v>81.099999999999994</v>
      </c>
      <c r="O817">
        <f>ABS(L817-TMTB!$C$34)</f>
        <v>11.073139159286683</v>
      </c>
      <c r="P817">
        <f t="shared" si="13"/>
        <v>81.099999999999994</v>
      </c>
    </row>
    <row r="818" spans="10:16">
      <c r="J818" s="5"/>
      <c r="L818">
        <f>TMTB!M818</f>
        <v>0.81079411199999996</v>
      </c>
      <c r="M818">
        <f>TMTB!N818</f>
        <v>81.2</v>
      </c>
      <c r="O818">
        <f>ABS(L818-TMTB!$C$34)</f>
        <v>11.070717311286682</v>
      </c>
      <c r="P818">
        <f t="shared" si="13"/>
        <v>81.2</v>
      </c>
    </row>
    <row r="819" spans="10:16">
      <c r="J819" s="5"/>
      <c r="L819">
        <f>TMTB!M819</f>
        <v>0.81326488799999996</v>
      </c>
      <c r="M819">
        <f>TMTB!N819</f>
        <v>81.3</v>
      </c>
      <c r="O819">
        <f>ABS(L819-TMTB!$C$34)</f>
        <v>11.068246535286683</v>
      </c>
      <c r="P819">
        <f t="shared" si="13"/>
        <v>81.3</v>
      </c>
    </row>
    <row r="820" spans="10:16">
      <c r="J820" s="5"/>
      <c r="L820">
        <f>TMTB!M820</f>
        <v>0.81914654400000098</v>
      </c>
      <c r="M820">
        <f>TMTB!N820</f>
        <v>81.400000000000006</v>
      </c>
      <c r="O820">
        <f>ABS(L820-TMTB!$C$34)</f>
        <v>11.062364879286681</v>
      </c>
      <c r="P820">
        <f t="shared" si="13"/>
        <v>81.400000000000006</v>
      </c>
    </row>
    <row r="821" spans="10:16">
      <c r="J821" s="5"/>
      <c r="L821">
        <f>TMTB!M821</f>
        <v>0.83681124000000096</v>
      </c>
      <c r="M821">
        <f>TMTB!N821</f>
        <v>81.5</v>
      </c>
      <c r="O821">
        <f>ABS(L821-TMTB!$C$34)</f>
        <v>11.044700183286681</v>
      </c>
      <c r="P821">
        <f t="shared" si="13"/>
        <v>81.5</v>
      </c>
    </row>
    <row r="822" spans="10:16">
      <c r="J822" s="5"/>
      <c r="L822">
        <f>TMTB!M822</f>
        <v>0.85447593600000105</v>
      </c>
      <c r="M822">
        <f>TMTB!N822</f>
        <v>81.599999999999994</v>
      </c>
      <c r="O822">
        <f>ABS(L822-TMTB!$C$34)</f>
        <v>11.02703548728668</v>
      </c>
      <c r="P822">
        <f t="shared" si="13"/>
        <v>81.599999999999994</v>
      </c>
    </row>
    <row r="823" spans="10:16">
      <c r="J823" s="5"/>
      <c r="L823">
        <f>TMTB!M823</f>
        <v>0.866030352</v>
      </c>
      <c r="M823">
        <f>TMTB!N823</f>
        <v>81.7</v>
      </c>
      <c r="O823">
        <f>ABS(L823-TMTB!$C$34)</f>
        <v>11.015481071286683</v>
      </c>
      <c r="P823">
        <f t="shared" si="13"/>
        <v>81.7</v>
      </c>
    </row>
    <row r="824" spans="10:16">
      <c r="J824" s="5"/>
      <c r="L824">
        <f>TMTB!M824</f>
        <v>0.87462220800000001</v>
      </c>
      <c r="M824">
        <f>TMTB!N824</f>
        <v>81.8</v>
      </c>
      <c r="O824">
        <f>ABS(L824-TMTB!$C$34)</f>
        <v>11.006889215286682</v>
      </c>
      <c r="P824">
        <f t="shared" si="13"/>
        <v>81.8</v>
      </c>
    </row>
    <row r="825" spans="10:16">
      <c r="J825" s="5"/>
      <c r="L825">
        <f>TMTB!M825</f>
        <v>0.88261310400000004</v>
      </c>
      <c r="M825">
        <f>TMTB!N825</f>
        <v>81.900000000000006</v>
      </c>
      <c r="O825">
        <f>ABS(L825-TMTB!$C$34)</f>
        <v>10.998898319286681</v>
      </c>
      <c r="P825">
        <f t="shared" si="13"/>
        <v>81.900000000000006</v>
      </c>
    </row>
    <row r="826" spans="10:16">
      <c r="J826" s="5"/>
      <c r="L826">
        <f>TMTB!M826</f>
        <v>0.88629712000000005</v>
      </c>
      <c r="M826">
        <f>TMTB!N826</f>
        <v>82</v>
      </c>
      <c r="O826">
        <f>ABS(L826-TMTB!$C$34)</f>
        <v>10.995214303286682</v>
      </c>
      <c r="P826">
        <f t="shared" si="13"/>
        <v>82</v>
      </c>
    </row>
    <row r="827" spans="10:16">
      <c r="J827" s="5"/>
      <c r="L827">
        <f>TMTB!M827</f>
        <v>0.88998113600000095</v>
      </c>
      <c r="M827">
        <f>TMTB!N827</f>
        <v>82.1</v>
      </c>
      <c r="O827">
        <f>ABS(L827-TMTB!$C$34)</f>
        <v>10.991530287286681</v>
      </c>
      <c r="P827">
        <f t="shared" si="13"/>
        <v>82.1</v>
      </c>
    </row>
    <row r="828" spans="10:16">
      <c r="J828" s="5"/>
      <c r="L828">
        <f>TMTB!M828</f>
        <v>0.89500176000000098</v>
      </c>
      <c r="M828">
        <f>TMTB!N828</f>
        <v>82.2</v>
      </c>
      <c r="O828">
        <f>ABS(L828-TMTB!$C$34)</f>
        <v>10.986509663286681</v>
      </c>
      <c r="P828">
        <f t="shared" si="13"/>
        <v>82.2</v>
      </c>
    </row>
    <row r="829" spans="10:16">
      <c r="J829" s="5"/>
      <c r="L829">
        <f>TMTB!M829</f>
        <v>0.90102484000000105</v>
      </c>
      <c r="M829">
        <f>TMTB!N829</f>
        <v>82.3</v>
      </c>
      <c r="O829">
        <f>ABS(L829-TMTB!$C$34)</f>
        <v>10.98048658328668</v>
      </c>
      <c r="P829">
        <f t="shared" si="13"/>
        <v>82.3</v>
      </c>
    </row>
    <row r="830" spans="10:16">
      <c r="J830" s="5"/>
      <c r="L830">
        <f>TMTB!M830</f>
        <v>0.90726200000000201</v>
      </c>
      <c r="M830">
        <f>TMTB!N830</f>
        <v>82.4</v>
      </c>
      <c r="O830">
        <f>ABS(L830-TMTB!$C$34)</f>
        <v>10.974249423286679</v>
      </c>
      <c r="P830">
        <f t="shared" si="13"/>
        <v>82.4</v>
      </c>
    </row>
    <row r="831" spans="10:16">
      <c r="J831" s="5"/>
      <c r="L831">
        <f>TMTB!M831</f>
        <v>0.92377500000000101</v>
      </c>
      <c r="M831">
        <f>TMTB!N831</f>
        <v>82.5</v>
      </c>
      <c r="O831">
        <f>ABS(L831-TMTB!$C$34)</f>
        <v>10.957736423286681</v>
      </c>
      <c r="P831">
        <f t="shared" si="13"/>
        <v>82.5</v>
      </c>
    </row>
    <row r="832" spans="10:16">
      <c r="J832" s="5"/>
      <c r="L832">
        <f>TMTB!M832</f>
        <v>0.94028800000000101</v>
      </c>
      <c r="M832">
        <f>TMTB!N832</f>
        <v>82.6</v>
      </c>
      <c r="O832">
        <f>ABS(L832-TMTB!$C$34)</f>
        <v>10.941223423286681</v>
      </c>
      <c r="P832">
        <f t="shared" si="13"/>
        <v>82.6</v>
      </c>
    </row>
    <row r="833" spans="10:16">
      <c r="J833" s="5"/>
      <c r="L833">
        <f>TMTB!M833</f>
        <v>0.95099009599999995</v>
      </c>
      <c r="M833">
        <f>TMTB!N833</f>
        <v>82.7</v>
      </c>
      <c r="O833">
        <f>ABS(L833-TMTB!$C$34)</f>
        <v>10.930521327286682</v>
      </c>
      <c r="P833">
        <f t="shared" si="13"/>
        <v>82.7</v>
      </c>
    </row>
    <row r="834" spans="10:16">
      <c r="J834" s="5"/>
      <c r="L834">
        <f>TMTB!M834</f>
        <v>0.95512334399999999</v>
      </c>
      <c r="M834">
        <f>TMTB!N834</f>
        <v>82.8</v>
      </c>
      <c r="O834">
        <f>ABS(L834-TMTB!$C$34)</f>
        <v>10.926388079286681</v>
      </c>
      <c r="P834">
        <f t="shared" si="13"/>
        <v>82.8</v>
      </c>
    </row>
    <row r="835" spans="10:16">
      <c r="J835" s="5"/>
      <c r="L835">
        <f>TMTB!M835</f>
        <v>0.95925659200000002</v>
      </c>
      <c r="M835">
        <f>TMTB!N835</f>
        <v>82.9</v>
      </c>
      <c r="O835">
        <f>ABS(L835-TMTB!$C$34)</f>
        <v>10.922254831286683</v>
      </c>
      <c r="P835">
        <f t="shared" si="13"/>
        <v>82.9</v>
      </c>
    </row>
    <row r="836" spans="10:16">
      <c r="J836" s="5"/>
      <c r="L836">
        <f>TMTB!M836</f>
        <v>0.96045692000000005</v>
      </c>
      <c r="M836">
        <f>TMTB!N836</f>
        <v>83</v>
      </c>
      <c r="O836">
        <f>ABS(L836-TMTB!$C$34)</f>
        <v>10.921054503286681</v>
      </c>
      <c r="P836">
        <f t="shared" si="13"/>
        <v>83</v>
      </c>
    </row>
    <row r="837" spans="10:16">
      <c r="J837" s="5"/>
      <c r="L837">
        <f>TMTB!M837</f>
        <v>0.96139654399999996</v>
      </c>
      <c r="M837">
        <f>TMTB!N837</f>
        <v>83.1</v>
      </c>
      <c r="O837">
        <f>ABS(L837-TMTB!$C$34)</f>
        <v>10.920114879286682</v>
      </c>
      <c r="P837">
        <f t="shared" si="13"/>
        <v>83.1</v>
      </c>
    </row>
    <row r="838" spans="10:16">
      <c r="J838" s="5"/>
      <c r="L838">
        <f>TMTB!M838</f>
        <v>0.96211239199999998</v>
      </c>
      <c r="M838">
        <f>TMTB!N838</f>
        <v>83.2</v>
      </c>
      <c r="O838">
        <f>ABS(L838-TMTB!$C$34)</f>
        <v>10.919399031286682</v>
      </c>
      <c r="P838">
        <f t="shared" si="13"/>
        <v>83.2</v>
      </c>
    </row>
    <row r="839" spans="10:16">
      <c r="J839" s="5"/>
      <c r="L839">
        <f>TMTB!M839</f>
        <v>0.96244284800000002</v>
      </c>
      <c r="M839">
        <f>TMTB!N839</f>
        <v>83.3</v>
      </c>
      <c r="O839">
        <f>ABS(L839-TMTB!$C$34)</f>
        <v>10.919068575286682</v>
      </c>
      <c r="P839">
        <f t="shared" ref="P839:P902" si="14">M839</f>
        <v>83.3</v>
      </c>
    </row>
    <row r="840" spans="10:16">
      <c r="J840" s="5"/>
      <c r="L840">
        <f>TMTB!M840</f>
        <v>0.96277330400000005</v>
      </c>
      <c r="M840">
        <f>TMTB!N840</f>
        <v>83.4</v>
      </c>
      <c r="O840">
        <f>ABS(L840-TMTB!$C$34)</f>
        <v>10.918738119286681</v>
      </c>
      <c r="P840">
        <f t="shared" si="14"/>
        <v>83.4</v>
      </c>
    </row>
    <row r="841" spans="10:16">
      <c r="J841" s="5"/>
      <c r="L841">
        <f>TMTB!M841</f>
        <v>0.96410792000000001</v>
      </c>
      <c r="M841">
        <f>TMTB!N841</f>
        <v>83.5</v>
      </c>
      <c r="O841">
        <f>ABS(L841-TMTB!$C$34)</f>
        <v>10.917403503286682</v>
      </c>
      <c r="P841">
        <f t="shared" si="14"/>
        <v>83.5</v>
      </c>
    </row>
    <row r="842" spans="10:16">
      <c r="J842" s="5"/>
      <c r="L842">
        <f>TMTB!M842</f>
        <v>0.96566847199999994</v>
      </c>
      <c r="M842">
        <f>TMTB!N842</f>
        <v>83.6</v>
      </c>
      <c r="O842">
        <f>ABS(L842-TMTB!$C$34)</f>
        <v>10.915842951286681</v>
      </c>
      <c r="P842">
        <f t="shared" si="14"/>
        <v>83.6</v>
      </c>
    </row>
    <row r="843" spans="10:16">
      <c r="J843" s="5"/>
      <c r="L843">
        <f>TMTB!M843</f>
        <v>0.96683465599999996</v>
      </c>
      <c r="M843">
        <f>TMTB!N843</f>
        <v>83.7</v>
      </c>
      <c r="O843">
        <f>ABS(L843-TMTB!$C$34)</f>
        <v>10.914676767286682</v>
      </c>
      <c r="P843">
        <f t="shared" si="14"/>
        <v>83.7</v>
      </c>
    </row>
    <row r="844" spans="10:16">
      <c r="J844" s="5"/>
      <c r="L844">
        <f>TMTB!M844</f>
        <v>0.96690874400000004</v>
      </c>
      <c r="M844">
        <f>TMTB!N844</f>
        <v>83.8</v>
      </c>
      <c r="O844">
        <f>ABS(L844-TMTB!$C$34)</f>
        <v>10.914602679286682</v>
      </c>
      <c r="P844">
        <f t="shared" si="14"/>
        <v>83.8</v>
      </c>
    </row>
    <row r="845" spans="10:16">
      <c r="J845" s="5"/>
      <c r="L845">
        <f>TMTB!M845</f>
        <v>0.96698283200000001</v>
      </c>
      <c r="M845">
        <f>TMTB!N845</f>
        <v>83.9</v>
      </c>
      <c r="O845">
        <f>ABS(L845-TMTB!$C$34)</f>
        <v>10.914528591286683</v>
      </c>
      <c r="P845">
        <f t="shared" si="14"/>
        <v>83.9</v>
      </c>
    </row>
    <row r="846" spans="10:16">
      <c r="J846" s="5"/>
      <c r="L846">
        <f>TMTB!M846</f>
        <v>0.97403927999999895</v>
      </c>
      <c r="M846">
        <f>TMTB!N846</f>
        <v>84</v>
      </c>
      <c r="O846">
        <f>ABS(L846-TMTB!$C$34)</f>
        <v>10.907472143286682</v>
      </c>
      <c r="P846">
        <f t="shared" si="14"/>
        <v>84</v>
      </c>
    </row>
    <row r="847" spans="10:16">
      <c r="J847" s="5"/>
      <c r="L847">
        <f>TMTB!M847</f>
        <v>0.98388867199999896</v>
      </c>
      <c r="M847">
        <f>TMTB!N847</f>
        <v>84.1</v>
      </c>
      <c r="O847">
        <f>ABS(L847-TMTB!$C$34)</f>
        <v>10.897622751286683</v>
      </c>
      <c r="P847">
        <f t="shared" si="14"/>
        <v>84.1</v>
      </c>
    </row>
    <row r="848" spans="10:16">
      <c r="J848" s="5"/>
      <c r="L848">
        <f>TMTB!M848</f>
        <v>0.99332871999999905</v>
      </c>
      <c r="M848">
        <f>TMTB!N848</f>
        <v>84.2</v>
      </c>
      <c r="O848">
        <f>ABS(L848-TMTB!$C$34)</f>
        <v>10.888182703286683</v>
      </c>
      <c r="P848">
        <f t="shared" si="14"/>
        <v>84.2</v>
      </c>
    </row>
    <row r="849" spans="10:16">
      <c r="J849" s="5"/>
      <c r="L849">
        <f>TMTB!M849</f>
        <v>1.0006708799999999</v>
      </c>
      <c r="M849">
        <f>TMTB!N849</f>
        <v>84.3</v>
      </c>
      <c r="O849">
        <f>ABS(L849-TMTB!$C$34)</f>
        <v>10.880840543286682</v>
      </c>
      <c r="P849">
        <f t="shared" si="14"/>
        <v>84.3</v>
      </c>
    </row>
    <row r="850" spans="10:16">
      <c r="J850" s="5"/>
      <c r="L850">
        <f>TMTB!M850</f>
        <v>1.00801304</v>
      </c>
      <c r="M850">
        <f>TMTB!N850</f>
        <v>84.4</v>
      </c>
      <c r="O850">
        <f>ABS(L850-TMTB!$C$34)</f>
        <v>10.873498383286682</v>
      </c>
      <c r="P850">
        <f t="shared" si="14"/>
        <v>84.4</v>
      </c>
    </row>
    <row r="851" spans="10:16">
      <c r="J851" s="5"/>
      <c r="L851">
        <f>TMTB!M851</f>
        <v>1.0137474399999999</v>
      </c>
      <c r="M851">
        <f>TMTB!N851</f>
        <v>84.5</v>
      </c>
      <c r="O851">
        <f>ABS(L851-TMTB!$C$34)</f>
        <v>10.867763983286682</v>
      </c>
      <c r="P851">
        <f t="shared" si="14"/>
        <v>84.5</v>
      </c>
    </row>
    <row r="852" spans="10:16">
      <c r="J852" s="5"/>
      <c r="L852">
        <f>TMTB!M852</f>
        <v>1.018463592</v>
      </c>
      <c r="M852">
        <f>TMTB!N852</f>
        <v>84.6</v>
      </c>
      <c r="O852">
        <f>ABS(L852-TMTB!$C$34)</f>
        <v>10.863047831286682</v>
      </c>
      <c r="P852">
        <f t="shared" si="14"/>
        <v>84.6</v>
      </c>
    </row>
    <row r="853" spans="10:16">
      <c r="J853" s="5"/>
      <c r="L853">
        <f>TMTB!M853</f>
        <v>1.0231653439999999</v>
      </c>
      <c r="M853">
        <f>TMTB!N853</f>
        <v>84.7</v>
      </c>
      <c r="O853">
        <f>ABS(L853-TMTB!$C$34)</f>
        <v>10.858346079286681</v>
      </c>
      <c r="P853">
        <f t="shared" si="14"/>
        <v>84.7</v>
      </c>
    </row>
    <row r="854" spans="10:16">
      <c r="J854" s="5"/>
      <c r="L854">
        <f>TMTB!M854</f>
        <v>1.0276462959999999</v>
      </c>
      <c r="M854">
        <f>TMTB!N854</f>
        <v>84.8</v>
      </c>
      <c r="O854">
        <f>ABS(L854-TMTB!$C$34)</f>
        <v>10.853865127286682</v>
      </c>
      <c r="P854">
        <f t="shared" si="14"/>
        <v>84.8</v>
      </c>
    </row>
    <row r="855" spans="10:16">
      <c r="J855" s="5"/>
      <c r="L855">
        <f>TMTB!M855</f>
        <v>1.0321272480000001</v>
      </c>
      <c r="M855">
        <f>TMTB!N855</f>
        <v>84.9</v>
      </c>
      <c r="O855">
        <f>ABS(L855-TMTB!$C$34)</f>
        <v>10.849384175286682</v>
      </c>
      <c r="P855">
        <f t="shared" si="14"/>
        <v>84.9</v>
      </c>
    </row>
    <row r="856" spans="10:16">
      <c r="J856" s="5"/>
      <c r="L856">
        <f>TMTB!M856</f>
        <v>1.0344502</v>
      </c>
      <c r="M856">
        <f>TMTB!N856</f>
        <v>85</v>
      </c>
      <c r="O856">
        <f>ABS(L856-TMTB!$C$34)</f>
        <v>10.847061223286682</v>
      </c>
      <c r="P856">
        <f t="shared" si="14"/>
        <v>85</v>
      </c>
    </row>
    <row r="857" spans="10:16">
      <c r="J857" s="5"/>
      <c r="L857">
        <f>TMTB!M857</f>
        <v>1.0347014720000001</v>
      </c>
      <c r="M857">
        <f>TMTB!N857</f>
        <v>85.1</v>
      </c>
      <c r="O857">
        <f>ABS(L857-TMTB!$C$34)</f>
        <v>10.846809951286682</v>
      </c>
      <c r="P857">
        <f t="shared" si="14"/>
        <v>85.1</v>
      </c>
    </row>
    <row r="858" spans="10:16">
      <c r="J858" s="5"/>
      <c r="L858">
        <f>TMTB!M858</f>
        <v>1.0349527439999999</v>
      </c>
      <c r="M858">
        <f>TMTB!N858</f>
        <v>85.2</v>
      </c>
      <c r="O858">
        <f>ABS(L858-TMTB!$C$34)</f>
        <v>10.846558679286682</v>
      </c>
      <c r="P858">
        <f t="shared" si="14"/>
        <v>85.2</v>
      </c>
    </row>
    <row r="859" spans="10:16">
      <c r="J859" s="5"/>
      <c r="L859">
        <f>TMTB!M859</f>
        <v>1.0371332719999999</v>
      </c>
      <c r="M859">
        <f>TMTB!N859</f>
        <v>85.3</v>
      </c>
      <c r="O859">
        <f>ABS(L859-TMTB!$C$34)</f>
        <v>10.844378151286682</v>
      </c>
      <c r="P859">
        <f t="shared" si="14"/>
        <v>85.3</v>
      </c>
    </row>
    <row r="860" spans="10:16">
      <c r="J860" s="5"/>
      <c r="L860">
        <f>TMTB!M860</f>
        <v>1.039395896</v>
      </c>
      <c r="M860">
        <f>TMTB!N860</f>
        <v>85.4</v>
      </c>
      <c r="O860">
        <f>ABS(L860-TMTB!$C$34)</f>
        <v>10.842115527286682</v>
      </c>
      <c r="P860">
        <f t="shared" si="14"/>
        <v>85.4</v>
      </c>
    </row>
    <row r="861" spans="10:16">
      <c r="J861" s="5"/>
      <c r="L861">
        <f>TMTB!M861</f>
        <v>1.0428358</v>
      </c>
      <c r="M861">
        <f>TMTB!N861</f>
        <v>85.5</v>
      </c>
      <c r="O861">
        <f>ABS(L861-TMTB!$C$34)</f>
        <v>10.838675623286681</v>
      </c>
      <c r="P861">
        <f t="shared" si="14"/>
        <v>85.5</v>
      </c>
    </row>
    <row r="862" spans="10:16">
      <c r="J862" s="5"/>
      <c r="L862">
        <f>TMTB!M862</f>
        <v>1.04798276</v>
      </c>
      <c r="M862">
        <f>TMTB!N862</f>
        <v>85.6</v>
      </c>
      <c r="O862">
        <f>ABS(L862-TMTB!$C$34)</f>
        <v>10.833528663286682</v>
      </c>
      <c r="P862">
        <f t="shared" si="14"/>
        <v>85.6</v>
      </c>
    </row>
    <row r="863" spans="10:16">
      <c r="J863" s="5"/>
      <c r="L863">
        <f>TMTB!M863</f>
        <v>1.05312972</v>
      </c>
      <c r="M863">
        <f>TMTB!N863</f>
        <v>85.7</v>
      </c>
      <c r="O863">
        <f>ABS(L863-TMTB!$C$34)</f>
        <v>10.828381703286682</v>
      </c>
      <c r="P863">
        <f t="shared" si="14"/>
        <v>85.7</v>
      </c>
    </row>
    <row r="864" spans="10:16">
      <c r="J864" s="5"/>
      <c r="L864">
        <f>TMTB!M864</f>
        <v>1.058771608</v>
      </c>
      <c r="M864">
        <f>TMTB!N864</f>
        <v>85.8</v>
      </c>
      <c r="O864">
        <f>ABS(L864-TMTB!$C$34)</f>
        <v>10.822739815286681</v>
      </c>
      <c r="P864">
        <f t="shared" si="14"/>
        <v>85.8</v>
      </c>
    </row>
    <row r="865" spans="10:16">
      <c r="J865" s="5"/>
      <c r="L865">
        <f>TMTB!M865</f>
        <v>1.0644959839999999</v>
      </c>
      <c r="M865">
        <f>TMTB!N865</f>
        <v>85.9</v>
      </c>
      <c r="O865">
        <f>ABS(L865-TMTB!$C$34)</f>
        <v>10.817015439286681</v>
      </c>
      <c r="P865">
        <f t="shared" si="14"/>
        <v>85.9</v>
      </c>
    </row>
    <row r="866" spans="10:16">
      <c r="J866" s="5"/>
      <c r="L866">
        <f>TMTB!M866</f>
        <v>1.07280636</v>
      </c>
      <c r="M866">
        <f>TMTB!N866</f>
        <v>86</v>
      </c>
      <c r="O866">
        <f>ABS(L866-TMTB!$C$34)</f>
        <v>10.808705063286682</v>
      </c>
      <c r="P866">
        <f t="shared" si="14"/>
        <v>86</v>
      </c>
    </row>
    <row r="867" spans="10:16">
      <c r="J867" s="5"/>
      <c r="L867">
        <f>TMTB!M867</f>
        <v>1.086978336</v>
      </c>
      <c r="M867">
        <f>TMTB!N867</f>
        <v>86.1</v>
      </c>
      <c r="O867">
        <f>ABS(L867-TMTB!$C$34)</f>
        <v>10.794533087286682</v>
      </c>
      <c r="P867">
        <f t="shared" si="14"/>
        <v>86.1</v>
      </c>
    </row>
    <row r="868" spans="10:16">
      <c r="J868" s="5"/>
      <c r="L868">
        <f>TMTB!M868</f>
        <v>1.1011503119999999</v>
      </c>
      <c r="M868">
        <f>TMTB!N868</f>
        <v>86.2</v>
      </c>
      <c r="O868">
        <f>ABS(L868-TMTB!$C$34)</f>
        <v>10.780361111286682</v>
      </c>
      <c r="P868">
        <f t="shared" si="14"/>
        <v>86.2</v>
      </c>
    </row>
    <row r="869" spans="10:16">
      <c r="J869" s="5"/>
      <c r="L869">
        <f>TMTB!M869</f>
        <v>1.1139384880000001</v>
      </c>
      <c r="M869">
        <f>TMTB!N869</f>
        <v>86.3</v>
      </c>
      <c r="O869">
        <f>ABS(L869-TMTB!$C$34)</f>
        <v>10.767572935286681</v>
      </c>
      <c r="P869">
        <f t="shared" si="14"/>
        <v>86.3</v>
      </c>
    </row>
    <row r="870" spans="10:16">
      <c r="J870" s="5"/>
      <c r="L870">
        <f>TMTB!M870</f>
        <v>1.126277864</v>
      </c>
      <c r="M870">
        <f>TMTB!N870</f>
        <v>86.4</v>
      </c>
      <c r="O870">
        <f>ABS(L870-TMTB!$C$34)</f>
        <v>10.755233559286681</v>
      </c>
      <c r="P870">
        <f t="shared" si="14"/>
        <v>86.4</v>
      </c>
    </row>
    <row r="871" spans="10:16">
      <c r="J871" s="5"/>
      <c r="L871">
        <f>TMTB!M871</f>
        <v>1.1386661199999999</v>
      </c>
      <c r="M871">
        <f>TMTB!N871</f>
        <v>86.5</v>
      </c>
      <c r="O871">
        <f>ABS(L871-TMTB!$C$34)</f>
        <v>10.742845303286682</v>
      </c>
      <c r="P871">
        <f t="shared" si="14"/>
        <v>86.5</v>
      </c>
    </row>
    <row r="872" spans="10:16">
      <c r="J872" s="5"/>
      <c r="L872">
        <f>TMTB!M872</f>
        <v>1.1512450080000001</v>
      </c>
      <c r="M872">
        <f>TMTB!N872</f>
        <v>86.6</v>
      </c>
      <c r="O872">
        <f>ABS(L872-TMTB!$C$34)</f>
        <v>10.730266415286682</v>
      </c>
      <c r="P872">
        <f t="shared" si="14"/>
        <v>86.6</v>
      </c>
    </row>
    <row r="873" spans="10:16">
      <c r="J873" s="5"/>
      <c r="L873">
        <f>TMTB!M873</f>
        <v>1.163823896</v>
      </c>
      <c r="M873">
        <f>TMTB!N873</f>
        <v>86.7</v>
      </c>
      <c r="O873">
        <f>ABS(L873-TMTB!$C$34)</f>
        <v>10.717687527286682</v>
      </c>
      <c r="P873">
        <f t="shared" si="14"/>
        <v>86.7</v>
      </c>
    </row>
    <row r="874" spans="10:16">
      <c r="J874" s="5"/>
      <c r="L874">
        <f>TMTB!M874</f>
        <v>1.17002608</v>
      </c>
      <c r="M874">
        <f>TMTB!N874</f>
        <v>86.8</v>
      </c>
      <c r="O874">
        <f>ABS(L874-TMTB!$C$34)</f>
        <v>10.711485343286682</v>
      </c>
      <c r="P874">
        <f t="shared" si="14"/>
        <v>86.8</v>
      </c>
    </row>
    <row r="875" spans="10:16">
      <c r="J875" s="5"/>
      <c r="L875">
        <f>TMTB!M875</f>
        <v>1.17284064</v>
      </c>
      <c r="M875">
        <f>TMTB!N875</f>
        <v>86.9</v>
      </c>
      <c r="O875">
        <f>ABS(L875-TMTB!$C$34)</f>
        <v>10.708670783286681</v>
      </c>
      <c r="P875">
        <f t="shared" si="14"/>
        <v>86.9</v>
      </c>
    </row>
    <row r="876" spans="10:16">
      <c r="J876" s="5"/>
      <c r="L876">
        <f>TMTB!M876</f>
        <v>1.17541852</v>
      </c>
      <c r="M876">
        <f>TMTB!N876</f>
        <v>87</v>
      </c>
      <c r="O876">
        <f>ABS(L876-TMTB!$C$34)</f>
        <v>10.706092903286681</v>
      </c>
      <c r="P876">
        <f t="shared" si="14"/>
        <v>87</v>
      </c>
    </row>
    <row r="877" spans="10:16">
      <c r="J877" s="5"/>
      <c r="L877">
        <f>TMTB!M877</f>
        <v>1.1759136160000001</v>
      </c>
      <c r="M877">
        <f>TMTB!N877</f>
        <v>87.1</v>
      </c>
      <c r="O877">
        <f>ABS(L877-TMTB!$C$34)</f>
        <v>10.705597807286681</v>
      </c>
      <c r="P877">
        <f t="shared" si="14"/>
        <v>87.1</v>
      </c>
    </row>
    <row r="878" spans="10:16">
      <c r="J878" s="5"/>
      <c r="L878">
        <f>TMTB!M878</f>
        <v>1.176408712</v>
      </c>
      <c r="M878">
        <f>TMTB!N878</f>
        <v>87.2</v>
      </c>
      <c r="O878">
        <f>ABS(L878-TMTB!$C$34)</f>
        <v>10.705102711286681</v>
      </c>
      <c r="P878">
        <f t="shared" si="14"/>
        <v>87.2</v>
      </c>
    </row>
    <row r="879" spans="10:16">
      <c r="J879" s="5"/>
      <c r="L879">
        <f>TMTB!M879</f>
        <v>1.177859824</v>
      </c>
      <c r="M879">
        <f>TMTB!N879</f>
        <v>87.3</v>
      </c>
      <c r="O879">
        <f>ABS(L879-TMTB!$C$34)</f>
        <v>10.703651599286681</v>
      </c>
      <c r="P879">
        <f t="shared" si="14"/>
        <v>87.3</v>
      </c>
    </row>
    <row r="880" spans="10:16">
      <c r="J880" s="5"/>
      <c r="L880">
        <f>TMTB!M880</f>
        <v>1.1800899119999999</v>
      </c>
      <c r="M880">
        <f>TMTB!N880</f>
        <v>87.4</v>
      </c>
      <c r="O880">
        <f>ABS(L880-TMTB!$C$34)</f>
        <v>10.701421511286682</v>
      </c>
      <c r="P880">
        <f t="shared" si="14"/>
        <v>87.4</v>
      </c>
    </row>
    <row r="881" spans="10:16">
      <c r="J881" s="5"/>
      <c r="L881">
        <f>TMTB!M881</f>
        <v>1.18232</v>
      </c>
      <c r="M881">
        <f>TMTB!N881</f>
        <v>87.5</v>
      </c>
      <c r="O881">
        <f>ABS(L881-TMTB!$C$34)</f>
        <v>10.699191423286681</v>
      </c>
      <c r="P881">
        <f t="shared" si="14"/>
        <v>87.5</v>
      </c>
    </row>
    <row r="882" spans="10:16">
      <c r="J882" s="5"/>
      <c r="L882">
        <f>TMTB!M882</f>
        <v>1.1938608719999999</v>
      </c>
      <c r="M882">
        <f>TMTB!N882</f>
        <v>87.6</v>
      </c>
      <c r="O882">
        <f>ABS(L882-TMTB!$C$34)</f>
        <v>10.687650551286682</v>
      </c>
      <c r="P882">
        <f t="shared" si="14"/>
        <v>87.6</v>
      </c>
    </row>
    <row r="883" spans="10:16">
      <c r="J883" s="5"/>
      <c r="L883">
        <f>TMTB!M883</f>
        <v>1.205401744</v>
      </c>
      <c r="M883">
        <f>TMTB!N883</f>
        <v>87.7</v>
      </c>
      <c r="O883">
        <f>ABS(L883-TMTB!$C$34)</f>
        <v>10.676109679286682</v>
      </c>
      <c r="P883">
        <f t="shared" si="14"/>
        <v>87.7</v>
      </c>
    </row>
    <row r="884" spans="10:16">
      <c r="J884" s="5"/>
      <c r="L884">
        <f>TMTB!M884</f>
        <v>1.211958648</v>
      </c>
      <c r="M884">
        <f>TMTB!N884</f>
        <v>87.8</v>
      </c>
      <c r="O884">
        <f>ABS(L884-TMTB!$C$34)</f>
        <v>10.669552775286682</v>
      </c>
      <c r="P884">
        <f t="shared" si="14"/>
        <v>87.8</v>
      </c>
    </row>
    <row r="885" spans="10:16">
      <c r="J885" s="5"/>
      <c r="L885">
        <f>TMTB!M885</f>
        <v>1.2123988640000001</v>
      </c>
      <c r="M885">
        <f>TMTB!N885</f>
        <v>87.9</v>
      </c>
      <c r="O885">
        <f>ABS(L885-TMTB!$C$34)</f>
        <v>10.669112559286681</v>
      </c>
      <c r="P885">
        <f t="shared" si="14"/>
        <v>87.9</v>
      </c>
    </row>
    <row r="886" spans="10:16">
      <c r="J886" s="5"/>
      <c r="L886">
        <f>TMTB!M886</f>
        <v>1.21283908</v>
      </c>
      <c r="M886">
        <f>TMTB!N886</f>
        <v>88</v>
      </c>
      <c r="O886">
        <f>ABS(L886-TMTB!$C$34)</f>
        <v>10.668672343286682</v>
      </c>
      <c r="P886">
        <f t="shared" si="14"/>
        <v>88</v>
      </c>
    </row>
    <row r="887" spans="10:16">
      <c r="J887" s="5"/>
      <c r="L887">
        <f>TMTB!M887</f>
        <v>1.223540096</v>
      </c>
      <c r="M887">
        <f>TMTB!N887</f>
        <v>88.1</v>
      </c>
      <c r="O887">
        <f>ABS(L887-TMTB!$C$34)</f>
        <v>10.657971327286681</v>
      </c>
      <c r="P887">
        <f t="shared" si="14"/>
        <v>88.1</v>
      </c>
    </row>
    <row r="888" spans="10:16">
      <c r="J888" s="5"/>
      <c r="L888">
        <f>TMTB!M888</f>
        <v>1.2354071120000001</v>
      </c>
      <c r="M888">
        <f>TMTB!N888</f>
        <v>88.2</v>
      </c>
      <c r="O888">
        <f>ABS(L888-TMTB!$C$34)</f>
        <v>10.646104311286681</v>
      </c>
      <c r="P888">
        <f t="shared" si="14"/>
        <v>88.2</v>
      </c>
    </row>
    <row r="889" spans="10:16">
      <c r="J889" s="5"/>
      <c r="L889">
        <f>TMTB!M889</f>
        <v>1.2469046159999999</v>
      </c>
      <c r="M889">
        <f>TMTB!N889</f>
        <v>88.3</v>
      </c>
      <c r="O889">
        <f>ABS(L889-TMTB!$C$34)</f>
        <v>10.634606807286682</v>
      </c>
      <c r="P889">
        <f t="shared" si="14"/>
        <v>88.3</v>
      </c>
    </row>
    <row r="890" spans="10:16">
      <c r="J890" s="5"/>
      <c r="L890">
        <f>TMTB!M890</f>
        <v>1.2577065679999999</v>
      </c>
      <c r="M890">
        <f>TMTB!N890</f>
        <v>88.4</v>
      </c>
      <c r="O890">
        <f>ABS(L890-TMTB!$C$34)</f>
        <v>10.623804855286682</v>
      </c>
      <c r="P890">
        <f t="shared" si="14"/>
        <v>88.4</v>
      </c>
    </row>
    <row r="891" spans="10:16">
      <c r="J891" s="5"/>
      <c r="L891">
        <f>TMTB!M891</f>
        <v>1.2685085199999999</v>
      </c>
      <c r="M891">
        <f>TMTB!N891</f>
        <v>88.5</v>
      </c>
      <c r="O891">
        <f>ABS(L891-TMTB!$C$34)</f>
        <v>10.613002903286683</v>
      </c>
      <c r="P891">
        <f t="shared" si="14"/>
        <v>88.5</v>
      </c>
    </row>
    <row r="892" spans="10:16">
      <c r="J892" s="5"/>
      <c r="L892">
        <f>TMTB!M892</f>
        <v>1.2721241759999999</v>
      </c>
      <c r="M892">
        <f>TMTB!N892</f>
        <v>88.6</v>
      </c>
      <c r="O892">
        <f>ABS(L892-TMTB!$C$34)</f>
        <v>10.609387247286682</v>
      </c>
      <c r="P892">
        <f t="shared" si="14"/>
        <v>88.6</v>
      </c>
    </row>
    <row r="893" spans="10:16">
      <c r="J893" s="5"/>
      <c r="L893">
        <f>TMTB!M893</f>
        <v>1.273897192</v>
      </c>
      <c r="M893">
        <f>TMTB!N893</f>
        <v>88.7</v>
      </c>
      <c r="O893">
        <f>ABS(L893-TMTB!$C$34)</f>
        <v>10.607614231286682</v>
      </c>
      <c r="P893">
        <f t="shared" si="14"/>
        <v>88.7</v>
      </c>
    </row>
    <row r="894" spans="10:16">
      <c r="J894" s="5"/>
      <c r="L894">
        <f>TMTB!M894</f>
        <v>1.2753438079999999</v>
      </c>
      <c r="M894">
        <f>TMTB!N894</f>
        <v>88.8</v>
      </c>
      <c r="O894">
        <f>ABS(L894-TMTB!$C$34)</f>
        <v>10.606167615286681</v>
      </c>
      <c r="P894">
        <f t="shared" si="14"/>
        <v>88.8</v>
      </c>
    </row>
    <row r="895" spans="10:16">
      <c r="J895" s="5"/>
      <c r="L895">
        <f>TMTB!M895</f>
        <v>1.275784024</v>
      </c>
      <c r="M895">
        <f>TMTB!N895</f>
        <v>88.9</v>
      </c>
      <c r="O895">
        <f>ABS(L895-TMTB!$C$34)</f>
        <v>10.605727399286682</v>
      </c>
      <c r="P895">
        <f t="shared" si="14"/>
        <v>88.9</v>
      </c>
    </row>
    <row r="896" spans="10:16">
      <c r="J896" s="5"/>
      <c r="L896">
        <f>TMTB!M896</f>
        <v>1.2762242399999999</v>
      </c>
      <c r="M896">
        <f>TMTB!N896</f>
        <v>89</v>
      </c>
      <c r="O896">
        <f>ABS(L896-TMTB!$C$34)</f>
        <v>10.605287183286682</v>
      </c>
      <c r="P896">
        <f t="shared" si="14"/>
        <v>89</v>
      </c>
    </row>
    <row r="897" spans="10:16">
      <c r="J897" s="5"/>
      <c r="L897">
        <f>TMTB!M897</f>
        <v>1.2768921200000001</v>
      </c>
      <c r="M897">
        <f>TMTB!N897</f>
        <v>89.1</v>
      </c>
      <c r="O897">
        <f>ABS(L897-TMTB!$C$34)</f>
        <v>10.604619303286682</v>
      </c>
      <c r="P897">
        <f t="shared" si="14"/>
        <v>89.1</v>
      </c>
    </row>
    <row r="898" spans="10:16">
      <c r="J898" s="5"/>
      <c r="L898">
        <f>TMTB!M898</f>
        <v>1.27766044</v>
      </c>
      <c r="M898">
        <f>TMTB!N898</f>
        <v>89.2</v>
      </c>
      <c r="O898">
        <f>ABS(L898-TMTB!$C$34)</f>
        <v>10.603850983286682</v>
      </c>
      <c r="P898">
        <f t="shared" si="14"/>
        <v>89.2</v>
      </c>
    </row>
    <row r="899" spans="10:16">
      <c r="J899" s="5"/>
      <c r="L899">
        <f>TMTB!M899</f>
        <v>1.278350976</v>
      </c>
      <c r="M899">
        <f>TMTB!N899</f>
        <v>89.3</v>
      </c>
      <c r="O899">
        <f>ABS(L899-TMTB!$C$34)</f>
        <v>10.603160447286681</v>
      </c>
      <c r="P899">
        <f t="shared" si="14"/>
        <v>89.3</v>
      </c>
    </row>
    <row r="900" spans="10:16">
      <c r="J900" s="5"/>
      <c r="L900">
        <f>TMTB!M900</f>
        <v>1.2785748079999999</v>
      </c>
      <c r="M900">
        <f>TMTB!N900</f>
        <v>89.4</v>
      </c>
      <c r="O900">
        <f>ABS(L900-TMTB!$C$34)</f>
        <v>10.602936615286682</v>
      </c>
      <c r="P900">
        <f t="shared" si="14"/>
        <v>89.4</v>
      </c>
    </row>
    <row r="901" spans="10:16">
      <c r="J901" s="5"/>
      <c r="L901">
        <f>TMTB!M901</f>
        <v>1.27879864</v>
      </c>
      <c r="M901">
        <f>TMTB!N901</f>
        <v>89.5</v>
      </c>
      <c r="O901">
        <f>ABS(L901-TMTB!$C$34)</f>
        <v>10.602712783286682</v>
      </c>
      <c r="P901">
        <f t="shared" si="14"/>
        <v>89.5</v>
      </c>
    </row>
    <row r="902" spans="10:16">
      <c r="J902" s="5"/>
      <c r="L902">
        <f>TMTB!M902</f>
        <v>1.2868376239999999</v>
      </c>
      <c r="M902">
        <f>TMTB!N902</f>
        <v>89.6</v>
      </c>
      <c r="O902">
        <f>ABS(L902-TMTB!$C$34)</f>
        <v>10.594673799286682</v>
      </c>
      <c r="P902">
        <f t="shared" si="14"/>
        <v>89.6</v>
      </c>
    </row>
    <row r="903" spans="10:16">
      <c r="J903" s="5"/>
      <c r="L903">
        <f>TMTB!M903</f>
        <v>1.300266368</v>
      </c>
      <c r="M903">
        <f>TMTB!N903</f>
        <v>89.7</v>
      </c>
      <c r="O903">
        <f>ABS(L903-TMTB!$C$34)</f>
        <v>10.581245055286683</v>
      </c>
      <c r="P903">
        <f t="shared" ref="P903:P966" si="15">M903</f>
        <v>89.7</v>
      </c>
    </row>
    <row r="904" spans="10:16">
      <c r="J904" s="5"/>
      <c r="L904">
        <f>TMTB!M904</f>
        <v>1.3135856560000001</v>
      </c>
      <c r="M904">
        <f>TMTB!N904</f>
        <v>89.8</v>
      </c>
      <c r="O904">
        <f>ABS(L904-TMTB!$C$34)</f>
        <v>10.567925767286681</v>
      </c>
      <c r="P904">
        <f t="shared" si="15"/>
        <v>89.8</v>
      </c>
    </row>
    <row r="905" spans="10:16">
      <c r="J905" s="5"/>
      <c r="L905">
        <f>TMTB!M905</f>
        <v>1.3243327279999999</v>
      </c>
      <c r="M905">
        <f>TMTB!N905</f>
        <v>89.9</v>
      </c>
      <c r="O905">
        <f>ABS(L905-TMTB!$C$34)</f>
        <v>10.557178695286682</v>
      </c>
      <c r="P905">
        <f t="shared" si="15"/>
        <v>89.9</v>
      </c>
    </row>
    <row r="906" spans="10:16">
      <c r="J906" s="5"/>
      <c r="L906">
        <f>TMTB!M906</f>
        <v>1.3350797999999999</v>
      </c>
      <c r="M906">
        <f>TMTB!N906</f>
        <v>90</v>
      </c>
      <c r="O906">
        <f>ABS(L906-TMTB!$C$34)</f>
        <v>10.546431623286683</v>
      </c>
      <c r="P906">
        <f t="shared" si="15"/>
        <v>90</v>
      </c>
    </row>
    <row r="907" spans="10:16">
      <c r="J907" s="5"/>
      <c r="L907">
        <f>TMTB!M907</f>
        <v>1.350793336</v>
      </c>
      <c r="M907">
        <f>TMTB!N907</f>
        <v>90.1</v>
      </c>
      <c r="O907">
        <f>ABS(L907-TMTB!$C$34)</f>
        <v>10.530718087286681</v>
      </c>
      <c r="P907">
        <f t="shared" si="15"/>
        <v>90.1</v>
      </c>
    </row>
    <row r="908" spans="10:16">
      <c r="J908" s="5"/>
      <c r="L908">
        <f>TMTB!M908</f>
        <v>1.3716802720000001</v>
      </c>
      <c r="M908">
        <f>TMTB!N908</f>
        <v>90.2</v>
      </c>
      <c r="O908">
        <f>ABS(L908-TMTB!$C$34)</f>
        <v>10.509831151286681</v>
      </c>
      <c r="P908">
        <f t="shared" si="15"/>
        <v>90.2</v>
      </c>
    </row>
    <row r="909" spans="10:16">
      <c r="J909" s="5"/>
      <c r="L909">
        <f>TMTB!M909</f>
        <v>1.392567208</v>
      </c>
      <c r="M909">
        <f>TMTB!N909</f>
        <v>90.3</v>
      </c>
      <c r="O909">
        <f>ABS(L909-TMTB!$C$34)</f>
        <v>10.488944215286683</v>
      </c>
      <c r="P909">
        <f t="shared" si="15"/>
        <v>90.3</v>
      </c>
    </row>
    <row r="910" spans="10:16">
      <c r="J910" s="5"/>
      <c r="L910">
        <f>TMTB!M910</f>
        <v>1.400664304</v>
      </c>
      <c r="M910">
        <f>TMTB!N910</f>
        <v>90.4</v>
      </c>
      <c r="O910">
        <f>ABS(L910-TMTB!$C$34)</f>
        <v>10.480847119286683</v>
      </c>
      <c r="P910">
        <f t="shared" si="15"/>
        <v>90.4</v>
      </c>
    </row>
    <row r="911" spans="10:16">
      <c r="J911" s="5"/>
      <c r="L911">
        <f>TMTB!M911</f>
        <v>1.40792728</v>
      </c>
      <c r="M911">
        <f>TMTB!N911</f>
        <v>90.5</v>
      </c>
      <c r="O911">
        <f>ABS(L911-TMTB!$C$34)</f>
        <v>10.473584143286683</v>
      </c>
      <c r="P911">
        <f t="shared" si="15"/>
        <v>90.5</v>
      </c>
    </row>
    <row r="912" spans="10:16">
      <c r="J912" s="5"/>
      <c r="L912">
        <f>TMTB!M912</f>
        <v>1.438497328</v>
      </c>
      <c r="M912">
        <f>TMTB!N912</f>
        <v>90.6</v>
      </c>
      <c r="O912">
        <f>ABS(L912-TMTB!$C$34)</f>
        <v>10.443014095286681</v>
      </c>
      <c r="P912">
        <f t="shared" si="15"/>
        <v>90.6</v>
      </c>
    </row>
    <row r="913" spans="10:16">
      <c r="J913" s="5"/>
      <c r="L913">
        <f>TMTB!M913</f>
        <v>1.505868016</v>
      </c>
      <c r="M913">
        <f>TMTB!N913</f>
        <v>90.7</v>
      </c>
      <c r="O913">
        <f>ABS(L913-TMTB!$C$34)</f>
        <v>10.375643407286681</v>
      </c>
      <c r="P913">
        <f t="shared" si="15"/>
        <v>90.7</v>
      </c>
    </row>
    <row r="914" spans="10:16">
      <c r="J914" s="5"/>
      <c r="L914">
        <f>TMTB!M914</f>
        <v>1.57323870400001</v>
      </c>
      <c r="M914">
        <f>TMTB!N914</f>
        <v>90.8</v>
      </c>
      <c r="O914">
        <f>ABS(L914-TMTB!$C$34)</f>
        <v>10.308272719286672</v>
      </c>
      <c r="P914">
        <f t="shared" si="15"/>
        <v>90.8</v>
      </c>
    </row>
    <row r="915" spans="10:16">
      <c r="J915" s="5"/>
      <c r="L915">
        <f>TMTB!M915</f>
        <v>1.58591572</v>
      </c>
      <c r="M915">
        <f>TMTB!N915</f>
        <v>90.9</v>
      </c>
      <c r="O915">
        <f>ABS(L915-TMTB!$C$34)</f>
        <v>10.295595703286683</v>
      </c>
      <c r="P915">
        <f t="shared" si="15"/>
        <v>90.9</v>
      </c>
    </row>
    <row r="916" spans="10:16">
      <c r="J916" s="5"/>
      <c r="L916">
        <f>TMTB!M916</f>
        <v>1.5879208</v>
      </c>
      <c r="M916">
        <f>TMTB!N916</f>
        <v>91</v>
      </c>
      <c r="O916">
        <f>ABS(L916-TMTB!$C$34)</f>
        <v>10.293590623286683</v>
      </c>
      <c r="P916">
        <f t="shared" si="15"/>
        <v>91</v>
      </c>
    </row>
    <row r="917" spans="10:16">
      <c r="J917" s="5"/>
      <c r="L917">
        <f>TMTB!M917</f>
        <v>1.591157768</v>
      </c>
      <c r="M917">
        <f>TMTB!N917</f>
        <v>91.1</v>
      </c>
      <c r="O917">
        <f>ABS(L917-TMTB!$C$34)</f>
        <v>10.290353655286681</v>
      </c>
      <c r="P917">
        <f t="shared" si="15"/>
        <v>91.1</v>
      </c>
    </row>
    <row r="918" spans="10:16">
      <c r="J918" s="5"/>
      <c r="L918">
        <f>TMTB!M918</f>
        <v>1.597474456</v>
      </c>
      <c r="M918">
        <f>TMTB!N918</f>
        <v>91.2</v>
      </c>
      <c r="O918">
        <f>ABS(L918-TMTB!$C$34)</f>
        <v>10.284036967286681</v>
      </c>
      <c r="P918">
        <f t="shared" si="15"/>
        <v>91.2</v>
      </c>
    </row>
    <row r="919" spans="10:16">
      <c r="J919" s="5"/>
      <c r="L919">
        <f>TMTB!M919</f>
        <v>1.6037911439999999</v>
      </c>
      <c r="M919">
        <f>TMTB!N919</f>
        <v>91.3</v>
      </c>
      <c r="O919">
        <f>ABS(L919-TMTB!$C$34)</f>
        <v>10.277720279286681</v>
      </c>
      <c r="P919">
        <f t="shared" si="15"/>
        <v>91.3</v>
      </c>
    </row>
    <row r="920" spans="10:16">
      <c r="J920" s="5"/>
      <c r="L920">
        <f>TMTB!M920</f>
        <v>1.6085419759999999</v>
      </c>
      <c r="M920">
        <f>TMTB!N920</f>
        <v>91.4</v>
      </c>
      <c r="O920">
        <f>ABS(L920-TMTB!$C$34)</f>
        <v>10.272969447286682</v>
      </c>
      <c r="P920">
        <f t="shared" si="15"/>
        <v>91.4</v>
      </c>
    </row>
    <row r="921" spans="10:16">
      <c r="J921" s="5"/>
      <c r="L921">
        <f>TMTB!M921</f>
        <v>1.6127273600000001</v>
      </c>
      <c r="M921">
        <f>TMTB!N921</f>
        <v>91.5</v>
      </c>
      <c r="O921">
        <f>ABS(L921-TMTB!$C$34)</f>
        <v>10.268784063286681</v>
      </c>
      <c r="P921">
        <f t="shared" si="15"/>
        <v>91.5</v>
      </c>
    </row>
    <row r="922" spans="10:16">
      <c r="J922" s="5"/>
      <c r="L922">
        <f>TMTB!M922</f>
        <v>1.619720096</v>
      </c>
      <c r="M922">
        <f>TMTB!N922</f>
        <v>91.6</v>
      </c>
      <c r="O922">
        <f>ABS(L922-TMTB!$C$34)</f>
        <v>10.261791327286682</v>
      </c>
      <c r="P922">
        <f t="shared" si="15"/>
        <v>91.6</v>
      </c>
    </row>
    <row r="923" spans="10:16">
      <c r="J923" s="5"/>
      <c r="L923">
        <f>TMTB!M923</f>
        <v>1.639189952</v>
      </c>
      <c r="M923">
        <f>TMTB!N923</f>
        <v>91.7</v>
      </c>
      <c r="O923">
        <f>ABS(L923-TMTB!$C$34)</f>
        <v>10.242321471286681</v>
      </c>
      <c r="P923">
        <f t="shared" si="15"/>
        <v>91.7</v>
      </c>
    </row>
    <row r="924" spans="10:16">
      <c r="J924" s="5"/>
      <c r="L924">
        <f>TMTB!M924</f>
        <v>1.6586598079999999</v>
      </c>
      <c r="M924">
        <f>TMTB!N924</f>
        <v>91.8</v>
      </c>
      <c r="O924">
        <f>ABS(L924-TMTB!$C$34)</f>
        <v>10.222851615286682</v>
      </c>
      <c r="P924">
        <f t="shared" si="15"/>
        <v>91.8</v>
      </c>
    </row>
    <row r="925" spans="10:16">
      <c r="J925" s="5"/>
      <c r="L925">
        <f>TMTB!M925</f>
        <v>1.6663590880000001</v>
      </c>
      <c r="M925">
        <f>TMTB!N925</f>
        <v>91.9</v>
      </c>
      <c r="O925">
        <f>ABS(L925-TMTB!$C$34)</f>
        <v>10.215152335286682</v>
      </c>
      <c r="P925">
        <f t="shared" si="15"/>
        <v>91.9</v>
      </c>
    </row>
    <row r="926" spans="10:16">
      <c r="J926" s="5"/>
      <c r="L926">
        <f>TMTB!M926</f>
        <v>1.6672238399999999</v>
      </c>
      <c r="M926">
        <f>TMTB!N926</f>
        <v>92</v>
      </c>
      <c r="O926">
        <f>ABS(L926-TMTB!$C$34)</f>
        <v>10.214287583286682</v>
      </c>
      <c r="P926">
        <f t="shared" si="15"/>
        <v>92</v>
      </c>
    </row>
    <row r="927" spans="10:16">
      <c r="J927" s="5"/>
      <c r="L927">
        <f>TMTB!M927</f>
        <v>1.669742096</v>
      </c>
      <c r="M927">
        <f>TMTB!N927</f>
        <v>92.1</v>
      </c>
      <c r="O927">
        <f>ABS(L927-TMTB!$C$34)</f>
        <v>10.211769327286682</v>
      </c>
      <c r="P927">
        <f t="shared" si="15"/>
        <v>92.1</v>
      </c>
    </row>
    <row r="928" spans="10:16">
      <c r="J928" s="5"/>
      <c r="L928">
        <f>TMTB!M928</f>
        <v>1.6908622719999999</v>
      </c>
      <c r="M928">
        <f>TMTB!N928</f>
        <v>92.2</v>
      </c>
      <c r="O928">
        <f>ABS(L928-TMTB!$C$34)</f>
        <v>10.190649151286681</v>
      </c>
      <c r="P928">
        <f t="shared" si="15"/>
        <v>92.2</v>
      </c>
    </row>
    <row r="929" spans="10:16">
      <c r="J929" s="5"/>
      <c r="L929">
        <f>TMTB!M929</f>
        <v>1.7119824480000001</v>
      </c>
      <c r="M929">
        <f>TMTB!N929</f>
        <v>92.3</v>
      </c>
      <c r="O929">
        <f>ABS(L929-TMTB!$C$34)</f>
        <v>10.169528975286681</v>
      </c>
      <c r="P929">
        <f t="shared" si="15"/>
        <v>92.3</v>
      </c>
    </row>
    <row r="930" spans="10:16">
      <c r="J930" s="5"/>
      <c r="L930">
        <f>TMTB!M930</f>
        <v>1.7328954560000001</v>
      </c>
      <c r="M930">
        <f>TMTB!N930</f>
        <v>92.4</v>
      </c>
      <c r="O930">
        <f>ABS(L930-TMTB!$C$34)</f>
        <v>10.148615967286682</v>
      </c>
      <c r="P930">
        <f t="shared" si="15"/>
        <v>92.4</v>
      </c>
    </row>
    <row r="931" spans="10:16">
      <c r="J931" s="5"/>
      <c r="L931">
        <f>TMTB!M931</f>
        <v>1.7536252000000001</v>
      </c>
      <c r="M931">
        <f>TMTB!N931</f>
        <v>92.5</v>
      </c>
      <c r="O931">
        <f>ABS(L931-TMTB!$C$34)</f>
        <v>10.127886223286682</v>
      </c>
      <c r="P931">
        <f t="shared" si="15"/>
        <v>92.5</v>
      </c>
    </row>
    <row r="932" spans="10:16">
      <c r="J932" s="5"/>
      <c r="L932">
        <f>TMTB!M932</f>
        <v>1.7743549439999999</v>
      </c>
      <c r="M932">
        <f>TMTB!N932</f>
        <v>92.6</v>
      </c>
      <c r="O932">
        <f>ABS(L932-TMTB!$C$34)</f>
        <v>10.107156479286681</v>
      </c>
      <c r="P932">
        <f t="shared" si="15"/>
        <v>92.6</v>
      </c>
    </row>
    <row r="933" spans="10:16">
      <c r="J933" s="5"/>
      <c r="L933">
        <f>TMTB!M933</f>
        <v>1.7781349280000001</v>
      </c>
      <c r="M933">
        <f>TMTB!N933</f>
        <v>92.7</v>
      </c>
      <c r="O933">
        <f>ABS(L933-TMTB!$C$34)</f>
        <v>10.103376495286682</v>
      </c>
      <c r="P933">
        <f t="shared" si="15"/>
        <v>92.7</v>
      </c>
    </row>
    <row r="934" spans="10:16">
      <c r="J934" s="5"/>
      <c r="L934">
        <f>TMTB!M934</f>
        <v>1.781561792</v>
      </c>
      <c r="M934">
        <f>TMTB!N934</f>
        <v>92.8</v>
      </c>
      <c r="O934">
        <f>ABS(L934-TMTB!$C$34)</f>
        <v>10.099949631286682</v>
      </c>
      <c r="P934">
        <f t="shared" si="15"/>
        <v>92.8</v>
      </c>
    </row>
    <row r="935" spans="10:16">
      <c r="J935" s="5"/>
      <c r="L935">
        <f>TMTB!M935</f>
        <v>1.784672984</v>
      </c>
      <c r="M935">
        <f>TMTB!N935</f>
        <v>92.9</v>
      </c>
      <c r="O935">
        <f>ABS(L935-TMTB!$C$34)</f>
        <v>10.096838439286682</v>
      </c>
      <c r="P935">
        <f t="shared" si="15"/>
        <v>92.9</v>
      </c>
    </row>
    <row r="936" spans="10:16">
      <c r="J936" s="5"/>
      <c r="L936">
        <f>TMTB!M936</f>
        <v>1.7873632800000001</v>
      </c>
      <c r="M936">
        <f>TMTB!N936</f>
        <v>93</v>
      </c>
      <c r="O936">
        <f>ABS(L936-TMTB!$C$34)</f>
        <v>10.094148143286681</v>
      </c>
      <c r="P936">
        <f t="shared" si="15"/>
        <v>93</v>
      </c>
    </row>
    <row r="937" spans="10:16">
      <c r="J937" s="5"/>
      <c r="L937">
        <f>TMTB!M937</f>
        <v>1.790053576</v>
      </c>
      <c r="M937">
        <f>TMTB!N937</f>
        <v>93.1</v>
      </c>
      <c r="O937">
        <f>ABS(L937-TMTB!$C$34)</f>
        <v>10.091457847286682</v>
      </c>
      <c r="P937">
        <f t="shared" si="15"/>
        <v>93.1</v>
      </c>
    </row>
    <row r="938" spans="10:16">
      <c r="J938" s="5"/>
      <c r="L938">
        <f>TMTB!M938</f>
        <v>1.79368884</v>
      </c>
      <c r="M938">
        <f>TMTB!N938</f>
        <v>93.2</v>
      </c>
      <c r="O938">
        <f>ABS(L938-TMTB!$C$34)</f>
        <v>10.087822583286682</v>
      </c>
      <c r="P938">
        <f t="shared" si="15"/>
        <v>93.2</v>
      </c>
    </row>
    <row r="939" spans="10:16">
      <c r="J939" s="5"/>
      <c r="L939">
        <f>TMTB!M939</f>
        <v>1.79745596</v>
      </c>
      <c r="M939">
        <f>TMTB!N939</f>
        <v>93.3</v>
      </c>
      <c r="O939">
        <f>ABS(L939-TMTB!$C$34)</f>
        <v>10.084055463286681</v>
      </c>
      <c r="P939">
        <f t="shared" si="15"/>
        <v>93.3</v>
      </c>
    </row>
    <row r="940" spans="10:16">
      <c r="J940" s="5"/>
      <c r="L940">
        <f>TMTB!M940</f>
        <v>1.8001440399999999</v>
      </c>
      <c r="M940">
        <f>TMTB!N940</f>
        <v>93.4</v>
      </c>
      <c r="O940">
        <f>ABS(L940-TMTB!$C$34)</f>
        <v>10.081367383286683</v>
      </c>
      <c r="P940">
        <f t="shared" si="15"/>
        <v>93.4</v>
      </c>
    </row>
    <row r="941" spans="10:16">
      <c r="J941" s="5"/>
      <c r="L941">
        <f>TMTB!M941</f>
        <v>1.8006066000000001</v>
      </c>
      <c r="M941">
        <f>TMTB!N941</f>
        <v>93.5</v>
      </c>
      <c r="O941">
        <f>ABS(L941-TMTB!$C$34)</f>
        <v>10.080904823286682</v>
      </c>
      <c r="P941">
        <f t="shared" si="15"/>
        <v>93.5</v>
      </c>
    </row>
    <row r="942" spans="10:16">
      <c r="J942" s="5"/>
      <c r="L942">
        <f>TMTB!M942</f>
        <v>1.8010691599999999</v>
      </c>
      <c r="M942">
        <f>TMTB!N942</f>
        <v>93.6</v>
      </c>
      <c r="O942">
        <f>ABS(L942-TMTB!$C$34)</f>
        <v>10.080442263286681</v>
      </c>
      <c r="P942">
        <f t="shared" si="15"/>
        <v>93.6</v>
      </c>
    </row>
    <row r="943" spans="10:16">
      <c r="J943" s="5"/>
      <c r="L943">
        <f>TMTB!M943</f>
        <v>1.804247352</v>
      </c>
      <c r="M943">
        <f>TMTB!N943</f>
        <v>93.7</v>
      </c>
      <c r="O943">
        <f>ABS(L943-TMTB!$C$34)</f>
        <v>10.077264071286681</v>
      </c>
      <c r="P943">
        <f t="shared" si="15"/>
        <v>93.7</v>
      </c>
    </row>
    <row r="944" spans="10:16">
      <c r="J944" s="5"/>
      <c r="L944">
        <f>TMTB!M944</f>
        <v>1.8082116479999999</v>
      </c>
      <c r="M944">
        <f>TMTB!N944</f>
        <v>93.8</v>
      </c>
      <c r="O944">
        <f>ABS(L944-TMTB!$C$34)</f>
        <v>10.073299775286682</v>
      </c>
      <c r="P944">
        <f t="shared" si="15"/>
        <v>93.8</v>
      </c>
    </row>
    <row r="945" spans="10:16">
      <c r="J945" s="5"/>
      <c r="L945">
        <f>TMTB!M945</f>
        <v>1.813018104</v>
      </c>
      <c r="M945">
        <f>TMTB!N945</f>
        <v>93.9</v>
      </c>
      <c r="O945">
        <f>ABS(L945-TMTB!$C$34)</f>
        <v>10.068493319286683</v>
      </c>
      <c r="P945">
        <f t="shared" si="15"/>
        <v>93.9</v>
      </c>
    </row>
    <row r="946" spans="10:16">
      <c r="J946" s="5"/>
      <c r="L946">
        <f>TMTB!M946</f>
        <v>1.8207338399999999</v>
      </c>
      <c r="M946">
        <f>TMTB!N946</f>
        <v>94</v>
      </c>
      <c r="O946">
        <f>ABS(L946-TMTB!$C$34)</f>
        <v>10.060777583286683</v>
      </c>
      <c r="P946">
        <f t="shared" si="15"/>
        <v>94</v>
      </c>
    </row>
    <row r="947" spans="10:16">
      <c r="J947" s="5"/>
      <c r="L947">
        <f>TMTB!M947</f>
        <v>1.8284495759999999</v>
      </c>
      <c r="M947">
        <f>TMTB!N947</f>
        <v>94.1</v>
      </c>
      <c r="O947">
        <f>ABS(L947-TMTB!$C$34)</f>
        <v>10.053061847286681</v>
      </c>
      <c r="P947">
        <f t="shared" si="15"/>
        <v>94.1</v>
      </c>
    </row>
    <row r="948" spans="10:16">
      <c r="J948" s="5"/>
      <c r="L948">
        <f>TMTB!M948</f>
        <v>1.839186792</v>
      </c>
      <c r="M948">
        <f>TMTB!N948</f>
        <v>94.2</v>
      </c>
      <c r="O948">
        <f>ABS(L948-TMTB!$C$34)</f>
        <v>10.042324631286682</v>
      </c>
      <c r="P948">
        <f t="shared" si="15"/>
        <v>94.2</v>
      </c>
    </row>
    <row r="949" spans="10:16">
      <c r="J949" s="5"/>
      <c r="L949">
        <f>TMTB!M949</f>
        <v>1.851388968</v>
      </c>
      <c r="M949">
        <f>TMTB!N949</f>
        <v>94.3</v>
      </c>
      <c r="O949">
        <f>ABS(L949-TMTB!$C$34)</f>
        <v>10.030122455286682</v>
      </c>
      <c r="P949">
        <f t="shared" si="15"/>
        <v>94.3</v>
      </c>
    </row>
    <row r="950" spans="10:16">
      <c r="J950" s="5"/>
      <c r="L950">
        <f>TMTB!M950</f>
        <v>1.8621392400000001</v>
      </c>
      <c r="M950">
        <f>TMTB!N950</f>
        <v>94.4</v>
      </c>
      <c r="O950">
        <f>ABS(L950-TMTB!$C$34)</f>
        <v>10.019372183286682</v>
      </c>
      <c r="P950">
        <f t="shared" si="15"/>
        <v>94.4</v>
      </c>
    </row>
    <row r="951" spans="10:16">
      <c r="J951" s="5"/>
      <c r="L951">
        <f>TMTB!M951</f>
        <v>1.8624841999999999</v>
      </c>
      <c r="M951">
        <f>TMTB!N951</f>
        <v>94.5</v>
      </c>
      <c r="O951">
        <f>ABS(L951-TMTB!$C$34)</f>
        <v>10.019027223286681</v>
      </c>
      <c r="P951">
        <f t="shared" si="15"/>
        <v>94.5</v>
      </c>
    </row>
    <row r="952" spans="10:16">
      <c r="J952" s="5"/>
      <c r="L952">
        <f>TMTB!M952</f>
        <v>1.86282916</v>
      </c>
      <c r="M952">
        <f>TMTB!N952</f>
        <v>94.6</v>
      </c>
      <c r="O952">
        <f>ABS(L952-TMTB!$C$34)</f>
        <v>10.018682263286681</v>
      </c>
      <c r="P952">
        <f t="shared" si="15"/>
        <v>94.6</v>
      </c>
    </row>
    <row r="953" spans="10:16">
      <c r="J953" s="5"/>
      <c r="L953">
        <f>TMTB!M953</f>
        <v>1.8678899920000001</v>
      </c>
      <c r="M953">
        <f>TMTB!N953</f>
        <v>94.7</v>
      </c>
      <c r="O953">
        <f>ABS(L953-TMTB!$C$34)</f>
        <v>10.013621431286682</v>
      </c>
      <c r="P953">
        <f t="shared" si="15"/>
        <v>94.7</v>
      </c>
    </row>
    <row r="954" spans="10:16">
      <c r="J954" s="5"/>
      <c r="L954">
        <f>TMTB!M954</f>
        <v>1.8764877280000001</v>
      </c>
      <c r="M954">
        <f>TMTB!N954</f>
        <v>94.8</v>
      </c>
      <c r="O954">
        <f>ABS(L954-TMTB!$C$34)</f>
        <v>10.005023695286681</v>
      </c>
      <c r="P954">
        <f t="shared" si="15"/>
        <v>94.8</v>
      </c>
    </row>
    <row r="955" spans="10:16">
      <c r="J955" s="5"/>
      <c r="L955">
        <f>TMTB!M955</f>
        <v>1.885126928</v>
      </c>
      <c r="M955">
        <f>TMTB!N955</f>
        <v>94.9</v>
      </c>
      <c r="O955">
        <f>ABS(L955-TMTB!$C$34)</f>
        <v>9.9963844952866818</v>
      </c>
      <c r="P955">
        <f t="shared" si="15"/>
        <v>94.9</v>
      </c>
    </row>
    <row r="956" spans="10:16">
      <c r="J956" s="5"/>
      <c r="L956">
        <f>TMTB!M956</f>
        <v>1.8957564</v>
      </c>
      <c r="M956">
        <f>TMTB!N956</f>
        <v>95</v>
      </c>
      <c r="O956">
        <f>ABS(L956-TMTB!$C$34)</f>
        <v>9.9857550232866821</v>
      </c>
      <c r="P956">
        <f t="shared" si="15"/>
        <v>95</v>
      </c>
    </row>
    <row r="957" spans="10:16">
      <c r="J957" s="5"/>
      <c r="L957">
        <f>TMTB!M957</f>
        <v>1.906385872</v>
      </c>
      <c r="M957">
        <f>TMTB!N957</f>
        <v>95.1</v>
      </c>
      <c r="O957">
        <f>ABS(L957-TMTB!$C$34)</f>
        <v>9.9751255512866823</v>
      </c>
      <c r="P957">
        <f t="shared" si="15"/>
        <v>95.1</v>
      </c>
    </row>
    <row r="958" spans="10:16">
      <c r="J958" s="5"/>
      <c r="L958">
        <f>TMTB!M958</f>
        <v>1.915275624</v>
      </c>
      <c r="M958">
        <f>TMTB!N958</f>
        <v>95.2</v>
      </c>
      <c r="O958">
        <f>ABS(L958-TMTB!$C$34)</f>
        <v>9.9662357992866824</v>
      </c>
      <c r="P958">
        <f t="shared" si="15"/>
        <v>95.2</v>
      </c>
    </row>
    <row r="959" spans="10:16">
      <c r="J959" s="5"/>
      <c r="L959">
        <f>TMTB!M959</f>
        <v>1.9221987359999999</v>
      </c>
      <c r="M959">
        <f>TMTB!N959</f>
        <v>95.3</v>
      </c>
      <c r="O959">
        <f>ABS(L959-TMTB!$C$34)</f>
        <v>9.9593126872866815</v>
      </c>
      <c r="P959">
        <f t="shared" si="15"/>
        <v>95.3</v>
      </c>
    </row>
    <row r="960" spans="10:16">
      <c r="J960" s="5"/>
      <c r="L960">
        <f>TMTB!M960</f>
        <v>1.9291218480000001</v>
      </c>
      <c r="M960">
        <f>TMTB!N960</f>
        <v>95.4</v>
      </c>
      <c r="O960">
        <f>ABS(L960-TMTB!$C$34)</f>
        <v>9.9523895752866824</v>
      </c>
      <c r="P960">
        <f t="shared" si="15"/>
        <v>95.4</v>
      </c>
    </row>
    <row r="961" spans="10:16">
      <c r="J961" s="5"/>
      <c r="L961">
        <f>TMTB!M961</f>
        <v>1.95767376</v>
      </c>
      <c r="M961">
        <f>TMTB!N961</f>
        <v>95.5</v>
      </c>
      <c r="O961">
        <f>ABS(L961-TMTB!$C$34)</f>
        <v>9.9238376632866814</v>
      </c>
      <c r="P961">
        <f t="shared" si="15"/>
        <v>95.5</v>
      </c>
    </row>
    <row r="962" spans="10:16">
      <c r="J962" s="5"/>
      <c r="L962">
        <f>TMTB!M962</f>
        <v>1.9881482319999999</v>
      </c>
      <c r="M962">
        <f>TMTB!N962</f>
        <v>95.6</v>
      </c>
      <c r="O962">
        <f>ABS(L962-TMTB!$C$34)</f>
        <v>9.8933631912866815</v>
      </c>
      <c r="P962">
        <f t="shared" si="15"/>
        <v>95.6</v>
      </c>
    </row>
    <row r="963" spans="10:16">
      <c r="J963" s="5"/>
      <c r="L963">
        <f>TMTB!M963</f>
        <v>2.0090325920000001</v>
      </c>
      <c r="M963">
        <f>TMTB!N963</f>
        <v>95.7</v>
      </c>
      <c r="O963">
        <f>ABS(L963-TMTB!$C$34)</f>
        <v>9.8724788312866814</v>
      </c>
      <c r="P963">
        <f t="shared" si="15"/>
        <v>95.7</v>
      </c>
    </row>
    <row r="964" spans="10:16">
      <c r="J964" s="5"/>
      <c r="L964">
        <f>TMTB!M964</f>
        <v>2.0134006480000002</v>
      </c>
      <c r="M964">
        <f>TMTB!N964</f>
        <v>95.8</v>
      </c>
      <c r="O964">
        <f>ABS(L964-TMTB!$C$34)</f>
        <v>9.8681107752866808</v>
      </c>
      <c r="P964">
        <f t="shared" si="15"/>
        <v>95.8</v>
      </c>
    </row>
    <row r="965" spans="10:16">
      <c r="J965" s="5"/>
      <c r="L965">
        <f>TMTB!M965</f>
        <v>2.0177687039999999</v>
      </c>
      <c r="M965">
        <f>TMTB!N965</f>
        <v>95.9</v>
      </c>
      <c r="O965">
        <f>ABS(L965-TMTB!$C$34)</f>
        <v>9.863742719286682</v>
      </c>
      <c r="P965">
        <f t="shared" si="15"/>
        <v>95.9</v>
      </c>
    </row>
    <row r="966" spans="10:16">
      <c r="J966" s="5"/>
      <c r="L966">
        <f>TMTB!M966</f>
        <v>2.0205617199999999</v>
      </c>
      <c r="M966">
        <f>TMTB!N966</f>
        <v>96</v>
      </c>
      <c r="O966">
        <f>ABS(L966-TMTB!$C$34)</f>
        <v>9.860949703286682</v>
      </c>
      <c r="P966">
        <f t="shared" si="15"/>
        <v>96</v>
      </c>
    </row>
    <row r="967" spans="10:16">
      <c r="J967" s="5"/>
      <c r="L967">
        <f>TMTB!M967</f>
        <v>2.0230003519999999</v>
      </c>
      <c r="M967">
        <f>TMTB!N967</f>
        <v>96.1</v>
      </c>
      <c r="O967">
        <f>ABS(L967-TMTB!$C$34)</f>
        <v>9.8585110712866815</v>
      </c>
      <c r="P967">
        <f t="shared" ref="P967:P1006" si="16">M967</f>
        <v>96.1</v>
      </c>
    </row>
    <row r="968" spans="10:16">
      <c r="J968" s="5"/>
      <c r="L968">
        <f>TMTB!M968</f>
        <v>2.0293771519999999</v>
      </c>
      <c r="M968">
        <f>TMTB!N968</f>
        <v>96.2</v>
      </c>
      <c r="O968">
        <f>ABS(L968-TMTB!$C$34)</f>
        <v>9.8521342712866815</v>
      </c>
      <c r="P968">
        <f t="shared" si="16"/>
        <v>96.2</v>
      </c>
    </row>
    <row r="969" spans="10:16">
      <c r="J969" s="5"/>
      <c r="L969">
        <f>TMTB!M969</f>
        <v>2.0466596479999999</v>
      </c>
      <c r="M969">
        <f>TMTB!N969</f>
        <v>96.3</v>
      </c>
      <c r="O969">
        <f>ABS(L969-TMTB!$C$34)</f>
        <v>9.8348517752866815</v>
      </c>
      <c r="P969">
        <f t="shared" si="16"/>
        <v>96.3</v>
      </c>
    </row>
    <row r="970" spans="10:16">
      <c r="J970" s="5"/>
      <c r="L970">
        <f>TMTB!M970</f>
        <v>2.0639421439999999</v>
      </c>
      <c r="M970">
        <f>TMTB!N970</f>
        <v>96.4</v>
      </c>
      <c r="O970">
        <f>ABS(L970-TMTB!$C$34)</f>
        <v>9.8175692792866815</v>
      </c>
      <c r="P970">
        <f t="shared" si="16"/>
        <v>96.4</v>
      </c>
    </row>
    <row r="971" spans="10:16">
      <c r="J971" s="5"/>
      <c r="L971">
        <f>TMTB!M971</f>
        <v>2.0922630799999999</v>
      </c>
      <c r="M971">
        <f>TMTB!N971</f>
        <v>96.5</v>
      </c>
      <c r="O971">
        <f>ABS(L971-TMTB!$C$34)</f>
        <v>9.7892483432866815</v>
      </c>
      <c r="P971">
        <f t="shared" si="16"/>
        <v>96.5</v>
      </c>
    </row>
    <row r="972" spans="10:16">
      <c r="J972" s="5"/>
      <c r="L972">
        <f>TMTB!M972</f>
        <v>2.1249993919999999</v>
      </c>
      <c r="M972">
        <f>TMTB!N972</f>
        <v>96.6</v>
      </c>
      <c r="O972">
        <f>ABS(L972-TMTB!$C$34)</f>
        <v>9.7565120312866824</v>
      </c>
      <c r="P972">
        <f t="shared" si="16"/>
        <v>96.6</v>
      </c>
    </row>
    <row r="973" spans="10:16">
      <c r="J973" s="5"/>
      <c r="L973">
        <f>TMTB!M973</f>
        <v>2.1525295600000001</v>
      </c>
      <c r="M973">
        <f>TMTB!N973</f>
        <v>96.7</v>
      </c>
      <c r="O973">
        <f>ABS(L973-TMTB!$C$34)</f>
        <v>9.7289818632866822</v>
      </c>
      <c r="P973">
        <f t="shared" si="16"/>
        <v>96.7</v>
      </c>
    </row>
    <row r="974" spans="10:16">
      <c r="J974" s="5"/>
      <c r="L974">
        <f>TMTB!M974</f>
        <v>2.1533782399999999</v>
      </c>
      <c r="M974">
        <f>TMTB!N974</f>
        <v>96.8</v>
      </c>
      <c r="O974">
        <f>ABS(L974-TMTB!$C$34)</f>
        <v>9.7281331832866815</v>
      </c>
      <c r="P974">
        <f t="shared" si="16"/>
        <v>96.8</v>
      </c>
    </row>
    <row r="975" spans="10:16">
      <c r="J975" s="5"/>
      <c r="L975">
        <f>TMTB!M975</f>
        <v>2.1542269200000002</v>
      </c>
      <c r="M975">
        <f>TMTB!N975</f>
        <v>96.9</v>
      </c>
      <c r="O975">
        <f>ABS(L975-TMTB!$C$34)</f>
        <v>9.7272845032866826</v>
      </c>
      <c r="P975">
        <f t="shared" si="16"/>
        <v>96.9</v>
      </c>
    </row>
    <row r="976" spans="10:16">
      <c r="J976" s="5"/>
      <c r="L976">
        <f>TMTB!M976</f>
        <v>2.1609064</v>
      </c>
      <c r="M976">
        <f>TMTB!N976</f>
        <v>97</v>
      </c>
      <c r="O976">
        <f>ABS(L976-TMTB!$C$34)</f>
        <v>9.7206050232866819</v>
      </c>
      <c r="P976">
        <f t="shared" si="16"/>
        <v>97</v>
      </c>
    </row>
    <row r="977" spans="10:16">
      <c r="J977" s="5"/>
      <c r="L977">
        <f>TMTB!M977</f>
        <v>2.1712787200000001</v>
      </c>
      <c r="M977">
        <f>TMTB!N977</f>
        <v>97.1</v>
      </c>
      <c r="O977">
        <f>ABS(L977-TMTB!$C$34)</f>
        <v>9.7102327032866818</v>
      </c>
      <c r="P977">
        <f t="shared" si="16"/>
        <v>97.1</v>
      </c>
    </row>
    <row r="978" spans="10:16">
      <c r="J978" s="5"/>
      <c r="L978">
        <f>TMTB!M978</f>
        <v>2.1815726799999999</v>
      </c>
      <c r="M978">
        <f>TMTB!N978</f>
        <v>97.2</v>
      </c>
      <c r="O978">
        <f>ABS(L978-TMTB!$C$34)</f>
        <v>9.6999387432866815</v>
      </c>
      <c r="P978">
        <f t="shared" si="16"/>
        <v>97.2</v>
      </c>
    </row>
    <row r="979" spans="10:16">
      <c r="J979" s="5"/>
      <c r="L979">
        <f>TMTB!M979</f>
        <v>2.1906651199999998</v>
      </c>
      <c r="M979">
        <f>TMTB!N979</f>
        <v>97.3</v>
      </c>
      <c r="O979">
        <f>ABS(L979-TMTB!$C$34)</f>
        <v>9.6908463032866816</v>
      </c>
      <c r="P979">
        <f t="shared" si="16"/>
        <v>97.3</v>
      </c>
    </row>
    <row r="980" spans="10:16">
      <c r="J980" s="5"/>
      <c r="L980">
        <f>TMTB!M980</f>
        <v>2.1997575600000001</v>
      </c>
      <c r="M980">
        <f>TMTB!N980</f>
        <v>97.4</v>
      </c>
      <c r="O980">
        <f>ABS(L980-TMTB!$C$34)</f>
        <v>9.6817538632866817</v>
      </c>
      <c r="P980">
        <f t="shared" si="16"/>
        <v>97.4</v>
      </c>
    </row>
    <row r="981" spans="10:16">
      <c r="J981" s="5"/>
      <c r="L981">
        <f>TMTB!M981</f>
        <v>2.2180749999999998</v>
      </c>
      <c r="M981">
        <f>TMTB!N981</f>
        <v>97.5</v>
      </c>
      <c r="O981">
        <f>ABS(L981-TMTB!$C$34)</f>
        <v>9.663436423286683</v>
      </c>
      <c r="P981">
        <f t="shared" si="16"/>
        <v>97.5</v>
      </c>
    </row>
    <row r="982" spans="10:16">
      <c r="J982" s="5"/>
      <c r="L982">
        <f>TMTB!M982</f>
        <v>2.2452484400000001</v>
      </c>
      <c r="M982">
        <f>TMTB!N982</f>
        <v>97.6</v>
      </c>
      <c r="O982">
        <f>ABS(L982-TMTB!$C$34)</f>
        <v>9.6362629832866808</v>
      </c>
      <c r="P982">
        <f t="shared" si="16"/>
        <v>97.6</v>
      </c>
    </row>
    <row r="983" spans="10:16">
      <c r="J983" s="5"/>
      <c r="L983">
        <f>TMTB!M983</f>
        <v>2.27242188</v>
      </c>
      <c r="M983">
        <f>TMTB!N983</f>
        <v>97.7</v>
      </c>
      <c r="O983">
        <f>ABS(L983-TMTB!$C$34)</f>
        <v>9.6090895432866823</v>
      </c>
      <c r="P983">
        <f t="shared" si="16"/>
        <v>97.7</v>
      </c>
    </row>
    <row r="984" spans="10:16">
      <c r="J984" s="5"/>
      <c r="L984">
        <f>TMTB!M984</f>
        <v>2.3033782559999998</v>
      </c>
      <c r="M984">
        <f>TMTB!N984</f>
        <v>97.8</v>
      </c>
      <c r="O984">
        <f>ABS(L984-TMTB!$C$34)</f>
        <v>9.5781331672866816</v>
      </c>
      <c r="P984">
        <f t="shared" si="16"/>
        <v>97.8</v>
      </c>
    </row>
    <row r="985" spans="10:16">
      <c r="J985" s="5"/>
      <c r="L985">
        <f>TMTB!M985</f>
        <v>2.3344956080000001</v>
      </c>
      <c r="M985">
        <f>TMTB!N985</f>
        <v>97.9</v>
      </c>
      <c r="O985">
        <f>ABS(L985-TMTB!$C$34)</f>
        <v>9.5470158152866809</v>
      </c>
      <c r="P985">
        <f t="shared" si="16"/>
        <v>97.9</v>
      </c>
    </row>
    <row r="986" spans="10:16">
      <c r="J986" s="5"/>
      <c r="L986">
        <f>TMTB!M986</f>
        <v>2.3554990400000002</v>
      </c>
      <c r="M986">
        <f>TMTB!N986</f>
        <v>98</v>
      </c>
      <c r="O986">
        <f>ABS(L986-TMTB!$C$34)</f>
        <v>9.5260123832866821</v>
      </c>
      <c r="P986">
        <f t="shared" si="16"/>
        <v>98</v>
      </c>
    </row>
    <row r="987" spans="10:16">
      <c r="J987" s="5"/>
      <c r="L987">
        <f>TMTB!M987</f>
        <v>2.3618372879999998</v>
      </c>
      <c r="M987">
        <f>TMTB!N987</f>
        <v>98.1</v>
      </c>
      <c r="O987">
        <f>ABS(L987-TMTB!$C$34)</f>
        <v>9.5196741352866816</v>
      </c>
      <c r="P987">
        <f t="shared" si="16"/>
        <v>98.1</v>
      </c>
    </row>
    <row r="988" spans="10:16">
      <c r="J988" s="5"/>
      <c r="L988">
        <f>TMTB!M988</f>
        <v>2.3681755359999999</v>
      </c>
      <c r="M988">
        <f>TMTB!N988</f>
        <v>98.2</v>
      </c>
      <c r="O988">
        <f>ABS(L988-TMTB!$C$34)</f>
        <v>9.5133358872866829</v>
      </c>
      <c r="P988">
        <f t="shared" si="16"/>
        <v>98.2</v>
      </c>
    </row>
    <row r="989" spans="10:16">
      <c r="J989" s="5"/>
      <c r="L989">
        <f>TMTB!M989</f>
        <v>2.3837232080000001</v>
      </c>
      <c r="M989">
        <f>TMTB!N989</f>
        <v>98.3</v>
      </c>
      <c r="O989">
        <f>ABS(L989-TMTB!$C$34)</f>
        <v>9.4977882152866826</v>
      </c>
      <c r="P989">
        <f t="shared" si="16"/>
        <v>98.3</v>
      </c>
    </row>
    <row r="990" spans="10:16">
      <c r="J990" s="5"/>
      <c r="L990">
        <f>TMTB!M990</f>
        <v>2.4008057840000001</v>
      </c>
      <c r="M990">
        <f>TMTB!N990</f>
        <v>98.4</v>
      </c>
      <c r="O990">
        <f>ABS(L990-TMTB!$C$34)</f>
        <v>9.4807056392866826</v>
      </c>
      <c r="P990">
        <f t="shared" si="16"/>
        <v>98.4</v>
      </c>
    </row>
    <row r="991" spans="10:16">
      <c r="J991" s="5"/>
      <c r="L991">
        <f>TMTB!M991</f>
        <v>2.4126780800000001</v>
      </c>
      <c r="M991">
        <f>TMTB!N991</f>
        <v>98.5</v>
      </c>
      <c r="O991">
        <f>ABS(L991-TMTB!$C$34)</f>
        <v>9.4688333432866827</v>
      </c>
      <c r="P991">
        <f t="shared" si="16"/>
        <v>98.5</v>
      </c>
    </row>
    <row r="992" spans="10:16">
      <c r="J992" s="5"/>
      <c r="L992">
        <f>TMTB!M992</f>
        <v>2.4127404079999999</v>
      </c>
      <c r="M992">
        <f>TMTB!N992</f>
        <v>98.6</v>
      </c>
      <c r="O992">
        <f>ABS(L992-TMTB!$C$34)</f>
        <v>9.4687710152866824</v>
      </c>
      <c r="P992">
        <f t="shared" si="16"/>
        <v>98.6</v>
      </c>
    </row>
    <row r="993" spans="10:16">
      <c r="J993" s="5"/>
      <c r="L993">
        <f>TMTB!M993</f>
        <v>2.4128027360000002</v>
      </c>
      <c r="M993">
        <f>TMTB!N993</f>
        <v>98.7</v>
      </c>
      <c r="O993">
        <f>ABS(L993-TMTB!$C$34)</f>
        <v>9.4687086872866821</v>
      </c>
      <c r="P993">
        <f t="shared" si="16"/>
        <v>98.7</v>
      </c>
    </row>
    <row r="994" spans="10:16">
      <c r="J994" s="5"/>
      <c r="L994">
        <f>TMTB!M994</f>
        <v>2.4255445199999999</v>
      </c>
      <c r="M994">
        <f>TMTB!N994</f>
        <v>98.8</v>
      </c>
      <c r="O994">
        <f>ABS(L994-TMTB!$C$34)</f>
        <v>9.4559669032866829</v>
      </c>
      <c r="P994">
        <f t="shared" si="16"/>
        <v>98.8</v>
      </c>
    </row>
    <row r="995" spans="10:16">
      <c r="J995" s="5"/>
      <c r="L995">
        <f>TMTB!M995</f>
        <v>2.44239856</v>
      </c>
      <c r="M995">
        <f>TMTB!N995</f>
        <v>98.9</v>
      </c>
      <c r="O995">
        <f>ABS(L995-TMTB!$C$34)</f>
        <v>9.439112863286681</v>
      </c>
      <c r="P995">
        <f t="shared" si="16"/>
        <v>98.9</v>
      </c>
    </row>
    <row r="996" spans="10:16">
      <c r="J996" s="5"/>
      <c r="L996">
        <f>TMTB!M996</f>
        <v>2.4607271599999998</v>
      </c>
      <c r="M996">
        <f>TMTB!N996</f>
        <v>99</v>
      </c>
      <c r="O996">
        <f>ABS(L996-TMTB!$C$34)</f>
        <v>9.4207842632866825</v>
      </c>
      <c r="P996">
        <f t="shared" si="16"/>
        <v>99</v>
      </c>
    </row>
    <row r="997" spans="10:16">
      <c r="J997" s="5"/>
      <c r="L997">
        <f>TMTB!M997</f>
        <v>2.484806544</v>
      </c>
      <c r="M997">
        <f>TMTB!N997</f>
        <v>99.1</v>
      </c>
      <c r="O997">
        <f>ABS(L997-TMTB!$C$34)</f>
        <v>9.3967048792866823</v>
      </c>
      <c r="P997">
        <f t="shared" si="16"/>
        <v>99.1</v>
      </c>
    </row>
    <row r="998" spans="10:16">
      <c r="J998" s="5"/>
      <c r="L998">
        <f>TMTB!M998</f>
        <v>2.5088859280000002</v>
      </c>
      <c r="M998">
        <f>TMTB!N998</f>
        <v>99.2</v>
      </c>
      <c r="O998">
        <f>ABS(L998-TMTB!$C$34)</f>
        <v>9.3726254952866821</v>
      </c>
      <c r="P998">
        <f t="shared" si="16"/>
        <v>99.2</v>
      </c>
    </row>
    <row r="999" spans="10:16">
      <c r="J999" s="5"/>
      <c r="L999">
        <f>TMTB!M999</f>
        <v>2.5209612159999999</v>
      </c>
      <c r="M999">
        <f>TMTB!N999</f>
        <v>99.3</v>
      </c>
      <c r="O999">
        <f>ABS(L999-TMTB!$C$34)</f>
        <v>9.360550207286682</v>
      </c>
      <c r="P999">
        <f t="shared" si="16"/>
        <v>99.3</v>
      </c>
    </row>
    <row r="1000" spans="10:16">
      <c r="J1000" s="5"/>
      <c r="L1000">
        <f>TMTB!M1000</f>
        <v>2.526659328</v>
      </c>
      <c r="M1000">
        <f>TMTB!N1000</f>
        <v>99.4</v>
      </c>
      <c r="O1000">
        <f>ABS(L1000-TMTB!$C$34)</f>
        <v>9.3548520952866809</v>
      </c>
      <c r="P1000">
        <f t="shared" si="16"/>
        <v>99.4</v>
      </c>
    </row>
    <row r="1001" spans="10:16">
      <c r="J1001" s="5"/>
      <c r="L1001">
        <f>TMTB!M1001</f>
        <v>2.5457864000000101</v>
      </c>
      <c r="M1001">
        <f>TMTB!N1001</f>
        <v>99.5</v>
      </c>
      <c r="O1001">
        <f>ABS(L1001-TMTB!$C$34)</f>
        <v>9.3357250232866722</v>
      </c>
      <c r="P1001">
        <f t="shared" si="16"/>
        <v>99.5</v>
      </c>
    </row>
    <row r="1002" spans="10:16">
      <c r="J1002" s="5"/>
      <c r="L1002">
        <f>TMTB!M1002</f>
        <v>2.6830883200000102</v>
      </c>
      <c r="M1002">
        <f>TMTB!N1002</f>
        <v>99.6</v>
      </c>
      <c r="O1002">
        <f>ABS(L1002-TMTB!$C$34)</f>
        <v>9.1984231032866717</v>
      </c>
      <c r="P1002">
        <f t="shared" si="16"/>
        <v>99.6</v>
      </c>
    </row>
    <row r="1003" spans="10:16">
      <c r="J1003" s="5"/>
      <c r="L1003">
        <f>TMTB!M1003</f>
        <v>2.82039024</v>
      </c>
      <c r="M1003">
        <f>TMTB!N1003</f>
        <v>99.7</v>
      </c>
      <c r="O1003">
        <f>ABS(L1003-TMTB!$C$34)</f>
        <v>9.0611211832866818</v>
      </c>
      <c r="P1003">
        <f t="shared" si="16"/>
        <v>99.7</v>
      </c>
    </row>
    <row r="1004" spans="10:16">
      <c r="J1004" s="5"/>
      <c r="L1004">
        <f>TMTB!M1004</f>
        <v>2.90775944</v>
      </c>
      <c r="M1004">
        <f>TMTB!N1004</f>
        <v>99.8</v>
      </c>
      <c r="O1004">
        <f>ABS(L1004-TMTB!$C$34)</f>
        <v>8.9737519832866823</v>
      </c>
      <c r="P1004">
        <f t="shared" si="16"/>
        <v>99.8</v>
      </c>
    </row>
    <row r="1005" spans="10:16">
      <c r="J1005" s="5"/>
      <c r="L1005">
        <f>TMTB!M1005</f>
        <v>2.9544427199999999</v>
      </c>
      <c r="M1005">
        <f>TMTB!N1005</f>
        <v>99.9</v>
      </c>
      <c r="O1005">
        <f>ABS(L1005-TMTB!$C$34)</f>
        <v>8.9270687032866824</v>
      </c>
      <c r="P1005">
        <f t="shared" si="16"/>
        <v>99.9</v>
      </c>
    </row>
    <row r="1006" spans="10:16">
      <c r="J1006" s="5"/>
      <c r="L1006">
        <f>TMTB!M1006</f>
        <v>3.0011260000000002</v>
      </c>
      <c r="M1006">
        <f>TMTB!N1006</f>
        <v>100</v>
      </c>
      <c r="O1006">
        <f>ABS(L1006-TMTB!$C$34)</f>
        <v>8.8803854232866826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7" zoomScaleNormal="100" workbookViewId="0">
      <selection activeCell="C34" sqref="C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SD_PERC_TMTA!A42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4.1555588517291397</v>
      </c>
      <c r="I6" s="10" t="s">
        <v>36</v>
      </c>
      <c r="J6">
        <v>0.112737463696</v>
      </c>
      <c r="M6">
        <v>-2.7317550000000002</v>
      </c>
      <c r="N6">
        <v>0</v>
      </c>
    </row>
    <row r="7" spans="1:14">
      <c r="B7" t="s">
        <v>74</v>
      </c>
      <c r="C7">
        <v>1.3182279543026001</v>
      </c>
      <c r="M7">
        <v>-2.6745912079999998</v>
      </c>
      <c r="N7">
        <v>0.1</v>
      </c>
    </row>
    <row r="8" spans="1:14">
      <c r="I8" s="9"/>
      <c r="J8" s="9"/>
      <c r="M8">
        <v>-2.617427416</v>
      </c>
      <c r="N8">
        <v>0.2</v>
      </c>
    </row>
    <row r="9" spans="1:14">
      <c r="H9" s="9" t="s">
        <v>34</v>
      </c>
      <c r="I9" s="56" t="s">
        <v>37</v>
      </c>
      <c r="J9" s="57"/>
      <c r="M9">
        <v>-2.5589967759999999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-2.4990113680000001</v>
      </c>
      <c r="N10">
        <v>0.4</v>
      </c>
    </row>
    <row r="11" spans="1:14">
      <c r="B11" s="29"/>
      <c r="C11" s="30"/>
      <c r="I11" s="14"/>
      <c r="J11" s="15"/>
      <c r="M11">
        <v>-2.4390259599999999</v>
      </c>
      <c r="N11">
        <v>0.5</v>
      </c>
    </row>
    <row r="12" spans="1:14">
      <c r="B12" s="29"/>
      <c r="C12" s="30"/>
      <c r="I12" s="14"/>
      <c r="J12" s="15"/>
      <c r="M12">
        <v>-2.3878468879999999</v>
      </c>
      <c r="N12">
        <v>0.6</v>
      </c>
    </row>
    <row r="13" spans="1:14">
      <c r="B13" s="29"/>
      <c r="C13" s="30"/>
      <c r="I13" s="14"/>
      <c r="J13" s="15"/>
      <c r="M13">
        <v>-2.3376685359999998</v>
      </c>
      <c r="N13">
        <v>0.7</v>
      </c>
    </row>
    <row r="14" spans="1:14">
      <c r="B14" s="29"/>
      <c r="C14" s="30"/>
      <c r="I14" s="14"/>
      <c r="J14" s="15"/>
      <c r="M14">
        <v>-2.282030464</v>
      </c>
      <c r="N14">
        <v>0.8</v>
      </c>
    </row>
    <row r="15" spans="1:14">
      <c r="B15" s="29"/>
      <c r="C15" s="30"/>
      <c r="I15" s="14"/>
      <c r="J15" s="15"/>
      <c r="M15">
        <v>-2.2161152720000001</v>
      </c>
      <c r="N15">
        <v>0.9</v>
      </c>
    </row>
    <row r="16" spans="1:14">
      <c r="B16" s="29"/>
      <c r="C16" s="30"/>
      <c r="I16" s="14"/>
      <c r="J16" s="15"/>
      <c r="M16">
        <v>-2.1502000799999998</v>
      </c>
      <c r="N16">
        <v>1</v>
      </c>
    </row>
    <row r="17" spans="1:14">
      <c r="B17" s="29"/>
      <c r="C17" s="30"/>
      <c r="I17" s="14"/>
      <c r="J17" s="15"/>
      <c r="M17">
        <v>-2.1049277439999998</v>
      </c>
      <c r="N17">
        <v>1.1000000000000001</v>
      </c>
    </row>
    <row r="18" spans="1:14">
      <c r="B18" s="29"/>
      <c r="C18" s="30"/>
      <c r="I18" s="14"/>
      <c r="J18" s="15"/>
      <c r="M18">
        <v>-2.064948448</v>
      </c>
      <c r="N18">
        <v>1.2</v>
      </c>
    </row>
    <row r="19" spans="1:14">
      <c r="B19" s="29"/>
      <c r="C19" s="30"/>
      <c r="I19" s="14"/>
      <c r="J19" s="15"/>
      <c r="M19">
        <v>-2.0329529919999998</v>
      </c>
      <c r="N19">
        <v>1.3</v>
      </c>
    </row>
    <row r="20" spans="1:14">
      <c r="B20" s="29"/>
      <c r="C20" s="30"/>
      <c r="I20" s="14"/>
      <c r="J20" s="15"/>
      <c r="M20">
        <v>-2.0255743759999998</v>
      </c>
      <c r="N20">
        <v>1.4</v>
      </c>
    </row>
    <row r="21" spans="1:14">
      <c r="B21" s="29"/>
      <c r="C21" s="30"/>
      <c r="I21" s="14"/>
      <c r="J21" s="15"/>
      <c r="M21">
        <v>-2.0181957599999998</v>
      </c>
      <c r="N21">
        <v>1.5</v>
      </c>
    </row>
    <row r="22" spans="1:14">
      <c r="B22" s="29"/>
      <c r="C22" s="30"/>
      <c r="I22" s="16"/>
      <c r="J22" s="17"/>
      <c r="M22">
        <v>-1.964668536</v>
      </c>
      <c r="N22">
        <v>1.6</v>
      </c>
    </row>
    <row r="23" spans="1:14">
      <c r="B23" s="29"/>
      <c r="C23" s="30"/>
      <c r="M23">
        <v>-1.8907816319999999</v>
      </c>
      <c r="N23">
        <v>1.7</v>
      </c>
    </row>
    <row r="24" spans="1:14">
      <c r="B24" s="31"/>
      <c r="C24" s="11"/>
      <c r="M24">
        <v>-1.82745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-1.82745</v>
      </c>
      <c r="N25">
        <v>1.9</v>
      </c>
    </row>
    <row r="26" spans="1:14">
      <c r="C26" t="s">
        <v>75</v>
      </c>
      <c r="D26" t="s">
        <v>76</v>
      </c>
      <c r="I26" s="12" t="s">
        <v>1</v>
      </c>
      <c r="J26" s="13" t="s">
        <v>17</v>
      </c>
      <c r="M26">
        <v>-1.82745</v>
      </c>
      <c r="N26">
        <v>2</v>
      </c>
    </row>
    <row r="27" spans="1:14">
      <c r="A27" s="34">
        <v>4</v>
      </c>
      <c r="B27" s="2" t="s">
        <v>2</v>
      </c>
      <c r="C27" s="32">
        <f>C6+(C7*(LN('Normative data'!C6 / 100)))</f>
        <v>3.4821742347067479</v>
      </c>
      <c r="D27">
        <f>EXP(C27)</f>
        <v>32.530373909173889</v>
      </c>
      <c r="M27">
        <v>-1.824383656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-1.8192025919999999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-1.813894568</v>
      </c>
      <c r="N29">
        <v>2.2999999999999998</v>
      </c>
    </row>
    <row r="30" spans="1:14">
      <c r="B30" s="2" t="s">
        <v>8</v>
      </c>
      <c r="M30">
        <v>-1.8056029840000001</v>
      </c>
      <c r="N30">
        <v>2.4</v>
      </c>
    </row>
    <row r="31" spans="1:14">
      <c r="I31" s="14"/>
      <c r="J31" s="15"/>
      <c r="M31">
        <v>-1.7973113999999999</v>
      </c>
      <c r="N31">
        <v>2.5</v>
      </c>
    </row>
    <row r="32" spans="1:14">
      <c r="I32" s="35"/>
      <c r="J32" s="17"/>
      <c r="M32">
        <v>-1.7923323920000001</v>
      </c>
      <c r="N32">
        <v>2.6</v>
      </c>
    </row>
    <row r="33" spans="2:14">
      <c r="B33" t="s">
        <v>9</v>
      </c>
      <c r="C33">
        <f>'Normative data'!D43-TMTA!C27</f>
        <v>-3.4821742347067479</v>
      </c>
      <c r="M33">
        <v>-1.7908039840000001</v>
      </c>
      <c r="N33">
        <v>2.7</v>
      </c>
    </row>
    <row r="34" spans="2:14">
      <c r="B34" t="s">
        <v>12</v>
      </c>
      <c r="C34">
        <f>-(C33/SD_PERC_TMTA!I38)</f>
        <v>10.370898115065188</v>
      </c>
      <c r="I34" t="s">
        <v>41</v>
      </c>
      <c r="J34">
        <f>SD_PERC_TMTA!I38</f>
        <v>0.33576400000000001</v>
      </c>
      <c r="M34">
        <v>-1.7892755760000001</v>
      </c>
      <c r="N34">
        <v>2.8</v>
      </c>
    </row>
    <row r="35" spans="2:14">
      <c r="M35">
        <v>-1.7864760959999999</v>
      </c>
      <c r="N35">
        <v>2.9</v>
      </c>
    </row>
    <row r="36" spans="2:14">
      <c r="M36">
        <v>-1.78359372</v>
      </c>
      <c r="N36">
        <v>3</v>
      </c>
    </row>
    <row r="37" spans="2:14">
      <c r="M37">
        <v>-1.7800471040000001</v>
      </c>
      <c r="N37">
        <v>3.1</v>
      </c>
    </row>
    <row r="38" spans="2:14">
      <c r="M38">
        <v>-1.775451688</v>
      </c>
      <c r="N38">
        <v>3.2</v>
      </c>
    </row>
    <row r="39" spans="2:14">
      <c r="M39">
        <v>-1.7708562720000001</v>
      </c>
      <c r="N39">
        <v>3.3</v>
      </c>
    </row>
    <row r="40" spans="2:14">
      <c r="M40">
        <v>-1.7677791679999999</v>
      </c>
      <c r="N40">
        <v>3.4</v>
      </c>
    </row>
    <row r="41" spans="2:14">
      <c r="M41">
        <v>-1.7649983199999999</v>
      </c>
      <c r="N41">
        <v>3.5</v>
      </c>
    </row>
    <row r="42" spans="2:14">
      <c r="M42">
        <v>-1.7612678239999999</v>
      </c>
      <c r="N42">
        <v>3.6</v>
      </c>
    </row>
    <row r="43" spans="2:14">
      <c r="M43">
        <v>-1.7551632079999999</v>
      </c>
      <c r="N43">
        <v>3.7</v>
      </c>
    </row>
    <row r="44" spans="2:14">
      <c r="M44">
        <v>-1.7490585919999999</v>
      </c>
      <c r="N44">
        <v>3.8</v>
      </c>
    </row>
    <row r="45" spans="2:14">
      <c r="M45">
        <v>-1.7397208879999999</v>
      </c>
      <c r="N45">
        <v>3.9</v>
      </c>
    </row>
    <row r="46" spans="2:14">
      <c r="M46">
        <v>-1.72921568</v>
      </c>
      <c r="N46">
        <v>4</v>
      </c>
    </row>
    <row r="47" spans="2:14">
      <c r="M47">
        <v>-1.720036136</v>
      </c>
      <c r="N47">
        <v>4.0999999999999996</v>
      </c>
    </row>
    <row r="48" spans="2:14">
      <c r="M48">
        <v>-1.7167484319999999</v>
      </c>
      <c r="N48">
        <v>4.2</v>
      </c>
    </row>
    <row r="49" spans="13:14">
      <c r="M49">
        <v>-1.713460728</v>
      </c>
      <c r="N49">
        <v>4.3</v>
      </c>
    </row>
    <row r="50" spans="13:14">
      <c r="M50">
        <v>-1.709745472</v>
      </c>
      <c r="N50">
        <v>4.4000000000000004</v>
      </c>
    </row>
    <row r="51" spans="13:14">
      <c r="M51">
        <v>-1.7057819599999999</v>
      </c>
      <c r="N51">
        <v>4.5</v>
      </c>
    </row>
    <row r="52" spans="13:14">
      <c r="M52">
        <v>-1.701991024</v>
      </c>
      <c r="N52">
        <v>4.5999999999999996</v>
      </c>
    </row>
    <row r="53" spans="13:14">
      <c r="M53">
        <v>-1.700141568</v>
      </c>
      <c r="N53">
        <v>4.7</v>
      </c>
    </row>
    <row r="54" spans="13:14">
      <c r="M54">
        <v>-1.6982921120000001</v>
      </c>
      <c r="N54">
        <v>4.8</v>
      </c>
    </row>
    <row r="55" spans="13:14">
      <c r="M55">
        <v>-1.6965878400000001</v>
      </c>
      <c r="N55">
        <v>4.9000000000000004</v>
      </c>
    </row>
    <row r="56" spans="13:14">
      <c r="M56">
        <v>-1.695012</v>
      </c>
      <c r="N56">
        <v>5</v>
      </c>
    </row>
    <row r="57" spans="13:14">
      <c r="M57">
        <v>-1.6934361600000001</v>
      </c>
      <c r="N57">
        <v>5.0999999999999996</v>
      </c>
    </row>
    <row r="58" spans="13:14">
      <c r="M58">
        <v>-1.6806724799999999</v>
      </c>
      <c r="N58">
        <v>5.2</v>
      </c>
    </row>
    <row r="59" spans="13:14">
      <c r="M59">
        <v>-1.6676757200000001</v>
      </c>
      <c r="N59">
        <v>5.3</v>
      </c>
    </row>
    <row r="60" spans="13:14">
      <c r="M60">
        <v>-1.6569002559999999</v>
      </c>
      <c r="N60">
        <v>5.4</v>
      </c>
    </row>
    <row r="61" spans="13:14">
      <c r="M61">
        <v>-1.64908652</v>
      </c>
      <c r="N61">
        <v>5.5</v>
      </c>
    </row>
    <row r="62" spans="13:14">
      <c r="M62">
        <v>-1.6412727840000001</v>
      </c>
      <c r="N62">
        <v>5.6</v>
      </c>
    </row>
    <row r="63" spans="13:14">
      <c r="M63">
        <v>-1.626972584</v>
      </c>
      <c r="N63">
        <v>5.7</v>
      </c>
    </row>
    <row r="64" spans="13:14">
      <c r="M64">
        <v>-1.611767296</v>
      </c>
      <c r="N64">
        <v>5.8</v>
      </c>
    </row>
    <row r="65" spans="13:14">
      <c r="M65">
        <v>-1.597062872</v>
      </c>
      <c r="N65">
        <v>5.9</v>
      </c>
    </row>
    <row r="66" spans="13:14">
      <c r="M66">
        <v>-1.58339148</v>
      </c>
      <c r="N66">
        <v>6</v>
      </c>
    </row>
    <row r="67" spans="13:14">
      <c r="M67">
        <v>-1.569720088</v>
      </c>
      <c r="N67">
        <v>6.1</v>
      </c>
    </row>
    <row r="68" spans="13:14">
      <c r="M68">
        <v>-1.5628464399999999</v>
      </c>
      <c r="N68">
        <v>6.2</v>
      </c>
    </row>
    <row r="69" spans="13:14">
      <c r="M69">
        <v>-1.55794056</v>
      </c>
      <c r="N69">
        <v>6.3</v>
      </c>
    </row>
    <row r="70" spans="13:14">
      <c r="M70">
        <v>-1.5524998160000001</v>
      </c>
      <c r="N70">
        <v>6.4</v>
      </c>
    </row>
    <row r="71" spans="13:14">
      <c r="M71">
        <v>-1.5452113599999999</v>
      </c>
      <c r="N71">
        <v>6.5</v>
      </c>
    </row>
    <row r="72" spans="13:14">
      <c r="M72">
        <v>-1.537922904</v>
      </c>
      <c r="N72">
        <v>6.6</v>
      </c>
    </row>
    <row r="73" spans="13:14">
      <c r="M73">
        <v>-1.521682736</v>
      </c>
      <c r="N73">
        <v>6.7</v>
      </c>
    </row>
    <row r="74" spans="13:14">
      <c r="M74">
        <v>-1.501102344</v>
      </c>
      <c r="N74">
        <v>6.8</v>
      </c>
    </row>
    <row r="75" spans="13:14">
      <c r="M75">
        <v>-1.480545808</v>
      </c>
      <c r="N75">
        <v>6.9</v>
      </c>
    </row>
    <row r="76" spans="13:14">
      <c r="M76">
        <v>-1.46016024</v>
      </c>
      <c r="N76">
        <v>7</v>
      </c>
    </row>
    <row r="77" spans="13:14">
      <c r="M77">
        <v>-1.439774672</v>
      </c>
      <c r="N77">
        <v>7.1</v>
      </c>
    </row>
    <row r="78" spans="13:14">
      <c r="M78">
        <v>-1.431038</v>
      </c>
      <c r="N78">
        <v>7.2</v>
      </c>
    </row>
    <row r="79" spans="13:14">
      <c r="M79">
        <v>-1.431038</v>
      </c>
      <c r="N79">
        <v>7.3</v>
      </c>
    </row>
    <row r="80" spans="13:14">
      <c r="M80">
        <v>-1.430704744</v>
      </c>
      <c r="N80">
        <v>7.4</v>
      </c>
    </row>
    <row r="81" spans="13:14">
      <c r="M81">
        <v>-1.4143752000000001</v>
      </c>
      <c r="N81">
        <v>7.5</v>
      </c>
    </row>
    <row r="82" spans="13:14">
      <c r="M82">
        <v>-1.3980456560000001</v>
      </c>
      <c r="N82">
        <v>7.6</v>
      </c>
    </row>
    <row r="83" spans="13:14">
      <c r="M83">
        <v>-1.389381</v>
      </c>
      <c r="N83">
        <v>7.7</v>
      </c>
    </row>
    <row r="84" spans="13:14">
      <c r="M84">
        <v>-1.389381</v>
      </c>
      <c r="N84">
        <v>7.8</v>
      </c>
    </row>
    <row r="85" spans="13:14">
      <c r="M85">
        <v>-1.389381</v>
      </c>
      <c r="N85">
        <v>7.9</v>
      </c>
    </row>
    <row r="86" spans="13:14">
      <c r="M86">
        <v>-1.3871454000000001</v>
      </c>
      <c r="N86">
        <v>8</v>
      </c>
    </row>
    <row r="87" spans="13:14">
      <c r="M87">
        <v>-1.38471108</v>
      </c>
      <c r="N87">
        <v>8.1</v>
      </c>
    </row>
    <row r="88" spans="13:14">
      <c r="M88">
        <v>-1.3779283920000001</v>
      </c>
      <c r="N88">
        <v>8.1999999999999993</v>
      </c>
    </row>
    <row r="89" spans="13:14">
      <c r="M89">
        <v>-1.363656848</v>
      </c>
      <c r="N89">
        <v>8.3000000000000007</v>
      </c>
    </row>
    <row r="90" spans="13:14">
      <c r="M90">
        <v>-1.3493853039999999</v>
      </c>
      <c r="N90">
        <v>8.4</v>
      </c>
    </row>
    <row r="91" spans="13:14">
      <c r="M91">
        <v>-1.3385972799999999</v>
      </c>
      <c r="N91">
        <v>8.5</v>
      </c>
    </row>
    <row r="92" spans="13:14">
      <c r="M92">
        <v>-1.3285930480000001</v>
      </c>
      <c r="N92">
        <v>8.6</v>
      </c>
    </row>
    <row r="93" spans="13:14">
      <c r="M93">
        <v>-1.3161809040000001</v>
      </c>
      <c r="N93">
        <v>8.6999999999999993</v>
      </c>
    </row>
    <row r="94" spans="13:14">
      <c r="M94">
        <v>-1.297100696</v>
      </c>
      <c r="N94">
        <v>8.8000000000000007</v>
      </c>
    </row>
    <row r="95" spans="13:14">
      <c r="M95">
        <v>-1.2780204879999999</v>
      </c>
      <c r="N95">
        <v>8.9</v>
      </c>
    </row>
    <row r="96" spans="13:14">
      <c r="M96">
        <v>-1.2720655599999999</v>
      </c>
      <c r="N96">
        <v>9</v>
      </c>
    </row>
    <row r="97" spans="13:14">
      <c r="M97">
        <v>-1.2713607440000001</v>
      </c>
      <c r="N97">
        <v>9.1</v>
      </c>
    </row>
    <row r="98" spans="13:14">
      <c r="M98">
        <v>-1.2707355440000001</v>
      </c>
      <c r="N98">
        <v>9.1999999999999993</v>
      </c>
    </row>
    <row r="99" spans="13:14">
      <c r="M99">
        <v>-1.2705183760000001</v>
      </c>
      <c r="N99">
        <v>9.3000000000000007</v>
      </c>
    </row>
    <row r="100" spans="13:14">
      <c r="M100">
        <v>-1.270301208</v>
      </c>
      <c r="N100">
        <v>9.4</v>
      </c>
    </row>
    <row r="101" spans="13:14">
      <c r="M101">
        <v>-1.2701711600000001</v>
      </c>
      <c r="N101">
        <v>9.5</v>
      </c>
    </row>
    <row r="102" spans="13:14">
      <c r="M102">
        <v>-1.270096288</v>
      </c>
      <c r="N102">
        <v>9.6</v>
      </c>
    </row>
    <row r="103" spans="13:14">
      <c r="M103">
        <v>-1.2689978399999999</v>
      </c>
      <c r="N103">
        <v>9.6999999999999993</v>
      </c>
    </row>
    <row r="104" spans="13:14">
      <c r="M104">
        <v>-1.25220456</v>
      </c>
      <c r="N104">
        <v>9.8000000000000007</v>
      </c>
    </row>
    <row r="105" spans="13:14">
      <c r="M105">
        <v>-1.2354112799999999</v>
      </c>
      <c r="N105">
        <v>9.9</v>
      </c>
    </row>
    <row r="106" spans="13:14">
      <c r="M106">
        <v>-1.2264660000000001</v>
      </c>
      <c r="N106">
        <v>10</v>
      </c>
    </row>
    <row r="107" spans="13:14">
      <c r="M107">
        <v>-1.2250548000000001</v>
      </c>
      <c r="N107">
        <v>10.1</v>
      </c>
    </row>
    <row r="108" spans="13:14">
      <c r="M108">
        <v>-1.2236435999999999</v>
      </c>
      <c r="N108">
        <v>10.199999999999999</v>
      </c>
    </row>
    <row r="109" spans="13:14">
      <c r="M109">
        <v>-1.2224516080000001</v>
      </c>
      <c r="N109">
        <v>10.3</v>
      </c>
    </row>
    <row r="110" spans="13:14">
      <c r="M110">
        <v>-1.221268944</v>
      </c>
      <c r="N110">
        <v>10.4</v>
      </c>
    </row>
    <row r="111" spans="13:14">
      <c r="M111">
        <v>-1.2204794000000001</v>
      </c>
      <c r="N111">
        <v>10.5</v>
      </c>
    </row>
    <row r="112" spans="13:14">
      <c r="M112">
        <v>-1.22025988</v>
      </c>
      <c r="N112">
        <v>10.6</v>
      </c>
    </row>
    <row r="113" spans="13:14">
      <c r="M113">
        <v>-1.22004036</v>
      </c>
      <c r="N113">
        <v>10.7</v>
      </c>
    </row>
    <row r="114" spans="13:14">
      <c r="M114">
        <v>-1.2200089999999999</v>
      </c>
      <c r="N114">
        <v>10.8</v>
      </c>
    </row>
    <row r="115" spans="13:14">
      <c r="M115">
        <v>-1.2200089999999999</v>
      </c>
      <c r="N115">
        <v>10.9</v>
      </c>
    </row>
    <row r="116" spans="13:14">
      <c r="M116">
        <v>-1.2196011200000001</v>
      </c>
      <c r="N116">
        <v>11</v>
      </c>
    </row>
    <row r="117" spans="13:14">
      <c r="M117">
        <v>-1.218268712</v>
      </c>
      <c r="N117">
        <v>11.1</v>
      </c>
    </row>
    <row r="118" spans="13:14">
      <c r="M118">
        <v>-1.2169363040000001</v>
      </c>
      <c r="N118">
        <v>11.2</v>
      </c>
    </row>
    <row r="119" spans="13:14">
      <c r="M119">
        <v>-1.2122303839999999</v>
      </c>
      <c r="N119">
        <v>11.3</v>
      </c>
    </row>
    <row r="120" spans="13:14">
      <c r="M120">
        <v>-1.2064303519999999</v>
      </c>
      <c r="N120">
        <v>11.4</v>
      </c>
    </row>
    <row r="121" spans="13:14">
      <c r="M121">
        <v>-1.1992086399999999</v>
      </c>
      <c r="N121">
        <v>11.5</v>
      </c>
    </row>
    <row r="122" spans="13:14">
      <c r="M122">
        <v>-1.186442376</v>
      </c>
      <c r="N122">
        <v>11.6</v>
      </c>
    </row>
    <row r="123" spans="13:14">
      <c r="M123">
        <v>-1.1736761120000001</v>
      </c>
      <c r="N123">
        <v>11.7</v>
      </c>
    </row>
    <row r="124" spans="13:14">
      <c r="M124">
        <v>-1.1671982320000001</v>
      </c>
      <c r="N124">
        <v>11.8</v>
      </c>
    </row>
    <row r="125" spans="13:14">
      <c r="M125">
        <v>-1.164061056</v>
      </c>
      <c r="N125">
        <v>11.9</v>
      </c>
    </row>
    <row r="126" spans="13:14">
      <c r="M126">
        <v>-1.1607758399999999</v>
      </c>
      <c r="N126">
        <v>12</v>
      </c>
    </row>
    <row r="127" spans="13:14">
      <c r="M127">
        <v>-1.1561878720000001</v>
      </c>
      <c r="N127">
        <v>12.1</v>
      </c>
    </row>
    <row r="128" spans="13:14">
      <c r="M128">
        <v>-1.151599904</v>
      </c>
      <c r="N128">
        <v>12.2</v>
      </c>
    </row>
    <row r="129" spans="13:14">
      <c r="M129">
        <v>-1.1451094079999999</v>
      </c>
      <c r="N129">
        <v>12.3</v>
      </c>
    </row>
    <row r="130" spans="13:14">
      <c r="M130">
        <v>-1.137068704</v>
      </c>
      <c r="N130">
        <v>12.4</v>
      </c>
    </row>
    <row r="131" spans="13:14">
      <c r="M131">
        <v>-1.1290279999999999</v>
      </c>
      <c r="N131">
        <v>12.5</v>
      </c>
    </row>
    <row r="132" spans="13:14">
      <c r="M132">
        <v>-1.127251064</v>
      </c>
      <c r="N132">
        <v>12.6</v>
      </c>
    </row>
    <row r="133" spans="13:14">
      <c r="M133">
        <v>-1.125474128</v>
      </c>
      <c r="N133">
        <v>12.7</v>
      </c>
    </row>
    <row r="134" spans="13:14">
      <c r="M134">
        <v>-1.1223134800000001</v>
      </c>
      <c r="N134">
        <v>12.8</v>
      </c>
    </row>
    <row r="135" spans="13:14">
      <c r="M135">
        <v>-1.1174546400000001</v>
      </c>
      <c r="N135">
        <v>12.9</v>
      </c>
    </row>
    <row r="136" spans="13:14">
      <c r="M136">
        <v>-1.1125958</v>
      </c>
      <c r="N136">
        <v>13</v>
      </c>
    </row>
    <row r="137" spans="13:14">
      <c r="M137">
        <v>-1.1104969920000001</v>
      </c>
      <c r="N137">
        <v>13.1</v>
      </c>
    </row>
    <row r="138" spans="13:14">
      <c r="M138">
        <v>-1.108711824</v>
      </c>
      <c r="N138">
        <v>13.2</v>
      </c>
    </row>
    <row r="139" spans="13:14">
      <c r="M139">
        <v>-1.106601344</v>
      </c>
      <c r="N139">
        <v>13.3</v>
      </c>
    </row>
    <row r="140" spans="13:14">
      <c r="M140">
        <v>-1.1038785120000001</v>
      </c>
      <c r="N140">
        <v>13.4</v>
      </c>
    </row>
    <row r="141" spans="13:14">
      <c r="M141">
        <v>-1.10115568</v>
      </c>
      <c r="N141">
        <v>13.5</v>
      </c>
    </row>
    <row r="142" spans="13:14">
      <c r="M142">
        <v>-1.1000742800000001</v>
      </c>
      <c r="N142">
        <v>13.6</v>
      </c>
    </row>
    <row r="143" spans="13:14">
      <c r="M143">
        <v>-1.09941376</v>
      </c>
      <c r="N143">
        <v>13.7</v>
      </c>
    </row>
    <row r="144" spans="13:14">
      <c r="M144">
        <v>-1.09877004</v>
      </c>
      <c r="N144">
        <v>13.8</v>
      </c>
    </row>
    <row r="145" spans="13:14">
      <c r="M145">
        <v>-1.09817812</v>
      </c>
      <c r="N145">
        <v>13.9</v>
      </c>
    </row>
    <row r="146" spans="13:14">
      <c r="M146">
        <v>-1.0975862000000001</v>
      </c>
      <c r="N146">
        <v>14</v>
      </c>
    </row>
    <row r="147" spans="13:14">
      <c r="M147">
        <v>-1.0914046799999999</v>
      </c>
      <c r="N147">
        <v>14.1</v>
      </c>
    </row>
    <row r="148" spans="13:14">
      <c r="M148">
        <v>-1.0827571600000001</v>
      </c>
      <c r="N148">
        <v>14.2</v>
      </c>
    </row>
    <row r="149" spans="13:14">
      <c r="M149">
        <v>-1.0751346639999999</v>
      </c>
      <c r="N149">
        <v>14.3</v>
      </c>
    </row>
    <row r="150" spans="13:14">
      <c r="M150">
        <v>-1.073662312</v>
      </c>
      <c r="N150">
        <v>14.4</v>
      </c>
    </row>
    <row r="151" spans="13:14">
      <c r="M151">
        <v>-1.07218996</v>
      </c>
      <c r="N151">
        <v>14.5</v>
      </c>
    </row>
    <row r="152" spans="13:14">
      <c r="M152">
        <v>-1.0670107120000001</v>
      </c>
      <c r="N152">
        <v>14.6</v>
      </c>
    </row>
    <row r="153" spans="13:14">
      <c r="M153">
        <v>-1.059274984</v>
      </c>
      <c r="N153">
        <v>14.7</v>
      </c>
    </row>
    <row r="154" spans="13:14">
      <c r="M154">
        <v>-1.051626264</v>
      </c>
      <c r="N154">
        <v>14.8</v>
      </c>
    </row>
    <row r="155" spans="13:14">
      <c r="M155">
        <v>-1.0460222320000001</v>
      </c>
      <c r="N155">
        <v>14.9</v>
      </c>
    </row>
    <row r="156" spans="13:14">
      <c r="M156">
        <v>-1.0404182</v>
      </c>
      <c r="N156">
        <v>15</v>
      </c>
    </row>
    <row r="157" spans="13:14">
      <c r="M157">
        <v>-1.0370889839999999</v>
      </c>
      <c r="N157">
        <v>15.1</v>
      </c>
    </row>
    <row r="158" spans="13:14">
      <c r="M158">
        <v>-1.0361293680000001</v>
      </c>
      <c r="N158">
        <v>15.2</v>
      </c>
    </row>
    <row r="159" spans="13:14">
      <c r="M159">
        <v>-1.0351697520000001</v>
      </c>
      <c r="N159">
        <v>15.3</v>
      </c>
    </row>
    <row r="160" spans="13:14">
      <c r="M160">
        <v>-1.0341541999999999</v>
      </c>
      <c r="N160">
        <v>15.4</v>
      </c>
    </row>
    <row r="161" spans="13:14">
      <c r="M161">
        <v>-1.0331349999999999</v>
      </c>
      <c r="N161">
        <v>15.5</v>
      </c>
    </row>
    <row r="162" spans="13:14">
      <c r="M162">
        <v>-1.03187944</v>
      </c>
      <c r="N162">
        <v>15.6</v>
      </c>
    </row>
    <row r="163" spans="13:14">
      <c r="M163">
        <v>-1.03025068</v>
      </c>
      <c r="N163">
        <v>15.7</v>
      </c>
    </row>
    <row r="164" spans="13:14">
      <c r="M164">
        <v>-1.02862192</v>
      </c>
      <c r="N164">
        <v>15.8</v>
      </c>
    </row>
    <row r="165" spans="13:14">
      <c r="M165">
        <v>-1.013025936</v>
      </c>
      <c r="N165">
        <v>15.9</v>
      </c>
    </row>
    <row r="166" spans="13:14">
      <c r="M166">
        <v>-0.99470464000000003</v>
      </c>
      <c r="N166">
        <v>16</v>
      </c>
    </row>
    <row r="167" spans="13:14">
      <c r="M167">
        <v>-0.98038980799999997</v>
      </c>
      <c r="N167">
        <v>16.100000000000001</v>
      </c>
    </row>
    <row r="168" spans="13:14">
      <c r="M168">
        <v>-0.97609113599999997</v>
      </c>
      <c r="N168">
        <v>16.2</v>
      </c>
    </row>
    <row r="169" spans="13:14">
      <c r="M169">
        <v>-0.97179246399999997</v>
      </c>
      <c r="N169">
        <v>16.3</v>
      </c>
    </row>
    <row r="170" spans="13:14">
      <c r="M170">
        <v>-0.964264448</v>
      </c>
      <c r="N170">
        <v>16.399999999999999</v>
      </c>
    </row>
    <row r="171" spans="13:14">
      <c r="M171">
        <v>-0.95557027999999999</v>
      </c>
      <c r="N171">
        <v>16.5</v>
      </c>
    </row>
    <row r="172" spans="13:14">
      <c r="M172">
        <v>-0.94772247200000004</v>
      </c>
      <c r="N172">
        <v>16.600000000000001</v>
      </c>
    </row>
    <row r="173" spans="13:14">
      <c r="M173">
        <v>-0.943636264</v>
      </c>
      <c r="N173">
        <v>16.7</v>
      </c>
    </row>
    <row r="174" spans="13:14">
      <c r="M174">
        <v>-0.93955005599999997</v>
      </c>
      <c r="N174">
        <v>16.8</v>
      </c>
    </row>
    <row r="175" spans="13:14">
      <c r="M175">
        <v>-0.93804900000000002</v>
      </c>
      <c r="N175">
        <v>16.899999999999999</v>
      </c>
    </row>
    <row r="176" spans="13:14">
      <c r="M176">
        <v>-0.93804900000000002</v>
      </c>
      <c r="N176">
        <v>17</v>
      </c>
    </row>
    <row r="177" spans="13:14">
      <c r="M177">
        <v>-0.93800612000000005</v>
      </c>
      <c r="N177">
        <v>17.100000000000001</v>
      </c>
    </row>
    <row r="178" spans="13:14">
      <c r="M178">
        <v>-0.93748083999999998</v>
      </c>
      <c r="N178">
        <v>17.2</v>
      </c>
    </row>
    <row r="179" spans="13:14">
      <c r="M179">
        <v>-0.93695556000000002</v>
      </c>
      <c r="N179">
        <v>17.3</v>
      </c>
    </row>
    <row r="180" spans="13:14">
      <c r="M180">
        <v>-0.93670900000000001</v>
      </c>
      <c r="N180">
        <v>17.399999999999999</v>
      </c>
    </row>
    <row r="181" spans="13:14">
      <c r="M181">
        <v>-0.93670900000000001</v>
      </c>
      <c r="N181">
        <v>17.5</v>
      </c>
    </row>
    <row r="182" spans="13:14">
      <c r="M182">
        <v>-0.93670900000000001</v>
      </c>
      <c r="N182">
        <v>17.600000000000001</v>
      </c>
    </row>
    <row r="183" spans="13:14">
      <c r="M183">
        <v>-0.93380980000000002</v>
      </c>
      <c r="N183">
        <v>17.7</v>
      </c>
    </row>
    <row r="184" spans="13:14">
      <c r="M184">
        <v>-0.93085019999999996</v>
      </c>
      <c r="N184">
        <v>17.8</v>
      </c>
    </row>
    <row r="185" spans="13:14">
      <c r="M185">
        <v>-0.92642950400000001</v>
      </c>
      <c r="N185">
        <v>17.899999999999999</v>
      </c>
    </row>
    <row r="186" spans="13:14">
      <c r="M186">
        <v>-0.92006067999999996</v>
      </c>
      <c r="N186">
        <v>18</v>
      </c>
    </row>
    <row r="187" spans="13:14">
      <c r="M187">
        <v>-0.91369185600000002</v>
      </c>
      <c r="N187">
        <v>18.100000000000001</v>
      </c>
    </row>
    <row r="188" spans="13:14">
      <c r="M188">
        <v>-0.91243452800000002</v>
      </c>
      <c r="N188">
        <v>18.2</v>
      </c>
    </row>
    <row r="189" spans="13:14">
      <c r="M189">
        <v>-0.91189043199999997</v>
      </c>
      <c r="N189">
        <v>18.3</v>
      </c>
    </row>
    <row r="190" spans="13:14">
      <c r="M190">
        <v>-0.90997353599999997</v>
      </c>
      <c r="N190">
        <v>18.399999999999999</v>
      </c>
    </row>
    <row r="191" spans="13:14">
      <c r="M191">
        <v>-0.90522524000000004</v>
      </c>
      <c r="N191">
        <v>18.5</v>
      </c>
    </row>
    <row r="192" spans="13:14">
      <c r="M192">
        <v>-0.900476944</v>
      </c>
      <c r="N192">
        <v>18.600000000000001</v>
      </c>
    </row>
    <row r="193" spans="13:14">
      <c r="M193">
        <v>-0.89347540000000003</v>
      </c>
      <c r="N193">
        <v>18.7</v>
      </c>
    </row>
    <row r="194" spans="13:14">
      <c r="M194">
        <v>-0.88582159999999999</v>
      </c>
      <c r="N194">
        <v>18.8</v>
      </c>
    </row>
    <row r="195" spans="13:14">
      <c r="M195">
        <v>-0.87929472799999997</v>
      </c>
      <c r="N195">
        <v>18.899999999999999</v>
      </c>
    </row>
    <row r="196" spans="13:14">
      <c r="M196">
        <v>-0.87666087999999998</v>
      </c>
      <c r="N196">
        <v>19</v>
      </c>
    </row>
    <row r="197" spans="13:14">
      <c r="M197">
        <v>-0.87402703199999998</v>
      </c>
      <c r="N197">
        <v>19.100000000000001</v>
      </c>
    </row>
    <row r="198" spans="13:14">
      <c r="M198">
        <v>-0.86646958399999996</v>
      </c>
      <c r="N198">
        <v>19.2</v>
      </c>
    </row>
    <row r="199" spans="13:14">
      <c r="M199">
        <v>-0.85652493600000001</v>
      </c>
      <c r="N199">
        <v>19.3</v>
      </c>
    </row>
    <row r="200" spans="13:14">
      <c r="M200">
        <v>-0.84772979199999998</v>
      </c>
      <c r="N200">
        <v>19.399999999999999</v>
      </c>
    </row>
    <row r="201" spans="13:14">
      <c r="M201">
        <v>-0.84717275999999997</v>
      </c>
      <c r="N201">
        <v>19.5</v>
      </c>
    </row>
    <row r="202" spans="13:14">
      <c r="M202">
        <v>-0.84661572799999996</v>
      </c>
      <c r="N202">
        <v>19.600000000000001</v>
      </c>
    </row>
    <row r="203" spans="13:14">
      <c r="M203">
        <v>-0.84637700000000005</v>
      </c>
      <c r="N203">
        <v>19.7</v>
      </c>
    </row>
    <row r="204" spans="13:14">
      <c r="M204">
        <v>-0.84637700000000005</v>
      </c>
      <c r="N204">
        <v>19.8</v>
      </c>
    </row>
    <row r="205" spans="13:14">
      <c r="M205">
        <v>-0.84627428800000004</v>
      </c>
      <c r="N205">
        <v>19.899999999999999</v>
      </c>
    </row>
    <row r="206" spans="13:14">
      <c r="M206">
        <v>-0.84124140000000003</v>
      </c>
      <c r="N206">
        <v>20</v>
      </c>
    </row>
    <row r="207" spans="13:14">
      <c r="M207">
        <v>-0.83620851200000001</v>
      </c>
      <c r="N207">
        <v>20.100000000000001</v>
      </c>
    </row>
    <row r="208" spans="13:14">
      <c r="M208">
        <v>-0.83351003199999996</v>
      </c>
      <c r="N208">
        <v>20.2</v>
      </c>
    </row>
    <row r="209" spans="13:14">
      <c r="M209">
        <v>-0.83345044800000001</v>
      </c>
      <c r="N209">
        <v>20.3</v>
      </c>
    </row>
    <row r="210" spans="13:14">
      <c r="M210">
        <v>-0.83339086399999995</v>
      </c>
      <c r="N210">
        <v>20.399999999999999</v>
      </c>
    </row>
    <row r="211" spans="13:14">
      <c r="M211">
        <v>-0.83131131999999996</v>
      </c>
      <c r="N211">
        <v>20.5</v>
      </c>
    </row>
    <row r="212" spans="13:14">
      <c r="M212">
        <v>-0.829052224</v>
      </c>
      <c r="N212">
        <v>20.6</v>
      </c>
    </row>
    <row r="213" spans="13:14">
      <c r="M213">
        <v>-0.82539114400000002</v>
      </c>
      <c r="N213">
        <v>20.7</v>
      </c>
    </row>
    <row r="214" spans="13:14">
      <c r="M214">
        <v>-0.81931553599999996</v>
      </c>
      <c r="N214">
        <v>20.8</v>
      </c>
    </row>
    <row r="215" spans="13:14">
      <c r="M215">
        <v>-0.813239928</v>
      </c>
      <c r="N215">
        <v>20.9</v>
      </c>
    </row>
    <row r="216" spans="13:14">
      <c r="M216">
        <v>-0.81166928000000005</v>
      </c>
      <c r="N216">
        <v>21</v>
      </c>
    </row>
    <row r="217" spans="13:14">
      <c r="M217">
        <v>-0.81111224800000004</v>
      </c>
      <c r="N217">
        <v>21.1</v>
      </c>
    </row>
    <row r="218" spans="13:14">
      <c r="M218">
        <v>-0.80853792800000002</v>
      </c>
      <c r="N218">
        <v>21.2</v>
      </c>
    </row>
    <row r="219" spans="13:14">
      <c r="M219">
        <v>-0.80037727199999997</v>
      </c>
      <c r="N219">
        <v>21.3</v>
      </c>
    </row>
    <row r="220" spans="13:14">
      <c r="M220">
        <v>-0.79221661600000004</v>
      </c>
      <c r="N220">
        <v>21.4</v>
      </c>
    </row>
    <row r="221" spans="13:14">
      <c r="M221">
        <v>-0.78730900000000004</v>
      </c>
      <c r="N221">
        <v>21.5</v>
      </c>
    </row>
    <row r="222" spans="13:14">
      <c r="M222">
        <v>-0.78370260000000003</v>
      </c>
      <c r="N222">
        <v>21.6</v>
      </c>
    </row>
    <row r="223" spans="13:14">
      <c r="M223">
        <v>-0.77945479200000001</v>
      </c>
      <c r="N223">
        <v>21.7</v>
      </c>
    </row>
    <row r="224" spans="13:14">
      <c r="M224">
        <v>-0.77191976799999995</v>
      </c>
      <c r="N224">
        <v>21.8</v>
      </c>
    </row>
    <row r="225" spans="13:14">
      <c r="M225">
        <v>-0.764384744</v>
      </c>
      <c r="N225">
        <v>21.9</v>
      </c>
    </row>
    <row r="226" spans="13:14">
      <c r="M226">
        <v>-0.76132860000000002</v>
      </c>
      <c r="N226">
        <v>22</v>
      </c>
    </row>
    <row r="227" spans="13:14">
      <c r="M227">
        <v>-0.76110907999999999</v>
      </c>
      <c r="N227">
        <v>22.1</v>
      </c>
    </row>
    <row r="228" spans="13:14">
      <c r="M228">
        <v>-0.76050872800000002</v>
      </c>
      <c r="N228">
        <v>22.2</v>
      </c>
    </row>
    <row r="229" spans="13:14">
      <c r="M229">
        <v>-0.75406895200000001</v>
      </c>
      <c r="N229">
        <v>22.3</v>
      </c>
    </row>
    <row r="230" spans="13:14">
      <c r="M230">
        <v>-0.74762917600000001</v>
      </c>
      <c r="N230">
        <v>22.4</v>
      </c>
    </row>
    <row r="231" spans="13:14">
      <c r="M231">
        <v>-0.74233300000000002</v>
      </c>
      <c r="N231">
        <v>22.5</v>
      </c>
    </row>
    <row r="232" spans="13:14">
      <c r="M232">
        <v>-0.73813468000000004</v>
      </c>
      <c r="N232">
        <v>22.6</v>
      </c>
    </row>
    <row r="233" spans="13:14">
      <c r="M233">
        <v>-0.73393635999999995</v>
      </c>
      <c r="N233">
        <v>22.7</v>
      </c>
    </row>
    <row r="234" spans="13:14">
      <c r="M234">
        <v>-0.73168120800000003</v>
      </c>
      <c r="N234">
        <v>22.8</v>
      </c>
    </row>
    <row r="235" spans="13:14">
      <c r="M235">
        <v>-0.72950874399999999</v>
      </c>
      <c r="N235">
        <v>22.9</v>
      </c>
    </row>
    <row r="236" spans="13:14">
      <c r="M236">
        <v>-0.72239131999999995</v>
      </c>
      <c r="N236">
        <v>23</v>
      </c>
    </row>
    <row r="237" spans="13:14">
      <c r="M237">
        <v>-0.708103704</v>
      </c>
      <c r="N237">
        <v>23.1</v>
      </c>
    </row>
    <row r="238" spans="13:14">
      <c r="M238">
        <v>-0.69381608800000005</v>
      </c>
      <c r="N238">
        <v>23.2</v>
      </c>
    </row>
    <row r="239" spans="13:14">
      <c r="M239">
        <v>-0.68593868000000002</v>
      </c>
      <c r="N239">
        <v>23.3</v>
      </c>
    </row>
    <row r="240" spans="13:14">
      <c r="M240">
        <v>-0.67912963999999998</v>
      </c>
      <c r="N240">
        <v>23.4</v>
      </c>
    </row>
    <row r="241" spans="13:14">
      <c r="M241">
        <v>-0.67440500000000003</v>
      </c>
      <c r="N241">
        <v>23.5</v>
      </c>
    </row>
    <row r="242" spans="13:14">
      <c r="M242">
        <v>-0.67440500000000003</v>
      </c>
      <c r="N242">
        <v>23.6</v>
      </c>
    </row>
    <row r="243" spans="13:14">
      <c r="M243">
        <v>-0.67440500000000003</v>
      </c>
      <c r="N243">
        <v>23.7</v>
      </c>
    </row>
    <row r="244" spans="13:14">
      <c r="M244">
        <v>-0.67402345600000002</v>
      </c>
      <c r="N244">
        <v>23.8</v>
      </c>
    </row>
    <row r="245" spans="13:14">
      <c r="M245">
        <v>-0.67351816799999997</v>
      </c>
      <c r="N245">
        <v>23.9</v>
      </c>
    </row>
    <row r="246" spans="13:14">
      <c r="M246">
        <v>-0.67311600000000005</v>
      </c>
      <c r="N246">
        <v>24</v>
      </c>
    </row>
    <row r="247" spans="13:14">
      <c r="M247">
        <v>-0.67311600000000005</v>
      </c>
      <c r="N247">
        <v>24.1</v>
      </c>
    </row>
    <row r="248" spans="13:14">
      <c r="M248">
        <v>-0.67311600000000005</v>
      </c>
      <c r="N248">
        <v>24.2</v>
      </c>
    </row>
    <row r="249" spans="13:14">
      <c r="M249">
        <v>-0.67144687999999997</v>
      </c>
      <c r="N249">
        <v>24.3</v>
      </c>
    </row>
    <row r="250" spans="13:14">
      <c r="M250">
        <v>-0.66889103999999999</v>
      </c>
      <c r="N250">
        <v>24.4</v>
      </c>
    </row>
    <row r="251" spans="13:14">
      <c r="M251">
        <v>-0.66625780000000001</v>
      </c>
      <c r="N251">
        <v>24.5</v>
      </c>
    </row>
    <row r="252" spans="13:14">
      <c r="M252">
        <v>-0.66294344000000005</v>
      </c>
      <c r="N252">
        <v>24.6</v>
      </c>
    </row>
    <row r="253" spans="13:14">
      <c r="M253">
        <v>-0.65962907999999998</v>
      </c>
      <c r="N253">
        <v>24.7</v>
      </c>
    </row>
    <row r="254" spans="13:14">
      <c r="M254">
        <v>-0.65814099999999998</v>
      </c>
      <c r="N254">
        <v>24.8</v>
      </c>
    </row>
    <row r="255" spans="13:14">
      <c r="M255">
        <v>-0.65814099999999998</v>
      </c>
      <c r="N255">
        <v>24.9</v>
      </c>
    </row>
    <row r="256" spans="13:14">
      <c r="M256">
        <v>-0.65814099999999998</v>
      </c>
      <c r="N256">
        <v>25</v>
      </c>
    </row>
    <row r="257" spans="13:14">
      <c r="M257">
        <v>-0.65658123199999996</v>
      </c>
      <c r="N257">
        <v>25.1</v>
      </c>
    </row>
    <row r="258" spans="13:14">
      <c r="M258">
        <v>-0.65502146400000005</v>
      </c>
      <c r="N258">
        <v>25.2</v>
      </c>
    </row>
    <row r="259" spans="13:14">
      <c r="M259">
        <v>-0.65416200000000002</v>
      </c>
      <c r="N259">
        <v>25.3</v>
      </c>
    </row>
    <row r="260" spans="13:14">
      <c r="M260">
        <v>-0.65416200000000002</v>
      </c>
      <c r="N260">
        <v>25.4</v>
      </c>
    </row>
    <row r="261" spans="13:14">
      <c r="M261">
        <v>-0.65416200000000002</v>
      </c>
      <c r="N261">
        <v>25.5</v>
      </c>
    </row>
    <row r="262" spans="13:14">
      <c r="M262">
        <v>-0.65416200000000002</v>
      </c>
      <c r="N262">
        <v>25.6</v>
      </c>
    </row>
    <row r="263" spans="13:14">
      <c r="M263">
        <v>-0.65416200000000002</v>
      </c>
      <c r="N263">
        <v>25.7</v>
      </c>
    </row>
    <row r="264" spans="13:14">
      <c r="M264">
        <v>-0.653742304</v>
      </c>
      <c r="N264">
        <v>25.8</v>
      </c>
    </row>
    <row r="265" spans="13:14">
      <c r="M265">
        <v>-0.65253259200000002</v>
      </c>
      <c r="N265">
        <v>25.9</v>
      </c>
    </row>
    <row r="266" spans="13:14">
      <c r="M266">
        <v>-0.65132288000000005</v>
      </c>
      <c r="N266">
        <v>26</v>
      </c>
    </row>
    <row r="267" spans="13:14">
      <c r="M267">
        <v>-0.64710829599999997</v>
      </c>
      <c r="N267">
        <v>26.1</v>
      </c>
    </row>
    <row r="268" spans="13:14">
      <c r="M268">
        <v>-0.64212323199999999</v>
      </c>
      <c r="N268">
        <v>26.2</v>
      </c>
    </row>
    <row r="269" spans="13:14">
      <c r="M269">
        <v>-0.63802818400000005</v>
      </c>
      <c r="N269">
        <v>26.3</v>
      </c>
    </row>
    <row r="270" spans="13:14">
      <c r="M270">
        <v>-0.63667735199999997</v>
      </c>
      <c r="N270">
        <v>26.4</v>
      </c>
    </row>
    <row r="271" spans="13:14">
      <c r="M271">
        <v>-0.63532652000000001</v>
      </c>
      <c r="N271">
        <v>26.5</v>
      </c>
    </row>
    <row r="272" spans="13:14">
      <c r="M272">
        <v>-0.63255475999999999</v>
      </c>
      <c r="N272">
        <v>26.6</v>
      </c>
    </row>
    <row r="273" spans="13:14">
      <c r="M273">
        <v>-0.62915611999999999</v>
      </c>
      <c r="N273">
        <v>26.7</v>
      </c>
    </row>
    <row r="274" spans="13:14">
      <c r="M274">
        <v>-0.62588560800000004</v>
      </c>
      <c r="N274">
        <v>26.8</v>
      </c>
    </row>
    <row r="275" spans="13:14">
      <c r="M275">
        <v>-0.62338386400000001</v>
      </c>
      <c r="N275">
        <v>26.9</v>
      </c>
    </row>
    <row r="276" spans="13:14">
      <c r="M276">
        <v>-0.62088211999999998</v>
      </c>
      <c r="N276">
        <v>27</v>
      </c>
    </row>
    <row r="277" spans="13:14">
      <c r="M277">
        <v>-0.61775281599999998</v>
      </c>
      <c r="N277">
        <v>27.1</v>
      </c>
    </row>
    <row r="278" spans="13:14">
      <c r="M278">
        <v>-0.61419071199999997</v>
      </c>
      <c r="N278">
        <v>27.2</v>
      </c>
    </row>
    <row r="279" spans="13:14">
      <c r="M279">
        <v>-0.61068870399999997</v>
      </c>
      <c r="N279">
        <v>27.3</v>
      </c>
    </row>
    <row r="280" spans="13:14">
      <c r="M280">
        <v>-0.60859895200000003</v>
      </c>
      <c r="N280">
        <v>27.4</v>
      </c>
    </row>
    <row r="281" spans="13:14">
      <c r="M281">
        <v>-0.60650919999999997</v>
      </c>
      <c r="N281">
        <v>27.5</v>
      </c>
    </row>
    <row r="282" spans="13:14">
      <c r="M282">
        <v>-0.60353816800000004</v>
      </c>
      <c r="N282">
        <v>27.6</v>
      </c>
    </row>
    <row r="283" spans="13:14">
      <c r="M283">
        <v>-0.59964913600000003</v>
      </c>
      <c r="N283">
        <v>27.7</v>
      </c>
    </row>
    <row r="284" spans="13:14">
      <c r="M284">
        <v>-0.59576010400000001</v>
      </c>
      <c r="N284">
        <v>27.8</v>
      </c>
    </row>
    <row r="285" spans="13:14">
      <c r="M285">
        <v>-0.59158403199999998</v>
      </c>
      <c r="N285">
        <v>27.9</v>
      </c>
    </row>
    <row r="286" spans="13:14">
      <c r="M286">
        <v>-0.58738924000000003</v>
      </c>
      <c r="N286">
        <v>28</v>
      </c>
    </row>
    <row r="287" spans="13:14">
      <c r="M287">
        <v>-0.58472736800000003</v>
      </c>
      <c r="N287">
        <v>28.1</v>
      </c>
    </row>
    <row r="288" spans="13:14">
      <c r="M288">
        <v>-0.584485896</v>
      </c>
      <c r="N288">
        <v>28.2</v>
      </c>
    </row>
    <row r="289" spans="13:14">
      <c r="M289">
        <v>-0.58424442399999998</v>
      </c>
      <c r="N289">
        <v>28.3</v>
      </c>
    </row>
    <row r="290" spans="13:14">
      <c r="M290">
        <v>-0.58420499999999997</v>
      </c>
      <c r="N290">
        <v>28.4</v>
      </c>
    </row>
    <row r="291" spans="13:14">
      <c r="M291">
        <v>-0.58420499999999997</v>
      </c>
      <c r="N291">
        <v>28.5</v>
      </c>
    </row>
    <row r="292" spans="13:14">
      <c r="M292">
        <v>-0.58404719199999999</v>
      </c>
      <c r="N292">
        <v>28.6</v>
      </c>
    </row>
    <row r="293" spans="13:14">
      <c r="M293">
        <v>-0.58349486399999995</v>
      </c>
      <c r="N293">
        <v>28.7</v>
      </c>
    </row>
    <row r="294" spans="13:14">
      <c r="M294">
        <v>-0.58294253600000001</v>
      </c>
      <c r="N294">
        <v>28.8</v>
      </c>
    </row>
    <row r="295" spans="13:14">
      <c r="M295">
        <v>-0.58033187200000003</v>
      </c>
      <c r="N295">
        <v>28.9</v>
      </c>
    </row>
    <row r="296" spans="13:14">
      <c r="M296">
        <v>-0.57697792000000003</v>
      </c>
      <c r="N296">
        <v>29</v>
      </c>
    </row>
    <row r="297" spans="13:14">
      <c r="M297">
        <v>-0.57285212799999996</v>
      </c>
      <c r="N297">
        <v>29.1</v>
      </c>
    </row>
    <row r="298" spans="13:14">
      <c r="M298">
        <v>-0.56529593600000005</v>
      </c>
      <c r="N298">
        <v>29.2</v>
      </c>
    </row>
    <row r="299" spans="13:14">
      <c r="M299">
        <v>-0.55773974400000004</v>
      </c>
      <c r="N299">
        <v>29.3</v>
      </c>
    </row>
    <row r="300" spans="13:14">
      <c r="M300">
        <v>-0.55496400000000001</v>
      </c>
      <c r="N300">
        <v>29.4</v>
      </c>
    </row>
    <row r="301" spans="13:14">
      <c r="M301">
        <v>-0.55496400000000001</v>
      </c>
      <c r="N301">
        <v>29.5</v>
      </c>
    </row>
    <row r="302" spans="13:14">
      <c r="M302">
        <v>-0.55496400000000001</v>
      </c>
      <c r="N302">
        <v>29.6</v>
      </c>
    </row>
    <row r="303" spans="13:14">
      <c r="M303">
        <v>-0.55496400000000001</v>
      </c>
      <c r="N303">
        <v>29.7</v>
      </c>
    </row>
    <row r="304" spans="13:14">
      <c r="M304">
        <v>-0.55496400000000001</v>
      </c>
      <c r="N304">
        <v>29.8</v>
      </c>
    </row>
    <row r="305" spans="13:14">
      <c r="M305">
        <v>-0.55192553600000005</v>
      </c>
      <c r="N305">
        <v>29.9</v>
      </c>
    </row>
    <row r="306" spans="13:14">
      <c r="M306">
        <v>-0.5461992</v>
      </c>
      <c r="N306">
        <v>30</v>
      </c>
    </row>
    <row r="307" spans="13:14">
      <c r="M307">
        <v>-0.54047286400000005</v>
      </c>
      <c r="N307">
        <v>30.1</v>
      </c>
    </row>
    <row r="308" spans="13:14">
      <c r="M308">
        <v>-0.54016016</v>
      </c>
      <c r="N308">
        <v>30.2</v>
      </c>
    </row>
    <row r="309" spans="13:14">
      <c r="M309">
        <v>-0.53996023999999998</v>
      </c>
      <c r="N309">
        <v>30.3</v>
      </c>
    </row>
    <row r="310" spans="13:14">
      <c r="M310">
        <v>-0.53612698400000003</v>
      </c>
      <c r="N310">
        <v>30.4</v>
      </c>
    </row>
    <row r="311" spans="13:14">
      <c r="M311">
        <v>-0.52744928000000002</v>
      </c>
      <c r="N311">
        <v>30.5</v>
      </c>
    </row>
    <row r="312" spans="13:14">
      <c r="M312">
        <v>-0.51877157600000001</v>
      </c>
      <c r="N312">
        <v>30.6</v>
      </c>
    </row>
    <row r="313" spans="13:14">
      <c r="M313">
        <v>-0.51637393600000003</v>
      </c>
      <c r="N313">
        <v>30.7</v>
      </c>
    </row>
    <row r="314" spans="13:14">
      <c r="M314">
        <v>-0.514852584</v>
      </c>
      <c r="N314">
        <v>30.8</v>
      </c>
    </row>
    <row r="315" spans="13:14">
      <c r="M315">
        <v>-0.51353603199999998</v>
      </c>
      <c r="N315">
        <v>30.9</v>
      </c>
    </row>
    <row r="316" spans="13:14">
      <c r="M316">
        <v>-0.51264187999999999</v>
      </c>
      <c r="N316">
        <v>31</v>
      </c>
    </row>
    <row r="317" spans="13:14">
      <c r="M317">
        <v>-0.51174772800000001</v>
      </c>
      <c r="N317">
        <v>31.1</v>
      </c>
    </row>
    <row r="318" spans="13:14">
      <c r="M318">
        <v>-0.51154699999999997</v>
      </c>
      <c r="N318">
        <v>31.2</v>
      </c>
    </row>
    <row r="319" spans="13:14">
      <c r="M319">
        <v>-0.51154699999999997</v>
      </c>
      <c r="N319">
        <v>31.3</v>
      </c>
    </row>
    <row r="320" spans="13:14">
      <c r="M320">
        <v>-0.51034377600000003</v>
      </c>
      <c r="N320">
        <v>31.4</v>
      </c>
    </row>
    <row r="321" spans="13:14">
      <c r="M321">
        <v>-0.50498396000000001</v>
      </c>
      <c r="N321">
        <v>31.5</v>
      </c>
    </row>
    <row r="322" spans="13:14">
      <c r="M322">
        <v>-0.49962414399999999</v>
      </c>
      <c r="N322">
        <v>31.6</v>
      </c>
    </row>
    <row r="323" spans="13:14">
      <c r="M323">
        <v>-0.49649169599999998</v>
      </c>
      <c r="N323">
        <v>31.7</v>
      </c>
    </row>
    <row r="324" spans="13:14">
      <c r="M324">
        <v>-0.49443918399999998</v>
      </c>
      <c r="N324">
        <v>31.8</v>
      </c>
    </row>
    <row r="325" spans="13:14">
      <c r="M325">
        <v>-0.49263800000000002</v>
      </c>
      <c r="N325">
        <v>31.9</v>
      </c>
    </row>
    <row r="326" spans="13:14">
      <c r="M326">
        <v>-0.49263800000000002</v>
      </c>
      <c r="N326">
        <v>32</v>
      </c>
    </row>
    <row r="327" spans="13:14">
      <c r="M327">
        <v>-0.49263800000000002</v>
      </c>
      <c r="N327">
        <v>32.1</v>
      </c>
    </row>
    <row r="328" spans="13:14">
      <c r="M328">
        <v>-0.49183608000000001</v>
      </c>
      <c r="N328">
        <v>32.200000000000003</v>
      </c>
    </row>
    <row r="329" spans="13:14">
      <c r="M329">
        <v>-0.49043271999999999</v>
      </c>
      <c r="N329">
        <v>32.299999999999997</v>
      </c>
    </row>
    <row r="330" spans="13:14">
      <c r="M330">
        <v>-0.48893436000000001</v>
      </c>
      <c r="N330">
        <v>32.4</v>
      </c>
    </row>
    <row r="331" spans="13:14">
      <c r="M331">
        <v>-0.48287600000000003</v>
      </c>
      <c r="N331">
        <v>32.5</v>
      </c>
    </row>
    <row r="332" spans="13:14">
      <c r="M332">
        <v>-0.47681763999999999</v>
      </c>
      <c r="N332">
        <v>32.6</v>
      </c>
    </row>
    <row r="333" spans="13:14">
      <c r="M333">
        <v>-0.47310104800000002</v>
      </c>
      <c r="N333">
        <v>32.700000000000003</v>
      </c>
    </row>
    <row r="334" spans="13:14">
      <c r="M334">
        <v>-0.47203167200000001</v>
      </c>
      <c r="N334">
        <v>32.799999999999997</v>
      </c>
    </row>
    <row r="335" spans="13:14">
      <c r="M335">
        <v>-0.470962296</v>
      </c>
      <c r="N335">
        <v>32.9</v>
      </c>
    </row>
    <row r="336" spans="13:14">
      <c r="M336">
        <v>-0.47087499999999999</v>
      </c>
      <c r="N336">
        <v>33</v>
      </c>
    </row>
    <row r="337" spans="13:14">
      <c r="M337">
        <v>-0.47087499999999999</v>
      </c>
      <c r="N337">
        <v>33.1</v>
      </c>
    </row>
    <row r="338" spans="13:14">
      <c r="M338">
        <v>-0.47005981600000002</v>
      </c>
      <c r="N338">
        <v>33.200000000000003</v>
      </c>
    </row>
    <row r="339" spans="13:14">
      <c r="M339">
        <v>-0.467840704</v>
      </c>
      <c r="N339">
        <v>33.299999999999997</v>
      </c>
    </row>
    <row r="340" spans="13:14">
      <c r="M340">
        <v>-0.46562159199999997</v>
      </c>
      <c r="N340">
        <v>33.4</v>
      </c>
    </row>
    <row r="341" spans="13:14">
      <c r="M341">
        <v>-0.46521400000000002</v>
      </c>
      <c r="N341">
        <v>33.5</v>
      </c>
    </row>
    <row r="342" spans="13:14">
      <c r="M342">
        <v>-0.46521400000000002</v>
      </c>
      <c r="N342">
        <v>33.6</v>
      </c>
    </row>
    <row r="343" spans="13:14">
      <c r="M343">
        <v>-0.464439616</v>
      </c>
      <c r="N343">
        <v>33.700000000000003</v>
      </c>
    </row>
    <row r="344" spans="13:14">
      <c r="M344">
        <v>-0.46152078400000002</v>
      </c>
      <c r="N344">
        <v>33.799999999999997</v>
      </c>
    </row>
    <row r="345" spans="13:14">
      <c r="M345">
        <v>-0.45860195199999998</v>
      </c>
      <c r="N345">
        <v>33.9</v>
      </c>
    </row>
    <row r="346" spans="13:14">
      <c r="M346">
        <v>-0.4552312</v>
      </c>
      <c r="N346">
        <v>34</v>
      </c>
    </row>
    <row r="347" spans="13:14">
      <c r="M347">
        <v>-0.45167967999999997</v>
      </c>
      <c r="N347">
        <v>34.1</v>
      </c>
    </row>
    <row r="348" spans="13:14">
      <c r="M348">
        <v>-0.44834089599999999</v>
      </c>
      <c r="N348">
        <v>34.200000000000003</v>
      </c>
    </row>
    <row r="349" spans="13:14">
      <c r="M349">
        <v>-0.44609238400000001</v>
      </c>
      <c r="N349">
        <v>34.299999999999997</v>
      </c>
    </row>
    <row r="350" spans="13:14">
      <c r="M350">
        <v>-0.44384387199999997</v>
      </c>
      <c r="N350">
        <v>34.4</v>
      </c>
    </row>
    <row r="351" spans="13:14">
      <c r="M351">
        <v>-0.44232784000000003</v>
      </c>
      <c r="N351">
        <v>34.5</v>
      </c>
    </row>
    <row r="352" spans="13:14">
      <c r="M352">
        <v>-0.44127571199999999</v>
      </c>
      <c r="N352">
        <v>34.6</v>
      </c>
    </row>
    <row r="353" spans="13:14">
      <c r="M353">
        <v>-0.44027964800000002</v>
      </c>
      <c r="N353">
        <v>34.700000000000003</v>
      </c>
    </row>
    <row r="354" spans="13:14">
      <c r="M354">
        <v>-0.440143232</v>
      </c>
      <c r="N354">
        <v>34.799999999999997</v>
      </c>
    </row>
    <row r="355" spans="13:14">
      <c r="M355">
        <v>-0.44000681600000002</v>
      </c>
      <c r="N355">
        <v>34.9</v>
      </c>
    </row>
    <row r="356" spans="13:14">
      <c r="M356">
        <v>-0.43537480000000001</v>
      </c>
      <c r="N356">
        <v>35</v>
      </c>
    </row>
    <row r="357" spans="13:14">
      <c r="M357">
        <v>-0.426427008</v>
      </c>
      <c r="N357">
        <v>35.1</v>
      </c>
    </row>
    <row r="358" spans="13:14">
      <c r="M358">
        <v>-0.41747921599999999</v>
      </c>
      <c r="N358">
        <v>35.200000000000003</v>
      </c>
    </row>
    <row r="359" spans="13:14">
      <c r="M359">
        <v>-0.41593260799999998</v>
      </c>
      <c r="N359">
        <v>35.299999999999997</v>
      </c>
    </row>
    <row r="360" spans="13:14">
      <c r="M360">
        <v>-0.41470094400000002</v>
      </c>
      <c r="N360">
        <v>35.4</v>
      </c>
    </row>
    <row r="361" spans="13:14">
      <c r="M361">
        <v>-0.41124016000000002</v>
      </c>
      <c r="N361">
        <v>35.5</v>
      </c>
    </row>
    <row r="362" spans="13:14">
      <c r="M362">
        <v>-0.40454715200000002</v>
      </c>
      <c r="N362">
        <v>35.6</v>
      </c>
    </row>
    <row r="363" spans="13:14">
      <c r="M363">
        <v>-0.39785414400000002</v>
      </c>
      <c r="N363">
        <v>35.700000000000003</v>
      </c>
    </row>
    <row r="364" spans="13:14">
      <c r="M364">
        <v>-0.39676292800000001</v>
      </c>
      <c r="N364">
        <v>35.799999999999997</v>
      </c>
    </row>
    <row r="365" spans="13:14">
      <c r="M365">
        <v>-0.39660534400000003</v>
      </c>
      <c r="N365">
        <v>35.9</v>
      </c>
    </row>
    <row r="366" spans="13:14">
      <c r="M366">
        <v>-0.39545883999999998</v>
      </c>
      <c r="N366">
        <v>36</v>
      </c>
    </row>
    <row r="367" spans="13:14">
      <c r="M367">
        <v>-0.39207078400000001</v>
      </c>
      <c r="N367">
        <v>36.1</v>
      </c>
    </row>
    <row r="368" spans="13:14">
      <c r="M368">
        <v>-0.38868272799999998</v>
      </c>
      <c r="N368">
        <v>36.200000000000003</v>
      </c>
    </row>
    <row r="369" spans="13:14">
      <c r="M369">
        <v>-0.38768102399999999</v>
      </c>
      <c r="N369">
        <v>36.299999999999997</v>
      </c>
    </row>
    <row r="370" spans="13:14">
      <c r="M370">
        <v>-0.38745327200000002</v>
      </c>
      <c r="N370">
        <v>36.4</v>
      </c>
    </row>
    <row r="371" spans="13:14">
      <c r="M371">
        <v>-0.38727200000000001</v>
      </c>
      <c r="N371">
        <v>36.5</v>
      </c>
    </row>
    <row r="372" spans="13:14">
      <c r="M372">
        <v>-0.38727200000000001</v>
      </c>
      <c r="N372">
        <v>36.6</v>
      </c>
    </row>
    <row r="373" spans="13:14">
      <c r="M373">
        <v>-0.38727200000000001</v>
      </c>
      <c r="N373">
        <v>36.700000000000003</v>
      </c>
    </row>
    <row r="374" spans="13:14">
      <c r="M374">
        <v>-0.38727200000000001</v>
      </c>
      <c r="N374">
        <v>36.799999999999997</v>
      </c>
    </row>
    <row r="375" spans="13:14">
      <c r="M375">
        <v>-0.38727200000000001</v>
      </c>
      <c r="N375">
        <v>36.9</v>
      </c>
    </row>
    <row r="376" spans="13:14">
      <c r="M376">
        <v>-0.38724196</v>
      </c>
      <c r="N376">
        <v>37</v>
      </c>
    </row>
    <row r="377" spans="13:14">
      <c r="M377">
        <v>-0.38694756800000002</v>
      </c>
      <c r="N377">
        <v>37.1</v>
      </c>
    </row>
    <row r="378" spans="13:14">
      <c r="M378">
        <v>-0.38665317599999999</v>
      </c>
      <c r="N378">
        <v>37.200000000000003</v>
      </c>
    </row>
    <row r="379" spans="13:14">
      <c r="M379">
        <v>-0.38306586399999998</v>
      </c>
      <c r="N379">
        <v>37.299999999999997</v>
      </c>
    </row>
    <row r="380" spans="13:14">
      <c r="M380">
        <v>-0.37679543199999999</v>
      </c>
      <c r="N380">
        <v>37.4</v>
      </c>
    </row>
    <row r="381" spans="13:14">
      <c r="M381">
        <v>-0.37052499999999999</v>
      </c>
      <c r="N381">
        <v>37.5</v>
      </c>
    </row>
    <row r="382" spans="13:14">
      <c r="M382">
        <v>-0.37028235199999998</v>
      </c>
      <c r="N382">
        <v>37.6</v>
      </c>
    </row>
    <row r="383" spans="13:14">
      <c r="M383">
        <v>-0.37003970400000002</v>
      </c>
      <c r="N383">
        <v>37.700000000000003</v>
      </c>
    </row>
    <row r="384" spans="13:14">
      <c r="M384">
        <v>-0.36872750399999998</v>
      </c>
      <c r="N384">
        <v>37.799999999999997</v>
      </c>
    </row>
    <row r="385" spans="13:14">
      <c r="M385">
        <v>-0.36610267200000002</v>
      </c>
      <c r="N385">
        <v>37.9</v>
      </c>
    </row>
    <row r="386" spans="13:14">
      <c r="M386">
        <v>-0.36347784</v>
      </c>
      <c r="N386">
        <v>38</v>
      </c>
    </row>
    <row r="387" spans="13:14">
      <c r="M387">
        <v>-0.35535265599999999</v>
      </c>
      <c r="N387">
        <v>38.1</v>
      </c>
    </row>
    <row r="388" spans="13:14">
      <c r="M388">
        <v>-0.34660243200000002</v>
      </c>
      <c r="N388">
        <v>38.200000000000003</v>
      </c>
    </row>
    <row r="389" spans="13:14">
      <c r="M389">
        <v>-0.34020310399999998</v>
      </c>
      <c r="N389">
        <v>38.299999999999997</v>
      </c>
    </row>
    <row r="390" spans="13:14">
      <c r="M390">
        <v>-0.33822899200000001</v>
      </c>
      <c r="N390">
        <v>38.4</v>
      </c>
    </row>
    <row r="391" spans="13:14">
      <c r="M391">
        <v>-0.33625487999999998</v>
      </c>
      <c r="N391">
        <v>38.5</v>
      </c>
    </row>
    <row r="392" spans="13:14">
      <c r="M392">
        <v>-0.33426953599999998</v>
      </c>
      <c r="N392">
        <v>38.6</v>
      </c>
    </row>
    <row r="393" spans="13:14">
      <c r="M393">
        <v>-0.332281312</v>
      </c>
      <c r="N393">
        <v>38.700000000000003</v>
      </c>
    </row>
    <row r="394" spans="13:14">
      <c r="M394">
        <v>-0.327981984</v>
      </c>
      <c r="N394">
        <v>38.799999999999997</v>
      </c>
    </row>
    <row r="395" spans="13:14">
      <c r="M395">
        <v>-0.316556752</v>
      </c>
      <c r="N395">
        <v>38.9</v>
      </c>
    </row>
    <row r="396" spans="13:14">
      <c r="M396">
        <v>-0.30513151999999999</v>
      </c>
      <c r="N396">
        <v>39</v>
      </c>
    </row>
    <row r="397" spans="13:14">
      <c r="M397">
        <v>-0.30122980799999999</v>
      </c>
      <c r="N397">
        <v>39.1</v>
      </c>
    </row>
    <row r="398" spans="13:14">
      <c r="M398">
        <v>-0.30064729600000001</v>
      </c>
      <c r="N398">
        <v>39.200000000000003</v>
      </c>
    </row>
    <row r="399" spans="13:14">
      <c r="M399">
        <v>-0.29959247999999999</v>
      </c>
      <c r="N399">
        <v>39.299999999999997</v>
      </c>
    </row>
    <row r="400" spans="13:14">
      <c r="M400">
        <v>-0.29570384</v>
      </c>
      <c r="N400">
        <v>39.4</v>
      </c>
    </row>
    <row r="401" spans="13:14">
      <c r="M401">
        <v>-0.2918152</v>
      </c>
      <c r="N401">
        <v>39.5</v>
      </c>
    </row>
    <row r="402" spans="13:14">
      <c r="M402">
        <v>-0.29022799999999999</v>
      </c>
      <c r="N402">
        <v>39.6</v>
      </c>
    </row>
    <row r="403" spans="13:14">
      <c r="M403">
        <v>-0.29022799999999999</v>
      </c>
      <c r="N403">
        <v>39.700000000000003</v>
      </c>
    </row>
    <row r="404" spans="13:14">
      <c r="M404">
        <v>-0.28995980799999999</v>
      </c>
      <c r="N404">
        <v>39.799999999999997</v>
      </c>
    </row>
    <row r="405" spans="13:14">
      <c r="M405">
        <v>-0.283389104</v>
      </c>
      <c r="N405">
        <v>39.9</v>
      </c>
    </row>
    <row r="406" spans="13:14">
      <c r="M406">
        <v>-0.27681840000000002</v>
      </c>
      <c r="N406">
        <v>40</v>
      </c>
    </row>
    <row r="407" spans="13:14">
      <c r="M407">
        <v>-0.27323214400000001</v>
      </c>
      <c r="N407">
        <v>40.1</v>
      </c>
    </row>
    <row r="408" spans="13:14">
      <c r="M408">
        <v>-0.27275468800000002</v>
      </c>
      <c r="N408">
        <v>40.200000000000003</v>
      </c>
    </row>
    <row r="409" spans="13:14">
      <c r="M409">
        <v>-0.27227723199999998</v>
      </c>
      <c r="N409">
        <v>40.299999999999997</v>
      </c>
    </row>
    <row r="410" spans="13:14">
      <c r="M410">
        <v>-0.27198819200000002</v>
      </c>
      <c r="N410">
        <v>40.4</v>
      </c>
    </row>
    <row r="411" spans="13:14">
      <c r="M411">
        <v>-0.27171144000000003</v>
      </c>
      <c r="N411">
        <v>40.5</v>
      </c>
    </row>
    <row r="412" spans="13:14">
      <c r="M412">
        <v>-0.26978503199999998</v>
      </c>
      <c r="N412">
        <v>40.6</v>
      </c>
    </row>
    <row r="413" spans="13:14">
      <c r="M413">
        <v>-0.26525390399999998</v>
      </c>
      <c r="N413">
        <v>40.700000000000003</v>
      </c>
    </row>
    <row r="414" spans="13:14">
      <c r="M414">
        <v>-0.26072277599999999</v>
      </c>
      <c r="N414">
        <v>40.799999999999997</v>
      </c>
    </row>
    <row r="415" spans="13:14">
      <c r="M415">
        <v>-0.25639795999999998</v>
      </c>
      <c r="N415">
        <v>40.9</v>
      </c>
    </row>
    <row r="416" spans="13:14">
      <c r="M416">
        <v>-0.25211339999999999</v>
      </c>
      <c r="N416">
        <v>41</v>
      </c>
    </row>
    <row r="417" spans="13:14">
      <c r="M417">
        <v>-0.24880951200000001</v>
      </c>
      <c r="N417">
        <v>41.1</v>
      </c>
    </row>
    <row r="418" spans="13:14">
      <c r="M418">
        <v>-0.24795730399999999</v>
      </c>
      <c r="N418">
        <v>41.2</v>
      </c>
    </row>
    <row r="419" spans="13:14">
      <c r="M419">
        <v>-0.247105096</v>
      </c>
      <c r="N419">
        <v>41.3</v>
      </c>
    </row>
    <row r="420" spans="13:14">
      <c r="M420">
        <v>-0.24641560800000001</v>
      </c>
      <c r="N420">
        <v>41.4</v>
      </c>
    </row>
    <row r="421" spans="13:14">
      <c r="M421">
        <v>-0.24578488000000001</v>
      </c>
      <c r="N421">
        <v>41.5</v>
      </c>
    </row>
    <row r="422" spans="13:14">
      <c r="M422">
        <v>-0.24492735199999999</v>
      </c>
      <c r="N422">
        <v>41.6</v>
      </c>
    </row>
    <row r="423" spans="13:14">
      <c r="M423">
        <v>-0.24306182400000001</v>
      </c>
      <c r="N423">
        <v>41.7</v>
      </c>
    </row>
    <row r="424" spans="13:14">
      <c r="M424">
        <v>-0.241196296</v>
      </c>
      <c r="N424">
        <v>41.8</v>
      </c>
    </row>
    <row r="425" spans="13:14">
      <c r="M425">
        <v>-0.23789633600000001</v>
      </c>
      <c r="N425">
        <v>41.9</v>
      </c>
    </row>
    <row r="426" spans="13:14">
      <c r="M426">
        <v>-0.23376348</v>
      </c>
      <c r="N426">
        <v>42</v>
      </c>
    </row>
    <row r="427" spans="13:14">
      <c r="M427">
        <v>-0.22970563199999999</v>
      </c>
      <c r="N427">
        <v>42.1</v>
      </c>
    </row>
    <row r="428" spans="13:14">
      <c r="M428">
        <v>-0.226491624</v>
      </c>
      <c r="N428">
        <v>42.2</v>
      </c>
    </row>
    <row r="429" spans="13:14">
      <c r="M429">
        <v>-0.22327761600000001</v>
      </c>
      <c r="N429">
        <v>42.3</v>
      </c>
    </row>
    <row r="430" spans="13:14">
      <c r="M430">
        <v>-0.221080728</v>
      </c>
      <c r="N430">
        <v>42.4</v>
      </c>
    </row>
    <row r="431" spans="13:14">
      <c r="M431">
        <v>-0.2197836</v>
      </c>
      <c r="N431">
        <v>42.5</v>
      </c>
    </row>
    <row r="432" spans="13:14">
      <c r="M432">
        <v>-0.21848647199999999</v>
      </c>
      <c r="N432">
        <v>42.6</v>
      </c>
    </row>
    <row r="433" spans="13:14">
      <c r="M433">
        <v>-0.215477472</v>
      </c>
      <c r="N433">
        <v>42.7</v>
      </c>
    </row>
    <row r="434" spans="13:14">
      <c r="M434">
        <v>-0.212432808</v>
      </c>
      <c r="N434">
        <v>42.8</v>
      </c>
    </row>
    <row r="435" spans="13:14">
      <c r="M435">
        <v>-0.208565952</v>
      </c>
      <c r="N435">
        <v>42.9</v>
      </c>
    </row>
    <row r="436" spans="13:14">
      <c r="M436">
        <v>-0.20360284000000001</v>
      </c>
      <c r="N436">
        <v>43</v>
      </c>
    </row>
    <row r="437" spans="13:14">
      <c r="M437">
        <v>-0.19863972799999999</v>
      </c>
      <c r="N437">
        <v>43.1</v>
      </c>
    </row>
    <row r="438" spans="13:14">
      <c r="M438">
        <v>-0.19803200000000001</v>
      </c>
      <c r="N438">
        <v>43.2</v>
      </c>
    </row>
    <row r="439" spans="13:14">
      <c r="M439">
        <v>-0.19803200000000001</v>
      </c>
      <c r="N439">
        <v>43.3</v>
      </c>
    </row>
    <row r="440" spans="13:14">
      <c r="M440">
        <v>-0.196607744</v>
      </c>
      <c r="N440">
        <v>43.4</v>
      </c>
    </row>
    <row r="441" spans="13:14">
      <c r="M441">
        <v>-0.19224595999999999</v>
      </c>
      <c r="N441">
        <v>43.5</v>
      </c>
    </row>
    <row r="442" spans="13:14">
      <c r="M442">
        <v>-0.18788417600000001</v>
      </c>
      <c r="N442">
        <v>43.6</v>
      </c>
    </row>
    <row r="443" spans="13:14">
      <c r="M443">
        <v>-0.184982808</v>
      </c>
      <c r="N443">
        <v>43.7</v>
      </c>
    </row>
    <row r="444" spans="13:14">
      <c r="M444">
        <v>-0.18250419200000001</v>
      </c>
      <c r="N444">
        <v>43.8</v>
      </c>
    </row>
    <row r="445" spans="13:14">
      <c r="M445">
        <v>-0.18058199999999999</v>
      </c>
      <c r="N445">
        <v>43.9</v>
      </c>
    </row>
    <row r="446" spans="13:14">
      <c r="M446">
        <v>-0.18058199999999999</v>
      </c>
      <c r="N446">
        <v>44</v>
      </c>
    </row>
    <row r="447" spans="13:14">
      <c r="M447">
        <v>-0.18058199999999999</v>
      </c>
      <c r="N447">
        <v>44.1</v>
      </c>
    </row>
    <row r="448" spans="13:14">
      <c r="M448">
        <v>-0.177032784</v>
      </c>
      <c r="N448">
        <v>44.2</v>
      </c>
    </row>
    <row r="449" spans="13:14">
      <c r="M449">
        <v>-0.171762736</v>
      </c>
      <c r="N449">
        <v>44.3</v>
      </c>
    </row>
    <row r="450" spans="13:14">
      <c r="M450">
        <v>-0.16713800000000001</v>
      </c>
      <c r="N450">
        <v>44.4</v>
      </c>
    </row>
    <row r="451" spans="13:14">
      <c r="M451">
        <v>-0.16713800000000001</v>
      </c>
      <c r="N451">
        <v>44.5</v>
      </c>
    </row>
    <row r="452" spans="13:14">
      <c r="M452">
        <v>-0.16713800000000001</v>
      </c>
      <c r="N452">
        <v>44.6</v>
      </c>
    </row>
    <row r="453" spans="13:14">
      <c r="M453">
        <v>-0.166219376</v>
      </c>
      <c r="N453">
        <v>44.7</v>
      </c>
    </row>
    <row r="454" spans="13:14">
      <c r="M454">
        <v>-0.16461178400000001</v>
      </c>
      <c r="N454">
        <v>44.8</v>
      </c>
    </row>
    <row r="455" spans="13:14">
      <c r="M455">
        <v>-0.162923608</v>
      </c>
      <c r="N455">
        <v>44.9</v>
      </c>
    </row>
    <row r="456" spans="13:14">
      <c r="M456">
        <v>-0.15736739999999999</v>
      </c>
      <c r="N456">
        <v>45</v>
      </c>
    </row>
    <row r="457" spans="13:14">
      <c r="M457">
        <v>-0.15181119200000001</v>
      </c>
      <c r="N457">
        <v>45.1</v>
      </c>
    </row>
    <row r="458" spans="13:14">
      <c r="M458">
        <v>-0.14877376</v>
      </c>
      <c r="N458">
        <v>45.2</v>
      </c>
    </row>
    <row r="459" spans="13:14">
      <c r="M459">
        <v>-0.14858363999999999</v>
      </c>
      <c r="N459">
        <v>45.3</v>
      </c>
    </row>
    <row r="460" spans="13:14">
      <c r="M460">
        <v>-0.14839352</v>
      </c>
      <c r="N460">
        <v>45.4</v>
      </c>
    </row>
    <row r="461" spans="13:14">
      <c r="M461">
        <v>-0.14193220000000001</v>
      </c>
      <c r="N461">
        <v>45.5</v>
      </c>
    </row>
    <row r="462" spans="13:14">
      <c r="M462">
        <v>-0.13491344</v>
      </c>
      <c r="N462">
        <v>45.6</v>
      </c>
    </row>
    <row r="463" spans="13:14">
      <c r="M463">
        <v>-0.130335336</v>
      </c>
      <c r="N463">
        <v>45.7</v>
      </c>
    </row>
    <row r="464" spans="13:14">
      <c r="M464">
        <v>-0.12996058399999999</v>
      </c>
      <c r="N464">
        <v>45.8</v>
      </c>
    </row>
    <row r="465" spans="13:14">
      <c r="M465">
        <v>-0.12958583200000001</v>
      </c>
      <c r="N465">
        <v>45.9</v>
      </c>
    </row>
    <row r="466" spans="13:14">
      <c r="M466">
        <v>-0.12704180000000001</v>
      </c>
      <c r="N466">
        <v>46</v>
      </c>
    </row>
    <row r="467" spans="13:14">
      <c r="M467">
        <v>-0.12400968</v>
      </c>
      <c r="N467">
        <v>46.1</v>
      </c>
    </row>
    <row r="468" spans="13:14">
      <c r="M468">
        <v>-0.119535184</v>
      </c>
      <c r="N468">
        <v>46.2</v>
      </c>
    </row>
    <row r="469" spans="13:14">
      <c r="M469">
        <v>-0.111066416</v>
      </c>
      <c r="N469">
        <v>46.3</v>
      </c>
    </row>
    <row r="470" spans="13:14">
      <c r="M470">
        <v>-0.102597648</v>
      </c>
      <c r="N470">
        <v>46.4</v>
      </c>
    </row>
    <row r="471" spans="13:14">
      <c r="M471">
        <v>-9.9449720000000005E-2</v>
      </c>
      <c r="N471">
        <v>46.5</v>
      </c>
    </row>
    <row r="472" spans="13:14">
      <c r="M472">
        <v>-9.8430128000000006E-2</v>
      </c>
      <c r="N472">
        <v>46.6</v>
      </c>
    </row>
    <row r="473" spans="13:14">
      <c r="M473">
        <v>-9.7543656000000006E-2</v>
      </c>
      <c r="N473">
        <v>46.7</v>
      </c>
    </row>
    <row r="474" spans="13:14">
      <c r="M474">
        <v>-9.7339423999999994E-2</v>
      </c>
      <c r="N474">
        <v>46.8</v>
      </c>
    </row>
    <row r="475" spans="13:14">
      <c r="M475">
        <v>-9.7135191999999995E-2</v>
      </c>
      <c r="N475">
        <v>46.9</v>
      </c>
    </row>
    <row r="476" spans="13:14">
      <c r="M476">
        <v>-9.4705199999999906E-2</v>
      </c>
      <c r="N476">
        <v>47</v>
      </c>
    </row>
    <row r="477" spans="13:14">
      <c r="M477">
        <v>-9.0865559999999998E-2</v>
      </c>
      <c r="N477">
        <v>47.1</v>
      </c>
    </row>
    <row r="478" spans="13:14">
      <c r="M478">
        <v>-8.7105671999999995E-2</v>
      </c>
      <c r="N478">
        <v>47.2</v>
      </c>
    </row>
    <row r="479" spans="13:14">
      <c r="M479">
        <v>-8.4568647999999802E-2</v>
      </c>
      <c r="N479">
        <v>47.3</v>
      </c>
    </row>
    <row r="480" spans="13:14">
      <c r="M480">
        <v>-8.20316239999999E-2</v>
      </c>
      <c r="N480">
        <v>47.4</v>
      </c>
    </row>
    <row r="481" spans="13:14">
      <c r="M481">
        <v>-7.7359199999999698E-2</v>
      </c>
      <c r="N481">
        <v>47.5</v>
      </c>
    </row>
    <row r="482" spans="13:14">
      <c r="M482">
        <v>-7.0636791999999796E-2</v>
      </c>
      <c r="N482">
        <v>47.6</v>
      </c>
    </row>
    <row r="483" spans="13:14">
      <c r="M483">
        <v>-6.3914383999999894E-2</v>
      </c>
      <c r="N483">
        <v>47.7</v>
      </c>
    </row>
    <row r="484" spans="13:14">
      <c r="M484">
        <v>-6.3640000000000002E-2</v>
      </c>
      <c r="N484">
        <v>47.8</v>
      </c>
    </row>
    <row r="485" spans="13:14">
      <c r="M485">
        <v>-6.3640000000000002E-2</v>
      </c>
      <c r="N485">
        <v>47.9</v>
      </c>
    </row>
    <row r="486" spans="13:14">
      <c r="M486">
        <v>-6.3050079999999994E-2</v>
      </c>
      <c r="N486">
        <v>48</v>
      </c>
    </row>
    <row r="487" spans="13:14">
      <c r="M487">
        <v>-6.1604776E-2</v>
      </c>
      <c r="N487">
        <v>48.1</v>
      </c>
    </row>
    <row r="488" spans="13:14">
      <c r="M488">
        <v>-6.0159471999999999E-2</v>
      </c>
      <c r="N488">
        <v>48.2</v>
      </c>
    </row>
    <row r="489" spans="13:14">
      <c r="M489">
        <v>-5.1073864000000399E-2</v>
      </c>
      <c r="N489">
        <v>48.3</v>
      </c>
    </row>
    <row r="490" spans="13:14">
      <c r="M490">
        <v>-4.0714871999999798E-2</v>
      </c>
      <c r="N490">
        <v>48.4</v>
      </c>
    </row>
    <row r="491" spans="13:14">
      <c r="M491">
        <v>-3.2928319999999997E-2</v>
      </c>
      <c r="N491">
        <v>48.5</v>
      </c>
    </row>
    <row r="492" spans="13:14">
      <c r="M492">
        <v>-3.0972632E-2</v>
      </c>
      <c r="N492">
        <v>48.6</v>
      </c>
    </row>
    <row r="493" spans="13:14">
      <c r="M493">
        <v>-2.9016943999999999E-2</v>
      </c>
      <c r="N493">
        <v>48.7</v>
      </c>
    </row>
    <row r="494" spans="13:14">
      <c r="M494">
        <v>-2.8538000000000001E-2</v>
      </c>
      <c r="N494">
        <v>48.8</v>
      </c>
    </row>
    <row r="495" spans="13:14">
      <c r="M495">
        <v>-2.8538000000000001E-2</v>
      </c>
      <c r="N495">
        <v>48.9</v>
      </c>
    </row>
    <row r="496" spans="13:14">
      <c r="M496">
        <v>-2.8386000000000002E-2</v>
      </c>
      <c r="N496">
        <v>49</v>
      </c>
    </row>
    <row r="497" spans="13:14">
      <c r="M497">
        <v>-2.7641200000000001E-2</v>
      </c>
      <c r="N497">
        <v>49.1</v>
      </c>
    </row>
    <row r="498" spans="13:14">
      <c r="M498">
        <v>-2.6896400000000001E-2</v>
      </c>
      <c r="N498">
        <v>49.2</v>
      </c>
    </row>
    <row r="499" spans="13:14">
      <c r="M499">
        <v>-2.6637999999999998E-2</v>
      </c>
      <c r="N499">
        <v>49.3</v>
      </c>
    </row>
    <row r="500" spans="13:14">
      <c r="M500">
        <v>-2.6637999999999998E-2</v>
      </c>
      <c r="N500">
        <v>49.4</v>
      </c>
    </row>
    <row r="501" spans="13:14">
      <c r="M501">
        <v>-2.662024E-2</v>
      </c>
      <c r="N501">
        <v>49.5</v>
      </c>
    </row>
    <row r="502" spans="13:14">
      <c r="M502">
        <v>-2.6446192E-2</v>
      </c>
      <c r="N502">
        <v>49.6</v>
      </c>
    </row>
    <row r="503" spans="13:14">
      <c r="M503">
        <v>-2.6272144000000001E-2</v>
      </c>
      <c r="N503">
        <v>49.7</v>
      </c>
    </row>
    <row r="504" spans="13:14">
      <c r="M504">
        <v>-2.40717999999999E-2</v>
      </c>
      <c r="N504">
        <v>49.8</v>
      </c>
    </row>
    <row r="505" spans="13:14">
      <c r="M505">
        <v>-2.0220399999999999E-2</v>
      </c>
      <c r="N505">
        <v>49.9</v>
      </c>
    </row>
    <row r="506" spans="13:14">
      <c r="M506">
        <v>-1.6369000000000002E-2</v>
      </c>
      <c r="N506">
        <v>50</v>
      </c>
    </row>
    <row r="507" spans="13:14">
      <c r="M507">
        <v>-1.5040120000000001E-2</v>
      </c>
      <c r="N507">
        <v>50.1</v>
      </c>
    </row>
    <row r="508" spans="13:14">
      <c r="M508">
        <v>-1.371124E-2</v>
      </c>
      <c r="N508">
        <v>50.2</v>
      </c>
    </row>
    <row r="509" spans="13:14">
      <c r="M509">
        <v>-1.2978999999999999E-2</v>
      </c>
      <c r="N509">
        <v>50.3</v>
      </c>
    </row>
    <row r="510" spans="13:14">
      <c r="M510">
        <v>-1.2978999999999999E-2</v>
      </c>
      <c r="N510">
        <v>50.4</v>
      </c>
    </row>
    <row r="511" spans="13:14">
      <c r="M511">
        <v>-1.2978999999999999E-2</v>
      </c>
      <c r="N511">
        <v>50.5</v>
      </c>
    </row>
    <row r="512" spans="13:14">
      <c r="M512">
        <v>-1.2781880000000001E-2</v>
      </c>
      <c r="N512">
        <v>50.6</v>
      </c>
    </row>
    <row r="513" spans="13:14">
      <c r="M513">
        <v>-1.256236E-2</v>
      </c>
      <c r="N513">
        <v>50.7</v>
      </c>
    </row>
    <row r="514" spans="13:14">
      <c r="M514">
        <v>-1.1956872E-2</v>
      </c>
      <c r="N514">
        <v>50.8</v>
      </c>
    </row>
    <row r="515" spans="13:14">
      <c r="M515">
        <v>-1.0624856E-2</v>
      </c>
      <c r="N515">
        <v>50.9</v>
      </c>
    </row>
    <row r="516" spans="13:14">
      <c r="M516">
        <v>-9.2928399999999394E-3</v>
      </c>
      <c r="N516">
        <v>51</v>
      </c>
    </row>
    <row r="517" spans="13:14">
      <c r="M517">
        <v>-8.8556399999999893E-3</v>
      </c>
      <c r="N517">
        <v>51.1</v>
      </c>
    </row>
    <row r="518" spans="13:14">
      <c r="M518">
        <v>-8.6478800000000002E-3</v>
      </c>
      <c r="N518">
        <v>51.2</v>
      </c>
    </row>
    <row r="519" spans="13:14">
      <c r="M519">
        <v>-3.6616239999998201E-3</v>
      </c>
      <c r="N519">
        <v>51.3</v>
      </c>
    </row>
    <row r="520" spans="13:14">
      <c r="M520">
        <v>1.6058328E-2</v>
      </c>
      <c r="N520">
        <v>51.4</v>
      </c>
    </row>
    <row r="521" spans="13:14">
      <c r="M521">
        <v>3.5778279999999801E-2</v>
      </c>
      <c r="N521">
        <v>51.5</v>
      </c>
    </row>
    <row r="522" spans="13:14">
      <c r="M522">
        <v>4.2052456000000002E-2</v>
      </c>
      <c r="N522">
        <v>51.6</v>
      </c>
    </row>
    <row r="523" spans="13:14">
      <c r="M523">
        <v>4.2394672000000001E-2</v>
      </c>
      <c r="N523">
        <v>51.7</v>
      </c>
    </row>
    <row r="524" spans="13:14">
      <c r="M524">
        <v>4.3031728000000102E-2</v>
      </c>
      <c r="N524">
        <v>51.8</v>
      </c>
    </row>
    <row r="525" spans="13:14">
      <c r="M525">
        <v>4.5437824000000002E-2</v>
      </c>
      <c r="N525">
        <v>51.9</v>
      </c>
    </row>
    <row r="526" spans="13:14">
      <c r="M526">
        <v>4.7843919999999998E-2</v>
      </c>
      <c r="N526">
        <v>52</v>
      </c>
    </row>
    <row r="527" spans="13:14">
      <c r="M527">
        <v>4.9673728E-2</v>
      </c>
      <c r="N527">
        <v>52.1</v>
      </c>
    </row>
    <row r="528" spans="13:14">
      <c r="M528">
        <v>5.1106095999999997E-2</v>
      </c>
      <c r="N528">
        <v>52.2</v>
      </c>
    </row>
    <row r="529" spans="13:14">
      <c r="M529">
        <v>5.2501312000000001E-2</v>
      </c>
      <c r="N529">
        <v>52.3</v>
      </c>
    </row>
    <row r="530" spans="13:14">
      <c r="M530">
        <v>5.3023455999999997E-2</v>
      </c>
      <c r="N530">
        <v>52.4</v>
      </c>
    </row>
    <row r="531" spans="13:14">
      <c r="M531">
        <v>5.3545599999999999E-2</v>
      </c>
      <c r="N531">
        <v>52.5</v>
      </c>
    </row>
    <row r="532" spans="13:14">
      <c r="M532">
        <v>5.6127328000000101E-2</v>
      </c>
      <c r="N532">
        <v>52.6</v>
      </c>
    </row>
    <row r="533" spans="13:14">
      <c r="M533">
        <v>6.0854456000000001E-2</v>
      </c>
      <c r="N533">
        <v>52.7</v>
      </c>
    </row>
    <row r="534" spans="13:14">
      <c r="M534">
        <v>6.5581583999999998E-2</v>
      </c>
      <c r="N534">
        <v>52.8</v>
      </c>
    </row>
    <row r="535" spans="13:14">
      <c r="M535">
        <v>6.6177912000000005E-2</v>
      </c>
      <c r="N535">
        <v>52.9</v>
      </c>
    </row>
    <row r="536" spans="13:14">
      <c r="M536">
        <v>6.6504839999999996E-2</v>
      </c>
      <c r="N536">
        <v>53</v>
      </c>
    </row>
    <row r="537" spans="13:14">
      <c r="M537">
        <v>6.8135016000000104E-2</v>
      </c>
      <c r="N537">
        <v>53.1</v>
      </c>
    </row>
    <row r="538" spans="13:14">
      <c r="M538">
        <v>7.1822952000000106E-2</v>
      </c>
      <c r="N538">
        <v>53.2</v>
      </c>
    </row>
    <row r="539" spans="13:14">
      <c r="M539">
        <v>7.5510888000000095E-2</v>
      </c>
      <c r="N539">
        <v>53.3</v>
      </c>
    </row>
    <row r="540" spans="13:14">
      <c r="M540">
        <v>7.6113E-2</v>
      </c>
      <c r="N540">
        <v>53.4</v>
      </c>
    </row>
    <row r="541" spans="13:14">
      <c r="M541">
        <v>7.6113E-2</v>
      </c>
      <c r="N541">
        <v>53.5</v>
      </c>
    </row>
    <row r="542" spans="13:14">
      <c r="M542">
        <v>7.7518936000000302E-2</v>
      </c>
      <c r="N542">
        <v>53.6</v>
      </c>
    </row>
    <row r="543" spans="13:14">
      <c r="M543">
        <v>8.2439712000000206E-2</v>
      </c>
      <c r="N543">
        <v>53.7</v>
      </c>
    </row>
    <row r="544" spans="13:14">
      <c r="M544">
        <v>8.7360488000000194E-2</v>
      </c>
      <c r="N544">
        <v>53.8</v>
      </c>
    </row>
    <row r="545" spans="13:14">
      <c r="M545">
        <v>8.8818928000000005E-2</v>
      </c>
      <c r="N545">
        <v>53.9</v>
      </c>
    </row>
    <row r="546" spans="13:14">
      <c r="M546">
        <v>8.9027079999999995E-2</v>
      </c>
      <c r="N546">
        <v>54</v>
      </c>
    </row>
    <row r="547" spans="13:14">
      <c r="M547">
        <v>8.9279512000000005E-2</v>
      </c>
      <c r="N547">
        <v>54.1</v>
      </c>
    </row>
    <row r="548" spans="13:14">
      <c r="M548">
        <v>8.9728743999999999E-2</v>
      </c>
      <c r="N548">
        <v>54.2</v>
      </c>
    </row>
    <row r="549" spans="13:14">
      <c r="M549">
        <v>9.0177976000000007E-2</v>
      </c>
      <c r="N549">
        <v>54.3</v>
      </c>
    </row>
    <row r="550" spans="13:14">
      <c r="M550">
        <v>9.0403512000000005E-2</v>
      </c>
      <c r="N550">
        <v>54.4</v>
      </c>
    </row>
    <row r="551" spans="13:14">
      <c r="M551">
        <v>9.0499159999999995E-2</v>
      </c>
      <c r="N551">
        <v>54.5</v>
      </c>
    </row>
    <row r="552" spans="13:14">
      <c r="M552">
        <v>9.0889592000000102E-2</v>
      </c>
      <c r="N552">
        <v>54.6</v>
      </c>
    </row>
    <row r="553" spans="13:14">
      <c r="M553">
        <v>9.4596344000000096E-2</v>
      </c>
      <c r="N553">
        <v>54.7</v>
      </c>
    </row>
    <row r="554" spans="13:14">
      <c r="M554">
        <v>9.8303096000000298E-2</v>
      </c>
      <c r="N554">
        <v>54.8</v>
      </c>
    </row>
    <row r="555" spans="13:14">
      <c r="M555">
        <v>0.100824872</v>
      </c>
      <c r="N555">
        <v>54.9</v>
      </c>
    </row>
    <row r="556" spans="13:14">
      <c r="M556">
        <v>0.1022984</v>
      </c>
      <c r="N556">
        <v>55</v>
      </c>
    </row>
    <row r="557" spans="13:14">
      <c r="M557">
        <v>0.103771928</v>
      </c>
      <c r="N557">
        <v>55.1</v>
      </c>
    </row>
    <row r="558" spans="13:14">
      <c r="M558">
        <v>0.10380200000000001</v>
      </c>
      <c r="N558">
        <v>55.2</v>
      </c>
    </row>
    <row r="559" spans="13:14">
      <c r="M559">
        <v>0.10380200000000001</v>
      </c>
      <c r="N559">
        <v>55.3</v>
      </c>
    </row>
    <row r="560" spans="13:14">
      <c r="M560">
        <v>0.104890304</v>
      </c>
      <c r="N560">
        <v>55.4</v>
      </c>
    </row>
    <row r="561" spans="13:14">
      <c r="M561">
        <v>0.10742968</v>
      </c>
      <c r="N561">
        <v>55.5</v>
      </c>
    </row>
    <row r="562" spans="13:14">
      <c r="M562">
        <v>0.109969056</v>
      </c>
      <c r="N562">
        <v>55.6</v>
      </c>
    </row>
    <row r="563" spans="13:14">
      <c r="M563">
        <v>0.11028</v>
      </c>
      <c r="N563">
        <v>55.7</v>
      </c>
    </row>
    <row r="564" spans="13:14">
      <c r="M564">
        <v>0.11028</v>
      </c>
      <c r="N564">
        <v>55.8</v>
      </c>
    </row>
    <row r="565" spans="13:14">
      <c r="M565">
        <v>0.11091168</v>
      </c>
      <c r="N565">
        <v>55.9</v>
      </c>
    </row>
    <row r="566" spans="13:14">
      <c r="M566">
        <v>0.11284619999999999</v>
      </c>
      <c r="N566">
        <v>56</v>
      </c>
    </row>
    <row r="567" spans="13:14">
      <c r="M567">
        <v>0.11478072</v>
      </c>
      <c r="N567">
        <v>56.1</v>
      </c>
    </row>
    <row r="568" spans="13:14">
      <c r="M568">
        <v>0.115615064</v>
      </c>
      <c r="N568">
        <v>56.2</v>
      </c>
    </row>
    <row r="569" spans="13:14">
      <c r="M569">
        <v>0.116130936</v>
      </c>
      <c r="N569">
        <v>56.3</v>
      </c>
    </row>
    <row r="570" spans="13:14">
      <c r="M570">
        <v>0.11705099200000001</v>
      </c>
      <c r="N570">
        <v>56.4</v>
      </c>
    </row>
    <row r="571" spans="13:14">
      <c r="M571">
        <v>0.11936732</v>
      </c>
      <c r="N571">
        <v>56.5</v>
      </c>
    </row>
    <row r="572" spans="13:14">
      <c r="M572">
        <v>0.12168364800000001</v>
      </c>
      <c r="N572">
        <v>56.6</v>
      </c>
    </row>
    <row r="573" spans="13:14">
      <c r="M573">
        <v>0.12291256</v>
      </c>
      <c r="N573">
        <v>56.7</v>
      </c>
    </row>
    <row r="574" spans="13:14">
      <c r="M574">
        <v>0.12361424</v>
      </c>
      <c r="N574">
        <v>56.8</v>
      </c>
    </row>
    <row r="575" spans="13:14">
      <c r="M575">
        <v>0.12443856</v>
      </c>
      <c r="N575">
        <v>56.9</v>
      </c>
    </row>
    <row r="576" spans="13:14">
      <c r="M576">
        <v>0.1261418</v>
      </c>
      <c r="N576">
        <v>57</v>
      </c>
    </row>
    <row r="577" spans="13:14">
      <c r="M577">
        <v>0.12784503999999999</v>
      </c>
      <c r="N577">
        <v>57.1</v>
      </c>
    </row>
    <row r="578" spans="13:14">
      <c r="M578">
        <v>0.12890607200000001</v>
      </c>
      <c r="N578">
        <v>57.2</v>
      </c>
    </row>
    <row r="579" spans="13:14">
      <c r="M579">
        <v>0.129485448</v>
      </c>
      <c r="N579">
        <v>57.3</v>
      </c>
    </row>
    <row r="580" spans="13:14">
      <c r="M580">
        <v>0.13008518399999999</v>
      </c>
      <c r="N580">
        <v>57.4</v>
      </c>
    </row>
    <row r="581" spans="13:14">
      <c r="M581">
        <v>0.13166220000000001</v>
      </c>
      <c r="N581">
        <v>57.5</v>
      </c>
    </row>
    <row r="582" spans="13:14">
      <c r="M582">
        <v>0.13323921599999999</v>
      </c>
      <c r="N582">
        <v>57.6</v>
      </c>
    </row>
    <row r="583" spans="13:14">
      <c r="M583">
        <v>0.13516049599999999</v>
      </c>
      <c r="N583">
        <v>57.7</v>
      </c>
    </row>
    <row r="584" spans="13:14">
      <c r="M584">
        <v>0.13747094400000001</v>
      </c>
      <c r="N584">
        <v>57.8</v>
      </c>
    </row>
    <row r="585" spans="13:14">
      <c r="M585">
        <v>0.139781392</v>
      </c>
      <c r="N585">
        <v>57.9</v>
      </c>
    </row>
    <row r="586" spans="13:14">
      <c r="M586">
        <v>0.14107664</v>
      </c>
      <c r="N586">
        <v>58</v>
      </c>
    </row>
    <row r="587" spans="13:14">
      <c r="M587">
        <v>0.14228164800000001</v>
      </c>
      <c r="N587">
        <v>58.1</v>
      </c>
    </row>
    <row r="588" spans="13:14">
      <c r="M588">
        <v>0.14635398399999899</v>
      </c>
      <c r="N588">
        <v>58.2</v>
      </c>
    </row>
    <row r="589" spans="13:14">
      <c r="M589">
        <v>0.15536449599999899</v>
      </c>
      <c r="N589">
        <v>58.3</v>
      </c>
    </row>
    <row r="590" spans="13:14">
      <c r="M590">
        <v>0.16437500799999999</v>
      </c>
      <c r="N590">
        <v>58.4</v>
      </c>
    </row>
    <row r="591" spans="13:14">
      <c r="M591">
        <v>0.16661335999999999</v>
      </c>
      <c r="N591">
        <v>58.5</v>
      </c>
    </row>
    <row r="592" spans="13:14">
      <c r="M592">
        <v>0.16732797599999999</v>
      </c>
      <c r="N592">
        <v>58.6</v>
      </c>
    </row>
    <row r="593" spans="13:14">
      <c r="M593">
        <v>0.16839847999999999</v>
      </c>
      <c r="N593">
        <v>58.7</v>
      </c>
    </row>
    <row r="594" spans="13:14">
      <c r="M594">
        <v>0.17045452</v>
      </c>
      <c r="N594">
        <v>58.8</v>
      </c>
    </row>
    <row r="595" spans="13:14">
      <c r="M595">
        <v>0.17251056000000001</v>
      </c>
      <c r="N595">
        <v>58.9</v>
      </c>
    </row>
    <row r="596" spans="13:14">
      <c r="M596">
        <v>0.17570060000000001</v>
      </c>
      <c r="N596">
        <v>59</v>
      </c>
    </row>
    <row r="597" spans="13:14">
      <c r="M597">
        <v>0.17934423999999999</v>
      </c>
      <c r="N597">
        <v>59.1</v>
      </c>
    </row>
    <row r="598" spans="13:14">
      <c r="M598">
        <v>0.182778408</v>
      </c>
      <c r="N598">
        <v>59.2</v>
      </c>
    </row>
    <row r="599" spans="13:14">
      <c r="M599">
        <v>0.18513903200000001</v>
      </c>
      <c r="N599">
        <v>59.3</v>
      </c>
    </row>
    <row r="600" spans="13:14">
      <c r="M600">
        <v>0.18749965599999999</v>
      </c>
      <c r="N600">
        <v>59.4</v>
      </c>
    </row>
    <row r="601" spans="13:14">
      <c r="M601">
        <v>0.19034556</v>
      </c>
      <c r="N601">
        <v>59.5</v>
      </c>
    </row>
    <row r="602" spans="13:14">
      <c r="M602">
        <v>0.19349880799999999</v>
      </c>
      <c r="N602">
        <v>59.6</v>
      </c>
    </row>
    <row r="603" spans="13:14">
      <c r="M603">
        <v>0.19648602400000001</v>
      </c>
      <c r="N603">
        <v>59.7</v>
      </c>
    </row>
    <row r="604" spans="13:14">
      <c r="M604">
        <v>0.19692741599999999</v>
      </c>
      <c r="N604">
        <v>59.8</v>
      </c>
    </row>
    <row r="605" spans="13:14">
      <c r="M605">
        <v>0.19736880800000001</v>
      </c>
      <c r="N605">
        <v>59.9</v>
      </c>
    </row>
    <row r="606" spans="13:14">
      <c r="M606">
        <v>0.19758500000000001</v>
      </c>
      <c r="N606">
        <v>60</v>
      </c>
    </row>
    <row r="607" spans="13:14">
      <c r="M607">
        <v>0.19758500000000001</v>
      </c>
      <c r="N607">
        <v>60.1</v>
      </c>
    </row>
    <row r="608" spans="13:14">
      <c r="M608">
        <v>0.19758500000000001</v>
      </c>
      <c r="N608">
        <v>60.2</v>
      </c>
    </row>
    <row r="609" spans="13:14">
      <c r="M609">
        <v>0.198546056</v>
      </c>
      <c r="N609">
        <v>60.3</v>
      </c>
    </row>
    <row r="610" spans="13:14">
      <c r="M610">
        <v>0.199548008</v>
      </c>
      <c r="N610">
        <v>60.4</v>
      </c>
    </row>
    <row r="611" spans="13:14">
      <c r="M611">
        <v>0.20014100000000001</v>
      </c>
      <c r="N611">
        <v>60.5</v>
      </c>
    </row>
    <row r="612" spans="13:14">
      <c r="M612">
        <v>0.20014100000000001</v>
      </c>
      <c r="N612">
        <v>60.6</v>
      </c>
    </row>
    <row r="613" spans="13:14">
      <c r="M613">
        <v>0.20014100000000001</v>
      </c>
      <c r="N613">
        <v>60.7</v>
      </c>
    </row>
    <row r="614" spans="13:14">
      <c r="M614">
        <v>0.20676456800000001</v>
      </c>
      <c r="N614">
        <v>60.8</v>
      </c>
    </row>
    <row r="615" spans="13:14">
      <c r="M615">
        <v>0.21449206400000001</v>
      </c>
      <c r="N615">
        <v>60.9</v>
      </c>
    </row>
    <row r="616" spans="13:14">
      <c r="M616">
        <v>0.22113811999999999</v>
      </c>
      <c r="N616">
        <v>61</v>
      </c>
    </row>
    <row r="617" spans="13:14">
      <c r="M617">
        <v>0.225332912</v>
      </c>
      <c r="N617">
        <v>61.1</v>
      </c>
    </row>
    <row r="618" spans="13:14">
      <c r="M618">
        <v>0.229527704</v>
      </c>
      <c r="N618">
        <v>61.2</v>
      </c>
    </row>
    <row r="619" spans="13:14">
      <c r="M619">
        <v>0.233775184</v>
      </c>
      <c r="N619">
        <v>61.3</v>
      </c>
    </row>
    <row r="620" spans="13:14">
      <c r="M620">
        <v>0.23803975199999999</v>
      </c>
      <c r="N620">
        <v>61.4</v>
      </c>
    </row>
    <row r="621" spans="13:14">
      <c r="M621">
        <v>0.24169328000000001</v>
      </c>
      <c r="N621">
        <v>61.5</v>
      </c>
    </row>
    <row r="622" spans="13:14">
      <c r="M622">
        <v>0.24296375200000001</v>
      </c>
      <c r="N622">
        <v>61.6</v>
      </c>
    </row>
    <row r="623" spans="13:14">
      <c r="M623">
        <v>0.244234224</v>
      </c>
      <c r="N623">
        <v>61.7</v>
      </c>
    </row>
    <row r="624" spans="13:14">
      <c r="M624">
        <v>0.24619538399999999</v>
      </c>
      <c r="N624">
        <v>61.8</v>
      </c>
    </row>
    <row r="625" spans="13:14">
      <c r="M625">
        <v>0.248523472</v>
      </c>
      <c r="N625">
        <v>61.9</v>
      </c>
    </row>
    <row r="626" spans="13:14">
      <c r="M626">
        <v>0.25106620000000002</v>
      </c>
      <c r="N626">
        <v>62</v>
      </c>
    </row>
    <row r="627" spans="13:14">
      <c r="M627">
        <v>0.25549776000000002</v>
      </c>
      <c r="N627">
        <v>62.1</v>
      </c>
    </row>
    <row r="628" spans="13:14">
      <c r="M628">
        <v>0.25992932000000002</v>
      </c>
      <c r="N628">
        <v>62.2</v>
      </c>
    </row>
    <row r="629" spans="13:14">
      <c r="M629">
        <v>0.26394680799999998</v>
      </c>
      <c r="N629">
        <v>62.3</v>
      </c>
    </row>
    <row r="630" spans="13:14">
      <c r="M630">
        <v>0.267626904</v>
      </c>
      <c r="N630">
        <v>62.4</v>
      </c>
    </row>
    <row r="631" spans="13:14">
      <c r="M631">
        <v>0.27130700000000002</v>
      </c>
      <c r="N631">
        <v>62.5</v>
      </c>
    </row>
    <row r="632" spans="13:14">
      <c r="M632">
        <v>0.27589967199999998</v>
      </c>
      <c r="N632">
        <v>62.6</v>
      </c>
    </row>
    <row r="633" spans="13:14">
      <c r="M633">
        <v>0.280492344</v>
      </c>
      <c r="N633">
        <v>62.7</v>
      </c>
    </row>
    <row r="634" spans="13:14">
      <c r="M634">
        <v>0.28459714400000002</v>
      </c>
      <c r="N634">
        <v>62.8</v>
      </c>
    </row>
    <row r="635" spans="13:14">
      <c r="M635">
        <v>0.28810319200000001</v>
      </c>
      <c r="N635">
        <v>62.9</v>
      </c>
    </row>
    <row r="636" spans="13:14">
      <c r="M636">
        <v>0.29160923999999999</v>
      </c>
      <c r="N636">
        <v>63</v>
      </c>
    </row>
    <row r="637" spans="13:14">
      <c r="M637">
        <v>0.304546072</v>
      </c>
      <c r="N637">
        <v>63.1</v>
      </c>
    </row>
    <row r="638" spans="13:14">
      <c r="M638">
        <v>0.31855458399999997</v>
      </c>
      <c r="N638">
        <v>63.2</v>
      </c>
    </row>
    <row r="639" spans="13:14">
      <c r="M639">
        <v>0.32873020800000002</v>
      </c>
      <c r="N639">
        <v>63.3</v>
      </c>
    </row>
    <row r="640" spans="13:14">
      <c r="M640">
        <v>0.33169098400000002</v>
      </c>
      <c r="N640">
        <v>63.4</v>
      </c>
    </row>
    <row r="641" spans="13:14">
      <c r="M641">
        <v>0.33465176000000002</v>
      </c>
      <c r="N641">
        <v>63.5</v>
      </c>
    </row>
    <row r="642" spans="13:14">
      <c r="M642">
        <v>0.33661725599999998</v>
      </c>
      <c r="N642">
        <v>63.6</v>
      </c>
    </row>
    <row r="643" spans="13:14">
      <c r="M643">
        <v>0.33832755199999998</v>
      </c>
      <c r="N643">
        <v>63.7</v>
      </c>
    </row>
    <row r="644" spans="13:14">
      <c r="M644">
        <v>0.339619</v>
      </c>
      <c r="N644">
        <v>63.8</v>
      </c>
    </row>
    <row r="645" spans="13:14">
      <c r="M645">
        <v>0.339619</v>
      </c>
      <c r="N645">
        <v>63.9</v>
      </c>
    </row>
    <row r="646" spans="13:14">
      <c r="M646">
        <v>0.339619</v>
      </c>
      <c r="N646">
        <v>64</v>
      </c>
    </row>
    <row r="647" spans="13:14">
      <c r="M647">
        <v>0.34208087199999998</v>
      </c>
      <c r="N647">
        <v>64.099999999999994</v>
      </c>
    </row>
    <row r="648" spans="13:14">
      <c r="M648">
        <v>0.34562886399999998</v>
      </c>
      <c r="N648">
        <v>64.2</v>
      </c>
    </row>
    <row r="649" spans="13:14">
      <c r="M649">
        <v>0.348787768</v>
      </c>
      <c r="N649">
        <v>64.3</v>
      </c>
    </row>
    <row r="650" spans="13:14">
      <c r="M650">
        <v>0.34961214400000001</v>
      </c>
      <c r="N650">
        <v>64.400000000000006</v>
      </c>
    </row>
    <row r="651" spans="13:14">
      <c r="M651">
        <v>0.35043651999999997</v>
      </c>
      <c r="N651">
        <v>64.5</v>
      </c>
    </row>
    <row r="652" spans="13:14">
      <c r="M652">
        <v>0.35319554399999997</v>
      </c>
      <c r="N652">
        <v>64.599999999999994</v>
      </c>
    </row>
    <row r="653" spans="13:14">
      <c r="M653">
        <v>0.35728880800000001</v>
      </c>
      <c r="N653">
        <v>64.7</v>
      </c>
    </row>
    <row r="654" spans="13:14">
      <c r="M654">
        <v>0.36123149599999999</v>
      </c>
      <c r="N654">
        <v>64.8</v>
      </c>
    </row>
    <row r="655" spans="13:14">
      <c r="M655">
        <v>0.36163564799999998</v>
      </c>
      <c r="N655">
        <v>64.900000000000006</v>
      </c>
    </row>
    <row r="656" spans="13:14">
      <c r="M656">
        <v>0.36203980000000002</v>
      </c>
      <c r="N656">
        <v>65</v>
      </c>
    </row>
    <row r="657" spans="13:14">
      <c r="M657">
        <v>0.36467844799999999</v>
      </c>
      <c r="N657">
        <v>65.099999999999994</v>
      </c>
    </row>
    <row r="658" spans="13:14">
      <c r="M658">
        <v>0.36964469599999999</v>
      </c>
      <c r="N658">
        <v>65.2</v>
      </c>
    </row>
    <row r="659" spans="13:14">
      <c r="M659">
        <v>0.374610944</v>
      </c>
      <c r="N659">
        <v>65.3</v>
      </c>
    </row>
    <row r="660" spans="13:14">
      <c r="M660">
        <v>0.37893724000000001</v>
      </c>
      <c r="N660">
        <v>65.400000000000006</v>
      </c>
    </row>
    <row r="661" spans="13:14">
      <c r="M661">
        <v>0.3832218</v>
      </c>
      <c r="N661">
        <v>65.5</v>
      </c>
    </row>
    <row r="662" spans="13:14">
      <c r="M662">
        <v>0.38627516000000001</v>
      </c>
      <c r="N662">
        <v>65.599999999999994</v>
      </c>
    </row>
    <row r="663" spans="13:14">
      <c r="M663">
        <v>0.38738452000000001</v>
      </c>
      <c r="N663">
        <v>65.7</v>
      </c>
    </row>
    <row r="664" spans="13:14">
      <c r="M664">
        <v>0.38849388000000001</v>
      </c>
      <c r="N664">
        <v>65.8</v>
      </c>
    </row>
    <row r="665" spans="13:14">
      <c r="M665">
        <v>0.39279631999999998</v>
      </c>
      <c r="N665">
        <v>65.900000000000006</v>
      </c>
    </row>
    <row r="666" spans="13:14">
      <c r="M666">
        <v>0.39772180000000001</v>
      </c>
      <c r="N666">
        <v>66</v>
      </c>
    </row>
    <row r="667" spans="13:14">
      <c r="M667">
        <v>0.404978000000001</v>
      </c>
      <c r="N667">
        <v>66.099999999999994</v>
      </c>
    </row>
    <row r="668" spans="13:14">
      <c r="M668">
        <v>0.41806100000000102</v>
      </c>
      <c r="N668">
        <v>66.2</v>
      </c>
    </row>
    <row r="669" spans="13:14">
      <c r="M669">
        <v>0.43114400000000003</v>
      </c>
      <c r="N669">
        <v>66.3</v>
      </c>
    </row>
    <row r="670" spans="13:14">
      <c r="M670">
        <v>0.43473595999999998</v>
      </c>
      <c r="N670">
        <v>66.400000000000006</v>
      </c>
    </row>
    <row r="671" spans="13:14">
      <c r="M671">
        <v>0.43490060000000003</v>
      </c>
      <c r="N671">
        <v>66.5</v>
      </c>
    </row>
    <row r="672" spans="13:14">
      <c r="M672">
        <v>0.435089</v>
      </c>
      <c r="N672">
        <v>66.599999999999994</v>
      </c>
    </row>
    <row r="673" spans="13:14">
      <c r="M673">
        <v>0.43538300000000002</v>
      </c>
      <c r="N673">
        <v>66.7</v>
      </c>
    </row>
    <row r="674" spans="13:14">
      <c r="M674">
        <v>0.43567699999999998</v>
      </c>
      <c r="N674">
        <v>66.8</v>
      </c>
    </row>
    <row r="675" spans="13:14">
      <c r="M675">
        <v>0.43783472000000001</v>
      </c>
      <c r="N675">
        <v>66.900000000000006</v>
      </c>
    </row>
    <row r="676" spans="13:14">
      <c r="M676">
        <v>0.44107459999999998</v>
      </c>
      <c r="N676">
        <v>67</v>
      </c>
    </row>
    <row r="677" spans="13:14">
      <c r="M677">
        <v>0.44405</v>
      </c>
      <c r="N677">
        <v>67.099999999999994</v>
      </c>
    </row>
    <row r="678" spans="13:14">
      <c r="M678">
        <v>0.44405</v>
      </c>
      <c r="N678">
        <v>67.2</v>
      </c>
    </row>
    <row r="679" spans="13:14">
      <c r="M679">
        <v>0.44405</v>
      </c>
      <c r="N679">
        <v>67.3</v>
      </c>
    </row>
    <row r="680" spans="13:14">
      <c r="M680">
        <v>0.44459828800000001</v>
      </c>
      <c r="N680">
        <v>67.400000000000006</v>
      </c>
    </row>
    <row r="681" spans="13:14">
      <c r="M681">
        <v>0.44563160000000002</v>
      </c>
      <c r="N681">
        <v>67.5</v>
      </c>
    </row>
    <row r="682" spans="13:14">
      <c r="M682">
        <v>0.44666491200000003</v>
      </c>
      <c r="N682">
        <v>67.599999999999994</v>
      </c>
    </row>
    <row r="683" spans="13:14">
      <c r="M683">
        <v>0.44773585599999999</v>
      </c>
      <c r="N683">
        <v>67.7</v>
      </c>
    </row>
    <row r="684" spans="13:14">
      <c r="M684">
        <v>0.44880758399999998</v>
      </c>
      <c r="N684">
        <v>67.8</v>
      </c>
    </row>
    <row r="685" spans="13:14">
      <c r="M685">
        <v>0.45066387200000002</v>
      </c>
      <c r="N685">
        <v>67.900000000000006</v>
      </c>
    </row>
    <row r="686" spans="13:14">
      <c r="M686">
        <v>0.45356624000000001</v>
      </c>
      <c r="N686">
        <v>68</v>
      </c>
    </row>
    <row r="687" spans="13:14">
      <c r="M687">
        <v>0.456468608</v>
      </c>
      <c r="N687">
        <v>68.099999999999994</v>
      </c>
    </row>
    <row r="688" spans="13:14">
      <c r="M688">
        <v>0.456828128</v>
      </c>
      <c r="N688">
        <v>68.2</v>
      </c>
    </row>
    <row r="689" spans="13:14">
      <c r="M689">
        <v>0.45683283200000002</v>
      </c>
      <c r="N689">
        <v>68.3</v>
      </c>
    </row>
    <row r="690" spans="13:14">
      <c r="M690">
        <v>0.460860832000001</v>
      </c>
      <c r="N690">
        <v>68.400000000000006</v>
      </c>
    </row>
    <row r="691" spans="13:14">
      <c r="M691">
        <v>0.47318688000000098</v>
      </c>
      <c r="N691">
        <v>68.5</v>
      </c>
    </row>
    <row r="692" spans="13:14">
      <c r="M692">
        <v>0.48551292800000101</v>
      </c>
      <c r="N692">
        <v>68.599999999999994</v>
      </c>
    </row>
    <row r="693" spans="13:14">
      <c r="M693">
        <v>0.490580672</v>
      </c>
      <c r="N693">
        <v>68.7</v>
      </c>
    </row>
    <row r="694" spans="13:14">
      <c r="M694">
        <v>0.49354732800000001</v>
      </c>
      <c r="N694">
        <v>68.8</v>
      </c>
    </row>
    <row r="695" spans="13:14">
      <c r="M695">
        <v>0.49760509600000002</v>
      </c>
      <c r="N695">
        <v>68.900000000000006</v>
      </c>
    </row>
    <row r="696" spans="13:14">
      <c r="M696">
        <v>0.50543216000000002</v>
      </c>
      <c r="N696">
        <v>69</v>
      </c>
    </row>
    <row r="697" spans="13:14">
      <c r="M697">
        <v>0.51325922400000001</v>
      </c>
      <c r="N697">
        <v>69.099999999999994</v>
      </c>
    </row>
    <row r="698" spans="13:14">
      <c r="M698">
        <v>0.52040041599999998</v>
      </c>
      <c r="N698">
        <v>69.2</v>
      </c>
    </row>
    <row r="699" spans="13:14">
      <c r="M699">
        <v>0.52720906400000001</v>
      </c>
      <c r="N699">
        <v>69.3</v>
      </c>
    </row>
    <row r="700" spans="13:14">
      <c r="M700">
        <v>0.53352182400000003</v>
      </c>
      <c r="N700">
        <v>69.400000000000006</v>
      </c>
    </row>
    <row r="701" spans="13:14">
      <c r="M701">
        <v>0.53628072000000004</v>
      </c>
      <c r="N701">
        <v>69.5</v>
      </c>
    </row>
    <row r="702" spans="13:14">
      <c r="M702">
        <v>0.53903961600000005</v>
      </c>
      <c r="N702">
        <v>69.599999999999994</v>
      </c>
    </row>
    <row r="703" spans="13:14">
      <c r="M703">
        <v>0.54022199999999998</v>
      </c>
      <c r="N703">
        <v>69.7</v>
      </c>
    </row>
    <row r="704" spans="13:14">
      <c r="M704">
        <v>0.54022199999999998</v>
      </c>
      <c r="N704">
        <v>69.8</v>
      </c>
    </row>
    <row r="705" spans="13:14">
      <c r="M705">
        <v>0.540224072</v>
      </c>
      <c r="N705">
        <v>69.900000000000006</v>
      </c>
    </row>
    <row r="706" spans="13:14">
      <c r="M706">
        <v>0.54032559999999996</v>
      </c>
      <c r="N706">
        <v>70</v>
      </c>
    </row>
    <row r="707" spans="13:14">
      <c r="M707">
        <v>0.54042712800000003</v>
      </c>
      <c r="N707">
        <v>70.099999999999994</v>
      </c>
    </row>
    <row r="708" spans="13:14">
      <c r="M708">
        <v>0.54057520800000003</v>
      </c>
      <c r="N708">
        <v>70.2</v>
      </c>
    </row>
    <row r="709" spans="13:14">
      <c r="M709">
        <v>0.54077591199999997</v>
      </c>
      <c r="N709">
        <v>70.3</v>
      </c>
    </row>
    <row r="710" spans="13:14">
      <c r="M710">
        <v>0.54097661600000002</v>
      </c>
      <c r="N710">
        <v>70.400000000000006</v>
      </c>
    </row>
    <row r="711" spans="13:14">
      <c r="M711">
        <v>0.54323292000000001</v>
      </c>
      <c r="N711">
        <v>70.5</v>
      </c>
    </row>
    <row r="712" spans="13:14">
      <c r="M712">
        <v>0.54567194399999996</v>
      </c>
      <c r="N712">
        <v>70.599999999999994</v>
      </c>
    </row>
    <row r="713" spans="13:14">
      <c r="M713">
        <v>0.54893349599999997</v>
      </c>
      <c r="N713">
        <v>70.7</v>
      </c>
    </row>
    <row r="714" spans="13:14">
      <c r="M714">
        <v>0.55361162399999997</v>
      </c>
      <c r="N714">
        <v>70.8</v>
      </c>
    </row>
    <row r="715" spans="13:14">
      <c r="M715">
        <v>0.55828975199999997</v>
      </c>
      <c r="N715">
        <v>70.900000000000006</v>
      </c>
    </row>
    <row r="716" spans="13:14">
      <c r="M716">
        <v>0.56083092000000001</v>
      </c>
      <c r="N716">
        <v>71</v>
      </c>
    </row>
    <row r="717" spans="13:14">
      <c r="M717">
        <v>0.562891272</v>
      </c>
      <c r="N717">
        <v>71.099999999999994</v>
      </c>
    </row>
    <row r="718" spans="13:14">
      <c r="M718">
        <v>0.56729828000000004</v>
      </c>
      <c r="N718">
        <v>71.2</v>
      </c>
    </row>
    <row r="719" spans="13:14">
      <c r="M719">
        <v>0.57820371999999898</v>
      </c>
      <c r="N719">
        <v>71.3</v>
      </c>
    </row>
    <row r="720" spans="13:14">
      <c r="M720">
        <v>0.58910915999999902</v>
      </c>
      <c r="N720">
        <v>71.400000000000006</v>
      </c>
    </row>
    <row r="721" spans="13:14">
      <c r="M721">
        <v>0.59548084000000001</v>
      </c>
      <c r="N721">
        <v>71.5</v>
      </c>
    </row>
    <row r="722" spans="13:14">
      <c r="M722">
        <v>0.60003901599999998</v>
      </c>
      <c r="N722">
        <v>71.599999999999994</v>
      </c>
    </row>
    <row r="723" spans="13:14">
      <c r="M723">
        <v>0.60455597599999999</v>
      </c>
      <c r="N723">
        <v>71.7</v>
      </c>
    </row>
    <row r="724" spans="13:14">
      <c r="M724">
        <v>0.60886170399999995</v>
      </c>
      <c r="N724">
        <v>71.8</v>
      </c>
    </row>
    <row r="725" spans="13:14">
      <c r="M725">
        <v>0.61316743200000001</v>
      </c>
      <c r="N725">
        <v>71.900000000000006</v>
      </c>
    </row>
    <row r="726" spans="13:14">
      <c r="M726">
        <v>0.61710140000000002</v>
      </c>
      <c r="N726">
        <v>72</v>
      </c>
    </row>
    <row r="727" spans="13:14">
      <c r="M727">
        <v>0.62079991999999995</v>
      </c>
      <c r="N727">
        <v>72.099999999999994</v>
      </c>
    </row>
    <row r="728" spans="13:14">
      <c r="M728">
        <v>0.62433896</v>
      </c>
      <c r="N728">
        <v>72.2</v>
      </c>
    </row>
    <row r="729" spans="13:14">
      <c r="M729">
        <v>0.62543263999999998</v>
      </c>
      <c r="N729">
        <v>72.3</v>
      </c>
    </row>
    <row r="730" spans="13:14">
      <c r="M730">
        <v>0.62652631999999997</v>
      </c>
      <c r="N730">
        <v>72.400000000000006</v>
      </c>
    </row>
    <row r="731" spans="13:14">
      <c r="M731">
        <v>0.63087079999999995</v>
      </c>
      <c r="N731">
        <v>72.5</v>
      </c>
    </row>
    <row r="732" spans="13:14">
      <c r="M732">
        <v>0.63833604799999999</v>
      </c>
      <c r="N732">
        <v>72.599999999999994</v>
      </c>
    </row>
    <row r="733" spans="13:14">
      <c r="M733">
        <v>0.64580129600000002</v>
      </c>
      <c r="N733">
        <v>72.7</v>
      </c>
    </row>
    <row r="734" spans="13:14">
      <c r="M734">
        <v>0.65697277599999904</v>
      </c>
      <c r="N734">
        <v>72.8</v>
      </c>
    </row>
    <row r="735" spans="13:14">
      <c r="M735">
        <v>0.66830196799999897</v>
      </c>
      <c r="N735">
        <v>72.900000000000006</v>
      </c>
    </row>
    <row r="736" spans="13:14">
      <c r="M736">
        <v>0.67600059999999995</v>
      </c>
      <c r="N736">
        <v>73</v>
      </c>
    </row>
    <row r="737" spans="13:14">
      <c r="M737">
        <v>0.67843492000000005</v>
      </c>
      <c r="N737">
        <v>73.099999999999994</v>
      </c>
    </row>
    <row r="738" spans="13:14">
      <c r="M738">
        <v>0.68086924000000004</v>
      </c>
      <c r="N738">
        <v>73.2</v>
      </c>
    </row>
    <row r="739" spans="13:14">
      <c r="M739">
        <v>0.68520565600000005</v>
      </c>
      <c r="N739">
        <v>73.3</v>
      </c>
    </row>
    <row r="740" spans="13:14">
      <c r="M740">
        <v>0.68985908799999995</v>
      </c>
      <c r="N740">
        <v>73.400000000000006</v>
      </c>
    </row>
    <row r="741" spans="13:14">
      <c r="M741">
        <v>0.69322348</v>
      </c>
      <c r="N741">
        <v>73.5</v>
      </c>
    </row>
    <row r="742" spans="13:14">
      <c r="M742">
        <v>0.69366604799999998</v>
      </c>
      <c r="N742">
        <v>73.599999999999994</v>
      </c>
    </row>
    <row r="743" spans="13:14">
      <c r="M743">
        <v>0.69410861599999996</v>
      </c>
      <c r="N743">
        <v>73.7</v>
      </c>
    </row>
    <row r="744" spans="13:14">
      <c r="M744">
        <v>0.70236262400000005</v>
      </c>
      <c r="N744">
        <v>73.8</v>
      </c>
    </row>
    <row r="745" spans="13:14">
      <c r="M745">
        <v>0.71315007200000002</v>
      </c>
      <c r="N745">
        <v>73.900000000000006</v>
      </c>
    </row>
    <row r="746" spans="13:14">
      <c r="M746">
        <v>0.72173600000000004</v>
      </c>
      <c r="N746">
        <v>74</v>
      </c>
    </row>
    <row r="747" spans="13:14">
      <c r="M747">
        <v>0.72173600000000004</v>
      </c>
      <c r="N747">
        <v>74.099999999999994</v>
      </c>
    </row>
    <row r="748" spans="13:14">
      <c r="M748">
        <v>0.72173600000000004</v>
      </c>
      <c r="N748">
        <v>74.2</v>
      </c>
    </row>
    <row r="749" spans="13:14">
      <c r="M749">
        <v>0.72173600000000004</v>
      </c>
      <c r="N749">
        <v>74.3</v>
      </c>
    </row>
    <row r="750" spans="13:14">
      <c r="M750">
        <v>0.72173600000000004</v>
      </c>
      <c r="N750">
        <v>74.400000000000006</v>
      </c>
    </row>
    <row r="751" spans="13:14">
      <c r="M751">
        <v>0.72212651999999999</v>
      </c>
      <c r="N751">
        <v>74.5</v>
      </c>
    </row>
    <row r="752" spans="13:14">
      <c r="M752">
        <v>0.72595361599999997</v>
      </c>
      <c r="N752">
        <v>74.599999999999994</v>
      </c>
    </row>
    <row r="753" spans="13:14">
      <c r="M753">
        <v>0.72978071200000005</v>
      </c>
      <c r="N753">
        <v>74.7</v>
      </c>
    </row>
    <row r="754" spans="13:14">
      <c r="M754">
        <v>0.73249864799999997</v>
      </c>
      <c r="N754">
        <v>74.8</v>
      </c>
    </row>
    <row r="755" spans="13:14">
      <c r="M755">
        <v>0.73431282399999998</v>
      </c>
      <c r="N755">
        <v>74.900000000000006</v>
      </c>
    </row>
    <row r="756" spans="13:14">
      <c r="M756">
        <v>0.73612699999999998</v>
      </c>
      <c r="N756">
        <v>75</v>
      </c>
    </row>
    <row r="757" spans="13:14">
      <c r="M757">
        <v>0.73612699999999998</v>
      </c>
      <c r="N757">
        <v>75.099999999999994</v>
      </c>
    </row>
    <row r="758" spans="13:14">
      <c r="M758">
        <v>0.73612699999999998</v>
      </c>
      <c r="N758">
        <v>75.2</v>
      </c>
    </row>
    <row r="759" spans="13:14">
      <c r="M759">
        <v>0.73710098400000001</v>
      </c>
      <c r="N759">
        <v>75.3</v>
      </c>
    </row>
    <row r="760" spans="13:14">
      <c r="M760">
        <v>0.73927031200000004</v>
      </c>
      <c r="N760">
        <v>75.400000000000006</v>
      </c>
    </row>
    <row r="761" spans="13:14">
      <c r="M761">
        <v>0.74143963999999996</v>
      </c>
      <c r="N761">
        <v>75.5</v>
      </c>
    </row>
    <row r="762" spans="13:14">
      <c r="M762">
        <v>0.74166100000000001</v>
      </c>
      <c r="N762">
        <v>75.599999999999994</v>
      </c>
    </row>
    <row r="763" spans="13:14">
      <c r="M763">
        <v>0.74166100000000001</v>
      </c>
      <c r="N763">
        <v>75.7</v>
      </c>
    </row>
    <row r="764" spans="13:14">
      <c r="M764">
        <v>0.74166100000000001</v>
      </c>
      <c r="N764">
        <v>75.8</v>
      </c>
    </row>
    <row r="765" spans="13:14">
      <c r="M765">
        <v>0.74166100000000001</v>
      </c>
      <c r="N765">
        <v>75.900000000000006</v>
      </c>
    </row>
    <row r="766" spans="13:14">
      <c r="M766">
        <v>0.74166100000000001</v>
      </c>
      <c r="N766">
        <v>76</v>
      </c>
    </row>
    <row r="767" spans="13:14">
      <c r="M767">
        <v>0.74767479999999997</v>
      </c>
      <c r="N767">
        <v>76.099999999999994</v>
      </c>
    </row>
    <row r="768" spans="13:14">
      <c r="M768">
        <v>0.75523059999999997</v>
      </c>
      <c r="N768">
        <v>76.2</v>
      </c>
    </row>
    <row r="769" spans="13:14">
      <c r="M769">
        <v>0.76143375999999996</v>
      </c>
      <c r="N769">
        <v>76.3</v>
      </c>
    </row>
    <row r="770" spans="13:14">
      <c r="M770">
        <v>0.76346628000000005</v>
      </c>
      <c r="N770">
        <v>76.400000000000006</v>
      </c>
    </row>
    <row r="771" spans="13:14">
      <c r="M771">
        <v>0.76549880000000003</v>
      </c>
      <c r="N771">
        <v>76.5</v>
      </c>
    </row>
    <row r="772" spans="13:14">
      <c r="M772">
        <v>0.76612100000000005</v>
      </c>
      <c r="N772">
        <v>76.599999999999994</v>
      </c>
    </row>
    <row r="773" spans="13:14">
      <c r="M773">
        <v>0.76612100000000005</v>
      </c>
      <c r="N773">
        <v>76.7</v>
      </c>
    </row>
    <row r="774" spans="13:14">
      <c r="M774">
        <v>0.76645257600000005</v>
      </c>
      <c r="N774">
        <v>76.8</v>
      </c>
    </row>
    <row r="775" spans="13:14">
      <c r="M775">
        <v>0.76877360800000005</v>
      </c>
      <c r="N775">
        <v>76.900000000000006</v>
      </c>
    </row>
    <row r="776" spans="13:14">
      <c r="M776">
        <v>0.77109464000000005</v>
      </c>
      <c r="N776">
        <v>77</v>
      </c>
    </row>
    <row r="777" spans="13:14">
      <c r="M777">
        <v>0.77353932800000003</v>
      </c>
      <c r="N777">
        <v>77.099999999999994</v>
      </c>
    </row>
    <row r="778" spans="13:14">
      <c r="M778">
        <v>0.77606929599999996</v>
      </c>
      <c r="N778">
        <v>77.2</v>
      </c>
    </row>
    <row r="779" spans="13:14">
      <c r="M779">
        <v>0.77874027199999996</v>
      </c>
      <c r="N779">
        <v>77.3</v>
      </c>
    </row>
    <row r="780" spans="13:14">
      <c r="M780">
        <v>0.78472493600000004</v>
      </c>
      <c r="N780">
        <v>77.400000000000006</v>
      </c>
    </row>
    <row r="781" spans="13:14">
      <c r="M781">
        <v>0.79070960000000001</v>
      </c>
      <c r="N781">
        <v>77.5</v>
      </c>
    </row>
    <row r="782" spans="13:14">
      <c r="M782">
        <v>0.80088447200000001</v>
      </c>
      <c r="N782">
        <v>77.599999999999994</v>
      </c>
    </row>
    <row r="783" spans="13:14">
      <c r="M783">
        <v>0.81542414399999996</v>
      </c>
      <c r="N783">
        <v>77.7</v>
      </c>
    </row>
    <row r="784" spans="13:14">
      <c r="M784">
        <v>0.82996381600000002</v>
      </c>
      <c r="N784">
        <v>77.8</v>
      </c>
    </row>
    <row r="785" spans="13:14">
      <c r="M785">
        <v>0.83336743999999996</v>
      </c>
      <c r="N785">
        <v>77.900000000000006</v>
      </c>
    </row>
    <row r="786" spans="13:14">
      <c r="M786">
        <v>0.83604480000000003</v>
      </c>
      <c r="N786">
        <v>78</v>
      </c>
    </row>
    <row r="787" spans="13:14">
      <c r="M787">
        <v>0.83892523200000002</v>
      </c>
      <c r="N787">
        <v>78.099999999999994</v>
      </c>
    </row>
    <row r="788" spans="13:14">
      <c r="M788">
        <v>0.84212630399999999</v>
      </c>
      <c r="N788">
        <v>78.2</v>
      </c>
    </row>
    <row r="789" spans="13:14">
      <c r="M789">
        <v>0.84532737599999996</v>
      </c>
      <c r="N789">
        <v>78.3</v>
      </c>
    </row>
    <row r="790" spans="13:14">
      <c r="M790">
        <v>0.84622031200000003</v>
      </c>
      <c r="N790">
        <v>78.400000000000006</v>
      </c>
    </row>
    <row r="791" spans="13:14">
      <c r="M791">
        <v>0.84666288000000001</v>
      </c>
      <c r="N791">
        <v>78.5</v>
      </c>
    </row>
    <row r="792" spans="13:14">
      <c r="M792">
        <v>0.84698997600000003</v>
      </c>
      <c r="N792">
        <v>78.599999999999994</v>
      </c>
    </row>
    <row r="793" spans="13:14">
      <c r="M793">
        <v>0.84702839200000002</v>
      </c>
      <c r="N793">
        <v>78.7</v>
      </c>
    </row>
    <row r="794" spans="13:14">
      <c r="M794">
        <v>0.847066808</v>
      </c>
      <c r="N794">
        <v>78.8</v>
      </c>
    </row>
    <row r="795" spans="13:14">
      <c r="M795">
        <v>0.84727859999999999</v>
      </c>
      <c r="N795">
        <v>78.900000000000006</v>
      </c>
    </row>
    <row r="796" spans="13:14">
      <c r="M796">
        <v>0.847553</v>
      </c>
      <c r="N796">
        <v>79</v>
      </c>
    </row>
    <row r="797" spans="13:14">
      <c r="M797">
        <v>0.84781235200000005</v>
      </c>
      <c r="N797">
        <v>79.099999999999994</v>
      </c>
    </row>
    <row r="798" spans="13:14">
      <c r="M798">
        <v>0.84800482399999999</v>
      </c>
      <c r="N798">
        <v>79.2</v>
      </c>
    </row>
    <row r="799" spans="13:14">
      <c r="M799">
        <v>0.84819729600000004</v>
      </c>
      <c r="N799">
        <v>79.3</v>
      </c>
    </row>
    <row r="800" spans="13:14">
      <c r="M800">
        <v>0.84833744</v>
      </c>
      <c r="N800">
        <v>79.400000000000006</v>
      </c>
    </row>
    <row r="801" spans="13:14">
      <c r="M801">
        <v>0.84844719999999996</v>
      </c>
      <c r="N801">
        <v>79.5</v>
      </c>
    </row>
    <row r="802" spans="13:14">
      <c r="M802">
        <v>0.84974560000000099</v>
      </c>
      <c r="N802">
        <v>79.599999999999994</v>
      </c>
    </row>
    <row r="803" spans="13:14">
      <c r="M803">
        <v>0.86441620000000097</v>
      </c>
      <c r="N803">
        <v>79.7</v>
      </c>
    </row>
    <row r="804" spans="13:14">
      <c r="M804">
        <v>0.87908680000000095</v>
      </c>
      <c r="N804">
        <v>79.8</v>
      </c>
    </row>
    <row r="805" spans="13:14">
      <c r="M805">
        <v>0.88744439200000003</v>
      </c>
      <c r="N805">
        <v>79.900000000000006</v>
      </c>
    </row>
    <row r="806" spans="13:14">
      <c r="M806">
        <v>0.89021740000000005</v>
      </c>
      <c r="N806">
        <v>80</v>
      </c>
    </row>
    <row r="807" spans="13:14">
      <c r="M807">
        <v>0.89299040799999996</v>
      </c>
      <c r="N807">
        <v>80.099999999999994</v>
      </c>
    </row>
    <row r="808" spans="13:14">
      <c r="M808">
        <v>0.89304700000000004</v>
      </c>
      <c r="N808">
        <v>80.2</v>
      </c>
    </row>
    <row r="809" spans="13:14">
      <c r="M809">
        <v>0.89304700000000004</v>
      </c>
      <c r="N809">
        <v>80.3</v>
      </c>
    </row>
    <row r="810" spans="13:14">
      <c r="M810">
        <v>0.89339879200000005</v>
      </c>
      <c r="N810">
        <v>80.400000000000006</v>
      </c>
    </row>
    <row r="811" spans="13:14">
      <c r="M811">
        <v>0.89421963999999998</v>
      </c>
      <c r="N811">
        <v>80.5</v>
      </c>
    </row>
    <row r="812" spans="13:14">
      <c r="M812">
        <v>0.89504048800000002</v>
      </c>
      <c r="N812">
        <v>80.599999999999994</v>
      </c>
    </row>
    <row r="813" spans="13:14">
      <c r="M813">
        <v>0.89580973600000002</v>
      </c>
      <c r="N813">
        <v>80.7</v>
      </c>
    </row>
    <row r="814" spans="13:14">
      <c r="M814">
        <v>0.89657178400000004</v>
      </c>
      <c r="N814">
        <v>80.8</v>
      </c>
    </row>
    <row r="815" spans="13:14">
      <c r="M815">
        <v>0.89739232800000002</v>
      </c>
      <c r="N815">
        <v>80.900000000000006</v>
      </c>
    </row>
    <row r="816" spans="13:14">
      <c r="M816">
        <v>0.89833352</v>
      </c>
      <c r="N816">
        <v>81</v>
      </c>
    </row>
    <row r="817" spans="13:14">
      <c r="M817">
        <v>0.89927471199999998</v>
      </c>
      <c r="N817">
        <v>81.099999999999994</v>
      </c>
    </row>
    <row r="818" spans="13:14">
      <c r="M818">
        <v>0.89948600000000001</v>
      </c>
      <c r="N818">
        <v>81.2</v>
      </c>
    </row>
    <row r="819" spans="13:14">
      <c r="M819">
        <v>0.89948600000000001</v>
      </c>
      <c r="N819">
        <v>81.3</v>
      </c>
    </row>
    <row r="820" spans="13:14">
      <c r="M820">
        <v>0.89990241599999998</v>
      </c>
      <c r="N820">
        <v>81.400000000000006</v>
      </c>
    </row>
    <row r="821" spans="13:14">
      <c r="M821">
        <v>0.90175735999999995</v>
      </c>
      <c r="N821">
        <v>81.5</v>
      </c>
    </row>
    <row r="822" spans="13:14">
      <c r="M822">
        <v>0.90361230400000003</v>
      </c>
      <c r="N822">
        <v>81.599999999999994</v>
      </c>
    </row>
    <row r="823" spans="13:14">
      <c r="M823">
        <v>0.90421799999999997</v>
      </c>
      <c r="N823">
        <v>81.7</v>
      </c>
    </row>
    <row r="824" spans="13:14">
      <c r="M824">
        <v>0.90421799999999997</v>
      </c>
      <c r="N824">
        <v>81.8</v>
      </c>
    </row>
    <row r="825" spans="13:14">
      <c r="M825">
        <v>0.90428548799999997</v>
      </c>
      <c r="N825">
        <v>81.900000000000006</v>
      </c>
    </row>
    <row r="826" spans="13:14">
      <c r="M826">
        <v>0.90483663999999997</v>
      </c>
      <c r="N826">
        <v>82</v>
      </c>
    </row>
    <row r="827" spans="13:14">
      <c r="M827">
        <v>0.90538779199999997</v>
      </c>
      <c r="N827">
        <v>82.1</v>
      </c>
    </row>
    <row r="828" spans="13:14">
      <c r="M828">
        <v>0.90562399999999998</v>
      </c>
      <c r="N828">
        <v>82.2</v>
      </c>
    </row>
    <row r="829" spans="13:14">
      <c r="M829">
        <v>0.90562399999999998</v>
      </c>
      <c r="N829">
        <v>82.3</v>
      </c>
    </row>
    <row r="830" spans="13:14">
      <c r="M830">
        <v>0.90562667200000002</v>
      </c>
      <c r="N830">
        <v>82.4</v>
      </c>
    </row>
    <row r="831" spans="13:14">
      <c r="M831">
        <v>0.90575760000000005</v>
      </c>
      <c r="N831">
        <v>82.5</v>
      </c>
    </row>
    <row r="832" spans="13:14">
      <c r="M832">
        <v>0.90588852799999997</v>
      </c>
      <c r="N832">
        <v>82.6</v>
      </c>
    </row>
    <row r="833" spans="13:14">
      <c r="M833">
        <v>0.91016994400000095</v>
      </c>
      <c r="N833">
        <v>82.7</v>
      </c>
    </row>
    <row r="834" spans="13:14">
      <c r="M834">
        <v>0.91914321600000004</v>
      </c>
      <c r="N834">
        <v>82.8</v>
      </c>
    </row>
    <row r="835" spans="13:14">
      <c r="M835">
        <v>0.92811648800000002</v>
      </c>
      <c r="N835">
        <v>82.9</v>
      </c>
    </row>
    <row r="836" spans="13:14">
      <c r="M836">
        <v>0.93892648000000001</v>
      </c>
      <c r="N836">
        <v>83</v>
      </c>
    </row>
    <row r="837" spans="13:14">
      <c r="M837">
        <v>0.94989973599999999</v>
      </c>
      <c r="N837">
        <v>83.1</v>
      </c>
    </row>
    <row r="838" spans="13:14">
      <c r="M838">
        <v>0.95825593600000003</v>
      </c>
      <c r="N838">
        <v>83.2</v>
      </c>
    </row>
    <row r="839" spans="13:14">
      <c r="M839">
        <v>0.962104984</v>
      </c>
      <c r="N839">
        <v>83.3</v>
      </c>
    </row>
    <row r="840" spans="13:14">
      <c r="M840">
        <v>0.96595403199999996</v>
      </c>
      <c r="N840">
        <v>83.4</v>
      </c>
    </row>
    <row r="841" spans="13:14">
      <c r="M841">
        <v>0.96676404000000005</v>
      </c>
      <c r="N841">
        <v>83.5</v>
      </c>
    </row>
    <row r="842" spans="13:14">
      <c r="M842">
        <v>0.966890264</v>
      </c>
      <c r="N842">
        <v>83.6</v>
      </c>
    </row>
    <row r="843" spans="13:14">
      <c r="M843">
        <v>0.96808935200000001</v>
      </c>
      <c r="N843">
        <v>83.7</v>
      </c>
    </row>
    <row r="844" spans="13:14">
      <c r="M844">
        <v>0.97225944799999997</v>
      </c>
      <c r="N844">
        <v>83.8</v>
      </c>
    </row>
    <row r="845" spans="13:14">
      <c r="M845">
        <v>0.97642954400000004</v>
      </c>
      <c r="N845">
        <v>83.9</v>
      </c>
    </row>
    <row r="846" spans="13:14">
      <c r="M846">
        <v>0.97762099999999996</v>
      </c>
      <c r="N846">
        <v>84</v>
      </c>
    </row>
    <row r="847" spans="13:14">
      <c r="M847">
        <v>0.97762099999999996</v>
      </c>
      <c r="N847">
        <v>84.1</v>
      </c>
    </row>
    <row r="848" spans="13:14">
      <c r="M848">
        <v>0.97796391199999999</v>
      </c>
      <c r="N848">
        <v>84.2</v>
      </c>
    </row>
    <row r="849" spans="13:14">
      <c r="M849">
        <v>0.98006424800000003</v>
      </c>
      <c r="N849">
        <v>84.3</v>
      </c>
    </row>
    <row r="850" spans="13:14">
      <c r="M850">
        <v>0.98216458399999995</v>
      </c>
      <c r="N850">
        <v>84.4</v>
      </c>
    </row>
    <row r="851" spans="13:14">
      <c r="M851">
        <v>0.99007195999999997</v>
      </c>
      <c r="N851">
        <v>84.5</v>
      </c>
    </row>
    <row r="852" spans="13:14">
      <c r="M852">
        <v>1.001657128</v>
      </c>
      <c r="N852">
        <v>84.6</v>
      </c>
    </row>
    <row r="853" spans="13:14">
      <c r="M853">
        <v>1.0125457920000001</v>
      </c>
      <c r="N853">
        <v>84.7</v>
      </c>
    </row>
    <row r="854" spans="13:14">
      <c r="M854">
        <v>1.012754728</v>
      </c>
      <c r="N854">
        <v>84.8</v>
      </c>
    </row>
    <row r="855" spans="13:14">
      <c r="M855">
        <v>1.0129636639999999</v>
      </c>
      <c r="N855">
        <v>84.9</v>
      </c>
    </row>
    <row r="856" spans="13:14">
      <c r="M856">
        <v>1.0135246</v>
      </c>
      <c r="N856">
        <v>85</v>
      </c>
    </row>
    <row r="857" spans="13:14">
      <c r="M857">
        <v>1.0144234560000001</v>
      </c>
      <c r="N857">
        <v>85.1</v>
      </c>
    </row>
    <row r="858" spans="13:14">
      <c r="M858">
        <v>1.0153223119999999</v>
      </c>
      <c r="N858">
        <v>85.2</v>
      </c>
    </row>
    <row r="859" spans="13:14">
      <c r="M859">
        <v>1.0153589999999999</v>
      </c>
      <c r="N859">
        <v>85.3</v>
      </c>
    </row>
    <row r="860" spans="13:14">
      <c r="M860">
        <v>1.0153589999999999</v>
      </c>
      <c r="N860">
        <v>85.4</v>
      </c>
    </row>
    <row r="861" spans="13:14">
      <c r="M861">
        <v>1.0171940399999999</v>
      </c>
      <c r="N861">
        <v>85.5</v>
      </c>
    </row>
    <row r="862" spans="13:14">
      <c r="M862">
        <v>1.021689888</v>
      </c>
      <c r="N862">
        <v>85.6</v>
      </c>
    </row>
    <row r="863" spans="13:14">
      <c r="M863">
        <v>1.026185736</v>
      </c>
      <c r="N863">
        <v>85.7</v>
      </c>
    </row>
    <row r="864" spans="13:14">
      <c r="M864">
        <v>1.028156208</v>
      </c>
      <c r="N864">
        <v>85.8</v>
      </c>
    </row>
    <row r="865" spans="13:14">
      <c r="M865">
        <v>1.0297057839999999</v>
      </c>
      <c r="N865">
        <v>85.9</v>
      </c>
    </row>
    <row r="866" spans="13:14">
      <c r="M866">
        <v>1.03246316</v>
      </c>
      <c r="N866">
        <v>86</v>
      </c>
    </row>
    <row r="867" spans="13:14">
      <c r="M867">
        <v>1.037958216</v>
      </c>
      <c r="N867">
        <v>86.1</v>
      </c>
    </row>
    <row r="868" spans="13:14">
      <c r="M868">
        <v>1.043453272</v>
      </c>
      <c r="N868">
        <v>86.2</v>
      </c>
    </row>
    <row r="869" spans="13:14">
      <c r="M869">
        <v>1.050851016</v>
      </c>
      <c r="N869">
        <v>86.3</v>
      </c>
    </row>
    <row r="870" spans="13:14">
      <c r="M870">
        <v>1.0588658479999999</v>
      </c>
      <c r="N870">
        <v>86.4</v>
      </c>
    </row>
    <row r="871" spans="13:14">
      <c r="M871">
        <v>1.06576892</v>
      </c>
      <c r="N871">
        <v>86.5</v>
      </c>
    </row>
    <row r="872" spans="13:14">
      <c r="M872">
        <v>1.0683361280000001</v>
      </c>
      <c r="N872">
        <v>86.6</v>
      </c>
    </row>
    <row r="873" spans="13:14">
      <c r="M873">
        <v>1.070903336</v>
      </c>
      <c r="N873">
        <v>86.7</v>
      </c>
    </row>
    <row r="874" spans="13:14">
      <c r="M874">
        <v>1.0731321119999999</v>
      </c>
      <c r="N874">
        <v>86.8</v>
      </c>
    </row>
    <row r="875" spans="13:14">
      <c r="M875">
        <v>1.0751810959999999</v>
      </c>
      <c r="N875">
        <v>86.9</v>
      </c>
    </row>
    <row r="876" spans="13:14">
      <c r="M876">
        <v>1.07784016</v>
      </c>
      <c r="N876">
        <v>87</v>
      </c>
    </row>
    <row r="877" spans="13:14">
      <c r="M877">
        <v>1.0858679280000001</v>
      </c>
      <c r="N877">
        <v>87.1</v>
      </c>
    </row>
    <row r="878" spans="13:14">
      <c r="M878">
        <v>1.0938956959999999</v>
      </c>
      <c r="N878">
        <v>87.2</v>
      </c>
    </row>
    <row r="879" spans="13:14">
      <c r="M879">
        <v>1.0996409920000001</v>
      </c>
      <c r="N879">
        <v>87.3</v>
      </c>
    </row>
    <row r="880" spans="13:14">
      <c r="M880">
        <v>1.103526496</v>
      </c>
      <c r="N880">
        <v>87.4</v>
      </c>
    </row>
    <row r="881" spans="13:14">
      <c r="M881">
        <v>1.1074120000000001</v>
      </c>
      <c r="N881">
        <v>87.5</v>
      </c>
    </row>
    <row r="882" spans="13:14">
      <c r="M882">
        <v>1.109314768</v>
      </c>
      <c r="N882">
        <v>87.6</v>
      </c>
    </row>
    <row r="883" spans="13:14">
      <c r="M883">
        <v>1.1112175360000001</v>
      </c>
      <c r="N883">
        <v>87.7</v>
      </c>
    </row>
    <row r="884" spans="13:14">
      <c r="M884">
        <v>1.118054112</v>
      </c>
      <c r="N884">
        <v>87.8</v>
      </c>
    </row>
    <row r="885" spans="13:14">
      <c r="M885">
        <v>1.1309458160000001</v>
      </c>
      <c r="N885">
        <v>87.9</v>
      </c>
    </row>
    <row r="886" spans="13:14">
      <c r="M886">
        <v>1.1438375199999999</v>
      </c>
      <c r="N886">
        <v>88</v>
      </c>
    </row>
    <row r="887" spans="13:14">
      <c r="M887">
        <v>1.1491964240000001</v>
      </c>
      <c r="N887">
        <v>88.1</v>
      </c>
    </row>
    <row r="888" spans="13:14">
      <c r="M888">
        <v>1.1536993280000001</v>
      </c>
      <c r="N888">
        <v>88.2</v>
      </c>
    </row>
    <row r="889" spans="13:14">
      <c r="M889">
        <v>1.1570146800000001</v>
      </c>
      <c r="N889">
        <v>88.3</v>
      </c>
    </row>
    <row r="890" spans="13:14">
      <c r="M890">
        <v>1.1580946400000001</v>
      </c>
      <c r="N890">
        <v>88.4</v>
      </c>
    </row>
    <row r="891" spans="13:14">
      <c r="M891">
        <v>1.1591746000000001</v>
      </c>
      <c r="N891">
        <v>88.5</v>
      </c>
    </row>
    <row r="892" spans="13:14">
      <c r="M892">
        <v>1.163806992</v>
      </c>
      <c r="N892">
        <v>88.6</v>
      </c>
    </row>
    <row r="893" spans="13:14">
      <c r="M893">
        <v>1.169350264</v>
      </c>
      <c r="N893">
        <v>88.7</v>
      </c>
    </row>
    <row r="894" spans="13:14">
      <c r="M894">
        <v>1.173564512</v>
      </c>
      <c r="N894">
        <v>88.8</v>
      </c>
    </row>
    <row r="895" spans="13:14">
      <c r="M895">
        <v>1.173680936</v>
      </c>
      <c r="N895">
        <v>88.9</v>
      </c>
    </row>
    <row r="896" spans="13:14">
      <c r="M896">
        <v>1.17379736</v>
      </c>
      <c r="N896">
        <v>89</v>
      </c>
    </row>
    <row r="897" spans="13:14">
      <c r="M897">
        <v>1.1840920239999999</v>
      </c>
      <c r="N897">
        <v>89.1</v>
      </c>
    </row>
    <row r="898" spans="13:14">
      <c r="M898">
        <v>1.1988770879999999</v>
      </c>
      <c r="N898">
        <v>89.2</v>
      </c>
    </row>
    <row r="899" spans="13:14">
      <c r="M899">
        <v>1.2122721759999999</v>
      </c>
      <c r="N899">
        <v>89.3</v>
      </c>
    </row>
    <row r="900" spans="13:14">
      <c r="M900">
        <v>1.2173274080000001</v>
      </c>
      <c r="N900">
        <v>89.4</v>
      </c>
    </row>
    <row r="901" spans="13:14">
      <c r="M901">
        <v>1.22238264</v>
      </c>
      <c r="N901">
        <v>89.5</v>
      </c>
    </row>
    <row r="902" spans="13:14">
      <c r="M902">
        <v>1.232710768</v>
      </c>
      <c r="N902">
        <v>89.6</v>
      </c>
    </row>
    <row r="903" spans="13:14">
      <c r="M903">
        <v>1.246675376</v>
      </c>
      <c r="N903">
        <v>89.7</v>
      </c>
    </row>
    <row r="904" spans="13:14">
      <c r="M904">
        <v>1.2605331200000001</v>
      </c>
      <c r="N904">
        <v>89.8</v>
      </c>
    </row>
    <row r="905" spans="13:14">
      <c r="M905">
        <v>1.2718795599999999</v>
      </c>
      <c r="N905">
        <v>89.9</v>
      </c>
    </row>
    <row r="906" spans="13:14">
      <c r="M906">
        <v>1.283226</v>
      </c>
      <c r="N906">
        <v>90</v>
      </c>
    </row>
    <row r="907" spans="13:14">
      <c r="M907">
        <v>1.2945549679999999</v>
      </c>
      <c r="N907">
        <v>90.1</v>
      </c>
    </row>
    <row r="908" spans="13:14">
      <c r="M908">
        <v>1.3058657360000001</v>
      </c>
      <c r="N908">
        <v>90.2</v>
      </c>
    </row>
    <row r="909" spans="13:14">
      <c r="M909">
        <v>1.3171765040000001</v>
      </c>
      <c r="N909">
        <v>90.3</v>
      </c>
    </row>
    <row r="910" spans="13:14">
      <c r="M910">
        <v>1.3308490959999999</v>
      </c>
      <c r="N910">
        <v>90.4</v>
      </c>
    </row>
    <row r="911" spans="13:14">
      <c r="M911">
        <v>1.3446757199999999</v>
      </c>
      <c r="N911">
        <v>90.5</v>
      </c>
    </row>
    <row r="912" spans="13:14">
      <c r="M912">
        <v>1.354699152</v>
      </c>
      <c r="N912">
        <v>90.6</v>
      </c>
    </row>
    <row r="913" spans="13:14">
      <c r="M913">
        <v>1.3587175440000001</v>
      </c>
      <c r="N913">
        <v>90.7</v>
      </c>
    </row>
    <row r="914" spans="13:14">
      <c r="M914">
        <v>1.362735936</v>
      </c>
      <c r="N914">
        <v>90.8</v>
      </c>
    </row>
    <row r="915" spans="13:14">
      <c r="M915">
        <v>1.3633919999999999</v>
      </c>
      <c r="N915">
        <v>90.9</v>
      </c>
    </row>
    <row r="916" spans="13:14">
      <c r="M916">
        <v>1.3633919999999999</v>
      </c>
      <c r="N916">
        <v>91</v>
      </c>
    </row>
    <row r="917" spans="13:14">
      <c r="M917">
        <v>1.3644247519999999</v>
      </c>
      <c r="N917">
        <v>91.1</v>
      </c>
    </row>
    <row r="918" spans="13:14">
      <c r="M918">
        <v>1.368039384</v>
      </c>
      <c r="N918">
        <v>91.2</v>
      </c>
    </row>
    <row r="919" spans="13:14">
      <c r="M919">
        <v>1.3716540159999999</v>
      </c>
      <c r="N919">
        <v>91.3</v>
      </c>
    </row>
    <row r="920" spans="13:14">
      <c r="M920">
        <v>1.383445544</v>
      </c>
      <c r="N920">
        <v>91.4</v>
      </c>
    </row>
    <row r="921" spans="13:14">
      <c r="M921">
        <v>1.3981898399999999</v>
      </c>
      <c r="N921">
        <v>91.5</v>
      </c>
    </row>
    <row r="922" spans="13:14">
      <c r="M922">
        <v>1.4113749040000001</v>
      </c>
      <c r="N922">
        <v>91.6</v>
      </c>
    </row>
    <row r="923" spans="13:14">
      <c r="M923">
        <v>1.4176300479999999</v>
      </c>
      <c r="N923">
        <v>91.7</v>
      </c>
    </row>
    <row r="924" spans="13:14">
      <c r="M924">
        <v>1.423885192</v>
      </c>
      <c r="N924">
        <v>91.8</v>
      </c>
    </row>
    <row r="925" spans="13:14">
      <c r="M925">
        <v>1.4291500720000001</v>
      </c>
      <c r="N925">
        <v>91.9</v>
      </c>
    </row>
    <row r="926" spans="13:14">
      <c r="M926">
        <v>1.43383996</v>
      </c>
      <c r="N926">
        <v>92</v>
      </c>
    </row>
    <row r="927" spans="13:14">
      <c r="M927">
        <v>1.4384781040000001</v>
      </c>
      <c r="N927">
        <v>92.1</v>
      </c>
    </row>
    <row r="928" spans="13:14">
      <c r="M928">
        <v>1.4425341279999999</v>
      </c>
      <c r="N928">
        <v>92.2</v>
      </c>
    </row>
    <row r="929" spans="13:14">
      <c r="M929">
        <v>1.446590152</v>
      </c>
      <c r="N929">
        <v>92.3</v>
      </c>
    </row>
    <row r="930" spans="13:14">
      <c r="M930">
        <v>1.4610719679999999</v>
      </c>
      <c r="N930">
        <v>92.4</v>
      </c>
    </row>
    <row r="931" spans="13:14">
      <c r="M931">
        <v>1.4847766</v>
      </c>
      <c r="N931">
        <v>92.5</v>
      </c>
    </row>
    <row r="932" spans="13:14">
      <c r="M932">
        <v>1.5084812320000001</v>
      </c>
      <c r="N932">
        <v>92.6</v>
      </c>
    </row>
    <row r="933" spans="13:14">
      <c r="M933">
        <v>1.510473352</v>
      </c>
      <c r="N933">
        <v>92.7</v>
      </c>
    </row>
    <row r="934" spans="13:14">
      <c r="M934">
        <v>1.512013128</v>
      </c>
      <c r="N934">
        <v>92.8</v>
      </c>
    </row>
    <row r="935" spans="13:14">
      <c r="M935">
        <v>1.514764352</v>
      </c>
      <c r="N935">
        <v>92.9</v>
      </c>
    </row>
    <row r="936" spans="13:14">
      <c r="M936">
        <v>1.5191308400000001</v>
      </c>
      <c r="N936">
        <v>93</v>
      </c>
    </row>
    <row r="937" spans="13:14">
      <c r="M937">
        <v>1.5234973279999999</v>
      </c>
      <c r="N937">
        <v>93.1</v>
      </c>
    </row>
    <row r="938" spans="13:14">
      <c r="M938">
        <v>1.533942296</v>
      </c>
      <c r="N938">
        <v>93.2</v>
      </c>
    </row>
    <row r="939" spans="13:14">
      <c r="M939">
        <v>1.5452354239999999</v>
      </c>
      <c r="N939">
        <v>93.3</v>
      </c>
    </row>
    <row r="940" spans="13:14">
      <c r="M940">
        <v>1.5581521039999999</v>
      </c>
      <c r="N940">
        <v>93.4</v>
      </c>
    </row>
    <row r="941" spans="13:14">
      <c r="M941">
        <v>1.57441736</v>
      </c>
      <c r="N941">
        <v>93.5</v>
      </c>
    </row>
    <row r="942" spans="13:14">
      <c r="M942">
        <v>1.590682616</v>
      </c>
      <c r="N942">
        <v>93.6</v>
      </c>
    </row>
    <row r="943" spans="13:14">
      <c r="M943">
        <v>1.596039744</v>
      </c>
      <c r="N943">
        <v>93.7</v>
      </c>
    </row>
    <row r="944" spans="13:14">
      <c r="M944">
        <v>1.5982392560000001</v>
      </c>
      <c r="N944">
        <v>93.8</v>
      </c>
    </row>
    <row r="945" spans="13:14">
      <c r="M945">
        <v>1.6004387680000001</v>
      </c>
      <c r="N945">
        <v>93.9</v>
      </c>
    </row>
    <row r="946" spans="13:14">
      <c r="M946">
        <v>1.6026382800000001</v>
      </c>
      <c r="N946">
        <v>94</v>
      </c>
    </row>
    <row r="947" spans="13:14">
      <c r="M947">
        <v>1.6048377920000001</v>
      </c>
      <c r="N947">
        <v>94.1</v>
      </c>
    </row>
    <row r="948" spans="13:14">
      <c r="M948">
        <v>1.608770992</v>
      </c>
      <c r="N948">
        <v>94.2</v>
      </c>
    </row>
    <row r="949" spans="13:14">
      <c r="M949">
        <v>1.6135447679999999</v>
      </c>
      <c r="N949">
        <v>94.3</v>
      </c>
    </row>
    <row r="950" spans="13:14">
      <c r="M950">
        <v>1.618092992</v>
      </c>
      <c r="N950">
        <v>94.4</v>
      </c>
    </row>
    <row r="951" spans="13:14">
      <c r="M951">
        <v>1.6210247600000001</v>
      </c>
      <c r="N951">
        <v>94.5</v>
      </c>
    </row>
    <row r="952" spans="13:14">
      <c r="M952">
        <v>1.6239565279999999</v>
      </c>
      <c r="N952">
        <v>94.6</v>
      </c>
    </row>
    <row r="953" spans="13:14">
      <c r="M953">
        <v>1.625213</v>
      </c>
      <c r="N953">
        <v>94.7</v>
      </c>
    </row>
    <row r="954" spans="13:14">
      <c r="M954">
        <v>1.625213</v>
      </c>
      <c r="N954">
        <v>94.8</v>
      </c>
    </row>
    <row r="955" spans="13:14">
      <c r="M955">
        <v>1.625388072</v>
      </c>
      <c r="N955">
        <v>94.9</v>
      </c>
    </row>
    <row r="956" spans="13:14">
      <c r="M956">
        <v>1.6339665999999999</v>
      </c>
      <c r="N956">
        <v>95</v>
      </c>
    </row>
    <row r="957" spans="13:14">
      <c r="M957">
        <v>1.6425451280000001</v>
      </c>
      <c r="N957">
        <v>95.1</v>
      </c>
    </row>
    <row r="958" spans="13:14">
      <c r="M958">
        <v>1.6551297039999999</v>
      </c>
      <c r="N958">
        <v>95.2</v>
      </c>
    </row>
    <row r="959" spans="13:14">
      <c r="M959">
        <v>1.672242856</v>
      </c>
      <c r="N959">
        <v>95.3</v>
      </c>
    </row>
    <row r="960" spans="13:14">
      <c r="M960">
        <v>1.6893560080000001</v>
      </c>
      <c r="N960">
        <v>95.4</v>
      </c>
    </row>
    <row r="961" spans="13:14">
      <c r="M961">
        <v>1.6920954399999999</v>
      </c>
      <c r="N961">
        <v>95.5</v>
      </c>
    </row>
    <row r="962" spans="13:14">
      <c r="M962">
        <v>1.6935572080000001</v>
      </c>
      <c r="N962">
        <v>95.6</v>
      </c>
    </row>
    <row r="963" spans="13:14">
      <c r="M963">
        <v>1.695937552</v>
      </c>
      <c r="N963">
        <v>95.7</v>
      </c>
    </row>
    <row r="964" spans="13:14">
      <c r="M964">
        <v>1.699899888</v>
      </c>
      <c r="N964">
        <v>95.8</v>
      </c>
    </row>
    <row r="965" spans="13:14">
      <c r="M965">
        <v>1.7038622240000001</v>
      </c>
      <c r="N965">
        <v>95.9</v>
      </c>
    </row>
    <row r="966" spans="13:14">
      <c r="M966">
        <v>1.7462098399999999</v>
      </c>
      <c r="N966">
        <v>96</v>
      </c>
    </row>
    <row r="967" spans="13:14">
      <c r="M967">
        <v>1.7971941440000001</v>
      </c>
      <c r="N967">
        <v>96.1</v>
      </c>
    </row>
    <row r="968" spans="13:14">
      <c r="M968">
        <v>1.83495984</v>
      </c>
      <c r="N968">
        <v>96.2</v>
      </c>
    </row>
    <row r="969" spans="13:14">
      <c r="M969">
        <v>1.8361201599999999</v>
      </c>
      <c r="N969">
        <v>96.3</v>
      </c>
    </row>
    <row r="970" spans="13:14">
      <c r="M970">
        <v>1.83728048</v>
      </c>
      <c r="N970">
        <v>96.4</v>
      </c>
    </row>
    <row r="971" spans="13:14">
      <c r="M971">
        <v>1.8410154000000001</v>
      </c>
      <c r="N971">
        <v>96.5</v>
      </c>
    </row>
    <row r="972" spans="13:14">
      <c r="M972">
        <v>1.8457801599999999</v>
      </c>
      <c r="N972">
        <v>96.6</v>
      </c>
    </row>
    <row r="973" spans="13:14">
      <c r="M973">
        <v>1.8499469040000001</v>
      </c>
      <c r="N973">
        <v>96.7</v>
      </c>
    </row>
    <row r="974" spans="13:14">
      <c r="M974">
        <v>1.851048816</v>
      </c>
      <c r="N974">
        <v>96.8</v>
      </c>
    </row>
    <row r="975" spans="13:14">
      <c r="M975">
        <v>1.852150728</v>
      </c>
      <c r="N975">
        <v>96.9</v>
      </c>
    </row>
    <row r="976" spans="13:14">
      <c r="M976">
        <v>1.85738208</v>
      </c>
      <c r="N976">
        <v>97</v>
      </c>
    </row>
    <row r="977" spans="13:14">
      <c r="M977">
        <v>1.8652287439999999</v>
      </c>
      <c r="N977">
        <v>97.1</v>
      </c>
    </row>
    <row r="978" spans="13:14">
      <c r="M978">
        <v>1.872712288</v>
      </c>
      <c r="N978">
        <v>97.2</v>
      </c>
    </row>
    <row r="979" spans="13:14">
      <c r="M979">
        <v>1.874627992</v>
      </c>
      <c r="N979">
        <v>97.3</v>
      </c>
    </row>
    <row r="980" spans="13:14">
      <c r="M980">
        <v>1.8765436959999999</v>
      </c>
      <c r="N980">
        <v>97.4</v>
      </c>
    </row>
    <row r="981" spans="13:14">
      <c r="M981">
        <v>1.8851666</v>
      </c>
      <c r="N981">
        <v>97.5</v>
      </c>
    </row>
    <row r="982" spans="13:14">
      <c r="M982">
        <v>1.900228416</v>
      </c>
      <c r="N982">
        <v>97.6</v>
      </c>
    </row>
    <row r="983" spans="13:14">
      <c r="M983">
        <v>1.915290232</v>
      </c>
      <c r="N983">
        <v>97.7</v>
      </c>
    </row>
    <row r="984" spans="13:14">
      <c r="M984">
        <v>1.93109916</v>
      </c>
      <c r="N984">
        <v>97.8</v>
      </c>
    </row>
    <row r="985" spans="13:14">
      <c r="M985">
        <v>1.94693988</v>
      </c>
      <c r="N985">
        <v>97.9</v>
      </c>
    </row>
    <row r="986" spans="13:14">
      <c r="M986">
        <v>1.9767607599999999</v>
      </c>
      <c r="N986">
        <v>98</v>
      </c>
    </row>
    <row r="987" spans="13:14">
      <c r="M987">
        <v>2.0268528720000001</v>
      </c>
      <c r="N987">
        <v>98.1</v>
      </c>
    </row>
    <row r="988" spans="13:14">
      <c r="M988">
        <v>2.0769449839999998</v>
      </c>
      <c r="N988">
        <v>98.2</v>
      </c>
    </row>
    <row r="989" spans="13:14">
      <c r="M989">
        <v>2.0869778320000001</v>
      </c>
      <c r="N989">
        <v>98.3</v>
      </c>
    </row>
    <row r="990" spans="13:14">
      <c r="M990">
        <v>2.0903341360000001</v>
      </c>
      <c r="N990">
        <v>98.4</v>
      </c>
    </row>
    <row r="991" spans="13:14">
      <c r="M991">
        <v>2.1209393200000002</v>
      </c>
      <c r="N991">
        <v>98.5</v>
      </c>
    </row>
    <row r="992" spans="13:14">
      <c r="M992">
        <v>2.2133086319999999</v>
      </c>
      <c r="N992">
        <v>98.6</v>
      </c>
    </row>
    <row r="993" spans="13:14">
      <c r="M993">
        <v>2.3056779440000001</v>
      </c>
      <c r="N993">
        <v>98.7</v>
      </c>
    </row>
    <row r="994" spans="13:14">
      <c r="M994">
        <v>2.3282989999999999</v>
      </c>
      <c r="N994">
        <v>98.8</v>
      </c>
    </row>
    <row r="995" spans="13:14">
      <c r="M995">
        <v>2.3282989999999999</v>
      </c>
      <c r="N995">
        <v>98.9</v>
      </c>
    </row>
    <row r="996" spans="13:14">
      <c r="M996">
        <v>2.3297907599999998</v>
      </c>
      <c r="N996">
        <v>99</v>
      </c>
    </row>
    <row r="997" spans="13:14">
      <c r="M997">
        <v>2.3371003840000002</v>
      </c>
      <c r="N997">
        <v>99.1</v>
      </c>
    </row>
    <row r="998" spans="13:14">
      <c r="M998">
        <v>2.3444100080000001</v>
      </c>
      <c r="N998">
        <v>99.2</v>
      </c>
    </row>
    <row r="999" spans="13:14">
      <c r="M999">
        <v>2.3758501920000001</v>
      </c>
      <c r="N999">
        <v>99.3</v>
      </c>
    </row>
    <row r="1000" spans="13:14">
      <c r="M1000">
        <v>2.4201097360000001</v>
      </c>
      <c r="N1000">
        <v>99.4</v>
      </c>
    </row>
    <row r="1001" spans="13:14">
      <c r="M1001">
        <v>2.4768770800000102</v>
      </c>
      <c r="N1001">
        <v>99.5</v>
      </c>
    </row>
    <row r="1002" spans="13:14">
      <c r="M1002">
        <v>2.6437130640000102</v>
      </c>
      <c r="N1002">
        <v>99.6</v>
      </c>
    </row>
    <row r="1003" spans="13:14">
      <c r="M1003">
        <v>2.8105490479999999</v>
      </c>
      <c r="N1003">
        <v>99.7</v>
      </c>
    </row>
    <row r="1004" spans="13:14">
      <c r="M1004">
        <v>2.9756006560000001</v>
      </c>
      <c r="N1004">
        <v>99.8</v>
      </c>
    </row>
    <row r="1005" spans="13:14">
      <c r="M1005">
        <v>3.139198328</v>
      </c>
      <c r="N1005">
        <v>99.9</v>
      </c>
    </row>
    <row r="1006" spans="13:14">
      <c r="M1006">
        <v>3.3027959999999998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topLeftCell="F1" workbookViewId="0">
      <selection activeCell="R6" sqref="R6"/>
    </sheetView>
  </sheetViews>
  <sheetFormatPr baseColWidth="10" defaultRowHeight="15.5"/>
  <cols>
    <col min="1" max="1" width="10.6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SQRT(TMTA!J6)</f>
        <v>0.33576400000000001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TMTA!M6</f>
        <v>-2.7317550000000002</v>
      </c>
      <c r="M5">
        <f>TMTA!N6</f>
        <v>0</v>
      </c>
      <c r="O5">
        <f>ABS(L5-TMTA!$C$34)</f>
        <v>13.102653115065188</v>
      </c>
      <c r="P5">
        <f>M5</f>
        <v>0</v>
      </c>
      <c r="R5" t="s">
        <v>15</v>
      </c>
      <c r="T5">
        <f>MIN(O5:O1006)</f>
        <v>7.0681021150651882</v>
      </c>
    </row>
    <row r="6" spans="1:20">
      <c r="A6" s="2" t="s">
        <v>28</v>
      </c>
      <c r="J6" s="5"/>
      <c r="L6">
        <f>TMTA!M7</f>
        <v>-2.6745912079999998</v>
      </c>
      <c r="M6">
        <f>TMTA!N7</f>
        <v>0.1</v>
      </c>
      <c r="O6">
        <f>ABS(L6-TMTA!$C$34)</f>
        <v>13.045489323065187</v>
      </c>
      <c r="P6">
        <f t="shared" ref="P6:P70" si="0">M6</f>
        <v>0.1</v>
      </c>
      <c r="R6" t="s">
        <v>10</v>
      </c>
      <c r="T6">
        <f>VLOOKUP(T5, O5:P1006, 2, )</f>
        <v>100</v>
      </c>
    </row>
    <row r="7" spans="1:20">
      <c r="J7" s="5"/>
      <c r="L7">
        <f>TMTA!M8</f>
        <v>-2.617427416</v>
      </c>
      <c r="M7">
        <f>TMTA!N8</f>
        <v>0.2</v>
      </c>
      <c r="O7">
        <f>ABS(L7-TMTA!$C$34)</f>
        <v>12.988325531065188</v>
      </c>
      <c r="P7">
        <f t="shared" si="0"/>
        <v>0.2</v>
      </c>
    </row>
    <row r="8" spans="1:20">
      <c r="A8" t="s">
        <v>16</v>
      </c>
      <c r="B8">
        <f>TMTA!C27</f>
        <v>3.4821742347067479</v>
      </c>
      <c r="J8" s="5"/>
    </row>
    <row r="9" spans="1:20">
      <c r="J9" s="5"/>
      <c r="L9">
        <f>TMTA!M9</f>
        <v>-2.5589967759999999</v>
      </c>
      <c r="M9">
        <f>TMTA!N9</f>
        <v>0.3</v>
      </c>
      <c r="O9">
        <f>ABS(L9-TMTA!$C$34)</f>
        <v>12.929894891065189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TMTA!M10</f>
        <v>-2.4990113680000001</v>
      </c>
      <c r="M10">
        <f>TMTA!N10</f>
        <v>0.4</v>
      </c>
      <c r="O10">
        <f>ABS(L10-TMTA!$C$34)</f>
        <v>12.869909483065188</v>
      </c>
      <c r="P10">
        <f t="shared" si="0"/>
        <v>0.4</v>
      </c>
    </row>
    <row r="11" spans="1:20">
      <c r="B11">
        <f>TMTA!J11</f>
        <v>0</v>
      </c>
      <c r="C11">
        <f>TMTA!I11</f>
        <v>0</v>
      </c>
      <c r="J11" s="5"/>
      <c r="L11">
        <f>TMTA!M11</f>
        <v>-2.4390259599999999</v>
      </c>
      <c r="M11">
        <f>TMTA!N11</f>
        <v>0.5</v>
      </c>
      <c r="O11">
        <f>ABS(L11-TMTA!$C$34)</f>
        <v>12.809924075065188</v>
      </c>
      <c r="P11">
        <f t="shared" si="0"/>
        <v>0.5</v>
      </c>
    </row>
    <row r="12" spans="1:20">
      <c r="B12">
        <f>TMTA!J12</f>
        <v>0</v>
      </c>
      <c r="C12">
        <f>TMTA!I12</f>
        <v>0</v>
      </c>
      <c r="J12" s="5"/>
      <c r="L12">
        <f>TMTA!M12</f>
        <v>-2.3878468879999999</v>
      </c>
      <c r="M12">
        <f>TMTA!N12</f>
        <v>0.6</v>
      </c>
      <c r="O12">
        <f>ABS(L12-TMTA!$C$34)</f>
        <v>12.758745003065188</v>
      </c>
      <c r="P12">
        <f t="shared" si="0"/>
        <v>0.6</v>
      </c>
    </row>
    <row r="13" spans="1:20">
      <c r="B13">
        <f>TMTA!J13</f>
        <v>0</v>
      </c>
      <c r="C13">
        <f>TMTA!I13</f>
        <v>0</v>
      </c>
      <c r="J13" s="5"/>
      <c r="L13">
        <f>TMTA!M13</f>
        <v>-2.3376685359999998</v>
      </c>
      <c r="M13">
        <f>TMTA!N13</f>
        <v>0.7</v>
      </c>
      <c r="O13">
        <f>ABS(L13-TMTA!$C$34)</f>
        <v>12.708566651065187</v>
      </c>
      <c r="P13">
        <f t="shared" si="0"/>
        <v>0.7</v>
      </c>
    </row>
    <row r="14" spans="1:20">
      <c r="B14">
        <f>TMTA!J14</f>
        <v>0</v>
      </c>
      <c r="C14">
        <f>TMTA!I14</f>
        <v>0</v>
      </c>
      <c r="J14" s="5"/>
      <c r="L14">
        <f>TMTA!M14</f>
        <v>-2.282030464</v>
      </c>
      <c r="M14">
        <f>TMTA!N14</f>
        <v>0.8</v>
      </c>
      <c r="O14">
        <f>ABS(L14-TMTA!$C$34)</f>
        <v>12.652928579065188</v>
      </c>
      <c r="P14">
        <f t="shared" si="0"/>
        <v>0.8</v>
      </c>
    </row>
    <row r="15" spans="1:20">
      <c r="B15">
        <f>TMTA!J15</f>
        <v>0</v>
      </c>
      <c r="C15">
        <f>TMTA!I15</f>
        <v>0</v>
      </c>
      <c r="J15" s="5"/>
      <c r="L15">
        <f>TMTA!M15</f>
        <v>-2.2161152720000001</v>
      </c>
      <c r="M15">
        <f>TMTA!N15</f>
        <v>0.9</v>
      </c>
      <c r="O15">
        <f>ABS(L15-TMTA!$C$34)</f>
        <v>12.587013387065188</v>
      </c>
      <c r="P15">
        <f t="shared" si="0"/>
        <v>0.9</v>
      </c>
    </row>
    <row r="16" spans="1:20">
      <c r="B16">
        <f>TMTA!J16</f>
        <v>0</v>
      </c>
      <c r="C16">
        <f>TMTA!I16</f>
        <v>0</v>
      </c>
      <c r="J16" s="5"/>
      <c r="L16">
        <f>TMTA!M16</f>
        <v>-2.1502000799999998</v>
      </c>
      <c r="M16">
        <f>TMTA!N16</f>
        <v>1</v>
      </c>
      <c r="O16">
        <f>ABS(L16-TMTA!$C$34)</f>
        <v>12.521098195065187</v>
      </c>
      <c r="P16">
        <f t="shared" si="0"/>
        <v>1</v>
      </c>
    </row>
    <row r="17" spans="1:16">
      <c r="B17">
        <f>TMTA!J17</f>
        <v>0</v>
      </c>
      <c r="C17">
        <f>TMTA!I17</f>
        <v>0</v>
      </c>
      <c r="J17" s="5"/>
      <c r="L17">
        <f>TMTA!M17</f>
        <v>-2.1049277439999998</v>
      </c>
      <c r="M17">
        <f>TMTA!N17</f>
        <v>1.1000000000000001</v>
      </c>
      <c r="O17">
        <f>ABS(L17-TMTA!$C$34)</f>
        <v>12.475825859065187</v>
      </c>
      <c r="P17">
        <f t="shared" si="0"/>
        <v>1.1000000000000001</v>
      </c>
    </row>
    <row r="18" spans="1:16">
      <c r="B18">
        <f>TMTA!J18</f>
        <v>0</v>
      </c>
      <c r="C18">
        <f>TMTA!I18</f>
        <v>0</v>
      </c>
      <c r="J18" s="5"/>
      <c r="L18">
        <f>TMTA!M18</f>
        <v>-2.064948448</v>
      </c>
      <c r="M18">
        <f>TMTA!N18</f>
        <v>1.2</v>
      </c>
      <c r="O18">
        <f>ABS(L18-TMTA!$C$34)</f>
        <v>12.435846563065187</v>
      </c>
      <c r="P18">
        <f t="shared" si="0"/>
        <v>1.2</v>
      </c>
    </row>
    <row r="19" spans="1:16">
      <c r="B19">
        <f>TMTA!J19</f>
        <v>0</v>
      </c>
      <c r="C19">
        <f>TMTA!I19</f>
        <v>0</v>
      </c>
      <c r="J19" s="5"/>
      <c r="L19">
        <f>TMTA!M19</f>
        <v>-2.0329529919999998</v>
      </c>
      <c r="M19">
        <f>TMTA!N19</f>
        <v>1.3</v>
      </c>
      <c r="O19">
        <f>ABS(L19-TMTA!$C$34)</f>
        <v>12.403851107065188</v>
      </c>
      <c r="P19">
        <f t="shared" si="0"/>
        <v>1.3</v>
      </c>
    </row>
    <row r="20" spans="1:16">
      <c r="B20">
        <f>TMTA!J20</f>
        <v>0</v>
      </c>
      <c r="C20">
        <f>TMTA!I20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TMTA!M20</f>
        <v>-2.0255743759999998</v>
      </c>
      <c r="M20">
        <f>TMTA!N20</f>
        <v>1.4</v>
      </c>
      <c r="O20">
        <f>ABS(L20-TMTA!$C$34)</f>
        <v>12.396472491065188</v>
      </c>
      <c r="P20">
        <f t="shared" si="0"/>
        <v>1.4</v>
      </c>
    </row>
    <row r="21" spans="1:16">
      <c r="B21">
        <f>TMTA!J21</f>
        <v>0</v>
      </c>
      <c r="C21">
        <f>TMTA!I21</f>
        <v>0</v>
      </c>
      <c r="E21" t="s">
        <v>38</v>
      </c>
      <c r="G21" s="21">
        <f>SQRT(G20)</f>
        <v>0</v>
      </c>
      <c r="J21" s="5"/>
      <c r="L21">
        <f>TMTA!M21</f>
        <v>-2.0181957599999998</v>
      </c>
      <c r="M21">
        <f>TMTA!N21</f>
        <v>1.5</v>
      </c>
      <c r="O21">
        <f>ABS(L21-TMTA!$C$34)</f>
        <v>12.389093875065187</v>
      </c>
      <c r="P21">
        <f t="shared" si="0"/>
        <v>1.5</v>
      </c>
    </row>
    <row r="22" spans="1:16">
      <c r="B22">
        <f>TMTA!J22</f>
        <v>0</v>
      </c>
      <c r="C22">
        <f>TMTA!I22</f>
        <v>0</v>
      </c>
      <c r="J22" s="5"/>
      <c r="L22">
        <f>TMTA!M22</f>
        <v>-1.964668536</v>
      </c>
      <c r="M22">
        <f>TMTA!N22</f>
        <v>1.6</v>
      </c>
      <c r="O22">
        <f>ABS(L22-TMTA!$C$34)</f>
        <v>12.335566651065188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TMTA!M23</f>
        <v>-1.8907816319999999</v>
      </c>
      <c r="M23">
        <f>TMTA!N23</f>
        <v>1.7</v>
      </c>
      <c r="O23">
        <f>ABS(L23-TMTA!$C$34)</f>
        <v>12.261679747065187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TMTA!M24</f>
        <v>-1.82745</v>
      </c>
      <c r="M24">
        <f>TMTA!N24</f>
        <v>1.8</v>
      </c>
      <c r="O24">
        <f>ABS(L24-TMTA!$C$34)</f>
        <v>12.198348115065189</v>
      </c>
      <c r="P24">
        <f t="shared" si="0"/>
        <v>1.8</v>
      </c>
    </row>
    <row r="25" spans="1:16">
      <c r="A25" s="2" t="s">
        <v>27</v>
      </c>
      <c r="J25" s="5"/>
      <c r="L25">
        <f>TMTA!M25</f>
        <v>-1.82745</v>
      </c>
      <c r="M25">
        <f>TMTA!N25</f>
        <v>1.9</v>
      </c>
      <c r="O25">
        <f>ABS(L25-TMTA!$C$34)</f>
        <v>12.198348115065189</v>
      </c>
      <c r="P25">
        <f t="shared" si="0"/>
        <v>1.9</v>
      </c>
    </row>
    <row r="26" spans="1:16">
      <c r="H26" s="1"/>
      <c r="J26" s="5"/>
      <c r="L26">
        <f>TMTA!M26</f>
        <v>-1.82745</v>
      </c>
      <c r="M26">
        <f>TMTA!N26</f>
        <v>2</v>
      </c>
      <c r="O26">
        <f>ABS(L26-TMTA!$C$34)</f>
        <v>12.198348115065189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TMTA!M27</f>
        <v>-1.824383656</v>
      </c>
      <c r="M27">
        <f>TMTA!N27</f>
        <v>2.1</v>
      </c>
      <c r="O27">
        <f>ABS(L27-TMTA!$C$34)</f>
        <v>12.195281771065188</v>
      </c>
      <c r="P27">
        <f t="shared" si="0"/>
        <v>2.1</v>
      </c>
    </row>
    <row r="28" spans="1:16">
      <c r="A28">
        <f>TMTA!I27</f>
        <v>0</v>
      </c>
      <c r="B28">
        <f>TMTA!J27</f>
        <v>0</v>
      </c>
      <c r="C28">
        <v>1</v>
      </c>
      <c r="D28">
        <f>B28*C28</f>
        <v>0</v>
      </c>
      <c r="J28" s="5"/>
      <c r="L28">
        <f>TMTA!M28</f>
        <v>-1.8192025919999999</v>
      </c>
      <c r="M28">
        <f>TMTA!N28</f>
        <v>2.2000000000000002</v>
      </c>
      <c r="O28">
        <f>ABS(L28-TMTA!$C$34)</f>
        <v>12.190100707065188</v>
      </c>
      <c r="P28">
        <f t="shared" si="0"/>
        <v>2.2000000000000002</v>
      </c>
    </row>
    <row r="29" spans="1:16">
      <c r="A29">
        <f>TMTA!I28</f>
        <v>0</v>
      </c>
      <c r="B29">
        <f>TMTA!J28</f>
        <v>0</v>
      </c>
      <c r="C29">
        <f>B8</f>
        <v>3.4821742347067479</v>
      </c>
      <c r="D29">
        <f t="shared" ref="D29:D33" si="1">B29*C29</f>
        <v>0</v>
      </c>
      <c r="J29" s="5"/>
      <c r="L29">
        <f>TMTA!M29</f>
        <v>-1.813894568</v>
      </c>
      <c r="M29">
        <f>TMTA!N29</f>
        <v>2.2999999999999998</v>
      </c>
      <c r="O29">
        <f>ABS(L29-TMTA!$C$34)</f>
        <v>12.184792683065188</v>
      </c>
      <c r="P29">
        <f t="shared" si="0"/>
        <v>2.2999999999999998</v>
      </c>
    </row>
    <row r="30" spans="1:16">
      <c r="A30">
        <f>TMTA!I29</f>
        <v>0</v>
      </c>
      <c r="B30">
        <f>TMTA!J29</f>
        <v>0</v>
      </c>
      <c r="C30">
        <f>B8^2</f>
        <v>12.125537400855526</v>
      </c>
      <c r="D30">
        <f t="shared" si="1"/>
        <v>0</v>
      </c>
      <c r="J30" s="5"/>
      <c r="L30">
        <f>TMTA!M30</f>
        <v>-1.8056029840000001</v>
      </c>
      <c r="M30">
        <f>TMTA!N30</f>
        <v>2.4</v>
      </c>
      <c r="O30">
        <f>ABS(L30-TMTA!$C$34)</f>
        <v>12.176501099065188</v>
      </c>
      <c r="P30">
        <f t="shared" si="0"/>
        <v>2.4</v>
      </c>
    </row>
    <row r="31" spans="1:16">
      <c r="A31">
        <f>TMTA!I30</f>
        <v>0</v>
      </c>
      <c r="B31">
        <f>TMTA!J30</f>
        <v>0</v>
      </c>
      <c r="C31">
        <f>B8^3</f>
        <v>42.223233919232143</v>
      </c>
      <c r="D31">
        <f t="shared" si="1"/>
        <v>0</v>
      </c>
      <c r="J31" s="5"/>
      <c r="L31">
        <f>TMTA!M31</f>
        <v>-1.7973113999999999</v>
      </c>
      <c r="M31">
        <f>TMTA!N31</f>
        <v>2.5</v>
      </c>
      <c r="O31">
        <f>ABS(L31-TMTA!$C$34)</f>
        <v>12.168209515065188</v>
      </c>
      <c r="P31">
        <f t="shared" si="0"/>
        <v>2.5</v>
      </c>
    </row>
    <row r="32" spans="1:16">
      <c r="A32">
        <f>TMTA!I31</f>
        <v>0</v>
      </c>
      <c r="B32">
        <f>TMTA!J31</f>
        <v>0</v>
      </c>
      <c r="C32">
        <f>B8^4</f>
        <v>147.02865725954618</v>
      </c>
      <c r="D32">
        <f t="shared" si="1"/>
        <v>0</v>
      </c>
      <c r="J32" s="5"/>
      <c r="L32">
        <f>TMTA!M32</f>
        <v>-1.7923323920000001</v>
      </c>
      <c r="M32">
        <f>TMTA!N32</f>
        <v>2.6</v>
      </c>
      <c r="O32">
        <f>ABS(L32-TMTA!$C$34)</f>
        <v>12.163230507065188</v>
      </c>
      <c r="P32">
        <f t="shared" si="0"/>
        <v>2.6</v>
      </c>
    </row>
    <row r="33" spans="1:16">
      <c r="A33">
        <f>TMTA!I32</f>
        <v>0</v>
      </c>
      <c r="B33">
        <f>TMTA!J32</f>
        <v>0</v>
      </c>
      <c r="C33">
        <f>B8^5</f>
        <v>511.97940207272097</v>
      </c>
      <c r="D33">
        <f t="shared" si="1"/>
        <v>0</v>
      </c>
      <c r="J33" s="5"/>
      <c r="L33">
        <f>TMTA!M33</f>
        <v>-1.7908039840000001</v>
      </c>
      <c r="M33">
        <f>TMTA!N33</f>
        <v>2.7</v>
      </c>
      <c r="O33">
        <f>ABS(L33-TMTA!$C$34)</f>
        <v>12.161702099065188</v>
      </c>
      <c r="P33">
        <f t="shared" si="0"/>
        <v>2.7</v>
      </c>
    </row>
    <row r="34" spans="1:16">
      <c r="G34" s="21">
        <f>SQRT(D35)</f>
        <v>0</v>
      </c>
      <c r="J34" s="5"/>
      <c r="L34">
        <f>TMTA!M34</f>
        <v>-1.7892755760000001</v>
      </c>
      <c r="M34">
        <f>TMTA!N34</f>
        <v>2.8</v>
      </c>
      <c r="O34">
        <f>ABS(L34-TMTA!$C$34)</f>
        <v>12.160173691065188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TMTA!M35</f>
        <v>-1.7864760959999999</v>
      </c>
      <c r="M35">
        <f>TMTA!N35</f>
        <v>2.9</v>
      </c>
      <c r="O35">
        <f>ABS(L35-TMTA!$C$34)</f>
        <v>12.157374211065187</v>
      </c>
      <c r="P35">
        <f t="shared" si="0"/>
        <v>2.9</v>
      </c>
    </row>
    <row r="36" spans="1:16">
      <c r="J36" s="5"/>
      <c r="L36">
        <f>TMTA!M36</f>
        <v>-1.78359372</v>
      </c>
      <c r="M36">
        <f>TMTA!N36</f>
        <v>3</v>
      </c>
      <c r="O36">
        <f>ABS(L36-TMTA!$C$34)</f>
        <v>12.154491835065189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TMTA!M37</f>
        <v>-1.7800471040000001</v>
      </c>
      <c r="M37">
        <f>TMTA!N37</f>
        <v>3.1</v>
      </c>
      <c r="O37">
        <f>ABS(L37-TMTA!$C$34)</f>
        <v>12.150945219065187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0.33576400000000001</v>
      </c>
      <c r="J38" s="5"/>
      <c r="L38">
        <f>TMTA!M38</f>
        <v>-1.775451688</v>
      </c>
      <c r="M38">
        <f>TMTA!N38</f>
        <v>3.2</v>
      </c>
      <c r="O38">
        <f>ABS(L38-TMTA!$C$34)</f>
        <v>12.146349803065188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TMTA!M39</f>
        <v>-1.7708562720000001</v>
      </c>
      <c r="M39">
        <f>TMTA!N39</f>
        <v>3.3</v>
      </c>
      <c r="O39">
        <f>ABS(L39-TMTA!$C$34)</f>
        <v>12.141754387065188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TMTA!M40</f>
        <v>-1.7677791679999999</v>
      </c>
      <c r="M40">
        <f>TMTA!N40</f>
        <v>3.4</v>
      </c>
      <c r="O40">
        <f>ABS(L40-TMTA!$C$34)</f>
        <v>12.138677283065189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TMTA!M41</f>
        <v>-1.7649983199999999</v>
      </c>
      <c r="M41">
        <f>TMTA!N41</f>
        <v>3.5</v>
      </c>
      <c r="O41">
        <f>ABS(L41-TMTA!$C$34)</f>
        <v>12.135896435065188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TMTA!M42</f>
        <v>-1.7612678239999999</v>
      </c>
      <c r="M42">
        <f>TMTA!N42</f>
        <v>3.6</v>
      </c>
      <c r="O42">
        <f>ABS(L42-TMTA!$C$34)</f>
        <v>12.132165939065189</v>
      </c>
      <c r="P42">
        <f t="shared" si="0"/>
        <v>3.6</v>
      </c>
    </row>
    <row r="43" spans="1:16">
      <c r="A43" s="22"/>
      <c r="J43" s="5"/>
      <c r="L43">
        <f>TMTA!M43</f>
        <v>-1.7551632079999999</v>
      </c>
      <c r="M43">
        <f>TMTA!N43</f>
        <v>3.7</v>
      </c>
      <c r="O43">
        <f>ABS(L43-TMTA!$C$34)</f>
        <v>12.126061323065187</v>
      </c>
      <c r="P43">
        <f t="shared" si="0"/>
        <v>3.7</v>
      </c>
    </row>
    <row r="44" spans="1:16">
      <c r="J44" s="5"/>
      <c r="L44">
        <f>TMTA!M44</f>
        <v>-1.7490585919999999</v>
      </c>
      <c r="M44">
        <f>TMTA!N44</f>
        <v>3.8</v>
      </c>
      <c r="O44">
        <f>ABS(L44-TMTA!$C$34)</f>
        <v>12.119956707065189</v>
      </c>
      <c r="P44">
        <f t="shared" si="0"/>
        <v>3.8</v>
      </c>
    </row>
    <row r="45" spans="1:16">
      <c r="J45" s="5"/>
      <c r="L45">
        <f>TMTA!M45</f>
        <v>-1.7397208879999999</v>
      </c>
      <c r="M45">
        <f>TMTA!N45</f>
        <v>3.9</v>
      </c>
      <c r="O45">
        <f>ABS(L45-TMTA!$C$34)</f>
        <v>12.110619003065189</v>
      </c>
      <c r="P45">
        <f t="shared" si="0"/>
        <v>3.9</v>
      </c>
    </row>
    <row r="46" spans="1:16">
      <c r="J46" s="5"/>
      <c r="L46">
        <f>TMTA!M46</f>
        <v>-1.72921568</v>
      </c>
      <c r="M46">
        <f>TMTA!N46</f>
        <v>4</v>
      </c>
      <c r="O46">
        <f>ABS(L46-TMTA!$C$34)</f>
        <v>12.100113795065187</v>
      </c>
      <c r="P46">
        <f t="shared" si="0"/>
        <v>4</v>
      </c>
    </row>
    <row r="47" spans="1:16">
      <c r="J47" s="5"/>
      <c r="L47">
        <f>TMTA!M47</f>
        <v>-1.720036136</v>
      </c>
      <c r="M47">
        <f>TMTA!N47</f>
        <v>4.0999999999999996</v>
      </c>
      <c r="O47">
        <f>ABS(L47-TMTA!$C$34)</f>
        <v>12.090934251065189</v>
      </c>
      <c r="P47">
        <f t="shared" si="0"/>
        <v>4.0999999999999996</v>
      </c>
    </row>
    <row r="48" spans="1:16">
      <c r="J48" s="5"/>
      <c r="L48">
        <f>TMTA!M48</f>
        <v>-1.7167484319999999</v>
      </c>
      <c r="M48">
        <f>TMTA!N48</f>
        <v>4.2</v>
      </c>
      <c r="O48">
        <f>ABS(L48-TMTA!$C$34)</f>
        <v>12.087646547065187</v>
      </c>
      <c r="P48">
        <f t="shared" si="0"/>
        <v>4.2</v>
      </c>
    </row>
    <row r="49" spans="10:16">
      <c r="J49" s="5"/>
      <c r="L49">
        <f>TMTA!M49</f>
        <v>-1.713460728</v>
      </c>
      <c r="M49">
        <f>TMTA!N49</f>
        <v>4.3</v>
      </c>
      <c r="O49">
        <f>ABS(L49-TMTA!$C$34)</f>
        <v>12.084358843065187</v>
      </c>
      <c r="P49">
        <f t="shared" si="0"/>
        <v>4.3</v>
      </c>
    </row>
    <row r="50" spans="10:16">
      <c r="J50" s="5"/>
      <c r="L50">
        <f>TMTA!M50</f>
        <v>-1.709745472</v>
      </c>
      <c r="M50">
        <f>TMTA!N50</f>
        <v>4.4000000000000004</v>
      </c>
      <c r="O50">
        <f>ABS(L50-TMTA!$C$34)</f>
        <v>12.080643587065188</v>
      </c>
      <c r="P50">
        <f t="shared" si="0"/>
        <v>4.4000000000000004</v>
      </c>
    </row>
    <row r="51" spans="10:16">
      <c r="J51" s="5"/>
      <c r="L51">
        <f>TMTA!M51</f>
        <v>-1.7057819599999999</v>
      </c>
      <c r="M51">
        <f>TMTA!N51</f>
        <v>4.5</v>
      </c>
      <c r="O51">
        <f>ABS(L51-TMTA!$C$34)</f>
        <v>12.076680075065187</v>
      </c>
      <c r="P51">
        <f t="shared" si="0"/>
        <v>4.5</v>
      </c>
    </row>
    <row r="52" spans="10:16">
      <c r="J52" s="5"/>
      <c r="L52">
        <f>TMTA!M52</f>
        <v>-1.701991024</v>
      </c>
      <c r="M52">
        <f>TMTA!N52</f>
        <v>4.5999999999999996</v>
      </c>
      <c r="O52">
        <f>ABS(L52-TMTA!$C$34)</f>
        <v>12.072889139065188</v>
      </c>
      <c r="P52">
        <f t="shared" si="0"/>
        <v>4.5999999999999996</v>
      </c>
    </row>
    <row r="53" spans="10:16">
      <c r="J53" s="5"/>
      <c r="L53">
        <f>TMTA!M53</f>
        <v>-1.700141568</v>
      </c>
      <c r="M53">
        <f>TMTA!N53</f>
        <v>4.7</v>
      </c>
      <c r="O53">
        <f>ABS(L53-TMTA!$C$34)</f>
        <v>12.071039683065187</v>
      </c>
      <c r="P53">
        <f t="shared" si="0"/>
        <v>4.7</v>
      </c>
    </row>
    <row r="54" spans="10:16">
      <c r="J54" s="5"/>
      <c r="L54">
        <f>TMTA!M54</f>
        <v>-1.6982921120000001</v>
      </c>
      <c r="M54">
        <f>TMTA!N54</f>
        <v>4.8</v>
      </c>
      <c r="O54">
        <f>ABS(L54-TMTA!$C$34)</f>
        <v>12.069190227065189</v>
      </c>
      <c r="P54">
        <f t="shared" si="0"/>
        <v>4.8</v>
      </c>
    </row>
    <row r="55" spans="10:16">
      <c r="J55" s="5"/>
      <c r="L55">
        <f>TMTA!M55</f>
        <v>-1.6965878400000001</v>
      </c>
      <c r="M55">
        <f>TMTA!N55</f>
        <v>4.9000000000000004</v>
      </c>
      <c r="O55">
        <f>ABS(L55-TMTA!$C$34)</f>
        <v>12.067485955065187</v>
      </c>
      <c r="P55">
        <f t="shared" si="0"/>
        <v>4.9000000000000004</v>
      </c>
    </row>
    <row r="56" spans="10:16">
      <c r="J56" s="5"/>
      <c r="L56">
        <f>TMTA!M56</f>
        <v>-1.695012</v>
      </c>
      <c r="M56">
        <f>TMTA!N56</f>
        <v>5</v>
      </c>
      <c r="O56">
        <f>ABS(L56-TMTA!$C$34)</f>
        <v>12.065910115065188</v>
      </c>
      <c r="P56">
        <f t="shared" si="0"/>
        <v>5</v>
      </c>
    </row>
    <row r="57" spans="10:16">
      <c r="J57" s="5"/>
      <c r="L57">
        <f>TMTA!M57</f>
        <v>-1.6934361600000001</v>
      </c>
      <c r="M57">
        <f>TMTA!N57</f>
        <v>5.0999999999999996</v>
      </c>
      <c r="O57">
        <f>ABS(L57-TMTA!$C$34)</f>
        <v>12.064334275065189</v>
      </c>
      <c r="P57">
        <f t="shared" si="0"/>
        <v>5.0999999999999996</v>
      </c>
    </row>
    <row r="58" spans="10:16">
      <c r="J58" s="5"/>
      <c r="L58">
        <f>TMTA!M58</f>
        <v>-1.6806724799999999</v>
      </c>
      <c r="M58">
        <f>TMTA!N58</f>
        <v>5.2</v>
      </c>
      <c r="O58">
        <f>ABS(L58-TMTA!$C$34)</f>
        <v>12.051570595065188</v>
      </c>
      <c r="P58">
        <f t="shared" si="0"/>
        <v>5.2</v>
      </c>
    </row>
    <row r="59" spans="10:16">
      <c r="J59" s="5"/>
      <c r="L59">
        <f>TMTA!M59</f>
        <v>-1.6676757200000001</v>
      </c>
      <c r="M59">
        <f>TMTA!N59</f>
        <v>5.3</v>
      </c>
      <c r="O59">
        <f>ABS(L59-TMTA!$C$34)</f>
        <v>12.038573835065188</v>
      </c>
      <c r="P59">
        <f t="shared" si="0"/>
        <v>5.3</v>
      </c>
    </row>
    <row r="60" spans="10:16">
      <c r="J60" s="5"/>
      <c r="L60">
        <f>TMTA!M60</f>
        <v>-1.6569002559999999</v>
      </c>
      <c r="M60">
        <f>TMTA!N60</f>
        <v>5.4</v>
      </c>
      <c r="O60">
        <f>ABS(L60-TMTA!$C$34)</f>
        <v>12.027798371065188</v>
      </c>
      <c r="P60">
        <f t="shared" si="0"/>
        <v>5.4</v>
      </c>
    </row>
    <row r="61" spans="10:16">
      <c r="J61" s="5"/>
      <c r="L61">
        <f>TMTA!M61</f>
        <v>-1.64908652</v>
      </c>
      <c r="M61">
        <f>TMTA!N61</f>
        <v>5.5</v>
      </c>
      <c r="O61">
        <f>ABS(L61-TMTA!$C$34)</f>
        <v>12.019984635065189</v>
      </c>
      <c r="P61">
        <f t="shared" si="0"/>
        <v>5.5</v>
      </c>
    </row>
    <row r="62" spans="10:16">
      <c r="J62" s="5"/>
      <c r="L62">
        <f>TMTA!M62</f>
        <v>-1.6412727840000001</v>
      </c>
      <c r="M62">
        <f>TMTA!N62</f>
        <v>5.6</v>
      </c>
      <c r="O62">
        <f>ABS(L62-TMTA!$C$34)</f>
        <v>12.012170899065188</v>
      </c>
      <c r="P62">
        <f t="shared" si="0"/>
        <v>5.6</v>
      </c>
    </row>
    <row r="63" spans="10:16">
      <c r="J63" s="5"/>
      <c r="L63">
        <f>TMTA!M63</f>
        <v>-1.626972584</v>
      </c>
      <c r="M63">
        <f>TMTA!N63</f>
        <v>5.7</v>
      </c>
      <c r="O63">
        <f>ABS(L63-TMTA!$C$34)</f>
        <v>11.997870699065189</v>
      </c>
      <c r="P63">
        <f t="shared" si="0"/>
        <v>5.7</v>
      </c>
    </row>
    <row r="64" spans="10:16">
      <c r="J64" s="5"/>
      <c r="L64">
        <f>TMTA!M64</f>
        <v>-1.611767296</v>
      </c>
      <c r="M64">
        <f>TMTA!N64</f>
        <v>5.8</v>
      </c>
      <c r="O64">
        <f>ABS(L64-TMTA!$C$34)</f>
        <v>11.982665411065188</v>
      </c>
      <c r="P64">
        <f t="shared" si="0"/>
        <v>5.8</v>
      </c>
    </row>
    <row r="65" spans="10:16">
      <c r="J65" s="5"/>
      <c r="L65">
        <f>TMTA!M65</f>
        <v>-1.597062872</v>
      </c>
      <c r="M65">
        <f>TMTA!N65</f>
        <v>5.9</v>
      </c>
      <c r="O65">
        <f>ABS(L65-TMTA!$C$34)</f>
        <v>11.967960987065188</v>
      </c>
      <c r="P65">
        <f t="shared" si="0"/>
        <v>5.9</v>
      </c>
    </row>
    <row r="66" spans="10:16">
      <c r="J66" s="5"/>
      <c r="L66">
        <f>TMTA!M66</f>
        <v>-1.58339148</v>
      </c>
      <c r="M66">
        <f>TMTA!N66</f>
        <v>6</v>
      </c>
      <c r="O66">
        <f>ABS(L66-TMTA!$C$34)</f>
        <v>11.954289595065188</v>
      </c>
      <c r="P66">
        <f t="shared" si="0"/>
        <v>6</v>
      </c>
    </row>
    <row r="67" spans="10:16">
      <c r="J67" s="5"/>
      <c r="L67">
        <f>TMTA!M67</f>
        <v>-1.569720088</v>
      </c>
      <c r="M67">
        <f>TMTA!N67</f>
        <v>6.1</v>
      </c>
      <c r="O67">
        <f>ABS(L67-TMTA!$C$34)</f>
        <v>11.940618203065188</v>
      </c>
      <c r="P67">
        <f t="shared" si="0"/>
        <v>6.1</v>
      </c>
    </row>
    <row r="68" spans="10:16">
      <c r="J68" s="5"/>
      <c r="L68">
        <f>TMTA!M68</f>
        <v>-1.5628464399999999</v>
      </c>
      <c r="M68">
        <f>TMTA!N68</f>
        <v>6.2</v>
      </c>
      <c r="O68">
        <f>ABS(L68-TMTA!$C$34)</f>
        <v>11.933744555065187</v>
      </c>
      <c r="P68">
        <f t="shared" si="0"/>
        <v>6.2</v>
      </c>
    </row>
    <row r="69" spans="10:16">
      <c r="J69" s="5"/>
      <c r="L69">
        <f>TMTA!M69</f>
        <v>-1.55794056</v>
      </c>
      <c r="M69">
        <f>TMTA!N69</f>
        <v>6.3</v>
      </c>
      <c r="O69">
        <f>ABS(L69-TMTA!$C$34)</f>
        <v>11.928838675065188</v>
      </c>
      <c r="P69">
        <f t="shared" si="0"/>
        <v>6.3</v>
      </c>
    </row>
    <row r="70" spans="10:16">
      <c r="J70" s="5"/>
      <c r="L70">
        <f>TMTA!M70</f>
        <v>-1.5524998160000001</v>
      </c>
      <c r="M70">
        <f>TMTA!N70</f>
        <v>6.4</v>
      </c>
      <c r="O70">
        <f>ABS(L70-TMTA!$C$34)</f>
        <v>11.923397931065189</v>
      </c>
      <c r="P70">
        <f t="shared" si="0"/>
        <v>6.4</v>
      </c>
    </row>
    <row r="71" spans="10:16">
      <c r="J71" s="5"/>
      <c r="L71">
        <f>TMTA!M71</f>
        <v>-1.5452113599999999</v>
      </c>
      <c r="M71">
        <f>TMTA!N71</f>
        <v>6.5</v>
      </c>
      <c r="O71">
        <f>ABS(L71-TMTA!$C$34)</f>
        <v>11.916109475065188</v>
      </c>
      <c r="P71">
        <f t="shared" ref="P71:P134" si="2">M71</f>
        <v>6.5</v>
      </c>
    </row>
    <row r="72" spans="10:16">
      <c r="J72" s="5"/>
      <c r="L72">
        <f>TMTA!M72</f>
        <v>-1.537922904</v>
      </c>
      <c r="M72">
        <f>TMTA!N72</f>
        <v>6.6</v>
      </c>
      <c r="O72">
        <f>ABS(L72-TMTA!$C$34)</f>
        <v>11.908821019065188</v>
      </c>
      <c r="P72">
        <f t="shared" si="2"/>
        <v>6.6</v>
      </c>
    </row>
    <row r="73" spans="10:16">
      <c r="J73" s="5"/>
      <c r="L73">
        <f>TMTA!M73</f>
        <v>-1.521682736</v>
      </c>
      <c r="M73">
        <f>TMTA!N73</f>
        <v>6.7</v>
      </c>
      <c r="O73">
        <f>ABS(L73-TMTA!$C$34)</f>
        <v>11.892580851065189</v>
      </c>
      <c r="P73">
        <f t="shared" si="2"/>
        <v>6.7</v>
      </c>
    </row>
    <row r="74" spans="10:16">
      <c r="J74" s="5"/>
      <c r="L74">
        <f>TMTA!M74</f>
        <v>-1.501102344</v>
      </c>
      <c r="M74">
        <f>TMTA!N74</f>
        <v>6.8</v>
      </c>
      <c r="O74">
        <f>ABS(L74-TMTA!$C$34)</f>
        <v>11.872000459065188</v>
      </c>
      <c r="P74">
        <f t="shared" si="2"/>
        <v>6.8</v>
      </c>
    </row>
    <row r="75" spans="10:16">
      <c r="J75" s="5"/>
      <c r="L75">
        <f>TMTA!M75</f>
        <v>-1.480545808</v>
      </c>
      <c r="M75">
        <f>TMTA!N75</f>
        <v>6.9</v>
      </c>
      <c r="O75">
        <f>ABS(L75-TMTA!$C$34)</f>
        <v>11.851443923065188</v>
      </c>
      <c r="P75">
        <f t="shared" si="2"/>
        <v>6.9</v>
      </c>
    </row>
    <row r="76" spans="10:16">
      <c r="J76" s="5"/>
      <c r="L76">
        <f>TMTA!M76</f>
        <v>-1.46016024</v>
      </c>
      <c r="M76">
        <f>TMTA!N76</f>
        <v>7</v>
      </c>
      <c r="O76">
        <f>ABS(L76-TMTA!$C$34)</f>
        <v>11.831058355065188</v>
      </c>
      <c r="P76">
        <f t="shared" si="2"/>
        <v>7</v>
      </c>
    </row>
    <row r="77" spans="10:16">
      <c r="J77" s="5"/>
      <c r="L77">
        <f>TMTA!M77</f>
        <v>-1.439774672</v>
      </c>
      <c r="M77">
        <f>TMTA!N77</f>
        <v>7.1</v>
      </c>
      <c r="O77">
        <f>ABS(L77-TMTA!$C$34)</f>
        <v>11.810672787065188</v>
      </c>
      <c r="P77">
        <f t="shared" si="2"/>
        <v>7.1</v>
      </c>
    </row>
    <row r="78" spans="10:16">
      <c r="J78" s="5"/>
      <c r="L78">
        <f>TMTA!M78</f>
        <v>-1.431038</v>
      </c>
      <c r="M78">
        <f>TMTA!N78</f>
        <v>7.2</v>
      </c>
      <c r="O78">
        <f>ABS(L78-TMTA!$C$34)</f>
        <v>11.801936115065189</v>
      </c>
      <c r="P78">
        <f t="shared" si="2"/>
        <v>7.2</v>
      </c>
    </row>
    <row r="79" spans="10:16">
      <c r="J79" s="5"/>
      <c r="L79">
        <f>TMTA!M79</f>
        <v>-1.431038</v>
      </c>
      <c r="M79">
        <f>TMTA!N79</f>
        <v>7.3</v>
      </c>
      <c r="O79">
        <f>ABS(L79-TMTA!$C$34)</f>
        <v>11.801936115065189</v>
      </c>
      <c r="P79">
        <f t="shared" si="2"/>
        <v>7.3</v>
      </c>
    </row>
    <row r="80" spans="10:16">
      <c r="J80" s="5"/>
      <c r="L80">
        <f>TMTA!M80</f>
        <v>-1.430704744</v>
      </c>
      <c r="M80">
        <f>TMTA!N80</f>
        <v>7.4</v>
      </c>
      <c r="O80">
        <f>ABS(L80-TMTA!$C$34)</f>
        <v>11.801602859065188</v>
      </c>
      <c r="P80">
        <f t="shared" si="2"/>
        <v>7.4</v>
      </c>
    </row>
    <row r="81" spans="10:16">
      <c r="J81" s="5"/>
      <c r="L81">
        <f>TMTA!M81</f>
        <v>-1.4143752000000001</v>
      </c>
      <c r="M81">
        <f>TMTA!N81</f>
        <v>7.5</v>
      </c>
      <c r="O81">
        <f>ABS(L81-TMTA!$C$34)</f>
        <v>11.785273315065188</v>
      </c>
      <c r="P81">
        <f t="shared" si="2"/>
        <v>7.5</v>
      </c>
    </row>
    <row r="82" spans="10:16">
      <c r="J82" s="5"/>
      <c r="L82">
        <f>TMTA!M82</f>
        <v>-1.3980456560000001</v>
      </c>
      <c r="M82">
        <f>TMTA!N82</f>
        <v>7.6</v>
      </c>
      <c r="O82">
        <f>ABS(L82-TMTA!$C$34)</f>
        <v>11.768943771065189</v>
      </c>
      <c r="P82">
        <f t="shared" si="2"/>
        <v>7.6</v>
      </c>
    </row>
    <row r="83" spans="10:16">
      <c r="J83" s="5"/>
      <c r="L83">
        <f>TMTA!M83</f>
        <v>-1.389381</v>
      </c>
      <c r="M83">
        <f>TMTA!N83</f>
        <v>7.7</v>
      </c>
      <c r="O83">
        <f>ABS(L83-TMTA!$C$34)</f>
        <v>11.760279115065188</v>
      </c>
      <c r="P83">
        <f t="shared" si="2"/>
        <v>7.7</v>
      </c>
    </row>
    <row r="84" spans="10:16">
      <c r="J84" s="5"/>
      <c r="L84">
        <f>TMTA!M84</f>
        <v>-1.389381</v>
      </c>
      <c r="M84">
        <f>TMTA!N84</f>
        <v>7.8</v>
      </c>
      <c r="O84">
        <f>ABS(L84-TMTA!$C$34)</f>
        <v>11.760279115065188</v>
      </c>
      <c r="P84">
        <f t="shared" si="2"/>
        <v>7.8</v>
      </c>
    </row>
    <row r="85" spans="10:16">
      <c r="J85" s="5"/>
      <c r="L85">
        <f>TMTA!M85</f>
        <v>-1.389381</v>
      </c>
      <c r="M85">
        <f>TMTA!N85</f>
        <v>7.9</v>
      </c>
      <c r="O85">
        <f>ABS(L85-TMTA!$C$34)</f>
        <v>11.760279115065188</v>
      </c>
      <c r="P85">
        <f t="shared" si="2"/>
        <v>7.9</v>
      </c>
    </row>
    <row r="86" spans="10:16">
      <c r="J86" s="5"/>
      <c r="L86">
        <f>TMTA!M86</f>
        <v>-1.3871454000000001</v>
      </c>
      <c r="M86">
        <f>TMTA!N86</f>
        <v>8</v>
      </c>
      <c r="O86">
        <f>ABS(L86-TMTA!$C$34)</f>
        <v>11.758043515065188</v>
      </c>
      <c r="P86">
        <f t="shared" si="2"/>
        <v>8</v>
      </c>
    </row>
    <row r="87" spans="10:16">
      <c r="J87" s="5"/>
      <c r="L87">
        <f>TMTA!M87</f>
        <v>-1.38471108</v>
      </c>
      <c r="M87">
        <f>TMTA!N87</f>
        <v>8.1</v>
      </c>
      <c r="O87">
        <f>ABS(L87-TMTA!$C$34)</f>
        <v>11.755609195065189</v>
      </c>
      <c r="P87">
        <f t="shared" si="2"/>
        <v>8.1</v>
      </c>
    </row>
    <row r="88" spans="10:16">
      <c r="J88" s="5"/>
      <c r="L88">
        <f>TMTA!M88</f>
        <v>-1.3779283920000001</v>
      </c>
      <c r="M88">
        <f>TMTA!N88</f>
        <v>8.1999999999999993</v>
      </c>
      <c r="O88">
        <f>ABS(L88-TMTA!$C$34)</f>
        <v>11.748826507065187</v>
      </c>
      <c r="P88">
        <f t="shared" si="2"/>
        <v>8.1999999999999993</v>
      </c>
    </row>
    <row r="89" spans="10:16">
      <c r="J89" s="5"/>
      <c r="L89">
        <f>TMTA!M89</f>
        <v>-1.363656848</v>
      </c>
      <c r="M89">
        <f>TMTA!N89</f>
        <v>8.3000000000000007</v>
      </c>
      <c r="O89">
        <f>ABS(L89-TMTA!$C$34)</f>
        <v>11.734554963065188</v>
      </c>
      <c r="P89">
        <f t="shared" si="2"/>
        <v>8.3000000000000007</v>
      </c>
    </row>
    <row r="90" spans="10:16">
      <c r="J90" s="5"/>
      <c r="L90">
        <f>TMTA!M90</f>
        <v>-1.3493853039999999</v>
      </c>
      <c r="M90">
        <f>TMTA!N90</f>
        <v>8.4</v>
      </c>
      <c r="O90">
        <f>ABS(L90-TMTA!$C$34)</f>
        <v>11.720283419065188</v>
      </c>
      <c r="P90">
        <f t="shared" si="2"/>
        <v>8.4</v>
      </c>
    </row>
    <row r="91" spans="10:16">
      <c r="J91" s="5"/>
      <c r="L91">
        <f>TMTA!M91</f>
        <v>-1.3385972799999999</v>
      </c>
      <c r="M91">
        <f>TMTA!N91</f>
        <v>8.5</v>
      </c>
      <c r="O91">
        <f>ABS(L91-TMTA!$C$34)</f>
        <v>11.709495395065188</v>
      </c>
      <c r="P91">
        <f t="shared" si="2"/>
        <v>8.5</v>
      </c>
    </row>
    <row r="92" spans="10:16">
      <c r="J92" s="5"/>
      <c r="L92">
        <f>TMTA!M92</f>
        <v>-1.3285930480000001</v>
      </c>
      <c r="M92">
        <f>TMTA!N92</f>
        <v>8.6</v>
      </c>
      <c r="O92">
        <f>ABS(L92-TMTA!$C$34)</f>
        <v>11.699491163065188</v>
      </c>
      <c r="P92">
        <f t="shared" si="2"/>
        <v>8.6</v>
      </c>
    </row>
    <row r="93" spans="10:16">
      <c r="J93" s="5"/>
      <c r="L93">
        <f>TMTA!M93</f>
        <v>-1.3161809040000001</v>
      </c>
      <c r="M93">
        <f>TMTA!N93</f>
        <v>8.6999999999999993</v>
      </c>
      <c r="O93">
        <f>ABS(L93-TMTA!$C$34)</f>
        <v>11.687079019065187</v>
      </c>
      <c r="P93">
        <f t="shared" si="2"/>
        <v>8.6999999999999993</v>
      </c>
    </row>
    <row r="94" spans="10:16">
      <c r="J94" s="5"/>
      <c r="L94">
        <f>TMTA!M94</f>
        <v>-1.297100696</v>
      </c>
      <c r="M94">
        <f>TMTA!N94</f>
        <v>8.8000000000000007</v>
      </c>
      <c r="O94">
        <f>ABS(L94-TMTA!$C$34)</f>
        <v>11.667998811065187</v>
      </c>
      <c r="P94">
        <f t="shared" si="2"/>
        <v>8.8000000000000007</v>
      </c>
    </row>
    <row r="95" spans="10:16">
      <c r="J95" s="5"/>
      <c r="L95">
        <f>TMTA!M95</f>
        <v>-1.2780204879999999</v>
      </c>
      <c r="M95">
        <f>TMTA!N95</f>
        <v>8.9</v>
      </c>
      <c r="O95">
        <f>ABS(L95-TMTA!$C$34)</f>
        <v>11.648918603065187</v>
      </c>
      <c r="P95">
        <f t="shared" si="2"/>
        <v>8.9</v>
      </c>
    </row>
    <row r="96" spans="10:16">
      <c r="J96" s="5"/>
      <c r="L96">
        <f>TMTA!M96</f>
        <v>-1.2720655599999999</v>
      </c>
      <c r="M96">
        <f>TMTA!N96</f>
        <v>9</v>
      </c>
      <c r="O96">
        <f>ABS(L96-TMTA!$C$34)</f>
        <v>11.642963675065188</v>
      </c>
      <c r="P96">
        <f t="shared" si="2"/>
        <v>9</v>
      </c>
    </row>
    <row r="97" spans="10:16">
      <c r="J97" s="5"/>
      <c r="L97">
        <f>TMTA!M97</f>
        <v>-1.2713607440000001</v>
      </c>
      <c r="M97">
        <f>TMTA!N97</f>
        <v>9.1</v>
      </c>
      <c r="O97">
        <f>ABS(L97-TMTA!$C$34)</f>
        <v>11.642258859065189</v>
      </c>
      <c r="P97">
        <f t="shared" si="2"/>
        <v>9.1</v>
      </c>
    </row>
    <row r="98" spans="10:16">
      <c r="J98" s="5"/>
      <c r="L98">
        <f>TMTA!M98</f>
        <v>-1.2707355440000001</v>
      </c>
      <c r="M98">
        <f>TMTA!N98</f>
        <v>9.1999999999999993</v>
      </c>
      <c r="O98">
        <f>ABS(L98-TMTA!$C$34)</f>
        <v>11.641633659065189</v>
      </c>
      <c r="P98">
        <f t="shared" si="2"/>
        <v>9.1999999999999993</v>
      </c>
    </row>
    <row r="99" spans="10:16">
      <c r="J99" s="5"/>
      <c r="L99">
        <f>TMTA!M99</f>
        <v>-1.2705183760000001</v>
      </c>
      <c r="M99">
        <f>TMTA!N99</f>
        <v>9.3000000000000007</v>
      </c>
      <c r="O99">
        <f>ABS(L99-TMTA!$C$34)</f>
        <v>11.641416491065188</v>
      </c>
      <c r="P99">
        <f t="shared" si="2"/>
        <v>9.3000000000000007</v>
      </c>
    </row>
    <row r="100" spans="10:16">
      <c r="J100" s="5"/>
      <c r="L100">
        <f>TMTA!M100</f>
        <v>-1.270301208</v>
      </c>
      <c r="M100">
        <f>TMTA!N100</f>
        <v>9.4</v>
      </c>
      <c r="O100">
        <f>ABS(L100-TMTA!$C$34)</f>
        <v>11.641199323065187</v>
      </c>
      <c r="P100">
        <f t="shared" si="2"/>
        <v>9.4</v>
      </c>
    </row>
    <row r="101" spans="10:16">
      <c r="J101" s="5"/>
      <c r="L101">
        <f>TMTA!M101</f>
        <v>-1.2701711600000001</v>
      </c>
      <c r="M101">
        <f>TMTA!N101</f>
        <v>9.5</v>
      </c>
      <c r="O101">
        <f>ABS(L101-TMTA!$C$34)</f>
        <v>11.641069275065188</v>
      </c>
      <c r="P101">
        <f t="shared" si="2"/>
        <v>9.5</v>
      </c>
    </row>
    <row r="102" spans="10:16">
      <c r="J102" s="5"/>
      <c r="L102">
        <f>TMTA!M102</f>
        <v>-1.270096288</v>
      </c>
      <c r="M102">
        <f>TMTA!N102</f>
        <v>9.6</v>
      </c>
      <c r="O102">
        <f>ABS(L102-TMTA!$C$34)</f>
        <v>11.640994403065188</v>
      </c>
      <c r="P102">
        <f t="shared" si="2"/>
        <v>9.6</v>
      </c>
    </row>
    <row r="103" spans="10:16">
      <c r="J103" s="5"/>
      <c r="L103">
        <f>TMTA!M103</f>
        <v>-1.2689978399999999</v>
      </c>
      <c r="M103">
        <f>TMTA!N103</f>
        <v>9.6999999999999993</v>
      </c>
      <c r="O103">
        <f>ABS(L103-TMTA!$C$34)</f>
        <v>11.639895955065189</v>
      </c>
      <c r="P103">
        <f t="shared" si="2"/>
        <v>9.6999999999999993</v>
      </c>
    </row>
    <row r="104" spans="10:16">
      <c r="J104" s="5"/>
      <c r="L104">
        <f>TMTA!M104</f>
        <v>-1.25220456</v>
      </c>
      <c r="M104">
        <f>TMTA!N104</f>
        <v>9.8000000000000007</v>
      </c>
      <c r="O104">
        <f>ABS(L104-TMTA!$C$34)</f>
        <v>11.623102675065187</v>
      </c>
      <c r="P104">
        <f t="shared" si="2"/>
        <v>9.8000000000000007</v>
      </c>
    </row>
    <row r="105" spans="10:16">
      <c r="J105" s="5"/>
      <c r="L105">
        <f>TMTA!M105</f>
        <v>-1.2354112799999999</v>
      </c>
      <c r="M105">
        <f>TMTA!N105</f>
        <v>9.9</v>
      </c>
      <c r="O105">
        <f>ABS(L105-TMTA!$C$34)</f>
        <v>11.606309395065187</v>
      </c>
      <c r="P105">
        <f t="shared" si="2"/>
        <v>9.9</v>
      </c>
    </row>
    <row r="106" spans="10:16">
      <c r="J106" s="5"/>
      <c r="L106">
        <f>TMTA!M106</f>
        <v>-1.2264660000000001</v>
      </c>
      <c r="M106">
        <f>TMTA!N106</f>
        <v>10</v>
      </c>
      <c r="O106">
        <f>ABS(L106-TMTA!$C$34)</f>
        <v>11.597364115065188</v>
      </c>
      <c r="P106">
        <f t="shared" si="2"/>
        <v>10</v>
      </c>
    </row>
    <row r="107" spans="10:16">
      <c r="J107" s="5"/>
      <c r="L107">
        <f>TMTA!M107</f>
        <v>-1.2250548000000001</v>
      </c>
      <c r="M107">
        <f>TMTA!N107</f>
        <v>10.1</v>
      </c>
      <c r="O107">
        <f>ABS(L107-TMTA!$C$34)</f>
        <v>11.595952915065189</v>
      </c>
      <c r="P107">
        <f t="shared" si="2"/>
        <v>10.1</v>
      </c>
    </row>
    <row r="108" spans="10:16">
      <c r="J108" s="5"/>
      <c r="L108">
        <f>TMTA!M108</f>
        <v>-1.2236435999999999</v>
      </c>
      <c r="M108">
        <f>TMTA!N108</f>
        <v>10.199999999999999</v>
      </c>
      <c r="O108">
        <f>ABS(L108-TMTA!$C$34)</f>
        <v>11.594541715065187</v>
      </c>
      <c r="P108">
        <f t="shared" si="2"/>
        <v>10.199999999999999</v>
      </c>
    </row>
    <row r="109" spans="10:16">
      <c r="J109" s="5"/>
      <c r="L109">
        <f>TMTA!M109</f>
        <v>-1.2224516080000001</v>
      </c>
      <c r="M109">
        <f>TMTA!N109</f>
        <v>10.3</v>
      </c>
      <c r="O109">
        <f>ABS(L109-TMTA!$C$34)</f>
        <v>11.593349723065188</v>
      </c>
      <c r="P109">
        <f t="shared" si="2"/>
        <v>10.3</v>
      </c>
    </row>
    <row r="110" spans="10:16">
      <c r="J110" s="5"/>
      <c r="L110">
        <f>TMTA!M110</f>
        <v>-1.221268944</v>
      </c>
      <c r="M110">
        <f>TMTA!N110</f>
        <v>10.4</v>
      </c>
      <c r="O110">
        <f>ABS(L110-TMTA!$C$34)</f>
        <v>11.592167059065188</v>
      </c>
      <c r="P110">
        <f t="shared" si="2"/>
        <v>10.4</v>
      </c>
    </row>
    <row r="111" spans="10:16">
      <c r="J111" s="5"/>
      <c r="L111">
        <f>TMTA!M111</f>
        <v>-1.2204794000000001</v>
      </c>
      <c r="M111">
        <f>TMTA!N111</f>
        <v>10.5</v>
      </c>
      <c r="O111">
        <f>ABS(L111-TMTA!$C$34)</f>
        <v>11.591377515065188</v>
      </c>
      <c r="P111">
        <f t="shared" si="2"/>
        <v>10.5</v>
      </c>
    </row>
    <row r="112" spans="10:16">
      <c r="J112" s="5"/>
      <c r="L112">
        <f>TMTA!M112</f>
        <v>-1.22025988</v>
      </c>
      <c r="M112">
        <f>TMTA!N112</f>
        <v>10.6</v>
      </c>
      <c r="O112">
        <f>ABS(L112-TMTA!$C$34)</f>
        <v>11.591157995065188</v>
      </c>
      <c r="P112">
        <f t="shared" si="2"/>
        <v>10.6</v>
      </c>
    </row>
    <row r="113" spans="10:16">
      <c r="J113" s="5"/>
      <c r="L113">
        <f>TMTA!M113</f>
        <v>-1.22004036</v>
      </c>
      <c r="M113">
        <f>TMTA!N113</f>
        <v>10.7</v>
      </c>
      <c r="O113">
        <f>ABS(L113-TMTA!$C$34)</f>
        <v>11.590938475065188</v>
      </c>
      <c r="P113">
        <f t="shared" si="2"/>
        <v>10.7</v>
      </c>
    </row>
    <row r="114" spans="10:16">
      <c r="J114" s="5"/>
      <c r="L114">
        <f>TMTA!M114</f>
        <v>-1.2200089999999999</v>
      </c>
      <c r="M114">
        <f>TMTA!N114</f>
        <v>10.8</v>
      </c>
      <c r="O114">
        <f>ABS(L114-TMTA!$C$34)</f>
        <v>11.590907115065187</v>
      </c>
      <c r="P114">
        <f t="shared" si="2"/>
        <v>10.8</v>
      </c>
    </row>
    <row r="115" spans="10:16">
      <c r="J115" s="5"/>
      <c r="L115">
        <f>TMTA!M115</f>
        <v>-1.2200089999999999</v>
      </c>
      <c r="M115">
        <f>TMTA!N115</f>
        <v>10.9</v>
      </c>
      <c r="O115">
        <f>ABS(L115-TMTA!$C$34)</f>
        <v>11.590907115065187</v>
      </c>
      <c r="P115">
        <f t="shared" si="2"/>
        <v>10.9</v>
      </c>
    </row>
    <row r="116" spans="10:16">
      <c r="J116" s="5"/>
      <c r="L116">
        <f>TMTA!M116</f>
        <v>-1.2196011200000001</v>
      </c>
      <c r="M116">
        <f>TMTA!N116</f>
        <v>11</v>
      </c>
      <c r="O116">
        <f>ABS(L116-TMTA!$C$34)</f>
        <v>11.590499235065188</v>
      </c>
      <c r="P116">
        <f t="shared" si="2"/>
        <v>11</v>
      </c>
    </row>
    <row r="117" spans="10:16">
      <c r="J117" s="5"/>
      <c r="L117">
        <f>TMTA!M117</f>
        <v>-1.218268712</v>
      </c>
      <c r="M117">
        <f>TMTA!N117</f>
        <v>11.1</v>
      </c>
      <c r="O117">
        <f>ABS(L117-TMTA!$C$34)</f>
        <v>11.589166827065188</v>
      </c>
      <c r="P117">
        <f t="shared" si="2"/>
        <v>11.1</v>
      </c>
    </row>
    <row r="118" spans="10:16">
      <c r="J118" s="5"/>
      <c r="L118">
        <f>TMTA!M118</f>
        <v>-1.2169363040000001</v>
      </c>
      <c r="M118">
        <f>TMTA!N118</f>
        <v>11.2</v>
      </c>
      <c r="O118">
        <f>ABS(L118-TMTA!$C$34)</f>
        <v>11.587834419065189</v>
      </c>
      <c r="P118">
        <f t="shared" si="2"/>
        <v>11.2</v>
      </c>
    </row>
    <row r="119" spans="10:16">
      <c r="J119" s="5"/>
      <c r="L119">
        <f>TMTA!M119</f>
        <v>-1.2122303839999999</v>
      </c>
      <c r="M119">
        <f>TMTA!N119</f>
        <v>11.3</v>
      </c>
      <c r="O119">
        <f>ABS(L119-TMTA!$C$34)</f>
        <v>11.583128499065188</v>
      </c>
      <c r="P119">
        <f t="shared" si="2"/>
        <v>11.3</v>
      </c>
    </row>
    <row r="120" spans="10:16">
      <c r="J120" s="5"/>
      <c r="L120">
        <f>TMTA!M120</f>
        <v>-1.2064303519999999</v>
      </c>
      <c r="M120">
        <f>TMTA!N120</f>
        <v>11.4</v>
      </c>
      <c r="O120">
        <f>ABS(L120-TMTA!$C$34)</f>
        <v>11.577328467065188</v>
      </c>
      <c r="P120">
        <f t="shared" si="2"/>
        <v>11.4</v>
      </c>
    </row>
    <row r="121" spans="10:16">
      <c r="J121" s="5"/>
      <c r="L121">
        <f>TMTA!M121</f>
        <v>-1.1992086399999999</v>
      </c>
      <c r="M121">
        <f>TMTA!N121</f>
        <v>11.5</v>
      </c>
      <c r="O121">
        <f>ABS(L121-TMTA!$C$34)</f>
        <v>11.570106755065188</v>
      </c>
      <c r="P121">
        <f t="shared" si="2"/>
        <v>11.5</v>
      </c>
    </row>
    <row r="122" spans="10:16">
      <c r="J122" s="5"/>
      <c r="L122">
        <f>TMTA!M122</f>
        <v>-1.186442376</v>
      </c>
      <c r="M122">
        <f>TMTA!N122</f>
        <v>11.6</v>
      </c>
      <c r="O122">
        <f>ABS(L122-TMTA!$C$34)</f>
        <v>11.557340491065188</v>
      </c>
      <c r="P122">
        <f t="shared" si="2"/>
        <v>11.6</v>
      </c>
    </row>
    <row r="123" spans="10:16">
      <c r="J123" s="5"/>
      <c r="L123">
        <f>TMTA!M123</f>
        <v>-1.1736761120000001</v>
      </c>
      <c r="M123">
        <f>TMTA!N123</f>
        <v>11.7</v>
      </c>
      <c r="O123">
        <f>ABS(L123-TMTA!$C$34)</f>
        <v>11.544574227065189</v>
      </c>
      <c r="P123">
        <f t="shared" si="2"/>
        <v>11.7</v>
      </c>
    </row>
    <row r="124" spans="10:16">
      <c r="J124" s="5"/>
      <c r="L124">
        <f>TMTA!M124</f>
        <v>-1.1671982320000001</v>
      </c>
      <c r="M124">
        <f>TMTA!N124</f>
        <v>11.8</v>
      </c>
      <c r="O124">
        <f>ABS(L124-TMTA!$C$34)</f>
        <v>11.538096347065188</v>
      </c>
      <c r="P124">
        <f t="shared" si="2"/>
        <v>11.8</v>
      </c>
    </row>
    <row r="125" spans="10:16">
      <c r="J125" s="5"/>
      <c r="L125">
        <f>TMTA!M125</f>
        <v>-1.164061056</v>
      </c>
      <c r="M125">
        <f>TMTA!N125</f>
        <v>11.9</v>
      </c>
      <c r="O125">
        <f>ABS(L125-TMTA!$C$34)</f>
        <v>11.534959171065188</v>
      </c>
      <c r="P125">
        <f t="shared" si="2"/>
        <v>11.9</v>
      </c>
    </row>
    <row r="126" spans="10:16">
      <c r="J126" s="5"/>
      <c r="L126">
        <f>TMTA!M126</f>
        <v>-1.1607758399999999</v>
      </c>
      <c r="M126">
        <f>TMTA!N126</f>
        <v>12</v>
      </c>
      <c r="O126">
        <f>ABS(L126-TMTA!$C$34)</f>
        <v>11.531673955065187</v>
      </c>
      <c r="P126">
        <f t="shared" si="2"/>
        <v>12</v>
      </c>
    </row>
    <row r="127" spans="10:16">
      <c r="J127" s="5"/>
      <c r="L127">
        <f>TMTA!M127</f>
        <v>-1.1561878720000001</v>
      </c>
      <c r="M127">
        <f>TMTA!N127</f>
        <v>12.1</v>
      </c>
      <c r="O127">
        <f>ABS(L127-TMTA!$C$34)</f>
        <v>11.527085987065188</v>
      </c>
      <c r="P127">
        <f t="shared" si="2"/>
        <v>12.1</v>
      </c>
    </row>
    <row r="128" spans="10:16">
      <c r="J128" s="5"/>
      <c r="L128">
        <f>TMTA!M128</f>
        <v>-1.151599904</v>
      </c>
      <c r="M128">
        <f>TMTA!N128</f>
        <v>12.2</v>
      </c>
      <c r="O128">
        <f>ABS(L128-TMTA!$C$34)</f>
        <v>11.522498019065187</v>
      </c>
      <c r="P128">
        <f t="shared" si="2"/>
        <v>12.2</v>
      </c>
    </row>
    <row r="129" spans="10:16">
      <c r="J129" s="5"/>
      <c r="L129">
        <f>TMTA!M129</f>
        <v>-1.1451094079999999</v>
      </c>
      <c r="M129">
        <f>TMTA!N129</f>
        <v>12.3</v>
      </c>
      <c r="O129">
        <f>ABS(L129-TMTA!$C$34)</f>
        <v>11.516007523065188</v>
      </c>
      <c r="P129">
        <f t="shared" si="2"/>
        <v>12.3</v>
      </c>
    </row>
    <row r="130" spans="10:16">
      <c r="J130" s="5"/>
      <c r="L130">
        <f>TMTA!M130</f>
        <v>-1.137068704</v>
      </c>
      <c r="M130">
        <f>TMTA!N130</f>
        <v>12.4</v>
      </c>
      <c r="O130">
        <f>ABS(L130-TMTA!$C$34)</f>
        <v>11.507966819065189</v>
      </c>
      <c r="P130">
        <f t="shared" si="2"/>
        <v>12.4</v>
      </c>
    </row>
    <row r="131" spans="10:16">
      <c r="J131" s="5"/>
      <c r="L131">
        <f>TMTA!M131</f>
        <v>-1.1290279999999999</v>
      </c>
      <c r="M131">
        <f>TMTA!N131</f>
        <v>12.5</v>
      </c>
      <c r="O131">
        <f>ABS(L131-TMTA!$C$34)</f>
        <v>11.499926115065188</v>
      </c>
      <c r="P131">
        <f t="shared" si="2"/>
        <v>12.5</v>
      </c>
    </row>
    <row r="132" spans="10:16">
      <c r="J132" s="5"/>
      <c r="L132">
        <f>TMTA!M132</f>
        <v>-1.127251064</v>
      </c>
      <c r="M132">
        <f>TMTA!N132</f>
        <v>12.6</v>
      </c>
      <c r="O132">
        <f>ABS(L132-TMTA!$C$34)</f>
        <v>11.498149179065187</v>
      </c>
      <c r="P132">
        <f t="shared" si="2"/>
        <v>12.6</v>
      </c>
    </row>
    <row r="133" spans="10:16">
      <c r="J133" s="5"/>
      <c r="L133">
        <f>TMTA!M133</f>
        <v>-1.125474128</v>
      </c>
      <c r="M133">
        <f>TMTA!N133</f>
        <v>12.7</v>
      </c>
      <c r="O133">
        <f>ABS(L133-TMTA!$C$34)</f>
        <v>11.496372243065188</v>
      </c>
      <c r="P133">
        <f t="shared" si="2"/>
        <v>12.7</v>
      </c>
    </row>
    <row r="134" spans="10:16">
      <c r="J134" s="5"/>
      <c r="L134">
        <f>TMTA!M134</f>
        <v>-1.1223134800000001</v>
      </c>
      <c r="M134">
        <f>TMTA!N134</f>
        <v>12.8</v>
      </c>
      <c r="O134">
        <f>ABS(L134-TMTA!$C$34)</f>
        <v>11.493211595065189</v>
      </c>
      <c r="P134">
        <f t="shared" si="2"/>
        <v>12.8</v>
      </c>
    </row>
    <row r="135" spans="10:16">
      <c r="J135" s="5"/>
      <c r="L135">
        <f>TMTA!M135</f>
        <v>-1.1174546400000001</v>
      </c>
      <c r="M135">
        <f>TMTA!N135</f>
        <v>12.9</v>
      </c>
      <c r="O135">
        <f>ABS(L135-TMTA!$C$34)</f>
        <v>11.488352755065188</v>
      </c>
      <c r="P135">
        <f t="shared" ref="P135:P198" si="3">M135</f>
        <v>12.9</v>
      </c>
    </row>
    <row r="136" spans="10:16">
      <c r="J136" s="5"/>
      <c r="L136">
        <f>TMTA!M136</f>
        <v>-1.1125958</v>
      </c>
      <c r="M136">
        <f>TMTA!N136</f>
        <v>13</v>
      </c>
      <c r="O136">
        <f>ABS(L136-TMTA!$C$34)</f>
        <v>11.483493915065187</v>
      </c>
      <c r="P136">
        <f t="shared" si="3"/>
        <v>13</v>
      </c>
    </row>
    <row r="137" spans="10:16">
      <c r="J137" s="5"/>
      <c r="L137">
        <f>TMTA!M137</f>
        <v>-1.1104969920000001</v>
      </c>
      <c r="M137">
        <f>TMTA!N137</f>
        <v>13.1</v>
      </c>
      <c r="O137">
        <f>ABS(L137-TMTA!$C$34)</f>
        <v>11.481395107065188</v>
      </c>
      <c r="P137">
        <f t="shared" si="3"/>
        <v>13.1</v>
      </c>
    </row>
    <row r="138" spans="10:16">
      <c r="J138" s="5"/>
      <c r="L138">
        <f>TMTA!M138</f>
        <v>-1.108711824</v>
      </c>
      <c r="M138">
        <f>TMTA!N138</f>
        <v>13.2</v>
      </c>
      <c r="O138">
        <f>ABS(L138-TMTA!$C$34)</f>
        <v>11.479609939065188</v>
      </c>
      <c r="P138">
        <f t="shared" si="3"/>
        <v>13.2</v>
      </c>
    </row>
    <row r="139" spans="10:16">
      <c r="J139" s="5"/>
      <c r="L139">
        <f>TMTA!M139</f>
        <v>-1.106601344</v>
      </c>
      <c r="M139">
        <f>TMTA!N139</f>
        <v>13.3</v>
      </c>
      <c r="O139">
        <f>ABS(L139-TMTA!$C$34)</f>
        <v>11.477499459065188</v>
      </c>
      <c r="P139">
        <f t="shared" si="3"/>
        <v>13.3</v>
      </c>
    </row>
    <row r="140" spans="10:16">
      <c r="J140" s="5"/>
      <c r="L140">
        <f>TMTA!M140</f>
        <v>-1.1038785120000001</v>
      </c>
      <c r="M140">
        <f>TMTA!N140</f>
        <v>13.4</v>
      </c>
      <c r="O140">
        <f>ABS(L140-TMTA!$C$34)</f>
        <v>11.474776627065188</v>
      </c>
      <c r="P140">
        <f t="shared" si="3"/>
        <v>13.4</v>
      </c>
    </row>
    <row r="141" spans="10:16">
      <c r="J141" s="5"/>
      <c r="L141">
        <f>TMTA!M141</f>
        <v>-1.10115568</v>
      </c>
      <c r="M141">
        <f>TMTA!N141</f>
        <v>13.5</v>
      </c>
      <c r="O141">
        <f>ABS(L141-TMTA!$C$34)</f>
        <v>11.472053795065188</v>
      </c>
      <c r="P141">
        <f t="shared" si="3"/>
        <v>13.5</v>
      </c>
    </row>
    <row r="142" spans="10:16">
      <c r="J142" s="5"/>
      <c r="L142">
        <f>TMTA!M142</f>
        <v>-1.1000742800000001</v>
      </c>
      <c r="M142">
        <f>TMTA!N142</f>
        <v>13.6</v>
      </c>
      <c r="O142">
        <f>ABS(L142-TMTA!$C$34)</f>
        <v>11.470972395065187</v>
      </c>
      <c r="P142">
        <f t="shared" si="3"/>
        <v>13.6</v>
      </c>
    </row>
    <row r="143" spans="10:16">
      <c r="J143" s="5"/>
      <c r="L143">
        <f>TMTA!M143</f>
        <v>-1.09941376</v>
      </c>
      <c r="M143">
        <f>TMTA!N143</f>
        <v>13.7</v>
      </c>
      <c r="O143">
        <f>ABS(L143-TMTA!$C$34)</f>
        <v>11.470311875065189</v>
      </c>
      <c r="P143">
        <f t="shared" si="3"/>
        <v>13.7</v>
      </c>
    </row>
    <row r="144" spans="10:16">
      <c r="J144" s="5"/>
      <c r="L144">
        <f>TMTA!M144</f>
        <v>-1.09877004</v>
      </c>
      <c r="M144">
        <f>TMTA!N144</f>
        <v>13.8</v>
      </c>
      <c r="O144">
        <f>ABS(L144-TMTA!$C$34)</f>
        <v>11.469668155065188</v>
      </c>
      <c r="P144">
        <f t="shared" si="3"/>
        <v>13.8</v>
      </c>
    </row>
    <row r="145" spans="10:16">
      <c r="J145" s="5"/>
      <c r="L145">
        <f>TMTA!M145</f>
        <v>-1.09817812</v>
      </c>
      <c r="M145">
        <f>TMTA!N145</f>
        <v>13.9</v>
      </c>
      <c r="O145">
        <f>ABS(L145-TMTA!$C$34)</f>
        <v>11.469076235065188</v>
      </c>
      <c r="P145">
        <f t="shared" si="3"/>
        <v>13.9</v>
      </c>
    </row>
    <row r="146" spans="10:16">
      <c r="J146" s="5"/>
      <c r="L146">
        <f>TMTA!M146</f>
        <v>-1.0975862000000001</v>
      </c>
      <c r="M146">
        <f>TMTA!N146</f>
        <v>14</v>
      </c>
      <c r="O146">
        <f>ABS(L146-TMTA!$C$34)</f>
        <v>11.468484315065188</v>
      </c>
      <c r="P146">
        <f t="shared" si="3"/>
        <v>14</v>
      </c>
    </row>
    <row r="147" spans="10:16">
      <c r="J147" s="5"/>
      <c r="L147">
        <f>TMTA!M147</f>
        <v>-1.0914046799999999</v>
      </c>
      <c r="M147">
        <f>TMTA!N147</f>
        <v>14.1</v>
      </c>
      <c r="O147">
        <f>ABS(L147-TMTA!$C$34)</f>
        <v>11.462302795065188</v>
      </c>
      <c r="P147">
        <f t="shared" si="3"/>
        <v>14.1</v>
      </c>
    </row>
    <row r="148" spans="10:16">
      <c r="J148" s="5"/>
      <c r="L148">
        <f>TMTA!M148</f>
        <v>-1.0827571600000001</v>
      </c>
      <c r="M148">
        <f>TMTA!N148</f>
        <v>14.2</v>
      </c>
      <c r="O148">
        <f>ABS(L148-TMTA!$C$34)</f>
        <v>11.453655275065188</v>
      </c>
      <c r="P148">
        <f t="shared" si="3"/>
        <v>14.2</v>
      </c>
    </row>
    <row r="149" spans="10:16">
      <c r="J149" s="5"/>
      <c r="L149">
        <f>TMTA!M149</f>
        <v>-1.0751346639999999</v>
      </c>
      <c r="M149">
        <f>TMTA!N149</f>
        <v>14.3</v>
      </c>
      <c r="O149">
        <f>ABS(L149-TMTA!$C$34)</f>
        <v>11.446032779065188</v>
      </c>
      <c r="P149">
        <f t="shared" si="3"/>
        <v>14.3</v>
      </c>
    </row>
    <row r="150" spans="10:16">
      <c r="J150" s="5"/>
      <c r="L150">
        <f>TMTA!M150</f>
        <v>-1.073662312</v>
      </c>
      <c r="M150">
        <f>TMTA!N150</f>
        <v>14.4</v>
      </c>
      <c r="O150">
        <f>ABS(L150-TMTA!$C$34)</f>
        <v>11.444560427065188</v>
      </c>
      <c r="P150">
        <f t="shared" si="3"/>
        <v>14.4</v>
      </c>
    </row>
    <row r="151" spans="10:16">
      <c r="J151" s="5"/>
      <c r="L151">
        <f>TMTA!M151</f>
        <v>-1.07218996</v>
      </c>
      <c r="M151">
        <f>TMTA!N151</f>
        <v>14.5</v>
      </c>
      <c r="O151">
        <f>ABS(L151-TMTA!$C$34)</f>
        <v>11.443088075065187</v>
      </c>
      <c r="P151">
        <f t="shared" si="3"/>
        <v>14.5</v>
      </c>
    </row>
    <row r="152" spans="10:16">
      <c r="J152" s="5"/>
      <c r="L152">
        <f>TMTA!M152</f>
        <v>-1.0670107120000001</v>
      </c>
      <c r="M152">
        <f>TMTA!N152</f>
        <v>14.6</v>
      </c>
      <c r="O152">
        <f>ABS(L152-TMTA!$C$34)</f>
        <v>11.437908827065188</v>
      </c>
      <c r="P152">
        <f t="shared" si="3"/>
        <v>14.6</v>
      </c>
    </row>
    <row r="153" spans="10:16">
      <c r="J153" s="5"/>
      <c r="L153">
        <f>TMTA!M153</f>
        <v>-1.059274984</v>
      </c>
      <c r="M153">
        <f>TMTA!N153</f>
        <v>14.7</v>
      </c>
      <c r="O153">
        <f>ABS(L153-TMTA!$C$34)</f>
        <v>11.430173099065188</v>
      </c>
      <c r="P153">
        <f t="shared" si="3"/>
        <v>14.7</v>
      </c>
    </row>
    <row r="154" spans="10:16">
      <c r="J154" s="5"/>
      <c r="L154">
        <f>TMTA!M154</f>
        <v>-1.051626264</v>
      </c>
      <c r="M154">
        <f>TMTA!N154</f>
        <v>14.8</v>
      </c>
      <c r="O154">
        <f>ABS(L154-TMTA!$C$34)</f>
        <v>11.422524379065187</v>
      </c>
      <c r="P154">
        <f t="shared" si="3"/>
        <v>14.8</v>
      </c>
    </row>
    <row r="155" spans="10:16">
      <c r="J155" s="5"/>
      <c r="L155">
        <f>TMTA!M155</f>
        <v>-1.0460222320000001</v>
      </c>
      <c r="M155">
        <f>TMTA!N155</f>
        <v>14.9</v>
      </c>
      <c r="O155">
        <f>ABS(L155-TMTA!$C$34)</f>
        <v>11.416920347065188</v>
      </c>
      <c r="P155">
        <f t="shared" si="3"/>
        <v>14.9</v>
      </c>
    </row>
    <row r="156" spans="10:16">
      <c r="J156" s="5"/>
      <c r="L156">
        <f>TMTA!M156</f>
        <v>-1.0404182</v>
      </c>
      <c r="M156">
        <f>TMTA!N156</f>
        <v>15</v>
      </c>
      <c r="O156">
        <f>ABS(L156-TMTA!$C$34)</f>
        <v>11.411316315065188</v>
      </c>
      <c r="P156">
        <f t="shared" si="3"/>
        <v>15</v>
      </c>
    </row>
    <row r="157" spans="10:16">
      <c r="J157" s="5"/>
      <c r="L157">
        <f>TMTA!M157</f>
        <v>-1.0370889839999999</v>
      </c>
      <c r="M157">
        <f>TMTA!N157</f>
        <v>15.1</v>
      </c>
      <c r="O157">
        <f>ABS(L157-TMTA!$C$34)</f>
        <v>11.407987099065188</v>
      </c>
      <c r="P157">
        <f t="shared" si="3"/>
        <v>15.1</v>
      </c>
    </row>
    <row r="158" spans="10:16">
      <c r="J158" s="5"/>
      <c r="L158">
        <f>TMTA!M158</f>
        <v>-1.0361293680000001</v>
      </c>
      <c r="M158">
        <f>TMTA!N158</f>
        <v>15.2</v>
      </c>
      <c r="O158">
        <f>ABS(L158-TMTA!$C$34)</f>
        <v>11.407027483065189</v>
      </c>
      <c r="P158">
        <f t="shared" si="3"/>
        <v>15.2</v>
      </c>
    </row>
    <row r="159" spans="10:16">
      <c r="J159" s="5"/>
      <c r="L159">
        <f>TMTA!M159</f>
        <v>-1.0351697520000001</v>
      </c>
      <c r="M159">
        <f>TMTA!N159</f>
        <v>15.3</v>
      </c>
      <c r="O159">
        <f>ABS(L159-TMTA!$C$34)</f>
        <v>11.406067867065188</v>
      </c>
      <c r="P159">
        <f t="shared" si="3"/>
        <v>15.3</v>
      </c>
    </row>
    <row r="160" spans="10:16">
      <c r="J160" s="5"/>
      <c r="L160">
        <f>TMTA!M160</f>
        <v>-1.0341541999999999</v>
      </c>
      <c r="M160">
        <f>TMTA!N160</f>
        <v>15.4</v>
      </c>
      <c r="O160">
        <f>ABS(L160-TMTA!$C$34)</f>
        <v>11.405052315065188</v>
      </c>
      <c r="P160">
        <f t="shared" si="3"/>
        <v>15.4</v>
      </c>
    </row>
    <row r="161" spans="10:16">
      <c r="J161" s="5"/>
      <c r="L161">
        <f>TMTA!M161</f>
        <v>-1.0331349999999999</v>
      </c>
      <c r="M161">
        <f>TMTA!N161</f>
        <v>15.5</v>
      </c>
      <c r="O161">
        <f>ABS(L161-TMTA!$C$34)</f>
        <v>11.404033115065188</v>
      </c>
      <c r="P161">
        <f t="shared" si="3"/>
        <v>15.5</v>
      </c>
    </row>
    <row r="162" spans="10:16">
      <c r="J162" s="5"/>
      <c r="L162">
        <f>TMTA!M162</f>
        <v>-1.03187944</v>
      </c>
      <c r="M162">
        <f>TMTA!N162</f>
        <v>15.6</v>
      </c>
      <c r="O162">
        <f>ABS(L162-TMTA!$C$34)</f>
        <v>11.402777555065189</v>
      </c>
      <c r="P162">
        <f t="shared" si="3"/>
        <v>15.6</v>
      </c>
    </row>
    <row r="163" spans="10:16">
      <c r="J163" s="5"/>
      <c r="L163">
        <f>TMTA!M163</f>
        <v>-1.03025068</v>
      </c>
      <c r="M163">
        <f>TMTA!N163</f>
        <v>15.7</v>
      </c>
      <c r="O163">
        <f>ABS(L163-TMTA!$C$34)</f>
        <v>11.401148795065188</v>
      </c>
      <c r="P163">
        <f t="shared" si="3"/>
        <v>15.7</v>
      </c>
    </row>
    <row r="164" spans="10:16">
      <c r="J164" s="5"/>
      <c r="L164">
        <f>TMTA!M164</f>
        <v>-1.02862192</v>
      </c>
      <c r="M164">
        <f>TMTA!N164</f>
        <v>15.8</v>
      </c>
      <c r="O164">
        <f>ABS(L164-TMTA!$C$34)</f>
        <v>11.399520035065187</v>
      </c>
      <c r="P164">
        <f t="shared" si="3"/>
        <v>15.8</v>
      </c>
    </row>
    <row r="165" spans="10:16">
      <c r="J165" s="5"/>
      <c r="L165">
        <f>TMTA!M165</f>
        <v>-1.013025936</v>
      </c>
      <c r="M165">
        <f>TMTA!N165</f>
        <v>15.9</v>
      </c>
      <c r="O165">
        <f>ABS(L165-TMTA!$C$34)</f>
        <v>11.383924051065188</v>
      </c>
      <c r="P165">
        <f t="shared" si="3"/>
        <v>15.9</v>
      </c>
    </row>
    <row r="166" spans="10:16">
      <c r="J166" s="5"/>
      <c r="L166">
        <f>TMTA!M166</f>
        <v>-0.99470464000000003</v>
      </c>
      <c r="M166">
        <f>TMTA!N166</f>
        <v>16</v>
      </c>
      <c r="O166">
        <f>ABS(L166-TMTA!$C$34)</f>
        <v>11.365602755065188</v>
      </c>
      <c r="P166">
        <f t="shared" si="3"/>
        <v>16</v>
      </c>
    </row>
    <row r="167" spans="10:16">
      <c r="J167" s="5"/>
      <c r="L167">
        <f>TMTA!M167</f>
        <v>-0.98038980799999997</v>
      </c>
      <c r="M167">
        <f>TMTA!N167</f>
        <v>16.100000000000001</v>
      </c>
      <c r="O167">
        <f>ABS(L167-TMTA!$C$34)</f>
        <v>11.351287923065188</v>
      </c>
      <c r="P167">
        <f t="shared" si="3"/>
        <v>16.100000000000001</v>
      </c>
    </row>
    <row r="168" spans="10:16">
      <c r="J168" s="5"/>
      <c r="L168">
        <f>TMTA!M168</f>
        <v>-0.97609113599999997</v>
      </c>
      <c r="M168">
        <f>TMTA!N168</f>
        <v>16.2</v>
      </c>
      <c r="O168">
        <f>ABS(L168-TMTA!$C$34)</f>
        <v>11.346989251065189</v>
      </c>
      <c r="P168">
        <f t="shared" si="3"/>
        <v>16.2</v>
      </c>
    </row>
    <row r="169" spans="10:16">
      <c r="J169" s="5"/>
      <c r="L169">
        <f>TMTA!M169</f>
        <v>-0.97179246399999997</v>
      </c>
      <c r="M169">
        <f>TMTA!N169</f>
        <v>16.3</v>
      </c>
      <c r="O169">
        <f>ABS(L169-TMTA!$C$34)</f>
        <v>11.342690579065188</v>
      </c>
      <c r="P169">
        <f t="shared" si="3"/>
        <v>16.3</v>
      </c>
    </row>
    <row r="170" spans="10:16">
      <c r="J170" s="5"/>
      <c r="L170">
        <f>TMTA!M170</f>
        <v>-0.964264448</v>
      </c>
      <c r="M170">
        <f>TMTA!N170</f>
        <v>16.399999999999999</v>
      </c>
      <c r="O170">
        <f>ABS(L170-TMTA!$C$34)</f>
        <v>11.335162563065188</v>
      </c>
      <c r="P170">
        <f t="shared" si="3"/>
        <v>16.399999999999999</v>
      </c>
    </row>
    <row r="171" spans="10:16">
      <c r="J171" s="5"/>
      <c r="L171">
        <f>TMTA!M171</f>
        <v>-0.95557027999999999</v>
      </c>
      <c r="M171">
        <f>TMTA!N171</f>
        <v>16.5</v>
      </c>
      <c r="O171">
        <f>ABS(L171-TMTA!$C$34)</f>
        <v>11.326468395065188</v>
      </c>
      <c r="P171">
        <f t="shared" si="3"/>
        <v>16.5</v>
      </c>
    </row>
    <row r="172" spans="10:16">
      <c r="J172" s="5"/>
      <c r="L172">
        <f>TMTA!M172</f>
        <v>-0.94772247200000004</v>
      </c>
      <c r="M172">
        <f>TMTA!N172</f>
        <v>16.600000000000001</v>
      </c>
      <c r="O172">
        <f>ABS(L172-TMTA!$C$34)</f>
        <v>11.318620587065189</v>
      </c>
      <c r="P172">
        <f t="shared" si="3"/>
        <v>16.600000000000001</v>
      </c>
    </row>
    <row r="173" spans="10:16">
      <c r="J173" s="5"/>
      <c r="L173">
        <f>TMTA!M173</f>
        <v>-0.943636264</v>
      </c>
      <c r="M173">
        <f>TMTA!N173</f>
        <v>16.7</v>
      </c>
      <c r="O173">
        <f>ABS(L173-TMTA!$C$34)</f>
        <v>11.314534379065188</v>
      </c>
      <c r="P173">
        <f t="shared" si="3"/>
        <v>16.7</v>
      </c>
    </row>
    <row r="174" spans="10:16">
      <c r="J174" s="5"/>
      <c r="L174">
        <f>TMTA!M174</f>
        <v>-0.93955005599999997</v>
      </c>
      <c r="M174">
        <f>TMTA!N174</f>
        <v>16.8</v>
      </c>
      <c r="O174">
        <f>ABS(L174-TMTA!$C$34)</f>
        <v>11.310448171065188</v>
      </c>
      <c r="P174">
        <f t="shared" si="3"/>
        <v>16.8</v>
      </c>
    </row>
    <row r="175" spans="10:16">
      <c r="J175" s="5"/>
      <c r="L175">
        <f>TMTA!M175</f>
        <v>-0.93804900000000002</v>
      </c>
      <c r="M175">
        <f>TMTA!N175</f>
        <v>16.899999999999999</v>
      </c>
      <c r="O175">
        <f>ABS(L175-TMTA!$C$34)</f>
        <v>11.308947115065187</v>
      </c>
      <c r="P175">
        <f t="shared" si="3"/>
        <v>16.899999999999999</v>
      </c>
    </row>
    <row r="176" spans="10:16">
      <c r="J176" s="5"/>
      <c r="L176">
        <f>TMTA!M176</f>
        <v>-0.93804900000000002</v>
      </c>
      <c r="M176">
        <f>TMTA!N176</f>
        <v>17</v>
      </c>
      <c r="O176">
        <f>ABS(L176-TMTA!$C$34)</f>
        <v>11.308947115065187</v>
      </c>
      <c r="P176">
        <f t="shared" si="3"/>
        <v>17</v>
      </c>
    </row>
    <row r="177" spans="10:16">
      <c r="J177" s="5"/>
      <c r="L177">
        <f>TMTA!M177</f>
        <v>-0.93800612000000005</v>
      </c>
      <c r="M177">
        <f>TMTA!N177</f>
        <v>17.100000000000001</v>
      </c>
      <c r="O177">
        <f>ABS(L177-TMTA!$C$34)</f>
        <v>11.308904235065189</v>
      </c>
      <c r="P177">
        <f t="shared" si="3"/>
        <v>17.100000000000001</v>
      </c>
    </row>
    <row r="178" spans="10:16">
      <c r="J178" s="5"/>
      <c r="L178">
        <f>TMTA!M178</f>
        <v>-0.93748083999999998</v>
      </c>
      <c r="M178">
        <f>TMTA!N178</f>
        <v>17.2</v>
      </c>
      <c r="O178">
        <f>ABS(L178-TMTA!$C$34)</f>
        <v>11.308378955065187</v>
      </c>
      <c r="P178">
        <f t="shared" si="3"/>
        <v>17.2</v>
      </c>
    </row>
    <row r="179" spans="10:16">
      <c r="J179" s="5"/>
      <c r="L179">
        <f>TMTA!M179</f>
        <v>-0.93695556000000002</v>
      </c>
      <c r="M179">
        <f>TMTA!N179</f>
        <v>17.3</v>
      </c>
      <c r="O179">
        <f>ABS(L179-TMTA!$C$34)</f>
        <v>11.307853675065187</v>
      </c>
      <c r="P179">
        <f t="shared" si="3"/>
        <v>17.3</v>
      </c>
    </row>
    <row r="180" spans="10:16">
      <c r="J180" s="5"/>
      <c r="L180">
        <f>TMTA!M180</f>
        <v>-0.93670900000000001</v>
      </c>
      <c r="M180">
        <f>TMTA!N180</f>
        <v>17.399999999999999</v>
      </c>
      <c r="O180">
        <f>ABS(L180-TMTA!$C$34)</f>
        <v>11.307607115065188</v>
      </c>
      <c r="P180">
        <f t="shared" si="3"/>
        <v>17.399999999999999</v>
      </c>
    </row>
    <row r="181" spans="10:16">
      <c r="J181" s="5"/>
      <c r="L181">
        <f>TMTA!M181</f>
        <v>-0.93670900000000001</v>
      </c>
      <c r="M181">
        <f>TMTA!N181</f>
        <v>17.5</v>
      </c>
      <c r="O181">
        <f>ABS(L181-TMTA!$C$34)</f>
        <v>11.307607115065188</v>
      </c>
      <c r="P181">
        <f t="shared" si="3"/>
        <v>17.5</v>
      </c>
    </row>
    <row r="182" spans="10:16">
      <c r="J182" s="5"/>
      <c r="L182">
        <f>TMTA!M182</f>
        <v>-0.93670900000000001</v>
      </c>
      <c r="M182">
        <f>TMTA!N182</f>
        <v>17.600000000000001</v>
      </c>
      <c r="O182">
        <f>ABS(L182-TMTA!$C$34)</f>
        <v>11.307607115065188</v>
      </c>
      <c r="P182">
        <f t="shared" si="3"/>
        <v>17.600000000000001</v>
      </c>
    </row>
    <row r="183" spans="10:16">
      <c r="J183" s="5"/>
      <c r="L183">
        <f>TMTA!M183</f>
        <v>-0.93380980000000002</v>
      </c>
      <c r="M183">
        <f>TMTA!N183</f>
        <v>17.7</v>
      </c>
      <c r="O183">
        <f>ABS(L183-TMTA!$C$34)</f>
        <v>11.304707915065189</v>
      </c>
      <c r="P183">
        <f t="shared" si="3"/>
        <v>17.7</v>
      </c>
    </row>
    <row r="184" spans="10:16">
      <c r="J184" s="5"/>
      <c r="L184">
        <f>TMTA!M184</f>
        <v>-0.93085019999999996</v>
      </c>
      <c r="M184">
        <f>TMTA!N184</f>
        <v>17.8</v>
      </c>
      <c r="O184">
        <f>ABS(L184-TMTA!$C$34)</f>
        <v>11.301748315065188</v>
      </c>
      <c r="P184">
        <f t="shared" si="3"/>
        <v>17.8</v>
      </c>
    </row>
    <row r="185" spans="10:16">
      <c r="J185" s="5"/>
      <c r="L185">
        <f>TMTA!M185</f>
        <v>-0.92642950400000001</v>
      </c>
      <c r="M185">
        <f>TMTA!N185</f>
        <v>17.899999999999999</v>
      </c>
      <c r="O185">
        <f>ABS(L185-TMTA!$C$34)</f>
        <v>11.297327619065188</v>
      </c>
      <c r="P185">
        <f t="shared" si="3"/>
        <v>17.899999999999999</v>
      </c>
    </row>
    <row r="186" spans="10:16">
      <c r="J186" s="5"/>
      <c r="L186">
        <f>TMTA!M186</f>
        <v>-0.92006067999999996</v>
      </c>
      <c r="M186">
        <f>TMTA!N186</f>
        <v>18</v>
      </c>
      <c r="O186">
        <f>ABS(L186-TMTA!$C$34)</f>
        <v>11.290958795065189</v>
      </c>
      <c r="P186">
        <f t="shared" si="3"/>
        <v>18</v>
      </c>
    </row>
    <row r="187" spans="10:16">
      <c r="J187" s="5"/>
      <c r="L187">
        <f>TMTA!M187</f>
        <v>-0.91369185600000002</v>
      </c>
      <c r="M187">
        <f>TMTA!N187</f>
        <v>18.100000000000001</v>
      </c>
      <c r="O187">
        <f>ABS(L187-TMTA!$C$34)</f>
        <v>11.284589971065188</v>
      </c>
      <c r="P187">
        <f t="shared" si="3"/>
        <v>18.100000000000001</v>
      </c>
    </row>
    <row r="188" spans="10:16">
      <c r="J188" s="5"/>
      <c r="L188">
        <f>TMTA!M188</f>
        <v>-0.91243452800000002</v>
      </c>
      <c r="M188">
        <f>TMTA!N188</f>
        <v>18.2</v>
      </c>
      <c r="O188">
        <f>ABS(L188-TMTA!$C$34)</f>
        <v>11.283332643065188</v>
      </c>
      <c r="P188">
        <f t="shared" si="3"/>
        <v>18.2</v>
      </c>
    </row>
    <row r="189" spans="10:16">
      <c r="J189" s="5"/>
      <c r="L189">
        <f>TMTA!M189</f>
        <v>-0.91189043199999997</v>
      </c>
      <c r="M189">
        <f>TMTA!N189</f>
        <v>18.3</v>
      </c>
      <c r="O189">
        <f>ABS(L189-TMTA!$C$34)</f>
        <v>11.282788547065188</v>
      </c>
      <c r="P189">
        <f t="shared" si="3"/>
        <v>18.3</v>
      </c>
    </row>
    <row r="190" spans="10:16">
      <c r="J190" s="5"/>
      <c r="L190">
        <f>TMTA!M190</f>
        <v>-0.90997353599999997</v>
      </c>
      <c r="M190">
        <f>TMTA!N190</f>
        <v>18.399999999999999</v>
      </c>
      <c r="O190">
        <f>ABS(L190-TMTA!$C$34)</f>
        <v>11.280871651065189</v>
      </c>
      <c r="P190">
        <f t="shared" si="3"/>
        <v>18.399999999999999</v>
      </c>
    </row>
    <row r="191" spans="10:16">
      <c r="J191" s="5"/>
      <c r="L191">
        <f>TMTA!M191</f>
        <v>-0.90522524000000004</v>
      </c>
      <c r="M191">
        <f>TMTA!N191</f>
        <v>18.5</v>
      </c>
      <c r="O191">
        <f>ABS(L191-TMTA!$C$34)</f>
        <v>11.276123355065188</v>
      </c>
      <c r="P191">
        <f t="shared" si="3"/>
        <v>18.5</v>
      </c>
    </row>
    <row r="192" spans="10:16">
      <c r="J192" s="5"/>
      <c r="L192">
        <f>TMTA!M192</f>
        <v>-0.900476944</v>
      </c>
      <c r="M192">
        <f>TMTA!N192</f>
        <v>18.600000000000001</v>
      </c>
      <c r="O192">
        <f>ABS(L192-TMTA!$C$34)</f>
        <v>11.271375059065187</v>
      </c>
      <c r="P192">
        <f t="shared" si="3"/>
        <v>18.600000000000001</v>
      </c>
    </row>
    <row r="193" spans="10:16">
      <c r="J193" s="5"/>
      <c r="L193">
        <f>TMTA!M193</f>
        <v>-0.89347540000000003</v>
      </c>
      <c r="M193">
        <f>TMTA!N193</f>
        <v>18.7</v>
      </c>
      <c r="O193">
        <f>ABS(L193-TMTA!$C$34)</f>
        <v>11.264373515065188</v>
      </c>
      <c r="P193">
        <f t="shared" si="3"/>
        <v>18.7</v>
      </c>
    </row>
    <row r="194" spans="10:16">
      <c r="J194" s="5"/>
      <c r="L194">
        <f>TMTA!M194</f>
        <v>-0.88582159999999999</v>
      </c>
      <c r="M194">
        <f>TMTA!N194</f>
        <v>18.8</v>
      </c>
      <c r="O194">
        <f>ABS(L194-TMTA!$C$34)</f>
        <v>11.256719715065188</v>
      </c>
      <c r="P194">
        <f t="shared" si="3"/>
        <v>18.8</v>
      </c>
    </row>
    <row r="195" spans="10:16">
      <c r="J195" s="5"/>
      <c r="L195">
        <f>TMTA!M195</f>
        <v>-0.87929472799999997</v>
      </c>
      <c r="M195">
        <f>TMTA!N195</f>
        <v>18.899999999999999</v>
      </c>
      <c r="O195">
        <f>ABS(L195-TMTA!$C$34)</f>
        <v>11.250192843065188</v>
      </c>
      <c r="P195">
        <f t="shared" si="3"/>
        <v>18.899999999999999</v>
      </c>
    </row>
    <row r="196" spans="10:16">
      <c r="J196" s="5"/>
      <c r="L196">
        <f>TMTA!M196</f>
        <v>-0.87666087999999998</v>
      </c>
      <c r="M196">
        <f>TMTA!N196</f>
        <v>19</v>
      </c>
      <c r="O196">
        <f>ABS(L196-TMTA!$C$34)</f>
        <v>11.247558995065187</v>
      </c>
      <c r="P196">
        <f t="shared" si="3"/>
        <v>19</v>
      </c>
    </row>
    <row r="197" spans="10:16">
      <c r="J197" s="5"/>
      <c r="L197">
        <f>TMTA!M197</f>
        <v>-0.87402703199999998</v>
      </c>
      <c r="M197">
        <f>TMTA!N197</f>
        <v>19.100000000000001</v>
      </c>
      <c r="O197">
        <f>ABS(L197-TMTA!$C$34)</f>
        <v>11.244925147065189</v>
      </c>
      <c r="P197">
        <f t="shared" si="3"/>
        <v>19.100000000000001</v>
      </c>
    </row>
    <row r="198" spans="10:16">
      <c r="J198" s="5"/>
      <c r="L198">
        <f>TMTA!M198</f>
        <v>-0.86646958399999996</v>
      </c>
      <c r="M198">
        <f>TMTA!N198</f>
        <v>19.2</v>
      </c>
      <c r="O198">
        <f>ABS(L198-TMTA!$C$34)</f>
        <v>11.237367699065189</v>
      </c>
      <c r="P198">
        <f t="shared" si="3"/>
        <v>19.2</v>
      </c>
    </row>
    <row r="199" spans="10:16">
      <c r="J199" s="5"/>
      <c r="L199">
        <f>TMTA!M199</f>
        <v>-0.85652493600000001</v>
      </c>
      <c r="M199">
        <f>TMTA!N199</f>
        <v>19.3</v>
      </c>
      <c r="O199">
        <f>ABS(L199-TMTA!$C$34)</f>
        <v>11.227423051065188</v>
      </c>
      <c r="P199">
        <f t="shared" ref="P199:P262" si="4">M199</f>
        <v>19.3</v>
      </c>
    </row>
    <row r="200" spans="10:16">
      <c r="J200" s="5"/>
      <c r="L200">
        <f>TMTA!M200</f>
        <v>-0.84772979199999998</v>
      </c>
      <c r="M200">
        <f>TMTA!N200</f>
        <v>19.399999999999999</v>
      </c>
      <c r="O200">
        <f>ABS(L200-TMTA!$C$34)</f>
        <v>11.218627907065187</v>
      </c>
      <c r="P200">
        <f t="shared" si="4"/>
        <v>19.399999999999999</v>
      </c>
    </row>
    <row r="201" spans="10:16">
      <c r="J201" s="5"/>
      <c r="L201">
        <f>TMTA!M201</f>
        <v>-0.84717275999999997</v>
      </c>
      <c r="M201">
        <f>TMTA!N201</f>
        <v>19.5</v>
      </c>
      <c r="O201">
        <f>ABS(L201-TMTA!$C$34)</f>
        <v>11.218070875065187</v>
      </c>
      <c r="P201">
        <f t="shared" si="4"/>
        <v>19.5</v>
      </c>
    </row>
    <row r="202" spans="10:16">
      <c r="J202" s="5"/>
      <c r="L202">
        <f>TMTA!M202</f>
        <v>-0.84661572799999996</v>
      </c>
      <c r="M202">
        <f>TMTA!N202</f>
        <v>19.600000000000001</v>
      </c>
      <c r="O202">
        <f>ABS(L202-TMTA!$C$34)</f>
        <v>11.217513843065188</v>
      </c>
      <c r="P202">
        <f t="shared" si="4"/>
        <v>19.600000000000001</v>
      </c>
    </row>
    <row r="203" spans="10:16">
      <c r="J203" s="5"/>
      <c r="L203">
        <f>TMTA!M203</f>
        <v>-0.84637700000000005</v>
      </c>
      <c r="M203">
        <f>TMTA!N203</f>
        <v>19.7</v>
      </c>
      <c r="O203">
        <f>ABS(L203-TMTA!$C$34)</f>
        <v>11.217275115065188</v>
      </c>
      <c r="P203">
        <f t="shared" si="4"/>
        <v>19.7</v>
      </c>
    </row>
    <row r="204" spans="10:16">
      <c r="J204" s="5"/>
      <c r="L204">
        <f>TMTA!M204</f>
        <v>-0.84637700000000005</v>
      </c>
      <c r="M204">
        <f>TMTA!N204</f>
        <v>19.8</v>
      </c>
      <c r="O204">
        <f>ABS(L204-TMTA!$C$34)</f>
        <v>11.217275115065188</v>
      </c>
      <c r="P204">
        <f t="shared" si="4"/>
        <v>19.8</v>
      </c>
    </row>
    <row r="205" spans="10:16">
      <c r="J205" s="5"/>
      <c r="L205">
        <f>TMTA!M205</f>
        <v>-0.84627428800000004</v>
      </c>
      <c r="M205">
        <f>TMTA!N205</f>
        <v>19.899999999999999</v>
      </c>
      <c r="O205">
        <f>ABS(L205-TMTA!$C$34)</f>
        <v>11.217172403065188</v>
      </c>
      <c r="P205">
        <f t="shared" si="4"/>
        <v>19.899999999999999</v>
      </c>
    </row>
    <row r="206" spans="10:16">
      <c r="J206" s="5"/>
      <c r="L206">
        <f>TMTA!M206</f>
        <v>-0.84124140000000003</v>
      </c>
      <c r="M206">
        <f>TMTA!N206</f>
        <v>20</v>
      </c>
      <c r="O206">
        <f>ABS(L206-TMTA!$C$34)</f>
        <v>11.212139515065187</v>
      </c>
      <c r="P206">
        <f t="shared" si="4"/>
        <v>20</v>
      </c>
    </row>
    <row r="207" spans="10:16">
      <c r="J207" s="5"/>
      <c r="L207">
        <f>TMTA!M207</f>
        <v>-0.83620851200000001</v>
      </c>
      <c r="M207">
        <f>TMTA!N207</f>
        <v>20.100000000000001</v>
      </c>
      <c r="O207">
        <f>ABS(L207-TMTA!$C$34)</f>
        <v>11.207106627065189</v>
      </c>
      <c r="P207">
        <f t="shared" si="4"/>
        <v>20.100000000000001</v>
      </c>
    </row>
    <row r="208" spans="10:16">
      <c r="J208" s="5"/>
      <c r="L208">
        <f>TMTA!M208</f>
        <v>-0.83351003199999996</v>
      </c>
      <c r="M208">
        <f>TMTA!N208</f>
        <v>20.2</v>
      </c>
      <c r="O208">
        <f>ABS(L208-TMTA!$C$34)</f>
        <v>11.204408147065188</v>
      </c>
      <c r="P208">
        <f t="shared" si="4"/>
        <v>20.2</v>
      </c>
    </row>
    <row r="209" spans="10:16">
      <c r="J209" s="5"/>
      <c r="L209">
        <f>TMTA!M209</f>
        <v>-0.83345044800000001</v>
      </c>
      <c r="M209">
        <f>TMTA!N209</f>
        <v>20.3</v>
      </c>
      <c r="O209">
        <f>ABS(L209-TMTA!$C$34)</f>
        <v>11.204348563065189</v>
      </c>
      <c r="P209">
        <f t="shared" si="4"/>
        <v>20.3</v>
      </c>
    </row>
    <row r="210" spans="10:16">
      <c r="J210" s="5"/>
      <c r="L210">
        <f>TMTA!M210</f>
        <v>-0.83339086399999995</v>
      </c>
      <c r="M210">
        <f>TMTA!N210</f>
        <v>20.399999999999999</v>
      </c>
      <c r="O210">
        <f>ABS(L210-TMTA!$C$34)</f>
        <v>11.204288979065188</v>
      </c>
      <c r="P210">
        <f t="shared" si="4"/>
        <v>20.399999999999999</v>
      </c>
    </row>
    <row r="211" spans="10:16">
      <c r="J211" s="5"/>
      <c r="L211">
        <f>TMTA!M211</f>
        <v>-0.83131131999999996</v>
      </c>
      <c r="M211">
        <f>TMTA!N211</f>
        <v>20.5</v>
      </c>
      <c r="O211">
        <f>ABS(L211-TMTA!$C$34)</f>
        <v>11.202209435065187</v>
      </c>
      <c r="P211">
        <f t="shared" si="4"/>
        <v>20.5</v>
      </c>
    </row>
    <row r="212" spans="10:16">
      <c r="J212" s="5"/>
      <c r="L212">
        <f>TMTA!M212</f>
        <v>-0.829052224</v>
      </c>
      <c r="M212">
        <f>TMTA!N212</f>
        <v>20.6</v>
      </c>
      <c r="O212">
        <f>ABS(L212-TMTA!$C$34)</f>
        <v>11.199950339065188</v>
      </c>
      <c r="P212">
        <f t="shared" si="4"/>
        <v>20.6</v>
      </c>
    </row>
    <row r="213" spans="10:16">
      <c r="J213" s="5"/>
      <c r="L213">
        <f>TMTA!M213</f>
        <v>-0.82539114400000002</v>
      </c>
      <c r="M213">
        <f>TMTA!N213</f>
        <v>20.7</v>
      </c>
      <c r="O213">
        <f>ABS(L213-TMTA!$C$34)</f>
        <v>11.196289259065187</v>
      </c>
      <c r="P213">
        <f t="shared" si="4"/>
        <v>20.7</v>
      </c>
    </row>
    <row r="214" spans="10:16">
      <c r="J214" s="5"/>
      <c r="L214">
        <f>TMTA!M214</f>
        <v>-0.81931553599999996</v>
      </c>
      <c r="M214">
        <f>TMTA!N214</f>
        <v>20.8</v>
      </c>
      <c r="O214">
        <f>ABS(L214-TMTA!$C$34)</f>
        <v>11.190213651065188</v>
      </c>
      <c r="P214">
        <f t="shared" si="4"/>
        <v>20.8</v>
      </c>
    </row>
    <row r="215" spans="10:16">
      <c r="J215" s="5"/>
      <c r="L215">
        <f>TMTA!M215</f>
        <v>-0.813239928</v>
      </c>
      <c r="M215">
        <f>TMTA!N215</f>
        <v>20.9</v>
      </c>
      <c r="O215">
        <f>ABS(L215-TMTA!$C$34)</f>
        <v>11.184138043065188</v>
      </c>
      <c r="P215">
        <f t="shared" si="4"/>
        <v>20.9</v>
      </c>
    </row>
    <row r="216" spans="10:16">
      <c r="J216" s="5"/>
      <c r="L216">
        <f>TMTA!M216</f>
        <v>-0.81166928000000005</v>
      </c>
      <c r="M216">
        <f>TMTA!N216</f>
        <v>21</v>
      </c>
      <c r="O216">
        <f>ABS(L216-TMTA!$C$34)</f>
        <v>11.182567395065188</v>
      </c>
      <c r="P216">
        <f t="shared" si="4"/>
        <v>21</v>
      </c>
    </row>
    <row r="217" spans="10:16">
      <c r="J217" s="5"/>
      <c r="L217">
        <f>TMTA!M217</f>
        <v>-0.81111224800000004</v>
      </c>
      <c r="M217">
        <f>TMTA!N217</f>
        <v>21.1</v>
      </c>
      <c r="O217">
        <f>ABS(L217-TMTA!$C$34)</f>
        <v>11.182010363065189</v>
      </c>
      <c r="P217">
        <f t="shared" si="4"/>
        <v>21.1</v>
      </c>
    </row>
    <row r="218" spans="10:16">
      <c r="J218" s="5"/>
      <c r="L218">
        <f>TMTA!M218</f>
        <v>-0.80853792800000002</v>
      </c>
      <c r="M218">
        <f>TMTA!N218</f>
        <v>21.2</v>
      </c>
      <c r="O218">
        <f>ABS(L218-TMTA!$C$34)</f>
        <v>11.179436043065188</v>
      </c>
      <c r="P218">
        <f t="shared" si="4"/>
        <v>21.2</v>
      </c>
    </row>
    <row r="219" spans="10:16">
      <c r="J219" s="5"/>
      <c r="L219">
        <f>TMTA!M219</f>
        <v>-0.80037727199999997</v>
      </c>
      <c r="M219">
        <f>TMTA!N219</f>
        <v>21.3</v>
      </c>
      <c r="O219">
        <f>ABS(L219-TMTA!$C$34)</f>
        <v>11.171275387065188</v>
      </c>
      <c r="P219">
        <f t="shared" si="4"/>
        <v>21.3</v>
      </c>
    </row>
    <row r="220" spans="10:16">
      <c r="J220" s="5"/>
      <c r="L220">
        <f>TMTA!M220</f>
        <v>-0.79221661600000004</v>
      </c>
      <c r="M220">
        <f>TMTA!N220</f>
        <v>21.4</v>
      </c>
      <c r="O220">
        <f>ABS(L220-TMTA!$C$34)</f>
        <v>11.163114731065187</v>
      </c>
      <c r="P220">
        <f t="shared" si="4"/>
        <v>21.4</v>
      </c>
    </row>
    <row r="221" spans="10:16">
      <c r="J221" s="5"/>
      <c r="L221">
        <f>TMTA!M221</f>
        <v>-0.78730900000000004</v>
      </c>
      <c r="M221">
        <f>TMTA!N221</f>
        <v>21.5</v>
      </c>
      <c r="O221">
        <f>ABS(L221-TMTA!$C$34)</f>
        <v>11.158207115065188</v>
      </c>
      <c r="P221">
        <f t="shared" si="4"/>
        <v>21.5</v>
      </c>
    </row>
    <row r="222" spans="10:16">
      <c r="J222" s="5"/>
      <c r="L222">
        <f>TMTA!M222</f>
        <v>-0.78370260000000003</v>
      </c>
      <c r="M222">
        <f>TMTA!N222</f>
        <v>21.6</v>
      </c>
      <c r="O222">
        <f>ABS(L222-TMTA!$C$34)</f>
        <v>11.154600715065188</v>
      </c>
      <c r="P222">
        <f t="shared" si="4"/>
        <v>21.6</v>
      </c>
    </row>
    <row r="223" spans="10:16">
      <c r="J223" s="5"/>
      <c r="L223">
        <f>TMTA!M223</f>
        <v>-0.77945479200000001</v>
      </c>
      <c r="M223">
        <f>TMTA!N223</f>
        <v>21.7</v>
      </c>
      <c r="O223">
        <f>ABS(L223-TMTA!$C$34)</f>
        <v>11.150352907065187</v>
      </c>
      <c r="P223">
        <f t="shared" si="4"/>
        <v>21.7</v>
      </c>
    </row>
    <row r="224" spans="10:16">
      <c r="J224" s="5"/>
      <c r="L224">
        <f>TMTA!M224</f>
        <v>-0.77191976799999995</v>
      </c>
      <c r="M224">
        <f>TMTA!N224</f>
        <v>21.8</v>
      </c>
      <c r="O224">
        <f>ABS(L224-TMTA!$C$34)</f>
        <v>11.142817883065188</v>
      </c>
      <c r="P224">
        <f t="shared" si="4"/>
        <v>21.8</v>
      </c>
    </row>
    <row r="225" spans="10:16">
      <c r="J225" s="5"/>
      <c r="L225">
        <f>TMTA!M225</f>
        <v>-0.764384744</v>
      </c>
      <c r="M225">
        <f>TMTA!N225</f>
        <v>21.9</v>
      </c>
      <c r="O225">
        <f>ABS(L225-TMTA!$C$34)</f>
        <v>11.135282859065189</v>
      </c>
      <c r="P225">
        <f t="shared" si="4"/>
        <v>21.9</v>
      </c>
    </row>
    <row r="226" spans="10:16">
      <c r="J226" s="5"/>
      <c r="L226">
        <f>TMTA!M226</f>
        <v>-0.76132860000000002</v>
      </c>
      <c r="M226">
        <f>TMTA!N226</f>
        <v>22</v>
      </c>
      <c r="O226">
        <f>ABS(L226-TMTA!$C$34)</f>
        <v>11.132226715065189</v>
      </c>
      <c r="P226">
        <f t="shared" si="4"/>
        <v>22</v>
      </c>
    </row>
    <row r="227" spans="10:16">
      <c r="J227" s="5"/>
      <c r="L227">
        <f>TMTA!M227</f>
        <v>-0.76110907999999999</v>
      </c>
      <c r="M227">
        <f>TMTA!N227</f>
        <v>22.1</v>
      </c>
      <c r="O227">
        <f>ABS(L227-TMTA!$C$34)</f>
        <v>11.132007195065189</v>
      </c>
      <c r="P227">
        <f t="shared" si="4"/>
        <v>22.1</v>
      </c>
    </row>
    <row r="228" spans="10:16">
      <c r="J228" s="5"/>
      <c r="L228">
        <f>TMTA!M228</f>
        <v>-0.76050872800000002</v>
      </c>
      <c r="M228">
        <f>TMTA!N228</f>
        <v>22.2</v>
      </c>
      <c r="O228">
        <f>ABS(L228-TMTA!$C$34)</f>
        <v>11.131406843065188</v>
      </c>
      <c r="P228">
        <f t="shared" si="4"/>
        <v>22.2</v>
      </c>
    </row>
    <row r="229" spans="10:16">
      <c r="J229" s="5"/>
      <c r="L229">
        <f>TMTA!M229</f>
        <v>-0.75406895200000001</v>
      </c>
      <c r="M229">
        <f>TMTA!N229</f>
        <v>22.3</v>
      </c>
      <c r="O229">
        <f>ABS(L229-TMTA!$C$34)</f>
        <v>11.124967067065189</v>
      </c>
      <c r="P229">
        <f t="shared" si="4"/>
        <v>22.3</v>
      </c>
    </row>
    <row r="230" spans="10:16">
      <c r="J230" s="5"/>
      <c r="L230">
        <f>TMTA!M230</f>
        <v>-0.74762917600000001</v>
      </c>
      <c r="M230">
        <f>TMTA!N230</f>
        <v>22.4</v>
      </c>
      <c r="O230">
        <f>ABS(L230-TMTA!$C$34)</f>
        <v>11.118527291065188</v>
      </c>
      <c r="P230">
        <f t="shared" si="4"/>
        <v>22.4</v>
      </c>
    </row>
    <row r="231" spans="10:16">
      <c r="J231" s="5"/>
      <c r="L231">
        <f>TMTA!M231</f>
        <v>-0.74233300000000002</v>
      </c>
      <c r="M231">
        <f>TMTA!N231</f>
        <v>22.5</v>
      </c>
      <c r="O231">
        <f>ABS(L231-TMTA!$C$34)</f>
        <v>11.113231115065188</v>
      </c>
      <c r="P231">
        <f t="shared" si="4"/>
        <v>22.5</v>
      </c>
    </row>
    <row r="232" spans="10:16">
      <c r="J232" s="5"/>
      <c r="L232">
        <f>TMTA!M232</f>
        <v>-0.73813468000000004</v>
      </c>
      <c r="M232">
        <f>TMTA!N232</f>
        <v>22.6</v>
      </c>
      <c r="O232">
        <f>ABS(L232-TMTA!$C$34)</f>
        <v>11.109032795065188</v>
      </c>
      <c r="P232">
        <f t="shared" si="4"/>
        <v>22.6</v>
      </c>
    </row>
    <row r="233" spans="10:16">
      <c r="J233" s="5"/>
      <c r="L233">
        <f>TMTA!M233</f>
        <v>-0.73393635999999995</v>
      </c>
      <c r="M233">
        <f>TMTA!N233</f>
        <v>22.7</v>
      </c>
      <c r="O233">
        <f>ABS(L233-TMTA!$C$34)</f>
        <v>11.104834475065188</v>
      </c>
      <c r="P233">
        <f t="shared" si="4"/>
        <v>22.7</v>
      </c>
    </row>
    <row r="234" spans="10:16">
      <c r="J234" s="5"/>
      <c r="L234">
        <f>TMTA!M234</f>
        <v>-0.73168120800000003</v>
      </c>
      <c r="M234">
        <f>TMTA!N234</f>
        <v>22.8</v>
      </c>
      <c r="O234">
        <f>ABS(L234-TMTA!$C$34)</f>
        <v>11.102579323065187</v>
      </c>
      <c r="P234">
        <f t="shared" si="4"/>
        <v>22.8</v>
      </c>
    </row>
    <row r="235" spans="10:16">
      <c r="J235" s="5"/>
      <c r="L235">
        <f>TMTA!M235</f>
        <v>-0.72950874399999999</v>
      </c>
      <c r="M235">
        <f>TMTA!N235</f>
        <v>22.9</v>
      </c>
      <c r="O235">
        <f>ABS(L235-TMTA!$C$34)</f>
        <v>11.100406859065188</v>
      </c>
      <c r="P235">
        <f t="shared" si="4"/>
        <v>22.9</v>
      </c>
    </row>
    <row r="236" spans="10:16">
      <c r="J236" s="5"/>
      <c r="L236">
        <f>TMTA!M236</f>
        <v>-0.72239131999999995</v>
      </c>
      <c r="M236">
        <f>TMTA!N236</f>
        <v>23</v>
      </c>
      <c r="O236">
        <f>ABS(L236-TMTA!$C$34)</f>
        <v>11.093289435065188</v>
      </c>
      <c r="P236">
        <f t="shared" si="4"/>
        <v>23</v>
      </c>
    </row>
    <row r="237" spans="10:16">
      <c r="J237" s="5"/>
      <c r="L237">
        <f>TMTA!M237</f>
        <v>-0.708103704</v>
      </c>
      <c r="M237">
        <f>TMTA!N237</f>
        <v>23.1</v>
      </c>
      <c r="O237">
        <f>ABS(L237-TMTA!$C$34)</f>
        <v>11.079001819065187</v>
      </c>
      <c r="P237">
        <f t="shared" si="4"/>
        <v>23.1</v>
      </c>
    </row>
    <row r="238" spans="10:16">
      <c r="J238" s="5"/>
      <c r="L238">
        <f>TMTA!M238</f>
        <v>-0.69381608800000005</v>
      </c>
      <c r="M238">
        <f>TMTA!N238</f>
        <v>23.2</v>
      </c>
      <c r="O238">
        <f>ABS(L238-TMTA!$C$34)</f>
        <v>11.064714203065188</v>
      </c>
      <c r="P238">
        <f t="shared" si="4"/>
        <v>23.2</v>
      </c>
    </row>
    <row r="239" spans="10:16">
      <c r="J239" s="5"/>
      <c r="L239">
        <f>TMTA!M239</f>
        <v>-0.68593868000000002</v>
      </c>
      <c r="M239">
        <f>TMTA!N239</f>
        <v>23.3</v>
      </c>
      <c r="O239">
        <f>ABS(L239-TMTA!$C$34)</f>
        <v>11.056836795065188</v>
      </c>
      <c r="P239">
        <f t="shared" si="4"/>
        <v>23.3</v>
      </c>
    </row>
    <row r="240" spans="10:16">
      <c r="J240" s="5"/>
      <c r="L240">
        <f>TMTA!M240</f>
        <v>-0.67912963999999998</v>
      </c>
      <c r="M240">
        <f>TMTA!N240</f>
        <v>23.4</v>
      </c>
      <c r="O240">
        <f>ABS(L240-TMTA!$C$34)</f>
        <v>11.050027755065187</v>
      </c>
      <c r="P240">
        <f t="shared" si="4"/>
        <v>23.4</v>
      </c>
    </row>
    <row r="241" spans="10:16">
      <c r="J241" s="5"/>
      <c r="L241">
        <f>TMTA!M241</f>
        <v>-0.67440500000000003</v>
      </c>
      <c r="M241">
        <f>TMTA!N241</f>
        <v>23.5</v>
      </c>
      <c r="O241">
        <f>ABS(L241-TMTA!$C$34)</f>
        <v>11.045303115065188</v>
      </c>
      <c r="P241">
        <f t="shared" si="4"/>
        <v>23.5</v>
      </c>
    </row>
    <row r="242" spans="10:16">
      <c r="J242" s="5"/>
      <c r="L242">
        <f>TMTA!M242</f>
        <v>-0.67440500000000003</v>
      </c>
      <c r="M242">
        <f>TMTA!N242</f>
        <v>23.6</v>
      </c>
      <c r="O242">
        <f>ABS(L242-TMTA!$C$34)</f>
        <v>11.045303115065188</v>
      </c>
      <c r="P242">
        <f t="shared" si="4"/>
        <v>23.6</v>
      </c>
    </row>
    <row r="243" spans="10:16">
      <c r="J243" s="5"/>
      <c r="L243">
        <f>TMTA!M243</f>
        <v>-0.67440500000000003</v>
      </c>
      <c r="M243">
        <f>TMTA!N243</f>
        <v>23.7</v>
      </c>
      <c r="O243">
        <f>ABS(L243-TMTA!$C$34)</f>
        <v>11.045303115065188</v>
      </c>
      <c r="P243">
        <f t="shared" si="4"/>
        <v>23.7</v>
      </c>
    </row>
    <row r="244" spans="10:16">
      <c r="J244" s="5"/>
      <c r="L244">
        <f>TMTA!M244</f>
        <v>-0.67402345600000002</v>
      </c>
      <c r="M244">
        <f>TMTA!N244</f>
        <v>23.8</v>
      </c>
      <c r="O244">
        <f>ABS(L244-TMTA!$C$34)</f>
        <v>11.044921571065188</v>
      </c>
      <c r="P244">
        <f t="shared" si="4"/>
        <v>23.8</v>
      </c>
    </row>
    <row r="245" spans="10:16">
      <c r="J245" s="5"/>
      <c r="L245">
        <f>TMTA!M245</f>
        <v>-0.67351816799999997</v>
      </c>
      <c r="M245">
        <f>TMTA!N245</f>
        <v>23.9</v>
      </c>
      <c r="O245">
        <f>ABS(L245-TMTA!$C$34)</f>
        <v>11.044416283065187</v>
      </c>
      <c r="P245">
        <f t="shared" si="4"/>
        <v>23.9</v>
      </c>
    </row>
    <row r="246" spans="10:16">
      <c r="J246" s="5"/>
      <c r="L246">
        <f>TMTA!M246</f>
        <v>-0.67311600000000005</v>
      </c>
      <c r="M246">
        <f>TMTA!N246</f>
        <v>24</v>
      </c>
      <c r="O246">
        <f>ABS(L246-TMTA!$C$34)</f>
        <v>11.044014115065188</v>
      </c>
      <c r="P246">
        <f t="shared" si="4"/>
        <v>24</v>
      </c>
    </row>
    <row r="247" spans="10:16">
      <c r="J247" s="5"/>
      <c r="L247">
        <f>TMTA!M247</f>
        <v>-0.67311600000000005</v>
      </c>
      <c r="M247">
        <f>TMTA!N247</f>
        <v>24.1</v>
      </c>
      <c r="O247">
        <f>ABS(L247-TMTA!$C$34)</f>
        <v>11.044014115065188</v>
      </c>
      <c r="P247">
        <f t="shared" si="4"/>
        <v>24.1</v>
      </c>
    </row>
    <row r="248" spans="10:16">
      <c r="J248" s="5"/>
      <c r="L248">
        <f>TMTA!M248</f>
        <v>-0.67311600000000005</v>
      </c>
      <c r="M248">
        <f>TMTA!N248</f>
        <v>24.2</v>
      </c>
      <c r="O248">
        <f>ABS(L248-TMTA!$C$34)</f>
        <v>11.044014115065188</v>
      </c>
      <c r="P248">
        <f t="shared" si="4"/>
        <v>24.2</v>
      </c>
    </row>
    <row r="249" spans="10:16">
      <c r="J249" s="5"/>
      <c r="L249">
        <f>TMTA!M249</f>
        <v>-0.67144687999999997</v>
      </c>
      <c r="M249">
        <f>TMTA!N249</f>
        <v>24.3</v>
      </c>
      <c r="O249">
        <f>ABS(L249-TMTA!$C$34)</f>
        <v>11.042344995065188</v>
      </c>
      <c r="P249">
        <f t="shared" si="4"/>
        <v>24.3</v>
      </c>
    </row>
    <row r="250" spans="10:16">
      <c r="J250" s="5"/>
      <c r="L250">
        <f>TMTA!M250</f>
        <v>-0.66889103999999999</v>
      </c>
      <c r="M250">
        <f>TMTA!N250</f>
        <v>24.4</v>
      </c>
      <c r="O250">
        <f>ABS(L250-TMTA!$C$34)</f>
        <v>11.039789155065188</v>
      </c>
      <c r="P250">
        <f t="shared" si="4"/>
        <v>24.4</v>
      </c>
    </row>
    <row r="251" spans="10:16">
      <c r="J251" s="5"/>
      <c r="L251">
        <f>TMTA!M251</f>
        <v>-0.66625780000000001</v>
      </c>
      <c r="M251">
        <f>TMTA!N251</f>
        <v>24.5</v>
      </c>
      <c r="O251">
        <f>ABS(L251-TMTA!$C$34)</f>
        <v>11.037155915065188</v>
      </c>
      <c r="P251">
        <f t="shared" si="4"/>
        <v>24.5</v>
      </c>
    </row>
    <row r="252" spans="10:16">
      <c r="J252" s="5"/>
      <c r="L252">
        <f>TMTA!M252</f>
        <v>-0.66294344000000005</v>
      </c>
      <c r="M252">
        <f>TMTA!N252</f>
        <v>24.6</v>
      </c>
      <c r="O252">
        <f>ABS(L252-TMTA!$C$34)</f>
        <v>11.033841555065187</v>
      </c>
      <c r="P252">
        <f t="shared" si="4"/>
        <v>24.6</v>
      </c>
    </row>
    <row r="253" spans="10:16">
      <c r="J253" s="5"/>
      <c r="L253">
        <f>TMTA!M253</f>
        <v>-0.65962907999999998</v>
      </c>
      <c r="M253">
        <f>TMTA!N253</f>
        <v>24.7</v>
      </c>
      <c r="O253">
        <f>ABS(L253-TMTA!$C$34)</f>
        <v>11.030527195065188</v>
      </c>
      <c r="P253">
        <f t="shared" si="4"/>
        <v>24.7</v>
      </c>
    </row>
    <row r="254" spans="10:16">
      <c r="J254" s="5"/>
      <c r="L254">
        <f>TMTA!M254</f>
        <v>-0.65814099999999998</v>
      </c>
      <c r="M254">
        <f>TMTA!N254</f>
        <v>24.8</v>
      </c>
      <c r="O254">
        <f>ABS(L254-TMTA!$C$34)</f>
        <v>11.029039115065189</v>
      </c>
      <c r="P254">
        <f t="shared" si="4"/>
        <v>24.8</v>
      </c>
    </row>
    <row r="255" spans="10:16">
      <c r="J255" s="5"/>
      <c r="L255">
        <f>TMTA!M255</f>
        <v>-0.65814099999999998</v>
      </c>
      <c r="M255">
        <f>TMTA!N255</f>
        <v>24.9</v>
      </c>
      <c r="O255">
        <f>ABS(L255-TMTA!$C$34)</f>
        <v>11.029039115065189</v>
      </c>
      <c r="P255">
        <f t="shared" si="4"/>
        <v>24.9</v>
      </c>
    </row>
    <row r="256" spans="10:16">
      <c r="J256" s="5"/>
      <c r="L256">
        <f>TMTA!M256</f>
        <v>-0.65814099999999998</v>
      </c>
      <c r="M256">
        <f>TMTA!N256</f>
        <v>25</v>
      </c>
      <c r="O256">
        <f>ABS(L256-TMTA!$C$34)</f>
        <v>11.029039115065189</v>
      </c>
      <c r="P256">
        <f t="shared" si="4"/>
        <v>25</v>
      </c>
    </row>
    <row r="257" spans="10:16">
      <c r="J257" s="5"/>
      <c r="L257">
        <f>TMTA!M257</f>
        <v>-0.65658123199999996</v>
      </c>
      <c r="M257">
        <f>TMTA!N257</f>
        <v>25.1</v>
      </c>
      <c r="O257">
        <f>ABS(L257-TMTA!$C$34)</f>
        <v>11.027479347065189</v>
      </c>
      <c r="P257">
        <f t="shared" si="4"/>
        <v>25.1</v>
      </c>
    </row>
    <row r="258" spans="10:16">
      <c r="J258" s="5"/>
      <c r="L258">
        <f>TMTA!M258</f>
        <v>-0.65502146400000005</v>
      </c>
      <c r="M258">
        <f>TMTA!N258</f>
        <v>25.2</v>
      </c>
      <c r="O258">
        <f>ABS(L258-TMTA!$C$34)</f>
        <v>11.025919579065189</v>
      </c>
      <c r="P258">
        <f t="shared" si="4"/>
        <v>25.2</v>
      </c>
    </row>
    <row r="259" spans="10:16">
      <c r="J259" s="5"/>
      <c r="L259">
        <f>TMTA!M259</f>
        <v>-0.65416200000000002</v>
      </c>
      <c r="M259">
        <f>TMTA!N259</f>
        <v>25.3</v>
      </c>
      <c r="O259">
        <f>ABS(L259-TMTA!$C$34)</f>
        <v>11.025060115065187</v>
      </c>
      <c r="P259">
        <f t="shared" si="4"/>
        <v>25.3</v>
      </c>
    </row>
    <row r="260" spans="10:16">
      <c r="J260" s="5"/>
      <c r="L260">
        <f>TMTA!M260</f>
        <v>-0.65416200000000002</v>
      </c>
      <c r="M260">
        <f>TMTA!N260</f>
        <v>25.4</v>
      </c>
      <c r="O260">
        <f>ABS(L260-TMTA!$C$34)</f>
        <v>11.025060115065187</v>
      </c>
      <c r="P260">
        <f t="shared" si="4"/>
        <v>25.4</v>
      </c>
    </row>
    <row r="261" spans="10:16">
      <c r="J261" s="5"/>
      <c r="L261">
        <f>TMTA!M261</f>
        <v>-0.65416200000000002</v>
      </c>
      <c r="M261">
        <f>TMTA!N261</f>
        <v>25.5</v>
      </c>
      <c r="O261">
        <f>ABS(L261-TMTA!$C$34)</f>
        <v>11.025060115065187</v>
      </c>
      <c r="P261">
        <f t="shared" si="4"/>
        <v>25.5</v>
      </c>
    </row>
    <row r="262" spans="10:16">
      <c r="J262" s="5"/>
      <c r="L262">
        <f>TMTA!M262</f>
        <v>-0.65416200000000002</v>
      </c>
      <c r="M262">
        <f>TMTA!N262</f>
        <v>25.6</v>
      </c>
      <c r="O262">
        <f>ABS(L262-TMTA!$C$34)</f>
        <v>11.025060115065187</v>
      </c>
      <c r="P262">
        <f t="shared" si="4"/>
        <v>25.6</v>
      </c>
    </row>
    <row r="263" spans="10:16">
      <c r="J263" s="5"/>
      <c r="L263">
        <f>TMTA!M263</f>
        <v>-0.65416200000000002</v>
      </c>
      <c r="M263">
        <f>TMTA!N263</f>
        <v>25.7</v>
      </c>
      <c r="O263">
        <f>ABS(L263-TMTA!$C$34)</f>
        <v>11.025060115065187</v>
      </c>
      <c r="P263">
        <f t="shared" ref="P263:P326" si="5">M263</f>
        <v>25.7</v>
      </c>
    </row>
    <row r="264" spans="10:16">
      <c r="J264" s="5"/>
      <c r="L264">
        <f>TMTA!M264</f>
        <v>-0.653742304</v>
      </c>
      <c r="M264">
        <f>TMTA!N264</f>
        <v>25.8</v>
      </c>
      <c r="O264">
        <f>ABS(L264-TMTA!$C$34)</f>
        <v>11.024640419065188</v>
      </c>
      <c r="P264">
        <f t="shared" si="5"/>
        <v>25.8</v>
      </c>
    </row>
    <row r="265" spans="10:16">
      <c r="J265" s="5"/>
      <c r="L265">
        <f>TMTA!M265</f>
        <v>-0.65253259200000002</v>
      </c>
      <c r="M265">
        <f>TMTA!N265</f>
        <v>25.9</v>
      </c>
      <c r="O265">
        <f>ABS(L265-TMTA!$C$34)</f>
        <v>11.023430707065188</v>
      </c>
      <c r="P265">
        <f t="shared" si="5"/>
        <v>25.9</v>
      </c>
    </row>
    <row r="266" spans="10:16">
      <c r="J266" s="5"/>
      <c r="L266">
        <f>TMTA!M266</f>
        <v>-0.65132288000000005</v>
      </c>
      <c r="M266">
        <f>TMTA!N266</f>
        <v>26</v>
      </c>
      <c r="O266">
        <f>ABS(L266-TMTA!$C$34)</f>
        <v>11.022220995065188</v>
      </c>
      <c r="P266">
        <f t="shared" si="5"/>
        <v>26</v>
      </c>
    </row>
    <row r="267" spans="10:16">
      <c r="J267" s="5"/>
      <c r="L267">
        <f>TMTA!M267</f>
        <v>-0.64710829599999997</v>
      </c>
      <c r="M267">
        <f>TMTA!N267</f>
        <v>26.1</v>
      </c>
      <c r="O267">
        <f>ABS(L267-TMTA!$C$34)</f>
        <v>11.018006411065189</v>
      </c>
      <c r="P267">
        <f t="shared" si="5"/>
        <v>26.1</v>
      </c>
    </row>
    <row r="268" spans="10:16">
      <c r="J268" s="5"/>
      <c r="L268">
        <f>TMTA!M268</f>
        <v>-0.64212323199999999</v>
      </c>
      <c r="M268">
        <f>TMTA!N268</f>
        <v>26.2</v>
      </c>
      <c r="O268">
        <f>ABS(L268-TMTA!$C$34)</f>
        <v>11.013021347065187</v>
      </c>
      <c r="P268">
        <f t="shared" si="5"/>
        <v>26.2</v>
      </c>
    </row>
    <row r="269" spans="10:16">
      <c r="J269" s="5"/>
      <c r="L269">
        <f>TMTA!M269</f>
        <v>-0.63802818400000005</v>
      </c>
      <c r="M269">
        <f>TMTA!N269</f>
        <v>26.3</v>
      </c>
      <c r="O269">
        <f>ABS(L269-TMTA!$C$34)</f>
        <v>11.008926299065187</v>
      </c>
      <c r="P269">
        <f t="shared" si="5"/>
        <v>26.3</v>
      </c>
    </row>
    <row r="270" spans="10:16">
      <c r="J270" s="5"/>
      <c r="L270">
        <f>TMTA!M270</f>
        <v>-0.63667735199999997</v>
      </c>
      <c r="M270">
        <f>TMTA!N270</f>
        <v>26.4</v>
      </c>
      <c r="O270">
        <f>ABS(L270-TMTA!$C$34)</f>
        <v>11.007575467065188</v>
      </c>
      <c r="P270">
        <f t="shared" si="5"/>
        <v>26.4</v>
      </c>
    </row>
    <row r="271" spans="10:16">
      <c r="J271" s="5"/>
      <c r="L271">
        <f>TMTA!M271</f>
        <v>-0.63532652000000001</v>
      </c>
      <c r="M271">
        <f>TMTA!N271</f>
        <v>26.5</v>
      </c>
      <c r="O271">
        <f>ABS(L271-TMTA!$C$34)</f>
        <v>11.006224635065188</v>
      </c>
      <c r="P271">
        <f t="shared" si="5"/>
        <v>26.5</v>
      </c>
    </row>
    <row r="272" spans="10:16">
      <c r="J272" s="5"/>
      <c r="L272">
        <f>TMTA!M272</f>
        <v>-0.63255475999999999</v>
      </c>
      <c r="M272">
        <f>TMTA!N272</f>
        <v>26.6</v>
      </c>
      <c r="O272">
        <f>ABS(L272-TMTA!$C$34)</f>
        <v>11.003452875065188</v>
      </c>
      <c r="P272">
        <f t="shared" si="5"/>
        <v>26.6</v>
      </c>
    </row>
    <row r="273" spans="10:16">
      <c r="J273" s="5"/>
      <c r="L273">
        <f>TMTA!M273</f>
        <v>-0.62915611999999999</v>
      </c>
      <c r="M273">
        <f>TMTA!N273</f>
        <v>26.7</v>
      </c>
      <c r="O273">
        <f>ABS(L273-TMTA!$C$34)</f>
        <v>11.000054235065187</v>
      </c>
      <c r="P273">
        <f t="shared" si="5"/>
        <v>26.7</v>
      </c>
    </row>
    <row r="274" spans="10:16">
      <c r="J274" s="5"/>
      <c r="L274">
        <f>TMTA!M274</f>
        <v>-0.62588560800000004</v>
      </c>
      <c r="M274">
        <f>TMTA!N274</f>
        <v>26.8</v>
      </c>
      <c r="O274">
        <f>ABS(L274-TMTA!$C$34)</f>
        <v>10.996783723065189</v>
      </c>
      <c r="P274">
        <f t="shared" si="5"/>
        <v>26.8</v>
      </c>
    </row>
    <row r="275" spans="10:16">
      <c r="J275" s="5"/>
      <c r="L275">
        <f>TMTA!M275</f>
        <v>-0.62338386400000001</v>
      </c>
      <c r="M275">
        <f>TMTA!N275</f>
        <v>26.9</v>
      </c>
      <c r="O275">
        <f>ABS(L275-TMTA!$C$34)</f>
        <v>10.994281979065189</v>
      </c>
      <c r="P275">
        <f t="shared" si="5"/>
        <v>26.9</v>
      </c>
    </row>
    <row r="276" spans="10:16">
      <c r="J276" s="5"/>
      <c r="L276">
        <f>TMTA!M276</f>
        <v>-0.62088211999999998</v>
      </c>
      <c r="M276">
        <f>TMTA!N276</f>
        <v>27</v>
      </c>
      <c r="O276">
        <f>ABS(L276-TMTA!$C$34)</f>
        <v>10.991780235065187</v>
      </c>
      <c r="P276">
        <f t="shared" si="5"/>
        <v>27</v>
      </c>
    </row>
    <row r="277" spans="10:16">
      <c r="J277" s="5"/>
      <c r="L277">
        <f>TMTA!M277</f>
        <v>-0.61775281599999998</v>
      </c>
      <c r="M277">
        <f>TMTA!N277</f>
        <v>27.1</v>
      </c>
      <c r="O277">
        <f>ABS(L277-TMTA!$C$34)</f>
        <v>10.988650931065187</v>
      </c>
      <c r="P277">
        <f t="shared" si="5"/>
        <v>27.1</v>
      </c>
    </row>
    <row r="278" spans="10:16">
      <c r="J278" s="5"/>
      <c r="L278">
        <f>TMTA!M278</f>
        <v>-0.61419071199999997</v>
      </c>
      <c r="M278">
        <f>TMTA!N278</f>
        <v>27.2</v>
      </c>
      <c r="O278">
        <f>ABS(L278-TMTA!$C$34)</f>
        <v>10.985088827065187</v>
      </c>
      <c r="P278">
        <f t="shared" si="5"/>
        <v>27.2</v>
      </c>
    </row>
    <row r="279" spans="10:16">
      <c r="J279" s="5"/>
      <c r="L279">
        <f>TMTA!M279</f>
        <v>-0.61068870399999997</v>
      </c>
      <c r="M279">
        <f>TMTA!N279</f>
        <v>27.3</v>
      </c>
      <c r="O279">
        <f>ABS(L279-TMTA!$C$34)</f>
        <v>10.981586819065187</v>
      </c>
      <c r="P279">
        <f t="shared" si="5"/>
        <v>27.3</v>
      </c>
    </row>
    <row r="280" spans="10:16">
      <c r="J280" s="5"/>
      <c r="L280">
        <f>TMTA!M280</f>
        <v>-0.60859895200000003</v>
      </c>
      <c r="M280">
        <f>TMTA!N280</f>
        <v>27.4</v>
      </c>
      <c r="O280">
        <f>ABS(L280-TMTA!$C$34)</f>
        <v>10.979497067065187</v>
      </c>
      <c r="P280">
        <f t="shared" si="5"/>
        <v>27.4</v>
      </c>
    </row>
    <row r="281" spans="10:16">
      <c r="J281" s="5"/>
      <c r="L281">
        <f>TMTA!M281</f>
        <v>-0.60650919999999997</v>
      </c>
      <c r="M281">
        <f>TMTA!N281</f>
        <v>27.5</v>
      </c>
      <c r="O281">
        <f>ABS(L281-TMTA!$C$34)</f>
        <v>10.977407315065188</v>
      </c>
      <c r="P281">
        <f t="shared" si="5"/>
        <v>27.5</v>
      </c>
    </row>
    <row r="282" spans="10:16">
      <c r="J282" s="5"/>
      <c r="L282">
        <f>TMTA!M282</f>
        <v>-0.60353816800000004</v>
      </c>
      <c r="M282">
        <f>TMTA!N282</f>
        <v>27.6</v>
      </c>
      <c r="O282">
        <f>ABS(L282-TMTA!$C$34)</f>
        <v>10.974436283065188</v>
      </c>
      <c r="P282">
        <f t="shared" si="5"/>
        <v>27.6</v>
      </c>
    </row>
    <row r="283" spans="10:16">
      <c r="J283" s="5"/>
      <c r="L283">
        <f>TMTA!M283</f>
        <v>-0.59964913600000003</v>
      </c>
      <c r="M283">
        <f>TMTA!N283</f>
        <v>27.7</v>
      </c>
      <c r="O283">
        <f>ABS(L283-TMTA!$C$34)</f>
        <v>10.970547251065188</v>
      </c>
      <c r="P283">
        <f t="shared" si="5"/>
        <v>27.7</v>
      </c>
    </row>
    <row r="284" spans="10:16">
      <c r="J284" s="5"/>
      <c r="L284">
        <f>TMTA!M284</f>
        <v>-0.59576010400000001</v>
      </c>
      <c r="M284">
        <f>TMTA!N284</f>
        <v>27.8</v>
      </c>
      <c r="O284">
        <f>ABS(L284-TMTA!$C$34)</f>
        <v>10.966658219065188</v>
      </c>
      <c r="P284">
        <f t="shared" si="5"/>
        <v>27.8</v>
      </c>
    </row>
    <row r="285" spans="10:16">
      <c r="J285" s="5"/>
      <c r="L285">
        <f>TMTA!M285</f>
        <v>-0.59158403199999998</v>
      </c>
      <c r="M285">
        <f>TMTA!N285</f>
        <v>27.9</v>
      </c>
      <c r="O285">
        <f>ABS(L285-TMTA!$C$34)</f>
        <v>10.962482147065188</v>
      </c>
      <c r="P285">
        <f t="shared" si="5"/>
        <v>27.9</v>
      </c>
    </row>
    <row r="286" spans="10:16">
      <c r="J286" s="5"/>
      <c r="L286">
        <f>TMTA!M286</f>
        <v>-0.58738924000000003</v>
      </c>
      <c r="M286">
        <f>TMTA!N286</f>
        <v>28</v>
      </c>
      <c r="O286">
        <f>ABS(L286-TMTA!$C$34)</f>
        <v>10.958287355065188</v>
      </c>
      <c r="P286">
        <f t="shared" si="5"/>
        <v>28</v>
      </c>
    </row>
    <row r="287" spans="10:16">
      <c r="J287" s="5"/>
      <c r="L287">
        <f>TMTA!M287</f>
        <v>-0.58472736800000003</v>
      </c>
      <c r="M287">
        <f>TMTA!N287</f>
        <v>28.1</v>
      </c>
      <c r="O287">
        <f>ABS(L287-TMTA!$C$34)</f>
        <v>10.955625483065187</v>
      </c>
      <c r="P287">
        <f t="shared" si="5"/>
        <v>28.1</v>
      </c>
    </row>
    <row r="288" spans="10:16">
      <c r="J288" s="5"/>
      <c r="L288">
        <f>TMTA!M288</f>
        <v>-0.584485896</v>
      </c>
      <c r="M288">
        <f>TMTA!N288</f>
        <v>28.2</v>
      </c>
      <c r="O288">
        <f>ABS(L288-TMTA!$C$34)</f>
        <v>10.955384011065188</v>
      </c>
      <c r="P288">
        <f t="shared" si="5"/>
        <v>28.2</v>
      </c>
    </row>
    <row r="289" spans="10:16">
      <c r="J289" s="5"/>
      <c r="L289">
        <f>TMTA!M289</f>
        <v>-0.58424442399999998</v>
      </c>
      <c r="M289">
        <f>TMTA!N289</f>
        <v>28.3</v>
      </c>
      <c r="O289">
        <f>ABS(L289-TMTA!$C$34)</f>
        <v>10.955142539065188</v>
      </c>
      <c r="P289">
        <f t="shared" si="5"/>
        <v>28.3</v>
      </c>
    </row>
    <row r="290" spans="10:16">
      <c r="J290" s="5"/>
      <c r="L290">
        <f>TMTA!M290</f>
        <v>-0.58420499999999997</v>
      </c>
      <c r="M290">
        <f>TMTA!N290</f>
        <v>28.4</v>
      </c>
      <c r="O290">
        <f>ABS(L290-TMTA!$C$34)</f>
        <v>10.955103115065189</v>
      </c>
      <c r="P290">
        <f t="shared" si="5"/>
        <v>28.4</v>
      </c>
    </row>
    <row r="291" spans="10:16">
      <c r="J291" s="5"/>
      <c r="L291">
        <f>TMTA!M291</f>
        <v>-0.58420499999999997</v>
      </c>
      <c r="M291">
        <f>TMTA!N291</f>
        <v>28.5</v>
      </c>
      <c r="O291">
        <f>ABS(L291-TMTA!$C$34)</f>
        <v>10.955103115065189</v>
      </c>
      <c r="P291">
        <f t="shared" si="5"/>
        <v>28.5</v>
      </c>
    </row>
    <row r="292" spans="10:16">
      <c r="J292" s="5"/>
      <c r="L292">
        <f>TMTA!M292</f>
        <v>-0.58404719199999999</v>
      </c>
      <c r="M292">
        <f>TMTA!N292</f>
        <v>28.6</v>
      </c>
      <c r="O292">
        <f>ABS(L292-TMTA!$C$34)</f>
        <v>10.954945307065188</v>
      </c>
      <c r="P292">
        <f t="shared" si="5"/>
        <v>28.6</v>
      </c>
    </row>
    <row r="293" spans="10:16">
      <c r="J293" s="5"/>
      <c r="L293">
        <f>TMTA!M293</f>
        <v>-0.58349486399999995</v>
      </c>
      <c r="M293">
        <f>TMTA!N293</f>
        <v>28.7</v>
      </c>
      <c r="O293">
        <f>ABS(L293-TMTA!$C$34)</f>
        <v>10.954392979065188</v>
      </c>
      <c r="P293">
        <f t="shared" si="5"/>
        <v>28.7</v>
      </c>
    </row>
    <row r="294" spans="10:16">
      <c r="J294" s="5"/>
      <c r="L294">
        <f>TMTA!M294</f>
        <v>-0.58294253600000001</v>
      </c>
      <c r="M294">
        <f>TMTA!N294</f>
        <v>28.8</v>
      </c>
      <c r="O294">
        <f>ABS(L294-TMTA!$C$34)</f>
        <v>10.953840651065189</v>
      </c>
      <c r="P294">
        <f t="shared" si="5"/>
        <v>28.8</v>
      </c>
    </row>
    <row r="295" spans="10:16">
      <c r="J295" s="5"/>
      <c r="L295">
        <f>TMTA!M295</f>
        <v>-0.58033187200000003</v>
      </c>
      <c r="M295">
        <f>TMTA!N295</f>
        <v>28.9</v>
      </c>
      <c r="O295">
        <f>ABS(L295-TMTA!$C$34)</f>
        <v>10.951229987065188</v>
      </c>
      <c r="P295">
        <f t="shared" si="5"/>
        <v>28.9</v>
      </c>
    </row>
    <row r="296" spans="10:16">
      <c r="J296" s="5"/>
      <c r="L296">
        <f>TMTA!M296</f>
        <v>-0.57697792000000003</v>
      </c>
      <c r="M296">
        <f>TMTA!N296</f>
        <v>29</v>
      </c>
      <c r="O296">
        <f>ABS(L296-TMTA!$C$34)</f>
        <v>10.947876035065189</v>
      </c>
      <c r="P296">
        <f t="shared" si="5"/>
        <v>29</v>
      </c>
    </row>
    <row r="297" spans="10:16">
      <c r="J297" s="5"/>
      <c r="L297">
        <f>TMTA!M297</f>
        <v>-0.57285212799999996</v>
      </c>
      <c r="M297">
        <f>TMTA!N297</f>
        <v>29.1</v>
      </c>
      <c r="O297">
        <f>ABS(L297-TMTA!$C$34)</f>
        <v>10.943750243065187</v>
      </c>
      <c r="P297">
        <f t="shared" si="5"/>
        <v>29.1</v>
      </c>
    </row>
    <row r="298" spans="10:16">
      <c r="J298" s="5"/>
      <c r="L298">
        <f>TMTA!M298</f>
        <v>-0.56529593600000005</v>
      </c>
      <c r="M298">
        <f>TMTA!N298</f>
        <v>29.2</v>
      </c>
      <c r="O298">
        <f>ABS(L298-TMTA!$C$34)</f>
        <v>10.936194051065188</v>
      </c>
      <c r="P298">
        <f t="shared" si="5"/>
        <v>29.2</v>
      </c>
    </row>
    <row r="299" spans="10:16">
      <c r="J299" s="5"/>
      <c r="L299">
        <f>TMTA!M299</f>
        <v>-0.55773974400000004</v>
      </c>
      <c r="M299">
        <f>TMTA!N299</f>
        <v>29.3</v>
      </c>
      <c r="O299">
        <f>ABS(L299-TMTA!$C$34)</f>
        <v>10.928637859065187</v>
      </c>
      <c r="P299">
        <f t="shared" si="5"/>
        <v>29.3</v>
      </c>
    </row>
    <row r="300" spans="10:16">
      <c r="J300" s="5"/>
      <c r="L300">
        <f>TMTA!M300</f>
        <v>-0.55496400000000001</v>
      </c>
      <c r="M300">
        <f>TMTA!N300</f>
        <v>29.4</v>
      </c>
      <c r="O300">
        <f>ABS(L300-TMTA!$C$34)</f>
        <v>10.925862115065188</v>
      </c>
      <c r="P300">
        <f t="shared" si="5"/>
        <v>29.4</v>
      </c>
    </row>
    <row r="301" spans="10:16">
      <c r="J301" s="5"/>
      <c r="L301">
        <f>TMTA!M301</f>
        <v>-0.55496400000000001</v>
      </c>
      <c r="M301">
        <f>TMTA!N301</f>
        <v>29.5</v>
      </c>
      <c r="O301">
        <f>ABS(L301-TMTA!$C$34)</f>
        <v>10.925862115065188</v>
      </c>
      <c r="P301">
        <f t="shared" si="5"/>
        <v>29.5</v>
      </c>
    </row>
    <row r="302" spans="10:16">
      <c r="J302" s="5"/>
      <c r="L302">
        <f>TMTA!M302</f>
        <v>-0.55496400000000001</v>
      </c>
      <c r="M302">
        <f>TMTA!N302</f>
        <v>29.6</v>
      </c>
      <c r="O302">
        <f>ABS(L302-TMTA!$C$34)</f>
        <v>10.925862115065188</v>
      </c>
      <c r="P302">
        <f t="shared" si="5"/>
        <v>29.6</v>
      </c>
    </row>
    <row r="303" spans="10:16">
      <c r="J303" s="5"/>
      <c r="L303">
        <f>TMTA!M303</f>
        <v>-0.55496400000000001</v>
      </c>
      <c r="M303">
        <f>TMTA!N303</f>
        <v>29.7</v>
      </c>
      <c r="O303">
        <f>ABS(L303-TMTA!$C$34)</f>
        <v>10.925862115065188</v>
      </c>
      <c r="P303">
        <f t="shared" si="5"/>
        <v>29.7</v>
      </c>
    </row>
    <row r="304" spans="10:16">
      <c r="J304" s="5"/>
      <c r="L304">
        <f>TMTA!M304</f>
        <v>-0.55496400000000001</v>
      </c>
      <c r="M304">
        <f>TMTA!N304</f>
        <v>29.8</v>
      </c>
      <c r="O304">
        <f>ABS(L304-TMTA!$C$34)</f>
        <v>10.925862115065188</v>
      </c>
      <c r="P304">
        <f t="shared" si="5"/>
        <v>29.8</v>
      </c>
    </row>
    <row r="305" spans="10:16">
      <c r="J305" s="5"/>
      <c r="L305">
        <f>TMTA!M305</f>
        <v>-0.55192553600000005</v>
      </c>
      <c r="M305">
        <f>TMTA!N305</f>
        <v>29.9</v>
      </c>
      <c r="O305">
        <f>ABS(L305-TMTA!$C$34)</f>
        <v>10.922823651065189</v>
      </c>
      <c r="P305">
        <f t="shared" si="5"/>
        <v>29.9</v>
      </c>
    </row>
    <row r="306" spans="10:16">
      <c r="J306" s="5"/>
      <c r="L306">
        <f>TMTA!M306</f>
        <v>-0.5461992</v>
      </c>
      <c r="M306">
        <f>TMTA!N306</f>
        <v>30</v>
      </c>
      <c r="O306">
        <f>ABS(L306-TMTA!$C$34)</f>
        <v>10.917097315065188</v>
      </c>
      <c r="P306">
        <f t="shared" si="5"/>
        <v>30</v>
      </c>
    </row>
    <row r="307" spans="10:16">
      <c r="J307" s="5"/>
      <c r="L307">
        <f>TMTA!M307</f>
        <v>-0.54047286400000005</v>
      </c>
      <c r="M307">
        <f>TMTA!N307</f>
        <v>30.1</v>
      </c>
      <c r="O307">
        <f>ABS(L307-TMTA!$C$34)</f>
        <v>10.911370979065188</v>
      </c>
      <c r="P307">
        <f t="shared" si="5"/>
        <v>30.1</v>
      </c>
    </row>
    <row r="308" spans="10:16">
      <c r="J308" s="5"/>
      <c r="L308">
        <f>TMTA!M308</f>
        <v>-0.54016016</v>
      </c>
      <c r="M308">
        <f>TMTA!N308</f>
        <v>30.2</v>
      </c>
      <c r="O308">
        <f>ABS(L308-TMTA!$C$34)</f>
        <v>10.911058275065187</v>
      </c>
      <c r="P308">
        <f t="shared" si="5"/>
        <v>30.2</v>
      </c>
    </row>
    <row r="309" spans="10:16">
      <c r="J309" s="5"/>
      <c r="L309">
        <f>TMTA!M309</f>
        <v>-0.53996023999999998</v>
      </c>
      <c r="M309">
        <f>TMTA!N309</f>
        <v>30.3</v>
      </c>
      <c r="O309">
        <f>ABS(L309-TMTA!$C$34)</f>
        <v>10.910858355065187</v>
      </c>
      <c r="P309">
        <f t="shared" si="5"/>
        <v>30.3</v>
      </c>
    </row>
    <row r="310" spans="10:16">
      <c r="J310" s="5"/>
      <c r="L310">
        <f>TMTA!M310</f>
        <v>-0.53612698400000003</v>
      </c>
      <c r="M310">
        <f>TMTA!N310</f>
        <v>30.4</v>
      </c>
      <c r="O310">
        <f>ABS(L310-TMTA!$C$34)</f>
        <v>10.907025099065187</v>
      </c>
      <c r="P310">
        <f t="shared" si="5"/>
        <v>30.4</v>
      </c>
    </row>
    <row r="311" spans="10:16">
      <c r="J311" s="5"/>
      <c r="L311">
        <f>TMTA!M311</f>
        <v>-0.52744928000000002</v>
      </c>
      <c r="M311">
        <f>TMTA!N311</f>
        <v>30.5</v>
      </c>
      <c r="O311">
        <f>ABS(L311-TMTA!$C$34)</f>
        <v>10.898347395065189</v>
      </c>
      <c r="P311">
        <f t="shared" si="5"/>
        <v>30.5</v>
      </c>
    </row>
    <row r="312" spans="10:16">
      <c r="J312" s="5"/>
      <c r="L312">
        <f>TMTA!M312</f>
        <v>-0.51877157600000001</v>
      </c>
      <c r="M312">
        <f>TMTA!N312</f>
        <v>30.6</v>
      </c>
      <c r="O312">
        <f>ABS(L312-TMTA!$C$34)</f>
        <v>10.889669691065189</v>
      </c>
      <c r="P312">
        <f t="shared" si="5"/>
        <v>30.6</v>
      </c>
    </row>
    <row r="313" spans="10:16">
      <c r="J313" s="5"/>
      <c r="L313">
        <f>TMTA!M313</f>
        <v>-0.51637393600000003</v>
      </c>
      <c r="M313">
        <f>TMTA!N313</f>
        <v>30.7</v>
      </c>
      <c r="O313">
        <f>ABS(L313-TMTA!$C$34)</f>
        <v>10.887272051065189</v>
      </c>
      <c r="P313">
        <f t="shared" si="5"/>
        <v>30.7</v>
      </c>
    </row>
    <row r="314" spans="10:16">
      <c r="J314" s="5"/>
      <c r="L314">
        <f>TMTA!M314</f>
        <v>-0.514852584</v>
      </c>
      <c r="M314">
        <f>TMTA!N314</f>
        <v>30.8</v>
      </c>
      <c r="O314">
        <f>ABS(L314-TMTA!$C$34)</f>
        <v>10.885750699065188</v>
      </c>
      <c r="P314">
        <f t="shared" si="5"/>
        <v>30.8</v>
      </c>
    </row>
    <row r="315" spans="10:16">
      <c r="J315" s="5"/>
      <c r="L315">
        <f>TMTA!M315</f>
        <v>-0.51353603199999998</v>
      </c>
      <c r="M315">
        <f>TMTA!N315</f>
        <v>30.9</v>
      </c>
      <c r="O315">
        <f>ABS(L315-TMTA!$C$34)</f>
        <v>10.884434147065187</v>
      </c>
      <c r="P315">
        <f t="shared" si="5"/>
        <v>30.9</v>
      </c>
    </row>
    <row r="316" spans="10:16">
      <c r="J316" s="5"/>
      <c r="L316">
        <f>TMTA!M316</f>
        <v>-0.51264187999999999</v>
      </c>
      <c r="M316">
        <f>TMTA!N316</f>
        <v>31</v>
      </c>
      <c r="O316">
        <f>ABS(L316-TMTA!$C$34)</f>
        <v>10.883539995065188</v>
      </c>
      <c r="P316">
        <f t="shared" si="5"/>
        <v>31</v>
      </c>
    </row>
    <row r="317" spans="10:16">
      <c r="J317" s="5"/>
      <c r="L317">
        <f>TMTA!M317</f>
        <v>-0.51174772800000001</v>
      </c>
      <c r="M317">
        <f>TMTA!N317</f>
        <v>31.1</v>
      </c>
      <c r="O317">
        <f>ABS(L317-TMTA!$C$34)</f>
        <v>10.882645843065188</v>
      </c>
      <c r="P317">
        <f t="shared" si="5"/>
        <v>31.1</v>
      </c>
    </row>
    <row r="318" spans="10:16">
      <c r="J318" s="5"/>
      <c r="L318">
        <f>TMTA!M318</f>
        <v>-0.51154699999999997</v>
      </c>
      <c r="M318">
        <f>TMTA!N318</f>
        <v>31.2</v>
      </c>
      <c r="O318">
        <f>ABS(L318-TMTA!$C$34)</f>
        <v>10.882445115065188</v>
      </c>
      <c r="P318">
        <f t="shared" si="5"/>
        <v>31.2</v>
      </c>
    </row>
    <row r="319" spans="10:16">
      <c r="J319" s="5"/>
      <c r="L319">
        <f>TMTA!M319</f>
        <v>-0.51154699999999997</v>
      </c>
      <c r="M319">
        <f>TMTA!N319</f>
        <v>31.3</v>
      </c>
      <c r="O319">
        <f>ABS(L319-TMTA!$C$34)</f>
        <v>10.882445115065188</v>
      </c>
      <c r="P319">
        <f t="shared" si="5"/>
        <v>31.3</v>
      </c>
    </row>
    <row r="320" spans="10:16">
      <c r="J320" s="5"/>
      <c r="L320">
        <f>TMTA!M320</f>
        <v>-0.51034377600000003</v>
      </c>
      <c r="M320">
        <f>TMTA!N320</f>
        <v>31.4</v>
      </c>
      <c r="O320">
        <f>ABS(L320-TMTA!$C$34)</f>
        <v>10.881241891065187</v>
      </c>
      <c r="P320">
        <f t="shared" si="5"/>
        <v>31.4</v>
      </c>
    </row>
    <row r="321" spans="10:16">
      <c r="J321" s="5"/>
      <c r="L321">
        <f>TMTA!M321</f>
        <v>-0.50498396000000001</v>
      </c>
      <c r="M321">
        <f>TMTA!N321</f>
        <v>31.5</v>
      </c>
      <c r="O321">
        <f>ABS(L321-TMTA!$C$34)</f>
        <v>10.875882075065189</v>
      </c>
      <c r="P321">
        <f t="shared" si="5"/>
        <v>31.5</v>
      </c>
    </row>
    <row r="322" spans="10:16">
      <c r="J322" s="5"/>
      <c r="L322">
        <f>TMTA!M322</f>
        <v>-0.49962414399999999</v>
      </c>
      <c r="M322">
        <f>TMTA!N322</f>
        <v>31.6</v>
      </c>
      <c r="O322">
        <f>ABS(L322-TMTA!$C$34)</f>
        <v>10.870522259065188</v>
      </c>
      <c r="P322">
        <f t="shared" si="5"/>
        <v>31.6</v>
      </c>
    </row>
    <row r="323" spans="10:16">
      <c r="J323" s="5"/>
      <c r="L323">
        <f>TMTA!M323</f>
        <v>-0.49649169599999998</v>
      </c>
      <c r="M323">
        <f>TMTA!N323</f>
        <v>31.7</v>
      </c>
      <c r="O323">
        <f>ABS(L323-TMTA!$C$34)</f>
        <v>10.867389811065188</v>
      </c>
      <c r="P323">
        <f t="shared" si="5"/>
        <v>31.7</v>
      </c>
    </row>
    <row r="324" spans="10:16">
      <c r="J324" s="5"/>
      <c r="L324">
        <f>TMTA!M324</f>
        <v>-0.49443918399999998</v>
      </c>
      <c r="M324">
        <f>TMTA!N324</f>
        <v>31.8</v>
      </c>
      <c r="O324">
        <f>ABS(L324-TMTA!$C$34)</f>
        <v>10.865337299065189</v>
      </c>
      <c r="P324">
        <f t="shared" si="5"/>
        <v>31.8</v>
      </c>
    </row>
    <row r="325" spans="10:16">
      <c r="J325" s="5"/>
      <c r="L325">
        <f>TMTA!M325</f>
        <v>-0.49263800000000002</v>
      </c>
      <c r="M325">
        <f>TMTA!N325</f>
        <v>31.9</v>
      </c>
      <c r="O325">
        <f>ABS(L325-TMTA!$C$34)</f>
        <v>10.863536115065187</v>
      </c>
      <c r="P325">
        <f t="shared" si="5"/>
        <v>31.9</v>
      </c>
    </row>
    <row r="326" spans="10:16">
      <c r="J326" s="5"/>
      <c r="L326">
        <f>TMTA!M326</f>
        <v>-0.49263800000000002</v>
      </c>
      <c r="M326">
        <f>TMTA!N326</f>
        <v>32</v>
      </c>
      <c r="O326">
        <f>ABS(L326-TMTA!$C$34)</f>
        <v>10.863536115065187</v>
      </c>
      <c r="P326">
        <f t="shared" si="5"/>
        <v>32</v>
      </c>
    </row>
    <row r="327" spans="10:16">
      <c r="J327" s="5"/>
      <c r="L327">
        <f>TMTA!M327</f>
        <v>-0.49263800000000002</v>
      </c>
      <c r="M327">
        <f>TMTA!N327</f>
        <v>32.1</v>
      </c>
      <c r="O327">
        <f>ABS(L327-TMTA!$C$34)</f>
        <v>10.863536115065187</v>
      </c>
      <c r="P327">
        <f t="shared" ref="P327:P390" si="6">M327</f>
        <v>32.1</v>
      </c>
    </row>
    <row r="328" spans="10:16">
      <c r="J328" s="5"/>
      <c r="L328">
        <f>TMTA!M328</f>
        <v>-0.49183608000000001</v>
      </c>
      <c r="M328">
        <f>TMTA!N328</f>
        <v>32.200000000000003</v>
      </c>
      <c r="O328">
        <f>ABS(L328-TMTA!$C$34)</f>
        <v>10.862734195065189</v>
      </c>
      <c r="P328">
        <f t="shared" si="6"/>
        <v>32.200000000000003</v>
      </c>
    </row>
    <row r="329" spans="10:16">
      <c r="J329" s="5"/>
      <c r="L329">
        <f>TMTA!M329</f>
        <v>-0.49043271999999999</v>
      </c>
      <c r="M329">
        <f>TMTA!N329</f>
        <v>32.299999999999997</v>
      </c>
      <c r="O329">
        <f>ABS(L329-TMTA!$C$34)</f>
        <v>10.861330835065187</v>
      </c>
      <c r="P329">
        <f t="shared" si="6"/>
        <v>32.299999999999997</v>
      </c>
    </row>
    <row r="330" spans="10:16">
      <c r="J330" s="5"/>
      <c r="L330">
        <f>TMTA!M330</f>
        <v>-0.48893436000000001</v>
      </c>
      <c r="M330">
        <f>TMTA!N330</f>
        <v>32.4</v>
      </c>
      <c r="O330">
        <f>ABS(L330-TMTA!$C$34)</f>
        <v>10.859832475065188</v>
      </c>
      <c r="P330">
        <f t="shared" si="6"/>
        <v>32.4</v>
      </c>
    </row>
    <row r="331" spans="10:16">
      <c r="J331" s="5"/>
      <c r="L331">
        <f>TMTA!M331</f>
        <v>-0.48287600000000003</v>
      </c>
      <c r="M331">
        <f>TMTA!N331</f>
        <v>32.5</v>
      </c>
      <c r="O331">
        <f>ABS(L331-TMTA!$C$34)</f>
        <v>10.853774115065187</v>
      </c>
      <c r="P331">
        <f t="shared" si="6"/>
        <v>32.5</v>
      </c>
    </row>
    <row r="332" spans="10:16">
      <c r="J332" s="5"/>
      <c r="L332">
        <f>TMTA!M332</f>
        <v>-0.47681763999999999</v>
      </c>
      <c r="M332">
        <f>TMTA!N332</f>
        <v>32.6</v>
      </c>
      <c r="O332">
        <f>ABS(L332-TMTA!$C$34)</f>
        <v>10.847715755065188</v>
      </c>
      <c r="P332">
        <f t="shared" si="6"/>
        <v>32.6</v>
      </c>
    </row>
    <row r="333" spans="10:16">
      <c r="J333" s="5"/>
      <c r="L333">
        <f>TMTA!M333</f>
        <v>-0.47310104800000002</v>
      </c>
      <c r="M333">
        <f>TMTA!N333</f>
        <v>32.700000000000003</v>
      </c>
      <c r="O333">
        <f>ABS(L333-TMTA!$C$34)</f>
        <v>10.843999163065188</v>
      </c>
      <c r="P333">
        <f t="shared" si="6"/>
        <v>32.700000000000003</v>
      </c>
    </row>
    <row r="334" spans="10:16">
      <c r="J334" s="5"/>
      <c r="L334">
        <f>TMTA!M334</f>
        <v>-0.47203167200000001</v>
      </c>
      <c r="M334">
        <f>TMTA!N334</f>
        <v>32.799999999999997</v>
      </c>
      <c r="O334">
        <f>ABS(L334-TMTA!$C$34)</f>
        <v>10.842929787065188</v>
      </c>
      <c r="P334">
        <f t="shared" si="6"/>
        <v>32.799999999999997</v>
      </c>
    </row>
    <row r="335" spans="10:16">
      <c r="J335" s="5"/>
      <c r="L335">
        <f>TMTA!M335</f>
        <v>-0.470962296</v>
      </c>
      <c r="M335">
        <f>TMTA!N335</f>
        <v>32.9</v>
      </c>
      <c r="O335">
        <f>ABS(L335-TMTA!$C$34)</f>
        <v>10.841860411065188</v>
      </c>
      <c r="P335">
        <f t="shared" si="6"/>
        <v>32.9</v>
      </c>
    </row>
    <row r="336" spans="10:16">
      <c r="J336" s="5"/>
      <c r="L336">
        <f>TMTA!M336</f>
        <v>-0.47087499999999999</v>
      </c>
      <c r="M336">
        <f>TMTA!N336</f>
        <v>33</v>
      </c>
      <c r="O336">
        <f>ABS(L336-TMTA!$C$34)</f>
        <v>10.841773115065187</v>
      </c>
      <c r="P336">
        <f t="shared" si="6"/>
        <v>33</v>
      </c>
    </row>
    <row r="337" spans="10:16">
      <c r="J337" s="5"/>
      <c r="L337">
        <f>TMTA!M337</f>
        <v>-0.47087499999999999</v>
      </c>
      <c r="M337">
        <f>TMTA!N337</f>
        <v>33.1</v>
      </c>
      <c r="O337">
        <f>ABS(L337-TMTA!$C$34)</f>
        <v>10.841773115065187</v>
      </c>
      <c r="P337">
        <f t="shared" si="6"/>
        <v>33.1</v>
      </c>
    </row>
    <row r="338" spans="10:16">
      <c r="J338" s="5"/>
      <c r="L338">
        <f>TMTA!M338</f>
        <v>-0.47005981600000002</v>
      </c>
      <c r="M338">
        <f>TMTA!N338</f>
        <v>33.200000000000003</v>
      </c>
      <c r="O338">
        <f>ABS(L338-TMTA!$C$34)</f>
        <v>10.840957931065187</v>
      </c>
      <c r="P338">
        <f t="shared" si="6"/>
        <v>33.200000000000003</v>
      </c>
    </row>
    <row r="339" spans="10:16">
      <c r="J339" s="5"/>
      <c r="L339">
        <f>TMTA!M339</f>
        <v>-0.467840704</v>
      </c>
      <c r="M339">
        <f>TMTA!N339</f>
        <v>33.299999999999997</v>
      </c>
      <c r="O339">
        <f>ABS(L339-TMTA!$C$34)</f>
        <v>10.838738819065188</v>
      </c>
      <c r="P339">
        <f t="shared" si="6"/>
        <v>33.299999999999997</v>
      </c>
    </row>
    <row r="340" spans="10:16">
      <c r="J340" s="5"/>
      <c r="L340">
        <f>TMTA!M340</f>
        <v>-0.46562159199999997</v>
      </c>
      <c r="M340">
        <f>TMTA!N340</f>
        <v>33.4</v>
      </c>
      <c r="O340">
        <f>ABS(L340-TMTA!$C$34)</f>
        <v>10.836519707065188</v>
      </c>
      <c r="P340">
        <f t="shared" si="6"/>
        <v>33.4</v>
      </c>
    </row>
    <row r="341" spans="10:16">
      <c r="J341" s="5"/>
      <c r="L341">
        <f>TMTA!M341</f>
        <v>-0.46521400000000002</v>
      </c>
      <c r="M341">
        <f>TMTA!N341</f>
        <v>33.5</v>
      </c>
      <c r="O341">
        <f>ABS(L341-TMTA!$C$34)</f>
        <v>10.836112115065188</v>
      </c>
      <c r="P341">
        <f t="shared" si="6"/>
        <v>33.5</v>
      </c>
    </row>
    <row r="342" spans="10:16">
      <c r="J342" s="5"/>
      <c r="L342">
        <f>TMTA!M342</f>
        <v>-0.46521400000000002</v>
      </c>
      <c r="M342">
        <f>TMTA!N342</f>
        <v>33.6</v>
      </c>
      <c r="O342">
        <f>ABS(L342-TMTA!$C$34)</f>
        <v>10.836112115065188</v>
      </c>
      <c r="P342">
        <f t="shared" si="6"/>
        <v>33.6</v>
      </c>
    </row>
    <row r="343" spans="10:16">
      <c r="J343" s="5"/>
      <c r="L343">
        <f>TMTA!M343</f>
        <v>-0.464439616</v>
      </c>
      <c r="M343">
        <f>TMTA!N343</f>
        <v>33.700000000000003</v>
      </c>
      <c r="O343">
        <f>ABS(L343-TMTA!$C$34)</f>
        <v>10.835337731065188</v>
      </c>
      <c r="P343">
        <f t="shared" si="6"/>
        <v>33.700000000000003</v>
      </c>
    </row>
    <row r="344" spans="10:16">
      <c r="J344" s="5"/>
      <c r="L344">
        <f>TMTA!M344</f>
        <v>-0.46152078400000002</v>
      </c>
      <c r="M344">
        <f>TMTA!N344</f>
        <v>33.799999999999997</v>
      </c>
      <c r="O344">
        <f>ABS(L344-TMTA!$C$34)</f>
        <v>10.832418899065187</v>
      </c>
      <c r="P344">
        <f t="shared" si="6"/>
        <v>33.799999999999997</v>
      </c>
    </row>
    <row r="345" spans="10:16">
      <c r="J345" s="5"/>
      <c r="L345">
        <f>TMTA!M345</f>
        <v>-0.45860195199999998</v>
      </c>
      <c r="M345">
        <f>TMTA!N345</f>
        <v>33.9</v>
      </c>
      <c r="O345">
        <f>ABS(L345-TMTA!$C$34)</f>
        <v>10.829500067065188</v>
      </c>
      <c r="P345">
        <f t="shared" si="6"/>
        <v>33.9</v>
      </c>
    </row>
    <row r="346" spans="10:16">
      <c r="J346" s="5"/>
      <c r="L346">
        <f>TMTA!M346</f>
        <v>-0.4552312</v>
      </c>
      <c r="M346">
        <f>TMTA!N346</f>
        <v>34</v>
      </c>
      <c r="O346">
        <f>ABS(L346-TMTA!$C$34)</f>
        <v>10.826129315065188</v>
      </c>
      <c r="P346">
        <f t="shared" si="6"/>
        <v>34</v>
      </c>
    </row>
    <row r="347" spans="10:16">
      <c r="J347" s="5"/>
      <c r="L347">
        <f>TMTA!M347</f>
        <v>-0.45167967999999997</v>
      </c>
      <c r="M347">
        <f>TMTA!N347</f>
        <v>34.1</v>
      </c>
      <c r="O347">
        <f>ABS(L347-TMTA!$C$34)</f>
        <v>10.822577795065188</v>
      </c>
      <c r="P347">
        <f t="shared" si="6"/>
        <v>34.1</v>
      </c>
    </row>
    <row r="348" spans="10:16">
      <c r="J348" s="5"/>
      <c r="L348">
        <f>TMTA!M348</f>
        <v>-0.44834089599999999</v>
      </c>
      <c r="M348">
        <f>TMTA!N348</f>
        <v>34.200000000000003</v>
      </c>
      <c r="O348">
        <f>ABS(L348-TMTA!$C$34)</f>
        <v>10.819239011065187</v>
      </c>
      <c r="P348">
        <f t="shared" si="6"/>
        <v>34.200000000000003</v>
      </c>
    </row>
    <row r="349" spans="10:16">
      <c r="J349" s="5"/>
      <c r="L349">
        <f>TMTA!M349</f>
        <v>-0.44609238400000001</v>
      </c>
      <c r="M349">
        <f>TMTA!N349</f>
        <v>34.299999999999997</v>
      </c>
      <c r="O349">
        <f>ABS(L349-TMTA!$C$34)</f>
        <v>10.816990499065188</v>
      </c>
      <c r="P349">
        <f t="shared" si="6"/>
        <v>34.299999999999997</v>
      </c>
    </row>
    <row r="350" spans="10:16">
      <c r="J350" s="5"/>
      <c r="L350">
        <f>TMTA!M350</f>
        <v>-0.44384387199999997</v>
      </c>
      <c r="M350">
        <f>TMTA!N350</f>
        <v>34.4</v>
      </c>
      <c r="O350">
        <f>ABS(L350-TMTA!$C$34)</f>
        <v>10.814741987065188</v>
      </c>
      <c r="P350">
        <f t="shared" si="6"/>
        <v>34.4</v>
      </c>
    </row>
    <row r="351" spans="10:16">
      <c r="J351" s="5"/>
      <c r="L351">
        <f>TMTA!M351</f>
        <v>-0.44232784000000003</v>
      </c>
      <c r="M351">
        <f>TMTA!N351</f>
        <v>34.5</v>
      </c>
      <c r="O351">
        <f>ABS(L351-TMTA!$C$34)</f>
        <v>10.813225955065189</v>
      </c>
      <c r="P351">
        <f t="shared" si="6"/>
        <v>34.5</v>
      </c>
    </row>
    <row r="352" spans="10:16">
      <c r="J352" s="5"/>
      <c r="L352">
        <f>TMTA!M352</f>
        <v>-0.44127571199999999</v>
      </c>
      <c r="M352">
        <f>TMTA!N352</f>
        <v>34.6</v>
      </c>
      <c r="O352">
        <f>ABS(L352-TMTA!$C$34)</f>
        <v>10.812173827065187</v>
      </c>
      <c r="P352">
        <f t="shared" si="6"/>
        <v>34.6</v>
      </c>
    </row>
    <row r="353" spans="10:16">
      <c r="J353" s="5"/>
      <c r="L353">
        <f>TMTA!M353</f>
        <v>-0.44027964800000002</v>
      </c>
      <c r="M353">
        <f>TMTA!N353</f>
        <v>34.700000000000003</v>
      </c>
      <c r="O353">
        <f>ABS(L353-TMTA!$C$34)</f>
        <v>10.811177763065189</v>
      </c>
      <c r="P353">
        <f t="shared" si="6"/>
        <v>34.700000000000003</v>
      </c>
    </row>
    <row r="354" spans="10:16">
      <c r="J354" s="5"/>
      <c r="L354">
        <f>TMTA!M354</f>
        <v>-0.440143232</v>
      </c>
      <c r="M354">
        <f>TMTA!N354</f>
        <v>34.799999999999997</v>
      </c>
      <c r="O354">
        <f>ABS(L354-TMTA!$C$34)</f>
        <v>10.811041347065188</v>
      </c>
      <c r="P354">
        <f t="shared" si="6"/>
        <v>34.799999999999997</v>
      </c>
    </row>
    <row r="355" spans="10:16">
      <c r="J355" s="5"/>
      <c r="L355">
        <f>TMTA!M355</f>
        <v>-0.44000681600000002</v>
      </c>
      <c r="M355">
        <f>TMTA!N355</f>
        <v>34.9</v>
      </c>
      <c r="O355">
        <f>ABS(L355-TMTA!$C$34)</f>
        <v>10.810904931065188</v>
      </c>
      <c r="P355">
        <f t="shared" si="6"/>
        <v>34.9</v>
      </c>
    </row>
    <row r="356" spans="10:16">
      <c r="J356" s="5"/>
      <c r="L356">
        <f>TMTA!M356</f>
        <v>-0.43537480000000001</v>
      </c>
      <c r="M356">
        <f>TMTA!N356</f>
        <v>35</v>
      </c>
      <c r="O356">
        <f>ABS(L356-TMTA!$C$34)</f>
        <v>10.806272915065188</v>
      </c>
      <c r="P356">
        <f t="shared" si="6"/>
        <v>35</v>
      </c>
    </row>
    <row r="357" spans="10:16">
      <c r="J357" s="5"/>
      <c r="L357">
        <f>TMTA!M357</f>
        <v>-0.426427008</v>
      </c>
      <c r="M357">
        <f>TMTA!N357</f>
        <v>35.1</v>
      </c>
      <c r="O357">
        <f>ABS(L357-TMTA!$C$34)</f>
        <v>10.797325123065187</v>
      </c>
      <c r="P357">
        <f t="shared" si="6"/>
        <v>35.1</v>
      </c>
    </row>
    <row r="358" spans="10:16">
      <c r="J358" s="5"/>
      <c r="L358">
        <f>TMTA!M358</f>
        <v>-0.41747921599999999</v>
      </c>
      <c r="M358">
        <f>TMTA!N358</f>
        <v>35.200000000000003</v>
      </c>
      <c r="O358">
        <f>ABS(L358-TMTA!$C$34)</f>
        <v>10.788377331065188</v>
      </c>
      <c r="P358">
        <f t="shared" si="6"/>
        <v>35.200000000000003</v>
      </c>
    </row>
    <row r="359" spans="10:16">
      <c r="J359" s="5"/>
      <c r="L359">
        <f>TMTA!M359</f>
        <v>-0.41593260799999998</v>
      </c>
      <c r="M359">
        <f>TMTA!N359</f>
        <v>35.299999999999997</v>
      </c>
      <c r="O359">
        <f>ABS(L359-TMTA!$C$34)</f>
        <v>10.786830723065188</v>
      </c>
      <c r="P359">
        <f t="shared" si="6"/>
        <v>35.299999999999997</v>
      </c>
    </row>
    <row r="360" spans="10:16">
      <c r="J360" s="5"/>
      <c r="L360">
        <f>TMTA!M360</f>
        <v>-0.41470094400000002</v>
      </c>
      <c r="M360">
        <f>TMTA!N360</f>
        <v>35.4</v>
      </c>
      <c r="O360">
        <f>ABS(L360-TMTA!$C$34)</f>
        <v>10.785599059065188</v>
      </c>
      <c r="P360">
        <f t="shared" si="6"/>
        <v>35.4</v>
      </c>
    </row>
    <row r="361" spans="10:16">
      <c r="J361" s="5"/>
      <c r="L361">
        <f>TMTA!M361</f>
        <v>-0.41124016000000002</v>
      </c>
      <c r="M361">
        <f>TMTA!N361</f>
        <v>35.5</v>
      </c>
      <c r="O361">
        <f>ABS(L361-TMTA!$C$34)</f>
        <v>10.782138275065188</v>
      </c>
      <c r="P361">
        <f t="shared" si="6"/>
        <v>35.5</v>
      </c>
    </row>
    <row r="362" spans="10:16">
      <c r="J362" s="5"/>
      <c r="L362">
        <f>TMTA!M362</f>
        <v>-0.40454715200000002</v>
      </c>
      <c r="M362">
        <f>TMTA!N362</f>
        <v>35.6</v>
      </c>
      <c r="O362">
        <f>ABS(L362-TMTA!$C$34)</f>
        <v>10.775445267065187</v>
      </c>
      <c r="P362">
        <f t="shared" si="6"/>
        <v>35.6</v>
      </c>
    </row>
    <row r="363" spans="10:16">
      <c r="J363" s="5"/>
      <c r="L363">
        <f>TMTA!M363</f>
        <v>-0.39785414400000002</v>
      </c>
      <c r="M363">
        <f>TMTA!N363</f>
        <v>35.700000000000003</v>
      </c>
      <c r="O363">
        <f>ABS(L363-TMTA!$C$34)</f>
        <v>10.768752259065188</v>
      </c>
      <c r="P363">
        <f t="shared" si="6"/>
        <v>35.700000000000003</v>
      </c>
    </row>
    <row r="364" spans="10:16">
      <c r="J364" s="5"/>
      <c r="L364">
        <f>TMTA!M364</f>
        <v>-0.39676292800000001</v>
      </c>
      <c r="M364">
        <f>TMTA!N364</f>
        <v>35.799999999999997</v>
      </c>
      <c r="O364">
        <f>ABS(L364-TMTA!$C$34)</f>
        <v>10.767661043065187</v>
      </c>
      <c r="P364">
        <f t="shared" si="6"/>
        <v>35.799999999999997</v>
      </c>
    </row>
    <row r="365" spans="10:16">
      <c r="J365" s="5"/>
      <c r="L365">
        <f>TMTA!M365</f>
        <v>-0.39660534400000003</v>
      </c>
      <c r="M365">
        <f>TMTA!N365</f>
        <v>35.9</v>
      </c>
      <c r="O365">
        <f>ABS(L365-TMTA!$C$34)</f>
        <v>10.767503459065187</v>
      </c>
      <c r="P365">
        <f t="shared" si="6"/>
        <v>35.9</v>
      </c>
    </row>
    <row r="366" spans="10:16">
      <c r="J366" s="5"/>
      <c r="L366">
        <f>TMTA!M366</f>
        <v>-0.39545883999999998</v>
      </c>
      <c r="M366">
        <f>TMTA!N366</f>
        <v>36</v>
      </c>
      <c r="O366">
        <f>ABS(L366-TMTA!$C$34)</f>
        <v>10.766356955065188</v>
      </c>
      <c r="P366">
        <f t="shared" si="6"/>
        <v>36</v>
      </c>
    </row>
    <row r="367" spans="10:16">
      <c r="J367" s="5"/>
      <c r="L367">
        <f>TMTA!M367</f>
        <v>-0.39207078400000001</v>
      </c>
      <c r="M367">
        <f>TMTA!N367</f>
        <v>36.1</v>
      </c>
      <c r="O367">
        <f>ABS(L367-TMTA!$C$34)</f>
        <v>10.762968899065188</v>
      </c>
      <c r="P367">
        <f t="shared" si="6"/>
        <v>36.1</v>
      </c>
    </row>
    <row r="368" spans="10:16">
      <c r="J368" s="5"/>
      <c r="L368">
        <f>TMTA!M368</f>
        <v>-0.38868272799999998</v>
      </c>
      <c r="M368">
        <f>TMTA!N368</f>
        <v>36.200000000000003</v>
      </c>
      <c r="O368">
        <f>ABS(L368-TMTA!$C$34)</f>
        <v>10.759580843065187</v>
      </c>
      <c r="P368">
        <f t="shared" si="6"/>
        <v>36.200000000000003</v>
      </c>
    </row>
    <row r="369" spans="10:16">
      <c r="J369" s="5"/>
      <c r="L369">
        <f>TMTA!M369</f>
        <v>-0.38768102399999999</v>
      </c>
      <c r="M369">
        <f>TMTA!N369</f>
        <v>36.299999999999997</v>
      </c>
      <c r="O369">
        <f>ABS(L369-TMTA!$C$34)</f>
        <v>10.758579139065189</v>
      </c>
      <c r="P369">
        <f t="shared" si="6"/>
        <v>36.299999999999997</v>
      </c>
    </row>
    <row r="370" spans="10:16">
      <c r="J370" s="5"/>
      <c r="L370">
        <f>TMTA!M370</f>
        <v>-0.38745327200000002</v>
      </c>
      <c r="M370">
        <f>TMTA!N370</f>
        <v>36.4</v>
      </c>
      <c r="O370">
        <f>ABS(L370-TMTA!$C$34)</f>
        <v>10.758351387065188</v>
      </c>
      <c r="P370">
        <f t="shared" si="6"/>
        <v>36.4</v>
      </c>
    </row>
    <row r="371" spans="10:16">
      <c r="J371" s="5"/>
      <c r="L371">
        <f>TMTA!M371</f>
        <v>-0.38727200000000001</v>
      </c>
      <c r="M371">
        <f>TMTA!N371</f>
        <v>36.5</v>
      </c>
      <c r="O371">
        <f>ABS(L371-TMTA!$C$34)</f>
        <v>10.758170115065187</v>
      </c>
      <c r="P371">
        <f t="shared" si="6"/>
        <v>36.5</v>
      </c>
    </row>
    <row r="372" spans="10:16">
      <c r="J372" s="5"/>
      <c r="L372">
        <f>TMTA!M372</f>
        <v>-0.38727200000000001</v>
      </c>
      <c r="M372">
        <f>TMTA!N372</f>
        <v>36.6</v>
      </c>
      <c r="O372">
        <f>ABS(L372-TMTA!$C$34)</f>
        <v>10.758170115065187</v>
      </c>
      <c r="P372">
        <f t="shared" si="6"/>
        <v>36.6</v>
      </c>
    </row>
    <row r="373" spans="10:16">
      <c r="J373" s="5"/>
      <c r="L373">
        <f>TMTA!M373</f>
        <v>-0.38727200000000001</v>
      </c>
      <c r="M373">
        <f>TMTA!N373</f>
        <v>36.700000000000003</v>
      </c>
      <c r="O373">
        <f>ABS(L373-TMTA!$C$34)</f>
        <v>10.758170115065187</v>
      </c>
      <c r="P373">
        <f t="shared" si="6"/>
        <v>36.700000000000003</v>
      </c>
    </row>
    <row r="374" spans="10:16">
      <c r="J374" s="5"/>
      <c r="L374">
        <f>TMTA!M374</f>
        <v>-0.38727200000000001</v>
      </c>
      <c r="M374">
        <f>TMTA!N374</f>
        <v>36.799999999999997</v>
      </c>
      <c r="O374">
        <f>ABS(L374-TMTA!$C$34)</f>
        <v>10.758170115065187</v>
      </c>
      <c r="P374">
        <f t="shared" si="6"/>
        <v>36.799999999999997</v>
      </c>
    </row>
    <row r="375" spans="10:16">
      <c r="J375" s="5"/>
      <c r="L375">
        <f>TMTA!M375</f>
        <v>-0.38727200000000001</v>
      </c>
      <c r="M375">
        <f>TMTA!N375</f>
        <v>36.9</v>
      </c>
      <c r="O375">
        <f>ABS(L375-TMTA!$C$34)</f>
        <v>10.758170115065187</v>
      </c>
      <c r="P375">
        <f t="shared" si="6"/>
        <v>36.9</v>
      </c>
    </row>
    <row r="376" spans="10:16">
      <c r="J376" s="5"/>
      <c r="L376">
        <f>TMTA!M376</f>
        <v>-0.38724196</v>
      </c>
      <c r="M376">
        <f>TMTA!N376</f>
        <v>37</v>
      </c>
      <c r="O376">
        <f>ABS(L376-TMTA!$C$34)</f>
        <v>10.758140075065189</v>
      </c>
      <c r="P376">
        <f t="shared" si="6"/>
        <v>37</v>
      </c>
    </row>
    <row r="377" spans="10:16">
      <c r="J377" s="5"/>
      <c r="L377">
        <f>TMTA!M377</f>
        <v>-0.38694756800000002</v>
      </c>
      <c r="M377">
        <f>TMTA!N377</f>
        <v>37.1</v>
      </c>
      <c r="O377">
        <f>ABS(L377-TMTA!$C$34)</f>
        <v>10.757845683065188</v>
      </c>
      <c r="P377">
        <f t="shared" si="6"/>
        <v>37.1</v>
      </c>
    </row>
    <row r="378" spans="10:16">
      <c r="J378" s="5"/>
      <c r="L378">
        <f>TMTA!M378</f>
        <v>-0.38665317599999999</v>
      </c>
      <c r="M378">
        <f>TMTA!N378</f>
        <v>37.200000000000003</v>
      </c>
      <c r="O378">
        <f>ABS(L378-TMTA!$C$34)</f>
        <v>10.757551291065187</v>
      </c>
      <c r="P378">
        <f t="shared" si="6"/>
        <v>37.200000000000003</v>
      </c>
    </row>
    <row r="379" spans="10:16">
      <c r="J379" s="5"/>
      <c r="L379">
        <f>TMTA!M379</f>
        <v>-0.38306586399999998</v>
      </c>
      <c r="M379">
        <f>TMTA!N379</f>
        <v>37.299999999999997</v>
      </c>
      <c r="O379">
        <f>ABS(L379-TMTA!$C$34)</f>
        <v>10.753963979065189</v>
      </c>
      <c r="P379">
        <f t="shared" si="6"/>
        <v>37.299999999999997</v>
      </c>
    </row>
    <row r="380" spans="10:16">
      <c r="J380" s="5"/>
      <c r="L380">
        <f>TMTA!M380</f>
        <v>-0.37679543199999999</v>
      </c>
      <c r="M380">
        <f>TMTA!N380</f>
        <v>37.4</v>
      </c>
      <c r="O380">
        <f>ABS(L380-TMTA!$C$34)</f>
        <v>10.747693547065188</v>
      </c>
      <c r="P380">
        <f t="shared" si="6"/>
        <v>37.4</v>
      </c>
    </row>
    <row r="381" spans="10:16">
      <c r="J381" s="5"/>
      <c r="L381">
        <f>TMTA!M381</f>
        <v>-0.37052499999999999</v>
      </c>
      <c r="M381">
        <f>TMTA!N381</f>
        <v>37.5</v>
      </c>
      <c r="O381">
        <f>ABS(L381-TMTA!$C$34)</f>
        <v>10.741423115065189</v>
      </c>
      <c r="P381">
        <f t="shared" si="6"/>
        <v>37.5</v>
      </c>
    </row>
    <row r="382" spans="10:16">
      <c r="J382" s="5"/>
      <c r="L382">
        <f>TMTA!M382</f>
        <v>-0.37028235199999998</v>
      </c>
      <c r="M382">
        <f>TMTA!N382</f>
        <v>37.6</v>
      </c>
      <c r="O382">
        <f>ABS(L382-TMTA!$C$34)</f>
        <v>10.741180467065188</v>
      </c>
      <c r="P382">
        <f t="shared" si="6"/>
        <v>37.6</v>
      </c>
    </row>
    <row r="383" spans="10:16">
      <c r="J383" s="5"/>
      <c r="L383">
        <f>TMTA!M383</f>
        <v>-0.37003970400000002</v>
      </c>
      <c r="M383">
        <f>TMTA!N383</f>
        <v>37.700000000000003</v>
      </c>
      <c r="O383">
        <f>ABS(L383-TMTA!$C$34)</f>
        <v>10.740937819065188</v>
      </c>
      <c r="P383">
        <f t="shared" si="6"/>
        <v>37.700000000000003</v>
      </c>
    </row>
    <row r="384" spans="10:16">
      <c r="J384" s="5"/>
      <c r="L384">
        <f>TMTA!M384</f>
        <v>-0.36872750399999998</v>
      </c>
      <c r="M384">
        <f>TMTA!N384</f>
        <v>37.799999999999997</v>
      </c>
      <c r="O384">
        <f>ABS(L384-TMTA!$C$34)</f>
        <v>10.739625619065189</v>
      </c>
      <c r="P384">
        <f t="shared" si="6"/>
        <v>37.799999999999997</v>
      </c>
    </row>
    <row r="385" spans="10:16">
      <c r="J385" s="5"/>
      <c r="L385">
        <f>TMTA!M385</f>
        <v>-0.36610267200000002</v>
      </c>
      <c r="M385">
        <f>TMTA!N385</f>
        <v>37.9</v>
      </c>
      <c r="O385">
        <f>ABS(L385-TMTA!$C$34)</f>
        <v>10.737000787065188</v>
      </c>
      <c r="P385">
        <f t="shared" si="6"/>
        <v>37.9</v>
      </c>
    </row>
    <row r="386" spans="10:16">
      <c r="J386" s="5"/>
      <c r="L386">
        <f>TMTA!M386</f>
        <v>-0.36347784</v>
      </c>
      <c r="M386">
        <f>TMTA!N386</f>
        <v>38</v>
      </c>
      <c r="O386">
        <f>ABS(L386-TMTA!$C$34)</f>
        <v>10.734375955065188</v>
      </c>
      <c r="P386">
        <f t="shared" si="6"/>
        <v>38</v>
      </c>
    </row>
    <row r="387" spans="10:16">
      <c r="J387" s="5"/>
      <c r="L387">
        <f>TMTA!M387</f>
        <v>-0.35535265599999999</v>
      </c>
      <c r="M387">
        <f>TMTA!N387</f>
        <v>38.1</v>
      </c>
      <c r="O387">
        <f>ABS(L387-TMTA!$C$34)</f>
        <v>10.726250771065189</v>
      </c>
      <c r="P387">
        <f t="shared" si="6"/>
        <v>38.1</v>
      </c>
    </row>
    <row r="388" spans="10:16">
      <c r="J388" s="5"/>
      <c r="L388">
        <f>TMTA!M388</f>
        <v>-0.34660243200000002</v>
      </c>
      <c r="M388">
        <f>TMTA!N388</f>
        <v>38.200000000000003</v>
      </c>
      <c r="O388">
        <f>ABS(L388-TMTA!$C$34)</f>
        <v>10.717500547065187</v>
      </c>
      <c r="P388">
        <f t="shared" si="6"/>
        <v>38.200000000000003</v>
      </c>
    </row>
    <row r="389" spans="10:16">
      <c r="J389" s="5"/>
      <c r="L389">
        <f>TMTA!M389</f>
        <v>-0.34020310399999998</v>
      </c>
      <c r="M389">
        <f>TMTA!N389</f>
        <v>38.299999999999997</v>
      </c>
      <c r="O389">
        <f>ABS(L389-TMTA!$C$34)</f>
        <v>10.711101219065188</v>
      </c>
      <c r="P389">
        <f t="shared" si="6"/>
        <v>38.299999999999997</v>
      </c>
    </row>
    <row r="390" spans="10:16">
      <c r="J390" s="5"/>
      <c r="L390">
        <f>TMTA!M390</f>
        <v>-0.33822899200000001</v>
      </c>
      <c r="M390">
        <f>TMTA!N390</f>
        <v>38.4</v>
      </c>
      <c r="O390">
        <f>ABS(L390-TMTA!$C$34)</f>
        <v>10.709127107065187</v>
      </c>
      <c r="P390">
        <f t="shared" si="6"/>
        <v>38.4</v>
      </c>
    </row>
    <row r="391" spans="10:16">
      <c r="J391" s="5"/>
      <c r="L391">
        <f>TMTA!M391</f>
        <v>-0.33625487999999998</v>
      </c>
      <c r="M391">
        <f>TMTA!N391</f>
        <v>38.5</v>
      </c>
      <c r="O391">
        <f>ABS(L391-TMTA!$C$34)</f>
        <v>10.707152995065188</v>
      </c>
      <c r="P391">
        <f t="shared" ref="P391:P454" si="7">M391</f>
        <v>38.5</v>
      </c>
    </row>
    <row r="392" spans="10:16">
      <c r="J392" s="5"/>
      <c r="L392">
        <f>TMTA!M392</f>
        <v>-0.33426953599999998</v>
      </c>
      <c r="M392">
        <f>TMTA!N392</f>
        <v>38.6</v>
      </c>
      <c r="O392">
        <f>ABS(L392-TMTA!$C$34)</f>
        <v>10.705167651065189</v>
      </c>
      <c r="P392">
        <f t="shared" si="7"/>
        <v>38.6</v>
      </c>
    </row>
    <row r="393" spans="10:16">
      <c r="J393" s="5"/>
      <c r="L393">
        <f>TMTA!M393</f>
        <v>-0.332281312</v>
      </c>
      <c r="M393">
        <f>TMTA!N393</f>
        <v>38.700000000000003</v>
      </c>
      <c r="O393">
        <f>ABS(L393-TMTA!$C$34)</f>
        <v>10.703179427065187</v>
      </c>
      <c r="P393">
        <f t="shared" si="7"/>
        <v>38.700000000000003</v>
      </c>
    </row>
    <row r="394" spans="10:16">
      <c r="J394" s="5"/>
      <c r="L394">
        <f>TMTA!M394</f>
        <v>-0.327981984</v>
      </c>
      <c r="M394">
        <f>TMTA!N394</f>
        <v>38.799999999999997</v>
      </c>
      <c r="O394">
        <f>ABS(L394-TMTA!$C$34)</f>
        <v>10.698880099065189</v>
      </c>
      <c r="P394">
        <f t="shared" si="7"/>
        <v>38.799999999999997</v>
      </c>
    </row>
    <row r="395" spans="10:16">
      <c r="J395" s="5"/>
      <c r="L395">
        <f>TMTA!M395</f>
        <v>-0.316556752</v>
      </c>
      <c r="M395">
        <f>TMTA!N395</f>
        <v>38.9</v>
      </c>
      <c r="O395">
        <f>ABS(L395-TMTA!$C$34)</f>
        <v>10.687454867065188</v>
      </c>
      <c r="P395">
        <f t="shared" si="7"/>
        <v>38.9</v>
      </c>
    </row>
    <row r="396" spans="10:16">
      <c r="J396" s="5"/>
      <c r="L396">
        <f>TMTA!M396</f>
        <v>-0.30513151999999999</v>
      </c>
      <c r="M396">
        <f>TMTA!N396</f>
        <v>39</v>
      </c>
      <c r="O396">
        <f>ABS(L396-TMTA!$C$34)</f>
        <v>10.676029635065188</v>
      </c>
      <c r="P396">
        <f t="shared" si="7"/>
        <v>39</v>
      </c>
    </row>
    <row r="397" spans="10:16">
      <c r="J397" s="5"/>
      <c r="L397">
        <f>TMTA!M397</f>
        <v>-0.30122980799999999</v>
      </c>
      <c r="M397">
        <f>TMTA!N397</f>
        <v>39.1</v>
      </c>
      <c r="O397">
        <f>ABS(L397-TMTA!$C$34)</f>
        <v>10.672127923065188</v>
      </c>
      <c r="P397">
        <f t="shared" si="7"/>
        <v>39.1</v>
      </c>
    </row>
    <row r="398" spans="10:16">
      <c r="J398" s="5"/>
      <c r="L398">
        <f>TMTA!M398</f>
        <v>-0.30064729600000001</v>
      </c>
      <c r="M398">
        <f>TMTA!N398</f>
        <v>39.200000000000003</v>
      </c>
      <c r="O398">
        <f>ABS(L398-TMTA!$C$34)</f>
        <v>10.671545411065187</v>
      </c>
      <c r="P398">
        <f t="shared" si="7"/>
        <v>39.200000000000003</v>
      </c>
    </row>
    <row r="399" spans="10:16">
      <c r="J399" s="5"/>
      <c r="L399">
        <f>TMTA!M399</f>
        <v>-0.29959247999999999</v>
      </c>
      <c r="M399">
        <f>TMTA!N399</f>
        <v>39.299999999999997</v>
      </c>
      <c r="O399">
        <f>ABS(L399-TMTA!$C$34)</f>
        <v>10.670490595065187</v>
      </c>
      <c r="P399">
        <f t="shared" si="7"/>
        <v>39.299999999999997</v>
      </c>
    </row>
    <row r="400" spans="10:16">
      <c r="J400" s="5"/>
      <c r="L400">
        <f>TMTA!M400</f>
        <v>-0.29570384</v>
      </c>
      <c r="M400">
        <f>TMTA!N400</f>
        <v>39.4</v>
      </c>
      <c r="O400">
        <f>ABS(L400-TMTA!$C$34)</f>
        <v>10.666601955065188</v>
      </c>
      <c r="P400">
        <f t="shared" si="7"/>
        <v>39.4</v>
      </c>
    </row>
    <row r="401" spans="10:16">
      <c r="J401" s="5"/>
      <c r="L401">
        <f>TMTA!M401</f>
        <v>-0.2918152</v>
      </c>
      <c r="M401">
        <f>TMTA!N401</f>
        <v>39.5</v>
      </c>
      <c r="O401">
        <f>ABS(L401-TMTA!$C$34)</f>
        <v>10.662713315065188</v>
      </c>
      <c r="P401">
        <f t="shared" si="7"/>
        <v>39.5</v>
      </c>
    </row>
    <row r="402" spans="10:16">
      <c r="J402" s="5"/>
      <c r="L402">
        <f>TMTA!M402</f>
        <v>-0.29022799999999999</v>
      </c>
      <c r="M402">
        <f>TMTA!N402</f>
        <v>39.6</v>
      </c>
      <c r="O402">
        <f>ABS(L402-TMTA!$C$34)</f>
        <v>10.661126115065189</v>
      </c>
      <c r="P402">
        <f t="shared" si="7"/>
        <v>39.6</v>
      </c>
    </row>
    <row r="403" spans="10:16">
      <c r="J403" s="5"/>
      <c r="L403">
        <f>TMTA!M403</f>
        <v>-0.29022799999999999</v>
      </c>
      <c r="M403">
        <f>TMTA!N403</f>
        <v>39.700000000000003</v>
      </c>
      <c r="O403">
        <f>ABS(L403-TMTA!$C$34)</f>
        <v>10.661126115065189</v>
      </c>
      <c r="P403">
        <f t="shared" si="7"/>
        <v>39.700000000000003</v>
      </c>
    </row>
    <row r="404" spans="10:16">
      <c r="J404" s="5"/>
      <c r="L404">
        <f>TMTA!M404</f>
        <v>-0.28995980799999999</v>
      </c>
      <c r="M404">
        <f>TMTA!N404</f>
        <v>39.799999999999997</v>
      </c>
      <c r="O404">
        <f>ABS(L404-TMTA!$C$34)</f>
        <v>10.660857923065189</v>
      </c>
      <c r="P404">
        <f t="shared" si="7"/>
        <v>39.799999999999997</v>
      </c>
    </row>
    <row r="405" spans="10:16">
      <c r="J405" s="5"/>
      <c r="L405">
        <f>TMTA!M405</f>
        <v>-0.283389104</v>
      </c>
      <c r="M405">
        <f>TMTA!N405</f>
        <v>39.9</v>
      </c>
      <c r="O405">
        <f>ABS(L405-TMTA!$C$34)</f>
        <v>10.654287219065187</v>
      </c>
      <c r="P405">
        <f t="shared" si="7"/>
        <v>39.9</v>
      </c>
    </row>
    <row r="406" spans="10:16">
      <c r="J406" s="5"/>
      <c r="L406">
        <f>TMTA!M406</f>
        <v>-0.27681840000000002</v>
      </c>
      <c r="M406">
        <f>TMTA!N406</f>
        <v>40</v>
      </c>
      <c r="O406">
        <f>ABS(L406-TMTA!$C$34)</f>
        <v>10.647716515065188</v>
      </c>
      <c r="P406">
        <f t="shared" si="7"/>
        <v>40</v>
      </c>
    </row>
    <row r="407" spans="10:16">
      <c r="J407" s="5"/>
      <c r="L407">
        <f>TMTA!M407</f>
        <v>-0.27323214400000001</v>
      </c>
      <c r="M407">
        <f>TMTA!N407</f>
        <v>40.1</v>
      </c>
      <c r="O407">
        <f>ABS(L407-TMTA!$C$34)</f>
        <v>10.644130259065188</v>
      </c>
      <c r="P407">
        <f t="shared" si="7"/>
        <v>40.1</v>
      </c>
    </row>
    <row r="408" spans="10:16">
      <c r="J408" s="5"/>
      <c r="L408">
        <f>TMTA!M408</f>
        <v>-0.27275468800000002</v>
      </c>
      <c r="M408">
        <f>TMTA!N408</f>
        <v>40.200000000000003</v>
      </c>
      <c r="O408">
        <f>ABS(L408-TMTA!$C$34)</f>
        <v>10.643652803065187</v>
      </c>
      <c r="P408">
        <f t="shared" si="7"/>
        <v>40.200000000000003</v>
      </c>
    </row>
    <row r="409" spans="10:16">
      <c r="J409" s="5"/>
      <c r="L409">
        <f>TMTA!M409</f>
        <v>-0.27227723199999998</v>
      </c>
      <c r="M409">
        <f>TMTA!N409</f>
        <v>40.299999999999997</v>
      </c>
      <c r="O409">
        <f>ABS(L409-TMTA!$C$34)</f>
        <v>10.643175347065188</v>
      </c>
      <c r="P409">
        <f t="shared" si="7"/>
        <v>40.299999999999997</v>
      </c>
    </row>
    <row r="410" spans="10:16">
      <c r="J410" s="5"/>
      <c r="L410">
        <f>TMTA!M410</f>
        <v>-0.27198819200000002</v>
      </c>
      <c r="M410">
        <f>TMTA!N410</f>
        <v>40.4</v>
      </c>
      <c r="O410">
        <f>ABS(L410-TMTA!$C$34)</f>
        <v>10.642886307065188</v>
      </c>
      <c r="P410">
        <f t="shared" si="7"/>
        <v>40.4</v>
      </c>
    </row>
    <row r="411" spans="10:16">
      <c r="J411" s="5"/>
      <c r="L411">
        <f>TMTA!M411</f>
        <v>-0.27171144000000003</v>
      </c>
      <c r="M411">
        <f>TMTA!N411</f>
        <v>40.5</v>
      </c>
      <c r="O411">
        <f>ABS(L411-TMTA!$C$34)</f>
        <v>10.642609555065189</v>
      </c>
      <c r="P411">
        <f t="shared" si="7"/>
        <v>40.5</v>
      </c>
    </row>
    <row r="412" spans="10:16">
      <c r="J412" s="5"/>
      <c r="L412">
        <f>TMTA!M412</f>
        <v>-0.26978503199999998</v>
      </c>
      <c r="M412">
        <f>TMTA!N412</f>
        <v>40.6</v>
      </c>
      <c r="O412">
        <f>ABS(L412-TMTA!$C$34)</f>
        <v>10.640683147065188</v>
      </c>
      <c r="P412">
        <f t="shared" si="7"/>
        <v>40.6</v>
      </c>
    </row>
    <row r="413" spans="10:16">
      <c r="J413" s="5"/>
      <c r="L413">
        <f>TMTA!M413</f>
        <v>-0.26525390399999998</v>
      </c>
      <c r="M413">
        <f>TMTA!N413</f>
        <v>40.700000000000003</v>
      </c>
      <c r="O413">
        <f>ABS(L413-TMTA!$C$34)</f>
        <v>10.636152019065188</v>
      </c>
      <c r="P413">
        <f t="shared" si="7"/>
        <v>40.700000000000003</v>
      </c>
    </row>
    <row r="414" spans="10:16">
      <c r="J414" s="5"/>
      <c r="L414">
        <f>TMTA!M414</f>
        <v>-0.26072277599999999</v>
      </c>
      <c r="M414">
        <f>TMTA!N414</f>
        <v>40.799999999999997</v>
      </c>
      <c r="O414">
        <f>ABS(L414-TMTA!$C$34)</f>
        <v>10.631620891065188</v>
      </c>
      <c r="P414">
        <f t="shared" si="7"/>
        <v>40.799999999999997</v>
      </c>
    </row>
    <row r="415" spans="10:16">
      <c r="J415" s="5"/>
      <c r="L415">
        <f>TMTA!M415</f>
        <v>-0.25639795999999998</v>
      </c>
      <c r="M415">
        <f>TMTA!N415</f>
        <v>40.9</v>
      </c>
      <c r="O415">
        <f>ABS(L415-TMTA!$C$34)</f>
        <v>10.627296075065187</v>
      </c>
      <c r="P415">
        <f t="shared" si="7"/>
        <v>40.9</v>
      </c>
    </row>
    <row r="416" spans="10:16">
      <c r="J416" s="5"/>
      <c r="L416">
        <f>TMTA!M416</f>
        <v>-0.25211339999999999</v>
      </c>
      <c r="M416">
        <f>TMTA!N416</f>
        <v>41</v>
      </c>
      <c r="O416">
        <f>ABS(L416-TMTA!$C$34)</f>
        <v>10.623011515065189</v>
      </c>
      <c r="P416">
        <f t="shared" si="7"/>
        <v>41</v>
      </c>
    </row>
    <row r="417" spans="10:16">
      <c r="J417" s="5"/>
      <c r="L417">
        <f>TMTA!M417</f>
        <v>-0.24880951200000001</v>
      </c>
      <c r="M417">
        <f>TMTA!N417</f>
        <v>41.1</v>
      </c>
      <c r="O417">
        <f>ABS(L417-TMTA!$C$34)</f>
        <v>10.619707627065187</v>
      </c>
      <c r="P417">
        <f t="shared" si="7"/>
        <v>41.1</v>
      </c>
    </row>
    <row r="418" spans="10:16">
      <c r="J418" s="5"/>
      <c r="L418">
        <f>TMTA!M418</f>
        <v>-0.24795730399999999</v>
      </c>
      <c r="M418">
        <f>TMTA!N418</f>
        <v>41.2</v>
      </c>
      <c r="O418">
        <f>ABS(L418-TMTA!$C$34)</f>
        <v>10.618855419065188</v>
      </c>
      <c r="P418">
        <f t="shared" si="7"/>
        <v>41.2</v>
      </c>
    </row>
    <row r="419" spans="10:16">
      <c r="J419" s="5"/>
      <c r="L419">
        <f>TMTA!M419</f>
        <v>-0.247105096</v>
      </c>
      <c r="M419">
        <f>TMTA!N419</f>
        <v>41.3</v>
      </c>
      <c r="O419">
        <f>ABS(L419-TMTA!$C$34)</f>
        <v>10.618003211065188</v>
      </c>
      <c r="P419">
        <f t="shared" si="7"/>
        <v>41.3</v>
      </c>
    </row>
    <row r="420" spans="10:16">
      <c r="J420" s="5"/>
      <c r="L420">
        <f>TMTA!M420</f>
        <v>-0.24641560800000001</v>
      </c>
      <c r="M420">
        <f>TMTA!N420</f>
        <v>41.4</v>
      </c>
      <c r="O420">
        <f>ABS(L420-TMTA!$C$34)</f>
        <v>10.617313723065188</v>
      </c>
      <c r="P420">
        <f t="shared" si="7"/>
        <v>41.4</v>
      </c>
    </row>
    <row r="421" spans="10:16">
      <c r="J421" s="5"/>
      <c r="L421">
        <f>TMTA!M421</f>
        <v>-0.24578488000000001</v>
      </c>
      <c r="M421">
        <f>TMTA!N421</f>
        <v>41.5</v>
      </c>
      <c r="O421">
        <f>ABS(L421-TMTA!$C$34)</f>
        <v>10.616682995065188</v>
      </c>
      <c r="P421">
        <f t="shared" si="7"/>
        <v>41.5</v>
      </c>
    </row>
    <row r="422" spans="10:16">
      <c r="J422" s="5"/>
      <c r="L422">
        <f>TMTA!M422</f>
        <v>-0.24492735199999999</v>
      </c>
      <c r="M422">
        <f>TMTA!N422</f>
        <v>41.6</v>
      </c>
      <c r="O422">
        <f>ABS(L422-TMTA!$C$34)</f>
        <v>10.615825467065187</v>
      </c>
      <c r="P422">
        <f t="shared" si="7"/>
        <v>41.6</v>
      </c>
    </row>
    <row r="423" spans="10:16">
      <c r="J423" s="5"/>
      <c r="L423">
        <f>TMTA!M423</f>
        <v>-0.24306182400000001</v>
      </c>
      <c r="M423">
        <f>TMTA!N423</f>
        <v>41.7</v>
      </c>
      <c r="O423">
        <f>ABS(L423-TMTA!$C$34)</f>
        <v>10.613959939065188</v>
      </c>
      <c r="P423">
        <f t="shared" si="7"/>
        <v>41.7</v>
      </c>
    </row>
    <row r="424" spans="10:16">
      <c r="J424" s="5"/>
      <c r="L424">
        <f>TMTA!M424</f>
        <v>-0.241196296</v>
      </c>
      <c r="M424">
        <f>TMTA!N424</f>
        <v>41.8</v>
      </c>
      <c r="O424">
        <f>ABS(L424-TMTA!$C$34)</f>
        <v>10.612094411065188</v>
      </c>
      <c r="P424">
        <f t="shared" si="7"/>
        <v>41.8</v>
      </c>
    </row>
    <row r="425" spans="10:16">
      <c r="J425" s="5"/>
      <c r="L425">
        <f>TMTA!M425</f>
        <v>-0.23789633600000001</v>
      </c>
      <c r="M425">
        <f>TMTA!N425</f>
        <v>41.9</v>
      </c>
      <c r="O425">
        <f>ABS(L425-TMTA!$C$34)</f>
        <v>10.608794451065188</v>
      </c>
      <c r="P425">
        <f t="shared" si="7"/>
        <v>41.9</v>
      </c>
    </row>
    <row r="426" spans="10:16">
      <c r="J426" s="5"/>
      <c r="L426">
        <f>TMTA!M426</f>
        <v>-0.23376348</v>
      </c>
      <c r="M426">
        <f>TMTA!N426</f>
        <v>42</v>
      </c>
      <c r="O426">
        <f>ABS(L426-TMTA!$C$34)</f>
        <v>10.604661595065188</v>
      </c>
      <c r="P426">
        <f t="shared" si="7"/>
        <v>42</v>
      </c>
    </row>
    <row r="427" spans="10:16">
      <c r="J427" s="5"/>
      <c r="L427">
        <f>TMTA!M427</f>
        <v>-0.22970563199999999</v>
      </c>
      <c r="M427">
        <f>TMTA!N427</f>
        <v>42.1</v>
      </c>
      <c r="O427">
        <f>ABS(L427-TMTA!$C$34)</f>
        <v>10.600603747065188</v>
      </c>
      <c r="P427">
        <f t="shared" si="7"/>
        <v>42.1</v>
      </c>
    </row>
    <row r="428" spans="10:16">
      <c r="J428" s="5"/>
      <c r="L428">
        <f>TMTA!M428</f>
        <v>-0.226491624</v>
      </c>
      <c r="M428">
        <f>TMTA!N428</f>
        <v>42.2</v>
      </c>
      <c r="O428">
        <f>ABS(L428-TMTA!$C$34)</f>
        <v>10.597389739065187</v>
      </c>
      <c r="P428">
        <f t="shared" si="7"/>
        <v>42.2</v>
      </c>
    </row>
    <row r="429" spans="10:16">
      <c r="J429" s="5"/>
      <c r="L429">
        <f>TMTA!M429</f>
        <v>-0.22327761600000001</v>
      </c>
      <c r="M429">
        <f>TMTA!N429</f>
        <v>42.3</v>
      </c>
      <c r="O429">
        <f>ABS(L429-TMTA!$C$34)</f>
        <v>10.594175731065189</v>
      </c>
      <c r="P429">
        <f t="shared" si="7"/>
        <v>42.3</v>
      </c>
    </row>
    <row r="430" spans="10:16">
      <c r="J430" s="5"/>
      <c r="L430">
        <f>TMTA!M430</f>
        <v>-0.221080728</v>
      </c>
      <c r="M430">
        <f>TMTA!N430</f>
        <v>42.4</v>
      </c>
      <c r="O430">
        <f>ABS(L430-TMTA!$C$34)</f>
        <v>10.591978843065188</v>
      </c>
      <c r="P430">
        <f t="shared" si="7"/>
        <v>42.4</v>
      </c>
    </row>
    <row r="431" spans="10:16">
      <c r="J431" s="5"/>
      <c r="L431">
        <f>TMTA!M431</f>
        <v>-0.2197836</v>
      </c>
      <c r="M431">
        <f>TMTA!N431</f>
        <v>42.5</v>
      </c>
      <c r="O431">
        <f>ABS(L431-TMTA!$C$34)</f>
        <v>10.590681715065188</v>
      </c>
      <c r="P431">
        <f t="shared" si="7"/>
        <v>42.5</v>
      </c>
    </row>
    <row r="432" spans="10:16">
      <c r="J432" s="5"/>
      <c r="L432">
        <f>TMTA!M432</f>
        <v>-0.21848647199999999</v>
      </c>
      <c r="M432">
        <f>TMTA!N432</f>
        <v>42.6</v>
      </c>
      <c r="O432">
        <f>ABS(L432-TMTA!$C$34)</f>
        <v>10.589384587065188</v>
      </c>
      <c r="P432">
        <f t="shared" si="7"/>
        <v>42.6</v>
      </c>
    </row>
    <row r="433" spans="10:16">
      <c r="J433" s="5"/>
      <c r="L433">
        <f>TMTA!M433</f>
        <v>-0.215477472</v>
      </c>
      <c r="M433">
        <f>TMTA!N433</f>
        <v>42.7</v>
      </c>
      <c r="O433">
        <f>ABS(L433-TMTA!$C$34)</f>
        <v>10.586375587065188</v>
      </c>
      <c r="P433">
        <f t="shared" si="7"/>
        <v>42.7</v>
      </c>
    </row>
    <row r="434" spans="10:16">
      <c r="J434" s="5"/>
      <c r="L434">
        <f>TMTA!M434</f>
        <v>-0.212432808</v>
      </c>
      <c r="M434">
        <f>TMTA!N434</f>
        <v>42.8</v>
      </c>
      <c r="O434">
        <f>ABS(L434-TMTA!$C$34)</f>
        <v>10.583330923065189</v>
      </c>
      <c r="P434">
        <f t="shared" si="7"/>
        <v>42.8</v>
      </c>
    </row>
    <row r="435" spans="10:16">
      <c r="J435" s="5"/>
      <c r="L435">
        <f>TMTA!M435</f>
        <v>-0.208565952</v>
      </c>
      <c r="M435">
        <f>TMTA!N435</f>
        <v>42.9</v>
      </c>
      <c r="O435">
        <f>ABS(L435-TMTA!$C$34)</f>
        <v>10.579464067065189</v>
      </c>
      <c r="P435">
        <f t="shared" si="7"/>
        <v>42.9</v>
      </c>
    </row>
    <row r="436" spans="10:16">
      <c r="J436" s="5"/>
      <c r="L436">
        <f>TMTA!M436</f>
        <v>-0.20360284000000001</v>
      </c>
      <c r="M436">
        <f>TMTA!N436</f>
        <v>43</v>
      </c>
      <c r="O436">
        <f>ABS(L436-TMTA!$C$34)</f>
        <v>10.574500955065188</v>
      </c>
      <c r="P436">
        <f t="shared" si="7"/>
        <v>43</v>
      </c>
    </row>
    <row r="437" spans="10:16">
      <c r="J437" s="5"/>
      <c r="L437">
        <f>TMTA!M437</f>
        <v>-0.19863972799999999</v>
      </c>
      <c r="M437">
        <f>TMTA!N437</f>
        <v>43.1</v>
      </c>
      <c r="O437">
        <f>ABS(L437-TMTA!$C$34)</f>
        <v>10.569537843065188</v>
      </c>
      <c r="P437">
        <f t="shared" si="7"/>
        <v>43.1</v>
      </c>
    </row>
    <row r="438" spans="10:16">
      <c r="J438" s="5"/>
      <c r="L438">
        <f>TMTA!M438</f>
        <v>-0.19803200000000001</v>
      </c>
      <c r="M438">
        <f>TMTA!N438</f>
        <v>43.2</v>
      </c>
      <c r="O438">
        <f>ABS(L438-TMTA!$C$34)</f>
        <v>10.568930115065188</v>
      </c>
      <c r="P438">
        <f t="shared" si="7"/>
        <v>43.2</v>
      </c>
    </row>
    <row r="439" spans="10:16">
      <c r="J439" s="5"/>
      <c r="L439">
        <f>TMTA!M439</f>
        <v>-0.19803200000000001</v>
      </c>
      <c r="M439">
        <f>TMTA!N439</f>
        <v>43.3</v>
      </c>
      <c r="O439">
        <f>ABS(L439-TMTA!$C$34)</f>
        <v>10.568930115065188</v>
      </c>
      <c r="P439">
        <f t="shared" si="7"/>
        <v>43.3</v>
      </c>
    </row>
    <row r="440" spans="10:16">
      <c r="J440" s="5"/>
      <c r="L440">
        <f>TMTA!M440</f>
        <v>-0.196607744</v>
      </c>
      <c r="M440">
        <f>TMTA!N440</f>
        <v>43.4</v>
      </c>
      <c r="O440">
        <f>ABS(L440-TMTA!$C$34)</f>
        <v>10.567505859065188</v>
      </c>
      <c r="P440">
        <f t="shared" si="7"/>
        <v>43.4</v>
      </c>
    </row>
    <row r="441" spans="10:16">
      <c r="J441" s="5"/>
      <c r="L441">
        <f>TMTA!M441</f>
        <v>-0.19224595999999999</v>
      </c>
      <c r="M441">
        <f>TMTA!N441</f>
        <v>43.5</v>
      </c>
      <c r="O441">
        <f>ABS(L441-TMTA!$C$34)</f>
        <v>10.563144075065187</v>
      </c>
      <c r="P441">
        <f t="shared" si="7"/>
        <v>43.5</v>
      </c>
    </row>
    <row r="442" spans="10:16">
      <c r="J442" s="5"/>
      <c r="L442">
        <f>TMTA!M442</f>
        <v>-0.18788417600000001</v>
      </c>
      <c r="M442">
        <f>TMTA!N442</f>
        <v>43.6</v>
      </c>
      <c r="O442">
        <f>ABS(L442-TMTA!$C$34)</f>
        <v>10.558782291065189</v>
      </c>
      <c r="P442">
        <f t="shared" si="7"/>
        <v>43.6</v>
      </c>
    </row>
    <row r="443" spans="10:16">
      <c r="J443" s="5"/>
      <c r="L443">
        <f>TMTA!M443</f>
        <v>-0.184982808</v>
      </c>
      <c r="M443">
        <f>TMTA!N443</f>
        <v>43.7</v>
      </c>
      <c r="O443">
        <f>ABS(L443-TMTA!$C$34)</f>
        <v>10.555880923065189</v>
      </c>
      <c r="P443">
        <f t="shared" si="7"/>
        <v>43.7</v>
      </c>
    </row>
    <row r="444" spans="10:16">
      <c r="J444" s="5"/>
      <c r="L444">
        <f>TMTA!M444</f>
        <v>-0.18250419200000001</v>
      </c>
      <c r="M444">
        <f>TMTA!N444</f>
        <v>43.8</v>
      </c>
      <c r="O444">
        <f>ABS(L444-TMTA!$C$34)</f>
        <v>10.553402307065188</v>
      </c>
      <c r="P444">
        <f t="shared" si="7"/>
        <v>43.8</v>
      </c>
    </row>
    <row r="445" spans="10:16">
      <c r="J445" s="5"/>
      <c r="L445">
        <f>TMTA!M445</f>
        <v>-0.18058199999999999</v>
      </c>
      <c r="M445">
        <f>TMTA!N445</f>
        <v>43.9</v>
      </c>
      <c r="O445">
        <f>ABS(L445-TMTA!$C$34)</f>
        <v>10.551480115065187</v>
      </c>
      <c r="P445">
        <f t="shared" si="7"/>
        <v>43.9</v>
      </c>
    </row>
    <row r="446" spans="10:16">
      <c r="J446" s="5"/>
      <c r="L446">
        <f>TMTA!M446</f>
        <v>-0.18058199999999999</v>
      </c>
      <c r="M446">
        <f>TMTA!N446</f>
        <v>44</v>
      </c>
      <c r="O446">
        <f>ABS(L446-TMTA!$C$34)</f>
        <v>10.551480115065187</v>
      </c>
      <c r="P446">
        <f t="shared" si="7"/>
        <v>44</v>
      </c>
    </row>
    <row r="447" spans="10:16">
      <c r="J447" s="5"/>
      <c r="L447">
        <f>TMTA!M447</f>
        <v>-0.18058199999999999</v>
      </c>
      <c r="M447">
        <f>TMTA!N447</f>
        <v>44.1</v>
      </c>
      <c r="O447">
        <f>ABS(L447-TMTA!$C$34)</f>
        <v>10.551480115065187</v>
      </c>
      <c r="P447">
        <f t="shared" si="7"/>
        <v>44.1</v>
      </c>
    </row>
    <row r="448" spans="10:16">
      <c r="J448" s="5"/>
      <c r="L448">
        <f>TMTA!M448</f>
        <v>-0.177032784</v>
      </c>
      <c r="M448">
        <f>TMTA!N448</f>
        <v>44.2</v>
      </c>
      <c r="O448">
        <f>ABS(L448-TMTA!$C$34)</f>
        <v>10.547930899065188</v>
      </c>
      <c r="P448">
        <f t="shared" si="7"/>
        <v>44.2</v>
      </c>
    </row>
    <row r="449" spans="10:16">
      <c r="J449" s="5"/>
      <c r="L449">
        <f>TMTA!M449</f>
        <v>-0.171762736</v>
      </c>
      <c r="M449">
        <f>TMTA!N449</f>
        <v>44.3</v>
      </c>
      <c r="O449">
        <f>ABS(L449-TMTA!$C$34)</f>
        <v>10.542660851065188</v>
      </c>
      <c r="P449">
        <f t="shared" si="7"/>
        <v>44.3</v>
      </c>
    </row>
    <row r="450" spans="10:16">
      <c r="J450" s="5"/>
      <c r="L450">
        <f>TMTA!M450</f>
        <v>-0.16713800000000001</v>
      </c>
      <c r="M450">
        <f>TMTA!N450</f>
        <v>44.4</v>
      </c>
      <c r="O450">
        <f>ABS(L450-TMTA!$C$34)</f>
        <v>10.538036115065188</v>
      </c>
      <c r="P450">
        <f t="shared" si="7"/>
        <v>44.4</v>
      </c>
    </row>
    <row r="451" spans="10:16">
      <c r="J451" s="5"/>
      <c r="L451">
        <f>TMTA!M451</f>
        <v>-0.16713800000000001</v>
      </c>
      <c r="M451">
        <f>TMTA!N451</f>
        <v>44.5</v>
      </c>
      <c r="O451">
        <f>ABS(L451-TMTA!$C$34)</f>
        <v>10.538036115065188</v>
      </c>
      <c r="P451">
        <f t="shared" si="7"/>
        <v>44.5</v>
      </c>
    </row>
    <row r="452" spans="10:16">
      <c r="J452" s="5"/>
      <c r="L452">
        <f>TMTA!M452</f>
        <v>-0.16713800000000001</v>
      </c>
      <c r="M452">
        <f>TMTA!N452</f>
        <v>44.6</v>
      </c>
      <c r="O452">
        <f>ABS(L452-TMTA!$C$34)</f>
        <v>10.538036115065188</v>
      </c>
      <c r="P452">
        <f t="shared" si="7"/>
        <v>44.6</v>
      </c>
    </row>
    <row r="453" spans="10:16">
      <c r="J453" s="5"/>
      <c r="L453">
        <f>TMTA!M453</f>
        <v>-0.166219376</v>
      </c>
      <c r="M453">
        <f>TMTA!N453</f>
        <v>44.7</v>
      </c>
      <c r="O453">
        <f>ABS(L453-TMTA!$C$34)</f>
        <v>10.537117491065189</v>
      </c>
      <c r="P453">
        <f t="shared" si="7"/>
        <v>44.7</v>
      </c>
    </row>
    <row r="454" spans="10:16">
      <c r="J454" s="5"/>
      <c r="L454">
        <f>TMTA!M454</f>
        <v>-0.16461178400000001</v>
      </c>
      <c r="M454">
        <f>TMTA!N454</f>
        <v>44.8</v>
      </c>
      <c r="O454">
        <f>ABS(L454-TMTA!$C$34)</f>
        <v>10.535509899065188</v>
      </c>
      <c r="P454">
        <f t="shared" si="7"/>
        <v>44.8</v>
      </c>
    </row>
    <row r="455" spans="10:16">
      <c r="J455" s="5"/>
      <c r="L455">
        <f>TMTA!M455</f>
        <v>-0.162923608</v>
      </c>
      <c r="M455">
        <f>TMTA!N455</f>
        <v>44.9</v>
      </c>
      <c r="O455">
        <f>ABS(L455-TMTA!$C$34)</f>
        <v>10.533821723065188</v>
      </c>
      <c r="P455">
        <f t="shared" ref="P455:P518" si="8">M455</f>
        <v>44.9</v>
      </c>
    </row>
    <row r="456" spans="10:16">
      <c r="J456" s="5"/>
      <c r="L456">
        <f>TMTA!M456</f>
        <v>-0.15736739999999999</v>
      </c>
      <c r="M456">
        <f>TMTA!N456</f>
        <v>45</v>
      </c>
      <c r="O456">
        <f>ABS(L456-TMTA!$C$34)</f>
        <v>10.528265515065188</v>
      </c>
      <c r="P456">
        <f t="shared" si="8"/>
        <v>45</v>
      </c>
    </row>
    <row r="457" spans="10:16">
      <c r="J457" s="5"/>
      <c r="L457">
        <f>TMTA!M457</f>
        <v>-0.15181119200000001</v>
      </c>
      <c r="M457">
        <f>TMTA!N457</f>
        <v>45.1</v>
      </c>
      <c r="O457">
        <f>ABS(L457-TMTA!$C$34)</f>
        <v>10.522709307065188</v>
      </c>
      <c r="P457">
        <f t="shared" si="8"/>
        <v>45.1</v>
      </c>
    </row>
    <row r="458" spans="10:16">
      <c r="J458" s="5"/>
      <c r="L458">
        <f>TMTA!M458</f>
        <v>-0.14877376</v>
      </c>
      <c r="M458">
        <f>TMTA!N458</f>
        <v>45.2</v>
      </c>
      <c r="O458">
        <f>ABS(L458-TMTA!$C$34)</f>
        <v>10.519671875065187</v>
      </c>
      <c r="P458">
        <f t="shared" si="8"/>
        <v>45.2</v>
      </c>
    </row>
    <row r="459" spans="10:16">
      <c r="J459" s="5"/>
      <c r="L459">
        <f>TMTA!M459</f>
        <v>-0.14858363999999999</v>
      </c>
      <c r="M459">
        <f>TMTA!N459</f>
        <v>45.3</v>
      </c>
      <c r="O459">
        <f>ABS(L459-TMTA!$C$34)</f>
        <v>10.519481755065188</v>
      </c>
      <c r="P459">
        <f t="shared" si="8"/>
        <v>45.3</v>
      </c>
    </row>
    <row r="460" spans="10:16">
      <c r="J460" s="5"/>
      <c r="L460">
        <f>TMTA!M460</f>
        <v>-0.14839352</v>
      </c>
      <c r="M460">
        <f>TMTA!N460</f>
        <v>45.4</v>
      </c>
      <c r="O460">
        <f>ABS(L460-TMTA!$C$34)</f>
        <v>10.519291635065189</v>
      </c>
      <c r="P460">
        <f t="shared" si="8"/>
        <v>45.4</v>
      </c>
    </row>
    <row r="461" spans="10:16">
      <c r="J461" s="5"/>
      <c r="L461">
        <f>TMTA!M461</f>
        <v>-0.14193220000000001</v>
      </c>
      <c r="M461">
        <f>TMTA!N461</f>
        <v>45.5</v>
      </c>
      <c r="O461">
        <f>ABS(L461-TMTA!$C$34)</f>
        <v>10.512830315065187</v>
      </c>
      <c r="P461">
        <f t="shared" si="8"/>
        <v>45.5</v>
      </c>
    </row>
    <row r="462" spans="10:16">
      <c r="J462" s="5"/>
      <c r="L462">
        <f>TMTA!M462</f>
        <v>-0.13491344</v>
      </c>
      <c r="M462">
        <f>TMTA!N462</f>
        <v>45.6</v>
      </c>
      <c r="O462">
        <f>ABS(L462-TMTA!$C$34)</f>
        <v>10.505811555065188</v>
      </c>
      <c r="P462">
        <f t="shared" si="8"/>
        <v>45.6</v>
      </c>
    </row>
    <row r="463" spans="10:16">
      <c r="J463" s="5"/>
      <c r="L463">
        <f>TMTA!M463</f>
        <v>-0.130335336</v>
      </c>
      <c r="M463">
        <f>TMTA!N463</f>
        <v>45.7</v>
      </c>
      <c r="O463">
        <f>ABS(L463-TMTA!$C$34)</f>
        <v>10.501233451065188</v>
      </c>
      <c r="P463">
        <f t="shared" si="8"/>
        <v>45.7</v>
      </c>
    </row>
    <row r="464" spans="10:16">
      <c r="J464" s="5"/>
      <c r="L464">
        <f>TMTA!M464</f>
        <v>-0.12996058399999999</v>
      </c>
      <c r="M464">
        <f>TMTA!N464</f>
        <v>45.8</v>
      </c>
      <c r="O464">
        <f>ABS(L464-TMTA!$C$34)</f>
        <v>10.500858699065187</v>
      </c>
      <c r="P464">
        <f t="shared" si="8"/>
        <v>45.8</v>
      </c>
    </row>
    <row r="465" spans="10:16">
      <c r="J465" s="5"/>
      <c r="L465">
        <f>TMTA!M465</f>
        <v>-0.12958583200000001</v>
      </c>
      <c r="M465">
        <f>TMTA!N465</f>
        <v>45.9</v>
      </c>
      <c r="O465">
        <f>ABS(L465-TMTA!$C$34)</f>
        <v>10.500483947065188</v>
      </c>
      <c r="P465">
        <f t="shared" si="8"/>
        <v>45.9</v>
      </c>
    </row>
    <row r="466" spans="10:16">
      <c r="J466" s="5"/>
      <c r="L466">
        <f>TMTA!M466</f>
        <v>-0.12704180000000001</v>
      </c>
      <c r="M466">
        <f>TMTA!N466</f>
        <v>46</v>
      </c>
      <c r="O466">
        <f>ABS(L466-TMTA!$C$34)</f>
        <v>10.497939915065189</v>
      </c>
      <c r="P466">
        <f t="shared" si="8"/>
        <v>46</v>
      </c>
    </row>
    <row r="467" spans="10:16">
      <c r="J467" s="5"/>
      <c r="L467">
        <f>TMTA!M467</f>
        <v>-0.12400968</v>
      </c>
      <c r="M467">
        <f>TMTA!N467</f>
        <v>46.1</v>
      </c>
      <c r="O467">
        <f>ABS(L467-TMTA!$C$34)</f>
        <v>10.494907795065188</v>
      </c>
      <c r="P467">
        <f t="shared" si="8"/>
        <v>46.1</v>
      </c>
    </row>
    <row r="468" spans="10:16">
      <c r="J468" s="5"/>
      <c r="L468">
        <f>TMTA!M468</f>
        <v>-0.119535184</v>
      </c>
      <c r="M468">
        <f>TMTA!N468</f>
        <v>46.2</v>
      </c>
      <c r="O468">
        <f>ABS(L468-TMTA!$C$34)</f>
        <v>10.490433299065188</v>
      </c>
      <c r="P468">
        <f t="shared" si="8"/>
        <v>46.2</v>
      </c>
    </row>
    <row r="469" spans="10:16">
      <c r="J469" s="5"/>
      <c r="L469">
        <f>TMTA!M469</f>
        <v>-0.111066416</v>
      </c>
      <c r="M469">
        <f>TMTA!N469</f>
        <v>46.3</v>
      </c>
      <c r="O469">
        <f>ABS(L469-TMTA!$C$34)</f>
        <v>10.481964531065188</v>
      </c>
      <c r="P469">
        <f t="shared" si="8"/>
        <v>46.3</v>
      </c>
    </row>
    <row r="470" spans="10:16">
      <c r="J470" s="5"/>
      <c r="L470">
        <f>TMTA!M470</f>
        <v>-0.102597648</v>
      </c>
      <c r="M470">
        <f>TMTA!N470</f>
        <v>46.4</v>
      </c>
      <c r="O470">
        <f>ABS(L470-TMTA!$C$34)</f>
        <v>10.473495763065188</v>
      </c>
      <c r="P470">
        <f t="shared" si="8"/>
        <v>46.4</v>
      </c>
    </row>
    <row r="471" spans="10:16">
      <c r="J471" s="5"/>
      <c r="L471">
        <f>TMTA!M471</f>
        <v>-9.9449720000000005E-2</v>
      </c>
      <c r="M471">
        <f>TMTA!N471</f>
        <v>46.5</v>
      </c>
      <c r="O471">
        <f>ABS(L471-TMTA!$C$34)</f>
        <v>10.470347835065189</v>
      </c>
      <c r="P471">
        <f t="shared" si="8"/>
        <v>46.5</v>
      </c>
    </row>
    <row r="472" spans="10:16">
      <c r="J472" s="5"/>
      <c r="L472">
        <f>TMTA!M472</f>
        <v>-9.8430128000000006E-2</v>
      </c>
      <c r="M472">
        <f>TMTA!N472</f>
        <v>46.6</v>
      </c>
      <c r="O472">
        <f>ABS(L472-TMTA!$C$34)</f>
        <v>10.469328243065188</v>
      </c>
      <c r="P472">
        <f t="shared" si="8"/>
        <v>46.6</v>
      </c>
    </row>
    <row r="473" spans="10:16">
      <c r="J473" s="5"/>
      <c r="L473">
        <f>TMTA!M473</f>
        <v>-9.7543656000000006E-2</v>
      </c>
      <c r="M473">
        <f>TMTA!N473</f>
        <v>46.7</v>
      </c>
      <c r="O473">
        <f>ABS(L473-TMTA!$C$34)</f>
        <v>10.468441771065187</v>
      </c>
      <c r="P473">
        <f t="shared" si="8"/>
        <v>46.7</v>
      </c>
    </row>
    <row r="474" spans="10:16">
      <c r="J474" s="5"/>
      <c r="L474">
        <f>TMTA!M474</f>
        <v>-9.7339423999999994E-2</v>
      </c>
      <c r="M474">
        <f>TMTA!N474</f>
        <v>46.8</v>
      </c>
      <c r="O474">
        <f>ABS(L474-TMTA!$C$34)</f>
        <v>10.468237539065187</v>
      </c>
      <c r="P474">
        <f t="shared" si="8"/>
        <v>46.8</v>
      </c>
    </row>
    <row r="475" spans="10:16">
      <c r="J475" s="5"/>
      <c r="L475">
        <f>TMTA!M475</f>
        <v>-9.7135191999999995E-2</v>
      </c>
      <c r="M475">
        <f>TMTA!N475</f>
        <v>46.9</v>
      </c>
      <c r="O475">
        <f>ABS(L475-TMTA!$C$34)</f>
        <v>10.468033307065188</v>
      </c>
      <c r="P475">
        <f t="shared" si="8"/>
        <v>46.9</v>
      </c>
    </row>
    <row r="476" spans="10:16">
      <c r="J476" s="5"/>
      <c r="L476">
        <f>TMTA!M476</f>
        <v>-9.4705199999999906E-2</v>
      </c>
      <c r="M476">
        <f>TMTA!N476</f>
        <v>47</v>
      </c>
      <c r="O476">
        <f>ABS(L476-TMTA!$C$34)</f>
        <v>10.465603315065188</v>
      </c>
      <c r="P476">
        <f t="shared" si="8"/>
        <v>47</v>
      </c>
    </row>
    <row r="477" spans="10:16">
      <c r="J477" s="5"/>
      <c r="L477">
        <f>TMTA!M477</f>
        <v>-9.0865559999999998E-2</v>
      </c>
      <c r="M477">
        <f>TMTA!N477</f>
        <v>47.1</v>
      </c>
      <c r="O477">
        <f>ABS(L477-TMTA!$C$34)</f>
        <v>10.461763675065187</v>
      </c>
      <c r="P477">
        <f t="shared" si="8"/>
        <v>47.1</v>
      </c>
    </row>
    <row r="478" spans="10:16">
      <c r="J478" s="5"/>
      <c r="L478">
        <f>TMTA!M478</f>
        <v>-8.7105671999999995E-2</v>
      </c>
      <c r="M478">
        <f>TMTA!N478</f>
        <v>47.2</v>
      </c>
      <c r="O478">
        <f>ABS(L478-TMTA!$C$34)</f>
        <v>10.458003787065188</v>
      </c>
      <c r="P478">
        <f t="shared" si="8"/>
        <v>47.2</v>
      </c>
    </row>
    <row r="479" spans="10:16">
      <c r="J479" s="5"/>
      <c r="L479">
        <f>TMTA!M479</f>
        <v>-8.4568647999999802E-2</v>
      </c>
      <c r="M479">
        <f>TMTA!N479</f>
        <v>47.3</v>
      </c>
      <c r="O479">
        <f>ABS(L479-TMTA!$C$34)</f>
        <v>10.455466763065187</v>
      </c>
      <c r="P479">
        <f t="shared" si="8"/>
        <v>47.3</v>
      </c>
    </row>
    <row r="480" spans="10:16">
      <c r="J480" s="5"/>
      <c r="L480">
        <f>TMTA!M480</f>
        <v>-8.20316239999999E-2</v>
      </c>
      <c r="M480">
        <f>TMTA!N480</f>
        <v>47.4</v>
      </c>
      <c r="O480">
        <f>ABS(L480-TMTA!$C$34)</f>
        <v>10.452929739065189</v>
      </c>
      <c r="P480">
        <f t="shared" si="8"/>
        <v>47.4</v>
      </c>
    </row>
    <row r="481" spans="10:16">
      <c r="J481" s="5"/>
      <c r="L481">
        <f>TMTA!M481</f>
        <v>-7.7359199999999698E-2</v>
      </c>
      <c r="M481">
        <f>TMTA!N481</f>
        <v>47.5</v>
      </c>
      <c r="O481">
        <f>ABS(L481-TMTA!$C$34)</f>
        <v>10.448257315065188</v>
      </c>
      <c r="P481">
        <f t="shared" si="8"/>
        <v>47.5</v>
      </c>
    </row>
    <row r="482" spans="10:16">
      <c r="J482" s="5"/>
      <c r="L482">
        <f>TMTA!M482</f>
        <v>-7.0636791999999796E-2</v>
      </c>
      <c r="M482">
        <f>TMTA!N482</f>
        <v>47.6</v>
      </c>
      <c r="O482">
        <f>ABS(L482-TMTA!$C$34)</f>
        <v>10.441534907065188</v>
      </c>
      <c r="P482">
        <f t="shared" si="8"/>
        <v>47.6</v>
      </c>
    </row>
    <row r="483" spans="10:16">
      <c r="J483" s="5"/>
      <c r="L483">
        <f>TMTA!M483</f>
        <v>-6.3914383999999894E-2</v>
      </c>
      <c r="M483">
        <f>TMTA!N483</f>
        <v>47.7</v>
      </c>
      <c r="O483">
        <f>ABS(L483-TMTA!$C$34)</f>
        <v>10.434812499065188</v>
      </c>
      <c r="P483">
        <f t="shared" si="8"/>
        <v>47.7</v>
      </c>
    </row>
    <row r="484" spans="10:16">
      <c r="J484" s="5"/>
      <c r="L484">
        <f>TMTA!M484</f>
        <v>-6.3640000000000002E-2</v>
      </c>
      <c r="M484">
        <f>TMTA!N484</f>
        <v>47.8</v>
      </c>
      <c r="O484">
        <f>ABS(L484-TMTA!$C$34)</f>
        <v>10.434538115065187</v>
      </c>
      <c r="P484">
        <f t="shared" si="8"/>
        <v>47.8</v>
      </c>
    </row>
    <row r="485" spans="10:16">
      <c r="J485" s="5"/>
      <c r="L485">
        <f>TMTA!M485</f>
        <v>-6.3640000000000002E-2</v>
      </c>
      <c r="M485">
        <f>TMTA!N485</f>
        <v>47.9</v>
      </c>
      <c r="O485">
        <f>ABS(L485-TMTA!$C$34)</f>
        <v>10.434538115065187</v>
      </c>
      <c r="P485">
        <f t="shared" si="8"/>
        <v>47.9</v>
      </c>
    </row>
    <row r="486" spans="10:16">
      <c r="J486" s="5"/>
      <c r="L486">
        <f>TMTA!M486</f>
        <v>-6.3050079999999994E-2</v>
      </c>
      <c r="M486">
        <f>TMTA!N486</f>
        <v>48</v>
      </c>
      <c r="O486">
        <f>ABS(L486-TMTA!$C$34)</f>
        <v>10.433948195065188</v>
      </c>
      <c r="P486">
        <f t="shared" si="8"/>
        <v>48</v>
      </c>
    </row>
    <row r="487" spans="10:16">
      <c r="J487" s="5"/>
      <c r="L487">
        <f>TMTA!M487</f>
        <v>-6.1604776E-2</v>
      </c>
      <c r="M487">
        <f>TMTA!N487</f>
        <v>48.1</v>
      </c>
      <c r="O487">
        <f>ABS(L487-TMTA!$C$34)</f>
        <v>10.432502891065187</v>
      </c>
      <c r="P487">
        <f t="shared" si="8"/>
        <v>48.1</v>
      </c>
    </row>
    <row r="488" spans="10:16">
      <c r="J488" s="5"/>
      <c r="L488">
        <f>TMTA!M488</f>
        <v>-6.0159471999999999E-2</v>
      </c>
      <c r="M488">
        <f>TMTA!N488</f>
        <v>48.2</v>
      </c>
      <c r="O488">
        <f>ABS(L488-TMTA!$C$34)</f>
        <v>10.431057587065188</v>
      </c>
      <c r="P488">
        <f t="shared" si="8"/>
        <v>48.2</v>
      </c>
    </row>
    <row r="489" spans="10:16">
      <c r="J489" s="5"/>
      <c r="L489">
        <f>TMTA!M489</f>
        <v>-5.1073864000000399E-2</v>
      </c>
      <c r="M489">
        <f>TMTA!N489</f>
        <v>48.3</v>
      </c>
      <c r="O489">
        <f>ABS(L489-TMTA!$C$34)</f>
        <v>10.421971979065189</v>
      </c>
      <c r="P489">
        <f t="shared" si="8"/>
        <v>48.3</v>
      </c>
    </row>
    <row r="490" spans="10:16">
      <c r="J490" s="5"/>
      <c r="L490">
        <f>TMTA!M490</f>
        <v>-4.0714871999999798E-2</v>
      </c>
      <c r="M490">
        <f>TMTA!N490</f>
        <v>48.4</v>
      </c>
      <c r="O490">
        <f>ABS(L490-TMTA!$C$34)</f>
        <v>10.411612987065189</v>
      </c>
      <c r="P490">
        <f t="shared" si="8"/>
        <v>48.4</v>
      </c>
    </row>
    <row r="491" spans="10:16">
      <c r="J491" s="5"/>
      <c r="L491">
        <f>TMTA!M491</f>
        <v>-3.2928319999999997E-2</v>
      </c>
      <c r="M491">
        <f>TMTA!N491</f>
        <v>48.5</v>
      </c>
      <c r="O491">
        <f>ABS(L491-TMTA!$C$34)</f>
        <v>10.403826435065188</v>
      </c>
      <c r="P491">
        <f t="shared" si="8"/>
        <v>48.5</v>
      </c>
    </row>
    <row r="492" spans="10:16">
      <c r="J492" s="5"/>
      <c r="L492">
        <f>TMTA!M492</f>
        <v>-3.0972632E-2</v>
      </c>
      <c r="M492">
        <f>TMTA!N492</f>
        <v>48.6</v>
      </c>
      <c r="O492">
        <f>ABS(L492-TMTA!$C$34)</f>
        <v>10.401870747065187</v>
      </c>
      <c r="P492">
        <f t="shared" si="8"/>
        <v>48.6</v>
      </c>
    </row>
    <row r="493" spans="10:16">
      <c r="J493" s="5"/>
      <c r="L493">
        <f>TMTA!M493</f>
        <v>-2.9016943999999999E-2</v>
      </c>
      <c r="M493">
        <f>TMTA!N493</f>
        <v>48.7</v>
      </c>
      <c r="O493">
        <f>ABS(L493-TMTA!$C$34)</f>
        <v>10.399915059065188</v>
      </c>
      <c r="P493">
        <f t="shared" si="8"/>
        <v>48.7</v>
      </c>
    </row>
    <row r="494" spans="10:16">
      <c r="J494" s="5"/>
      <c r="L494">
        <f>TMTA!M494</f>
        <v>-2.8538000000000001E-2</v>
      </c>
      <c r="M494">
        <f>TMTA!N494</f>
        <v>48.8</v>
      </c>
      <c r="O494">
        <f>ABS(L494-TMTA!$C$34)</f>
        <v>10.399436115065187</v>
      </c>
      <c r="P494">
        <f t="shared" si="8"/>
        <v>48.8</v>
      </c>
    </row>
    <row r="495" spans="10:16">
      <c r="J495" s="5"/>
      <c r="L495">
        <f>TMTA!M495</f>
        <v>-2.8538000000000001E-2</v>
      </c>
      <c r="M495">
        <f>TMTA!N495</f>
        <v>48.9</v>
      </c>
      <c r="O495">
        <f>ABS(L495-TMTA!$C$34)</f>
        <v>10.399436115065187</v>
      </c>
      <c r="P495">
        <f t="shared" si="8"/>
        <v>48.9</v>
      </c>
    </row>
    <row r="496" spans="10:16">
      <c r="J496" s="5"/>
      <c r="L496">
        <f>TMTA!M496</f>
        <v>-2.8386000000000002E-2</v>
      </c>
      <c r="M496">
        <f>TMTA!N496</f>
        <v>49</v>
      </c>
      <c r="O496">
        <f>ABS(L496-TMTA!$C$34)</f>
        <v>10.399284115065187</v>
      </c>
      <c r="P496">
        <f t="shared" si="8"/>
        <v>49</v>
      </c>
    </row>
    <row r="497" spans="10:16">
      <c r="J497" s="5"/>
      <c r="L497">
        <f>TMTA!M497</f>
        <v>-2.7641200000000001E-2</v>
      </c>
      <c r="M497">
        <f>TMTA!N497</f>
        <v>49.1</v>
      </c>
      <c r="O497">
        <f>ABS(L497-TMTA!$C$34)</f>
        <v>10.398539315065188</v>
      </c>
      <c r="P497">
        <f t="shared" si="8"/>
        <v>49.1</v>
      </c>
    </row>
    <row r="498" spans="10:16">
      <c r="J498" s="5"/>
      <c r="L498">
        <f>TMTA!M498</f>
        <v>-2.6896400000000001E-2</v>
      </c>
      <c r="M498">
        <f>TMTA!N498</f>
        <v>49.2</v>
      </c>
      <c r="O498">
        <f>ABS(L498-TMTA!$C$34)</f>
        <v>10.397794515065188</v>
      </c>
      <c r="P498">
        <f t="shared" si="8"/>
        <v>49.2</v>
      </c>
    </row>
    <row r="499" spans="10:16">
      <c r="J499" s="5"/>
      <c r="L499">
        <f>TMTA!M499</f>
        <v>-2.6637999999999998E-2</v>
      </c>
      <c r="M499">
        <f>TMTA!N499</f>
        <v>49.3</v>
      </c>
      <c r="O499">
        <f>ABS(L499-TMTA!$C$34)</f>
        <v>10.397536115065188</v>
      </c>
      <c r="P499">
        <f t="shared" si="8"/>
        <v>49.3</v>
      </c>
    </row>
    <row r="500" spans="10:16">
      <c r="J500" s="5"/>
      <c r="L500">
        <f>TMTA!M500</f>
        <v>-2.6637999999999998E-2</v>
      </c>
      <c r="M500">
        <f>TMTA!N500</f>
        <v>49.4</v>
      </c>
      <c r="O500">
        <f>ABS(L500-TMTA!$C$34)</f>
        <v>10.397536115065188</v>
      </c>
      <c r="P500">
        <f t="shared" si="8"/>
        <v>49.4</v>
      </c>
    </row>
    <row r="501" spans="10:16">
      <c r="J501" s="5"/>
      <c r="L501">
        <f>TMTA!M501</f>
        <v>-2.662024E-2</v>
      </c>
      <c r="M501">
        <f>TMTA!N501</f>
        <v>49.5</v>
      </c>
      <c r="O501">
        <f>ABS(L501-TMTA!$C$34)</f>
        <v>10.397518355065188</v>
      </c>
      <c r="P501">
        <f t="shared" si="8"/>
        <v>49.5</v>
      </c>
    </row>
    <row r="502" spans="10:16">
      <c r="J502" s="5"/>
      <c r="L502">
        <f>TMTA!M502</f>
        <v>-2.6446192E-2</v>
      </c>
      <c r="M502">
        <f>TMTA!N502</f>
        <v>49.6</v>
      </c>
      <c r="O502">
        <f>ABS(L502-TMTA!$C$34)</f>
        <v>10.397344307065188</v>
      </c>
      <c r="P502">
        <f t="shared" si="8"/>
        <v>49.6</v>
      </c>
    </row>
    <row r="503" spans="10:16">
      <c r="J503" s="5"/>
      <c r="L503">
        <f>TMTA!M503</f>
        <v>-2.6272144000000001E-2</v>
      </c>
      <c r="M503">
        <f>TMTA!N503</f>
        <v>49.7</v>
      </c>
      <c r="O503">
        <f>ABS(L503-TMTA!$C$34)</f>
        <v>10.397170259065188</v>
      </c>
      <c r="P503">
        <f t="shared" si="8"/>
        <v>49.7</v>
      </c>
    </row>
    <row r="504" spans="10:16">
      <c r="J504" s="5"/>
      <c r="L504">
        <f>TMTA!M504</f>
        <v>-2.40717999999999E-2</v>
      </c>
      <c r="M504">
        <f>TMTA!N504</f>
        <v>49.8</v>
      </c>
      <c r="O504">
        <f>ABS(L504-TMTA!$C$34)</f>
        <v>10.394969915065188</v>
      </c>
      <c r="P504">
        <f t="shared" si="8"/>
        <v>49.8</v>
      </c>
    </row>
    <row r="505" spans="10:16">
      <c r="J505" s="5"/>
      <c r="L505">
        <f>TMTA!M505</f>
        <v>-2.0220399999999999E-2</v>
      </c>
      <c r="M505">
        <f>TMTA!N505</f>
        <v>49.9</v>
      </c>
      <c r="O505">
        <f>ABS(L505-TMTA!$C$34)</f>
        <v>10.391118515065187</v>
      </c>
      <c r="P505">
        <f t="shared" si="8"/>
        <v>49.9</v>
      </c>
    </row>
    <row r="506" spans="10:16">
      <c r="J506" s="5"/>
      <c r="L506">
        <f>TMTA!M506</f>
        <v>-1.6369000000000002E-2</v>
      </c>
      <c r="M506">
        <f>TMTA!N506</f>
        <v>50</v>
      </c>
      <c r="O506">
        <f>ABS(L506-TMTA!$C$34)</f>
        <v>10.387267115065187</v>
      </c>
      <c r="P506">
        <f t="shared" si="8"/>
        <v>50</v>
      </c>
    </row>
    <row r="507" spans="10:16">
      <c r="J507" s="5"/>
      <c r="L507">
        <f>TMTA!M507</f>
        <v>-1.5040120000000001E-2</v>
      </c>
      <c r="M507">
        <f>TMTA!N507</f>
        <v>50.1</v>
      </c>
      <c r="O507">
        <f>ABS(L507-TMTA!$C$34)</f>
        <v>10.385938235065188</v>
      </c>
      <c r="P507">
        <f t="shared" si="8"/>
        <v>50.1</v>
      </c>
    </row>
    <row r="508" spans="10:16">
      <c r="J508" s="5"/>
      <c r="L508">
        <f>TMTA!M508</f>
        <v>-1.371124E-2</v>
      </c>
      <c r="M508">
        <f>TMTA!N508</f>
        <v>50.2</v>
      </c>
      <c r="O508">
        <f>ABS(L508-TMTA!$C$34)</f>
        <v>10.384609355065187</v>
      </c>
      <c r="P508">
        <f t="shared" si="8"/>
        <v>50.2</v>
      </c>
    </row>
    <row r="509" spans="10:16">
      <c r="J509" s="5"/>
      <c r="L509">
        <f>TMTA!M509</f>
        <v>-1.2978999999999999E-2</v>
      </c>
      <c r="M509">
        <f>TMTA!N509</f>
        <v>50.3</v>
      </c>
      <c r="O509">
        <f>ABS(L509-TMTA!$C$34)</f>
        <v>10.383877115065188</v>
      </c>
      <c r="P509">
        <f t="shared" si="8"/>
        <v>50.3</v>
      </c>
    </row>
    <row r="510" spans="10:16">
      <c r="J510" s="5"/>
      <c r="L510">
        <f>TMTA!M510</f>
        <v>-1.2978999999999999E-2</v>
      </c>
      <c r="M510">
        <f>TMTA!N510</f>
        <v>50.4</v>
      </c>
      <c r="O510">
        <f>ABS(L510-TMTA!$C$34)</f>
        <v>10.383877115065188</v>
      </c>
      <c r="P510">
        <f t="shared" si="8"/>
        <v>50.4</v>
      </c>
    </row>
    <row r="511" spans="10:16">
      <c r="J511" s="5"/>
      <c r="L511">
        <f>TMTA!M511</f>
        <v>-1.2978999999999999E-2</v>
      </c>
      <c r="M511">
        <f>TMTA!N511</f>
        <v>50.5</v>
      </c>
      <c r="O511">
        <f>ABS(L511-TMTA!$C$34)</f>
        <v>10.383877115065188</v>
      </c>
      <c r="P511">
        <f t="shared" si="8"/>
        <v>50.5</v>
      </c>
    </row>
    <row r="512" spans="10:16">
      <c r="J512" s="5"/>
      <c r="L512">
        <f>TMTA!M512</f>
        <v>-1.2781880000000001E-2</v>
      </c>
      <c r="M512">
        <f>TMTA!N512</f>
        <v>50.6</v>
      </c>
      <c r="O512">
        <f>ABS(L512-TMTA!$C$34)</f>
        <v>10.383679995065188</v>
      </c>
      <c r="P512">
        <f t="shared" si="8"/>
        <v>50.6</v>
      </c>
    </row>
    <row r="513" spans="10:16">
      <c r="J513" s="5"/>
      <c r="L513">
        <f>TMTA!M513</f>
        <v>-1.256236E-2</v>
      </c>
      <c r="M513">
        <f>TMTA!N513</f>
        <v>50.7</v>
      </c>
      <c r="O513">
        <f>ABS(L513-TMTA!$C$34)</f>
        <v>10.383460475065188</v>
      </c>
      <c r="P513">
        <f t="shared" si="8"/>
        <v>50.7</v>
      </c>
    </row>
    <row r="514" spans="10:16">
      <c r="J514" s="5"/>
      <c r="L514">
        <f>TMTA!M514</f>
        <v>-1.1956872E-2</v>
      </c>
      <c r="M514">
        <f>TMTA!N514</f>
        <v>50.8</v>
      </c>
      <c r="O514">
        <f>ABS(L514-TMTA!$C$34)</f>
        <v>10.382854987065189</v>
      </c>
      <c r="P514">
        <f t="shared" si="8"/>
        <v>50.8</v>
      </c>
    </row>
    <row r="515" spans="10:16">
      <c r="J515" s="5"/>
      <c r="L515">
        <f>TMTA!M515</f>
        <v>-1.0624856E-2</v>
      </c>
      <c r="M515">
        <f>TMTA!N515</f>
        <v>50.9</v>
      </c>
      <c r="O515">
        <f>ABS(L515-TMTA!$C$34)</f>
        <v>10.381522971065188</v>
      </c>
      <c r="P515">
        <f t="shared" si="8"/>
        <v>50.9</v>
      </c>
    </row>
    <row r="516" spans="10:16">
      <c r="J516" s="5"/>
      <c r="L516">
        <f>TMTA!M516</f>
        <v>-9.2928399999999394E-3</v>
      </c>
      <c r="M516">
        <f>TMTA!N516</f>
        <v>51</v>
      </c>
      <c r="O516">
        <f>ABS(L516-TMTA!$C$34)</f>
        <v>10.380190955065189</v>
      </c>
      <c r="P516">
        <f t="shared" si="8"/>
        <v>51</v>
      </c>
    </row>
    <row r="517" spans="10:16">
      <c r="J517" s="5"/>
      <c r="L517">
        <f>TMTA!M517</f>
        <v>-8.8556399999999893E-3</v>
      </c>
      <c r="M517">
        <f>TMTA!N517</f>
        <v>51.1</v>
      </c>
      <c r="O517">
        <f>ABS(L517-TMTA!$C$34)</f>
        <v>10.379753755065188</v>
      </c>
      <c r="P517">
        <f t="shared" si="8"/>
        <v>51.1</v>
      </c>
    </row>
    <row r="518" spans="10:16">
      <c r="J518" s="5"/>
      <c r="L518">
        <f>TMTA!M518</f>
        <v>-8.6478800000000002E-3</v>
      </c>
      <c r="M518">
        <f>TMTA!N518</f>
        <v>51.2</v>
      </c>
      <c r="O518">
        <f>ABS(L518-TMTA!$C$34)</f>
        <v>10.379545995065188</v>
      </c>
      <c r="P518">
        <f t="shared" si="8"/>
        <v>51.2</v>
      </c>
    </row>
    <row r="519" spans="10:16">
      <c r="J519" s="5"/>
      <c r="L519">
        <f>TMTA!M519</f>
        <v>-3.6616239999998201E-3</v>
      </c>
      <c r="M519">
        <f>TMTA!N519</f>
        <v>51.3</v>
      </c>
      <c r="O519">
        <f>ABS(L519-TMTA!$C$34)</f>
        <v>10.374559739065187</v>
      </c>
      <c r="P519">
        <f t="shared" ref="P519:P582" si="9">M519</f>
        <v>51.3</v>
      </c>
    </row>
    <row r="520" spans="10:16">
      <c r="J520" s="5"/>
      <c r="L520">
        <f>TMTA!M520</f>
        <v>1.6058328E-2</v>
      </c>
      <c r="M520">
        <f>TMTA!N520</f>
        <v>51.4</v>
      </c>
      <c r="O520">
        <f>ABS(L520-TMTA!$C$34)</f>
        <v>10.354839787065188</v>
      </c>
      <c r="P520">
        <f t="shared" si="9"/>
        <v>51.4</v>
      </c>
    </row>
    <row r="521" spans="10:16">
      <c r="J521" s="5"/>
      <c r="L521">
        <f>TMTA!M521</f>
        <v>3.5778279999999801E-2</v>
      </c>
      <c r="M521">
        <f>TMTA!N521</f>
        <v>51.5</v>
      </c>
      <c r="O521">
        <f>ABS(L521-TMTA!$C$34)</f>
        <v>10.335119835065187</v>
      </c>
      <c r="P521">
        <f t="shared" si="9"/>
        <v>51.5</v>
      </c>
    </row>
    <row r="522" spans="10:16">
      <c r="J522" s="5"/>
      <c r="L522">
        <f>TMTA!M522</f>
        <v>4.2052456000000002E-2</v>
      </c>
      <c r="M522">
        <f>TMTA!N522</f>
        <v>51.6</v>
      </c>
      <c r="O522">
        <f>ABS(L522-TMTA!$C$34)</f>
        <v>10.328845659065188</v>
      </c>
      <c r="P522">
        <f t="shared" si="9"/>
        <v>51.6</v>
      </c>
    </row>
    <row r="523" spans="10:16">
      <c r="J523" s="5"/>
      <c r="L523">
        <f>TMTA!M523</f>
        <v>4.2394672000000001E-2</v>
      </c>
      <c r="M523">
        <f>TMTA!N523</f>
        <v>51.7</v>
      </c>
      <c r="O523">
        <f>ABS(L523-TMTA!$C$34)</f>
        <v>10.328503443065188</v>
      </c>
      <c r="P523">
        <f t="shared" si="9"/>
        <v>51.7</v>
      </c>
    </row>
    <row r="524" spans="10:16">
      <c r="J524" s="5"/>
      <c r="L524">
        <f>TMTA!M524</f>
        <v>4.3031728000000102E-2</v>
      </c>
      <c r="M524">
        <f>TMTA!N524</f>
        <v>51.8</v>
      </c>
      <c r="O524">
        <f>ABS(L524-TMTA!$C$34)</f>
        <v>10.327866387065187</v>
      </c>
      <c r="P524">
        <f t="shared" si="9"/>
        <v>51.8</v>
      </c>
    </row>
    <row r="525" spans="10:16">
      <c r="J525" s="5"/>
      <c r="L525">
        <f>TMTA!M525</f>
        <v>4.5437824000000002E-2</v>
      </c>
      <c r="M525">
        <f>TMTA!N525</f>
        <v>51.9</v>
      </c>
      <c r="O525">
        <f>ABS(L525-TMTA!$C$34)</f>
        <v>10.325460291065188</v>
      </c>
      <c r="P525">
        <f t="shared" si="9"/>
        <v>51.9</v>
      </c>
    </row>
    <row r="526" spans="10:16">
      <c r="J526" s="5"/>
      <c r="L526">
        <f>TMTA!M526</f>
        <v>4.7843919999999998E-2</v>
      </c>
      <c r="M526">
        <f>TMTA!N526</f>
        <v>52</v>
      </c>
      <c r="O526">
        <f>ABS(L526-TMTA!$C$34)</f>
        <v>10.323054195065188</v>
      </c>
      <c r="P526">
        <f t="shared" si="9"/>
        <v>52</v>
      </c>
    </row>
    <row r="527" spans="10:16">
      <c r="J527" s="5"/>
      <c r="L527">
        <f>TMTA!M527</f>
        <v>4.9673728E-2</v>
      </c>
      <c r="M527">
        <f>TMTA!N527</f>
        <v>52.1</v>
      </c>
      <c r="O527">
        <f>ABS(L527-TMTA!$C$34)</f>
        <v>10.321224387065188</v>
      </c>
      <c r="P527">
        <f t="shared" si="9"/>
        <v>52.1</v>
      </c>
    </row>
    <row r="528" spans="10:16">
      <c r="J528" s="5"/>
      <c r="L528">
        <f>TMTA!M528</f>
        <v>5.1106095999999997E-2</v>
      </c>
      <c r="M528">
        <f>TMTA!N528</f>
        <v>52.2</v>
      </c>
      <c r="O528">
        <f>ABS(L528-TMTA!$C$34)</f>
        <v>10.319792019065188</v>
      </c>
      <c r="P528">
        <f t="shared" si="9"/>
        <v>52.2</v>
      </c>
    </row>
    <row r="529" spans="10:16">
      <c r="J529" s="5"/>
      <c r="L529">
        <f>TMTA!M529</f>
        <v>5.2501312000000001E-2</v>
      </c>
      <c r="M529">
        <f>TMTA!N529</f>
        <v>52.3</v>
      </c>
      <c r="O529">
        <f>ABS(L529-TMTA!$C$34)</f>
        <v>10.318396803065188</v>
      </c>
      <c r="P529">
        <f t="shared" si="9"/>
        <v>52.3</v>
      </c>
    </row>
    <row r="530" spans="10:16">
      <c r="J530" s="5"/>
      <c r="L530">
        <f>TMTA!M530</f>
        <v>5.3023455999999997E-2</v>
      </c>
      <c r="M530">
        <f>TMTA!N530</f>
        <v>52.4</v>
      </c>
      <c r="O530">
        <f>ABS(L530-TMTA!$C$34)</f>
        <v>10.317874659065188</v>
      </c>
      <c r="P530">
        <f t="shared" si="9"/>
        <v>52.4</v>
      </c>
    </row>
    <row r="531" spans="10:16">
      <c r="J531" s="5"/>
      <c r="L531">
        <f>TMTA!M531</f>
        <v>5.3545599999999999E-2</v>
      </c>
      <c r="M531">
        <f>TMTA!N531</f>
        <v>52.5</v>
      </c>
      <c r="O531">
        <f>ABS(L531-TMTA!$C$34)</f>
        <v>10.317352515065188</v>
      </c>
      <c r="P531">
        <f t="shared" si="9"/>
        <v>52.5</v>
      </c>
    </row>
    <row r="532" spans="10:16">
      <c r="J532" s="5"/>
      <c r="L532">
        <f>TMTA!M532</f>
        <v>5.6127328000000101E-2</v>
      </c>
      <c r="M532">
        <f>TMTA!N532</f>
        <v>52.6</v>
      </c>
      <c r="O532">
        <f>ABS(L532-TMTA!$C$34)</f>
        <v>10.314770787065187</v>
      </c>
      <c r="P532">
        <f t="shared" si="9"/>
        <v>52.6</v>
      </c>
    </row>
    <row r="533" spans="10:16">
      <c r="J533" s="5"/>
      <c r="L533">
        <f>TMTA!M533</f>
        <v>6.0854456000000001E-2</v>
      </c>
      <c r="M533">
        <f>TMTA!N533</f>
        <v>52.7</v>
      </c>
      <c r="O533">
        <f>ABS(L533-TMTA!$C$34)</f>
        <v>10.310043659065188</v>
      </c>
      <c r="P533">
        <f t="shared" si="9"/>
        <v>52.7</v>
      </c>
    </row>
    <row r="534" spans="10:16">
      <c r="J534" s="5"/>
      <c r="L534">
        <f>TMTA!M534</f>
        <v>6.5581583999999998E-2</v>
      </c>
      <c r="M534">
        <f>TMTA!N534</f>
        <v>52.8</v>
      </c>
      <c r="O534">
        <f>ABS(L534-TMTA!$C$34)</f>
        <v>10.305316531065188</v>
      </c>
      <c r="P534">
        <f t="shared" si="9"/>
        <v>52.8</v>
      </c>
    </row>
    <row r="535" spans="10:16">
      <c r="J535" s="5"/>
      <c r="L535">
        <f>TMTA!M535</f>
        <v>6.6177912000000005E-2</v>
      </c>
      <c r="M535">
        <f>TMTA!N535</f>
        <v>52.9</v>
      </c>
      <c r="O535">
        <f>ABS(L535-TMTA!$C$34)</f>
        <v>10.304720203065187</v>
      </c>
      <c r="P535">
        <f t="shared" si="9"/>
        <v>52.9</v>
      </c>
    </row>
    <row r="536" spans="10:16">
      <c r="J536" s="5"/>
      <c r="L536">
        <f>TMTA!M536</f>
        <v>6.6504839999999996E-2</v>
      </c>
      <c r="M536">
        <f>TMTA!N536</f>
        <v>53</v>
      </c>
      <c r="O536">
        <f>ABS(L536-TMTA!$C$34)</f>
        <v>10.304393275065188</v>
      </c>
      <c r="P536">
        <f t="shared" si="9"/>
        <v>53</v>
      </c>
    </row>
    <row r="537" spans="10:16">
      <c r="J537" s="5"/>
      <c r="L537">
        <f>TMTA!M537</f>
        <v>6.8135016000000104E-2</v>
      </c>
      <c r="M537">
        <f>TMTA!N537</f>
        <v>53.1</v>
      </c>
      <c r="O537">
        <f>ABS(L537-TMTA!$C$34)</f>
        <v>10.302763099065189</v>
      </c>
      <c r="P537">
        <f t="shared" si="9"/>
        <v>53.1</v>
      </c>
    </row>
    <row r="538" spans="10:16">
      <c r="J538" s="5"/>
      <c r="L538">
        <f>TMTA!M538</f>
        <v>7.1822952000000106E-2</v>
      </c>
      <c r="M538">
        <f>TMTA!N538</f>
        <v>53.2</v>
      </c>
      <c r="O538">
        <f>ABS(L538-TMTA!$C$34)</f>
        <v>10.299075163065188</v>
      </c>
      <c r="P538">
        <f t="shared" si="9"/>
        <v>53.2</v>
      </c>
    </row>
    <row r="539" spans="10:16">
      <c r="J539" s="5"/>
      <c r="L539">
        <f>TMTA!M539</f>
        <v>7.5510888000000095E-2</v>
      </c>
      <c r="M539">
        <f>TMTA!N539</f>
        <v>53.3</v>
      </c>
      <c r="O539">
        <f>ABS(L539-TMTA!$C$34)</f>
        <v>10.295387227065188</v>
      </c>
      <c r="P539">
        <f t="shared" si="9"/>
        <v>53.3</v>
      </c>
    </row>
    <row r="540" spans="10:16">
      <c r="J540" s="5"/>
      <c r="L540">
        <f>TMTA!M540</f>
        <v>7.6113E-2</v>
      </c>
      <c r="M540">
        <f>TMTA!N540</f>
        <v>53.4</v>
      </c>
      <c r="O540">
        <f>ABS(L540-TMTA!$C$34)</f>
        <v>10.294785115065189</v>
      </c>
      <c r="P540">
        <f t="shared" si="9"/>
        <v>53.4</v>
      </c>
    </row>
    <row r="541" spans="10:16">
      <c r="J541" s="5"/>
      <c r="L541">
        <f>TMTA!M541</f>
        <v>7.6113E-2</v>
      </c>
      <c r="M541">
        <f>TMTA!N541</f>
        <v>53.5</v>
      </c>
      <c r="O541">
        <f>ABS(L541-TMTA!$C$34)</f>
        <v>10.294785115065189</v>
      </c>
      <c r="P541">
        <f t="shared" si="9"/>
        <v>53.5</v>
      </c>
    </row>
    <row r="542" spans="10:16">
      <c r="J542" s="5"/>
      <c r="L542">
        <f>TMTA!M542</f>
        <v>7.7518936000000302E-2</v>
      </c>
      <c r="M542">
        <f>TMTA!N542</f>
        <v>53.6</v>
      </c>
      <c r="O542">
        <f>ABS(L542-TMTA!$C$34)</f>
        <v>10.293379179065187</v>
      </c>
      <c r="P542">
        <f t="shared" si="9"/>
        <v>53.6</v>
      </c>
    </row>
    <row r="543" spans="10:16">
      <c r="J543" s="5"/>
      <c r="L543">
        <f>TMTA!M543</f>
        <v>8.2439712000000206E-2</v>
      </c>
      <c r="M543">
        <f>TMTA!N543</f>
        <v>53.7</v>
      </c>
      <c r="O543">
        <f>ABS(L543-TMTA!$C$34)</f>
        <v>10.288458403065189</v>
      </c>
      <c r="P543">
        <f t="shared" si="9"/>
        <v>53.7</v>
      </c>
    </row>
    <row r="544" spans="10:16">
      <c r="J544" s="5"/>
      <c r="L544">
        <f>TMTA!M544</f>
        <v>8.7360488000000194E-2</v>
      </c>
      <c r="M544">
        <f>TMTA!N544</f>
        <v>53.8</v>
      </c>
      <c r="O544">
        <f>ABS(L544-TMTA!$C$34)</f>
        <v>10.283537627065188</v>
      </c>
      <c r="P544">
        <f t="shared" si="9"/>
        <v>53.8</v>
      </c>
    </row>
    <row r="545" spans="10:16">
      <c r="J545" s="5"/>
      <c r="L545">
        <f>TMTA!M545</f>
        <v>8.8818928000000005E-2</v>
      </c>
      <c r="M545">
        <f>TMTA!N545</f>
        <v>53.9</v>
      </c>
      <c r="O545">
        <f>ABS(L545-TMTA!$C$34)</f>
        <v>10.282079187065188</v>
      </c>
      <c r="P545">
        <f t="shared" si="9"/>
        <v>53.9</v>
      </c>
    </row>
    <row r="546" spans="10:16">
      <c r="J546" s="5"/>
      <c r="L546">
        <f>TMTA!M546</f>
        <v>8.9027079999999995E-2</v>
      </c>
      <c r="M546">
        <f>TMTA!N546</f>
        <v>54</v>
      </c>
      <c r="O546">
        <f>ABS(L546-TMTA!$C$34)</f>
        <v>10.281871035065189</v>
      </c>
      <c r="P546">
        <f t="shared" si="9"/>
        <v>54</v>
      </c>
    </row>
    <row r="547" spans="10:16">
      <c r="J547" s="5"/>
      <c r="L547">
        <f>TMTA!M547</f>
        <v>8.9279512000000005E-2</v>
      </c>
      <c r="M547">
        <f>TMTA!N547</f>
        <v>54.1</v>
      </c>
      <c r="O547">
        <f>ABS(L547-TMTA!$C$34)</f>
        <v>10.281618603065189</v>
      </c>
      <c r="P547">
        <f t="shared" si="9"/>
        <v>54.1</v>
      </c>
    </row>
    <row r="548" spans="10:16">
      <c r="J548" s="5"/>
      <c r="L548">
        <f>TMTA!M548</f>
        <v>8.9728743999999999E-2</v>
      </c>
      <c r="M548">
        <f>TMTA!N548</f>
        <v>54.2</v>
      </c>
      <c r="O548">
        <f>ABS(L548-TMTA!$C$34)</f>
        <v>10.281169371065188</v>
      </c>
      <c r="P548">
        <f t="shared" si="9"/>
        <v>54.2</v>
      </c>
    </row>
    <row r="549" spans="10:16">
      <c r="J549" s="5"/>
      <c r="L549">
        <f>TMTA!M549</f>
        <v>9.0177976000000007E-2</v>
      </c>
      <c r="M549">
        <f>TMTA!N549</f>
        <v>54.3</v>
      </c>
      <c r="O549">
        <f>ABS(L549-TMTA!$C$34)</f>
        <v>10.280720139065188</v>
      </c>
      <c r="P549">
        <f t="shared" si="9"/>
        <v>54.3</v>
      </c>
    </row>
    <row r="550" spans="10:16">
      <c r="J550" s="5"/>
      <c r="L550">
        <f>TMTA!M550</f>
        <v>9.0403512000000005E-2</v>
      </c>
      <c r="M550">
        <f>TMTA!N550</f>
        <v>54.4</v>
      </c>
      <c r="O550">
        <f>ABS(L550-TMTA!$C$34)</f>
        <v>10.280494603065188</v>
      </c>
      <c r="P550">
        <f t="shared" si="9"/>
        <v>54.4</v>
      </c>
    </row>
    <row r="551" spans="10:16">
      <c r="J551" s="5"/>
      <c r="L551">
        <f>TMTA!M551</f>
        <v>9.0499159999999995E-2</v>
      </c>
      <c r="M551">
        <f>TMTA!N551</f>
        <v>54.5</v>
      </c>
      <c r="O551">
        <f>ABS(L551-TMTA!$C$34)</f>
        <v>10.280398955065188</v>
      </c>
      <c r="P551">
        <f t="shared" si="9"/>
        <v>54.5</v>
      </c>
    </row>
    <row r="552" spans="10:16">
      <c r="J552" s="5"/>
      <c r="L552">
        <f>TMTA!M552</f>
        <v>9.0889592000000102E-2</v>
      </c>
      <c r="M552">
        <f>TMTA!N552</f>
        <v>54.6</v>
      </c>
      <c r="O552">
        <f>ABS(L552-TMTA!$C$34)</f>
        <v>10.280008523065188</v>
      </c>
      <c r="P552">
        <f t="shared" si="9"/>
        <v>54.6</v>
      </c>
    </row>
    <row r="553" spans="10:16">
      <c r="J553" s="5"/>
      <c r="L553">
        <f>TMTA!M553</f>
        <v>9.4596344000000096E-2</v>
      </c>
      <c r="M553">
        <f>TMTA!N553</f>
        <v>54.7</v>
      </c>
      <c r="O553">
        <f>ABS(L553-TMTA!$C$34)</f>
        <v>10.276301771065189</v>
      </c>
      <c r="P553">
        <f t="shared" si="9"/>
        <v>54.7</v>
      </c>
    </row>
    <row r="554" spans="10:16">
      <c r="J554" s="5"/>
      <c r="L554">
        <f>TMTA!M554</f>
        <v>9.8303096000000298E-2</v>
      </c>
      <c r="M554">
        <f>TMTA!N554</f>
        <v>54.8</v>
      </c>
      <c r="O554">
        <f>ABS(L554-TMTA!$C$34)</f>
        <v>10.272595019065188</v>
      </c>
      <c r="P554">
        <f t="shared" si="9"/>
        <v>54.8</v>
      </c>
    </row>
    <row r="555" spans="10:16">
      <c r="J555" s="5"/>
      <c r="L555">
        <f>TMTA!M555</f>
        <v>0.100824872</v>
      </c>
      <c r="M555">
        <f>TMTA!N555</f>
        <v>54.9</v>
      </c>
      <c r="O555">
        <f>ABS(L555-TMTA!$C$34)</f>
        <v>10.270073243065188</v>
      </c>
      <c r="P555">
        <f t="shared" si="9"/>
        <v>54.9</v>
      </c>
    </row>
    <row r="556" spans="10:16">
      <c r="J556" s="5"/>
      <c r="L556">
        <f>TMTA!M556</f>
        <v>0.1022984</v>
      </c>
      <c r="M556">
        <f>TMTA!N556</f>
        <v>55</v>
      </c>
      <c r="O556">
        <f>ABS(L556-TMTA!$C$34)</f>
        <v>10.268599715065188</v>
      </c>
      <c r="P556">
        <f t="shared" si="9"/>
        <v>55</v>
      </c>
    </row>
    <row r="557" spans="10:16">
      <c r="J557" s="5"/>
      <c r="L557">
        <f>TMTA!M557</f>
        <v>0.103771928</v>
      </c>
      <c r="M557">
        <f>TMTA!N557</f>
        <v>55.1</v>
      </c>
      <c r="O557">
        <f>ABS(L557-TMTA!$C$34)</f>
        <v>10.267126187065188</v>
      </c>
      <c r="P557">
        <f t="shared" si="9"/>
        <v>55.1</v>
      </c>
    </row>
    <row r="558" spans="10:16">
      <c r="J558" s="5"/>
      <c r="L558">
        <f>TMTA!M558</f>
        <v>0.10380200000000001</v>
      </c>
      <c r="M558">
        <f>TMTA!N558</f>
        <v>55.2</v>
      </c>
      <c r="O558">
        <f>ABS(L558-TMTA!$C$34)</f>
        <v>10.267096115065188</v>
      </c>
      <c r="P558">
        <f t="shared" si="9"/>
        <v>55.2</v>
      </c>
    </row>
    <row r="559" spans="10:16">
      <c r="J559" s="5"/>
      <c r="L559">
        <f>TMTA!M559</f>
        <v>0.10380200000000001</v>
      </c>
      <c r="M559">
        <f>TMTA!N559</f>
        <v>55.3</v>
      </c>
      <c r="O559">
        <f>ABS(L559-TMTA!$C$34)</f>
        <v>10.267096115065188</v>
      </c>
      <c r="P559">
        <f t="shared" si="9"/>
        <v>55.3</v>
      </c>
    </row>
    <row r="560" spans="10:16">
      <c r="J560" s="5"/>
      <c r="L560">
        <f>TMTA!M560</f>
        <v>0.104890304</v>
      </c>
      <c r="M560">
        <f>TMTA!N560</f>
        <v>55.4</v>
      </c>
      <c r="O560">
        <f>ABS(L560-TMTA!$C$34)</f>
        <v>10.266007811065188</v>
      </c>
      <c r="P560">
        <f t="shared" si="9"/>
        <v>55.4</v>
      </c>
    </row>
    <row r="561" spans="10:16">
      <c r="J561" s="5"/>
      <c r="L561">
        <f>TMTA!M561</f>
        <v>0.10742968</v>
      </c>
      <c r="M561">
        <f>TMTA!N561</f>
        <v>55.5</v>
      </c>
      <c r="O561">
        <f>ABS(L561-TMTA!$C$34)</f>
        <v>10.263468435065189</v>
      </c>
      <c r="P561">
        <f t="shared" si="9"/>
        <v>55.5</v>
      </c>
    </row>
    <row r="562" spans="10:16">
      <c r="J562" s="5"/>
      <c r="L562">
        <f>TMTA!M562</f>
        <v>0.109969056</v>
      </c>
      <c r="M562">
        <f>TMTA!N562</f>
        <v>55.6</v>
      </c>
      <c r="O562">
        <f>ABS(L562-TMTA!$C$34)</f>
        <v>10.260929059065187</v>
      </c>
      <c r="P562">
        <f t="shared" si="9"/>
        <v>55.6</v>
      </c>
    </row>
    <row r="563" spans="10:16">
      <c r="J563" s="5"/>
      <c r="L563">
        <f>TMTA!M563</f>
        <v>0.11028</v>
      </c>
      <c r="M563">
        <f>TMTA!N563</f>
        <v>55.7</v>
      </c>
      <c r="O563">
        <f>ABS(L563-TMTA!$C$34)</f>
        <v>10.260618115065189</v>
      </c>
      <c r="P563">
        <f t="shared" si="9"/>
        <v>55.7</v>
      </c>
    </row>
    <row r="564" spans="10:16">
      <c r="J564" s="5"/>
      <c r="L564">
        <f>TMTA!M564</f>
        <v>0.11028</v>
      </c>
      <c r="M564">
        <f>TMTA!N564</f>
        <v>55.8</v>
      </c>
      <c r="O564">
        <f>ABS(L564-TMTA!$C$34)</f>
        <v>10.260618115065189</v>
      </c>
      <c r="P564">
        <f t="shared" si="9"/>
        <v>55.8</v>
      </c>
    </row>
    <row r="565" spans="10:16">
      <c r="J565" s="5"/>
      <c r="L565">
        <f>TMTA!M565</f>
        <v>0.11091168</v>
      </c>
      <c r="M565">
        <f>TMTA!N565</f>
        <v>55.9</v>
      </c>
      <c r="O565">
        <f>ABS(L565-TMTA!$C$34)</f>
        <v>10.259986435065189</v>
      </c>
      <c r="P565">
        <f t="shared" si="9"/>
        <v>55.9</v>
      </c>
    </row>
    <row r="566" spans="10:16">
      <c r="J566" s="5"/>
      <c r="L566">
        <f>TMTA!M566</f>
        <v>0.11284619999999999</v>
      </c>
      <c r="M566">
        <f>TMTA!N566</f>
        <v>56</v>
      </c>
      <c r="O566">
        <f>ABS(L566-TMTA!$C$34)</f>
        <v>10.258051915065188</v>
      </c>
      <c r="P566">
        <f t="shared" si="9"/>
        <v>56</v>
      </c>
    </row>
    <row r="567" spans="10:16">
      <c r="J567" s="5"/>
      <c r="L567">
        <f>TMTA!M567</f>
        <v>0.11478072</v>
      </c>
      <c r="M567">
        <f>TMTA!N567</f>
        <v>56.1</v>
      </c>
      <c r="O567">
        <f>ABS(L567-TMTA!$C$34)</f>
        <v>10.256117395065187</v>
      </c>
      <c r="P567">
        <f t="shared" si="9"/>
        <v>56.1</v>
      </c>
    </row>
    <row r="568" spans="10:16">
      <c r="J568" s="5"/>
      <c r="L568">
        <f>TMTA!M568</f>
        <v>0.115615064</v>
      </c>
      <c r="M568">
        <f>TMTA!N568</f>
        <v>56.2</v>
      </c>
      <c r="O568">
        <f>ABS(L568-TMTA!$C$34)</f>
        <v>10.255283051065188</v>
      </c>
      <c r="P568">
        <f t="shared" si="9"/>
        <v>56.2</v>
      </c>
    </row>
    <row r="569" spans="10:16">
      <c r="J569" s="5"/>
      <c r="L569">
        <f>TMTA!M569</f>
        <v>0.116130936</v>
      </c>
      <c r="M569">
        <f>TMTA!N569</f>
        <v>56.3</v>
      </c>
      <c r="O569">
        <f>ABS(L569-TMTA!$C$34)</f>
        <v>10.254767179065189</v>
      </c>
      <c r="P569">
        <f t="shared" si="9"/>
        <v>56.3</v>
      </c>
    </row>
    <row r="570" spans="10:16">
      <c r="J570" s="5"/>
      <c r="L570">
        <f>TMTA!M570</f>
        <v>0.11705099200000001</v>
      </c>
      <c r="M570">
        <f>TMTA!N570</f>
        <v>56.4</v>
      </c>
      <c r="O570">
        <f>ABS(L570-TMTA!$C$34)</f>
        <v>10.253847123065189</v>
      </c>
      <c r="P570">
        <f t="shared" si="9"/>
        <v>56.4</v>
      </c>
    </row>
    <row r="571" spans="10:16">
      <c r="J571" s="5"/>
      <c r="L571">
        <f>TMTA!M571</f>
        <v>0.11936732</v>
      </c>
      <c r="M571">
        <f>TMTA!N571</f>
        <v>56.5</v>
      </c>
      <c r="O571">
        <f>ABS(L571-TMTA!$C$34)</f>
        <v>10.251530795065188</v>
      </c>
      <c r="P571">
        <f t="shared" si="9"/>
        <v>56.5</v>
      </c>
    </row>
    <row r="572" spans="10:16">
      <c r="J572" s="5"/>
      <c r="L572">
        <f>TMTA!M572</f>
        <v>0.12168364800000001</v>
      </c>
      <c r="M572">
        <f>TMTA!N572</f>
        <v>56.6</v>
      </c>
      <c r="O572">
        <f>ABS(L572-TMTA!$C$34)</f>
        <v>10.249214467065189</v>
      </c>
      <c r="P572">
        <f t="shared" si="9"/>
        <v>56.6</v>
      </c>
    </row>
    <row r="573" spans="10:16">
      <c r="J573" s="5"/>
      <c r="L573">
        <f>TMTA!M573</f>
        <v>0.12291256</v>
      </c>
      <c r="M573">
        <f>TMTA!N573</f>
        <v>56.7</v>
      </c>
      <c r="O573">
        <f>ABS(L573-TMTA!$C$34)</f>
        <v>10.247985555065188</v>
      </c>
      <c r="P573">
        <f t="shared" si="9"/>
        <v>56.7</v>
      </c>
    </row>
    <row r="574" spans="10:16">
      <c r="J574" s="5"/>
      <c r="L574">
        <f>TMTA!M574</f>
        <v>0.12361424</v>
      </c>
      <c r="M574">
        <f>TMTA!N574</f>
        <v>56.8</v>
      </c>
      <c r="O574">
        <f>ABS(L574-TMTA!$C$34)</f>
        <v>10.247283875065188</v>
      </c>
      <c r="P574">
        <f t="shared" si="9"/>
        <v>56.8</v>
      </c>
    </row>
    <row r="575" spans="10:16">
      <c r="J575" s="5"/>
      <c r="L575">
        <f>TMTA!M575</f>
        <v>0.12443856</v>
      </c>
      <c r="M575">
        <f>TMTA!N575</f>
        <v>56.9</v>
      </c>
      <c r="O575">
        <f>ABS(L575-TMTA!$C$34)</f>
        <v>10.246459555065188</v>
      </c>
      <c r="P575">
        <f t="shared" si="9"/>
        <v>56.9</v>
      </c>
    </row>
    <row r="576" spans="10:16">
      <c r="J576" s="5"/>
      <c r="L576">
        <f>TMTA!M576</f>
        <v>0.1261418</v>
      </c>
      <c r="M576">
        <f>TMTA!N576</f>
        <v>57</v>
      </c>
      <c r="O576">
        <f>ABS(L576-TMTA!$C$34)</f>
        <v>10.244756315065189</v>
      </c>
      <c r="P576">
        <f t="shared" si="9"/>
        <v>57</v>
      </c>
    </row>
    <row r="577" spans="10:16">
      <c r="J577" s="5"/>
      <c r="L577">
        <f>TMTA!M577</f>
        <v>0.12784503999999999</v>
      </c>
      <c r="M577">
        <f>TMTA!N577</f>
        <v>57.1</v>
      </c>
      <c r="O577">
        <f>ABS(L577-TMTA!$C$34)</f>
        <v>10.243053075065188</v>
      </c>
      <c r="P577">
        <f t="shared" si="9"/>
        <v>57.1</v>
      </c>
    </row>
    <row r="578" spans="10:16">
      <c r="J578" s="5"/>
      <c r="L578">
        <f>TMTA!M578</f>
        <v>0.12890607200000001</v>
      </c>
      <c r="M578">
        <f>TMTA!N578</f>
        <v>57.2</v>
      </c>
      <c r="O578">
        <f>ABS(L578-TMTA!$C$34)</f>
        <v>10.241992043065189</v>
      </c>
      <c r="P578">
        <f t="shared" si="9"/>
        <v>57.2</v>
      </c>
    </row>
    <row r="579" spans="10:16">
      <c r="J579" s="5"/>
      <c r="L579">
        <f>TMTA!M579</f>
        <v>0.129485448</v>
      </c>
      <c r="M579">
        <f>TMTA!N579</f>
        <v>57.3</v>
      </c>
      <c r="O579">
        <f>ABS(L579-TMTA!$C$34)</f>
        <v>10.241412667065187</v>
      </c>
      <c r="P579">
        <f t="shared" si="9"/>
        <v>57.3</v>
      </c>
    </row>
    <row r="580" spans="10:16">
      <c r="J580" s="5"/>
      <c r="L580">
        <f>TMTA!M580</f>
        <v>0.13008518399999999</v>
      </c>
      <c r="M580">
        <f>TMTA!N580</f>
        <v>57.4</v>
      </c>
      <c r="O580">
        <f>ABS(L580-TMTA!$C$34)</f>
        <v>10.240812931065188</v>
      </c>
      <c r="P580">
        <f t="shared" si="9"/>
        <v>57.4</v>
      </c>
    </row>
    <row r="581" spans="10:16">
      <c r="J581" s="5"/>
      <c r="L581">
        <f>TMTA!M581</f>
        <v>0.13166220000000001</v>
      </c>
      <c r="M581">
        <f>TMTA!N581</f>
        <v>57.5</v>
      </c>
      <c r="O581">
        <f>ABS(L581-TMTA!$C$34)</f>
        <v>10.239235915065189</v>
      </c>
      <c r="P581">
        <f t="shared" si="9"/>
        <v>57.5</v>
      </c>
    </row>
    <row r="582" spans="10:16">
      <c r="J582" s="5"/>
      <c r="L582">
        <f>TMTA!M582</f>
        <v>0.13323921599999999</v>
      </c>
      <c r="M582">
        <f>TMTA!N582</f>
        <v>57.6</v>
      </c>
      <c r="O582">
        <f>ABS(L582-TMTA!$C$34)</f>
        <v>10.237658899065188</v>
      </c>
      <c r="P582">
        <f t="shared" si="9"/>
        <v>57.6</v>
      </c>
    </row>
    <row r="583" spans="10:16">
      <c r="J583" s="5"/>
      <c r="L583">
        <f>TMTA!M583</f>
        <v>0.13516049599999999</v>
      </c>
      <c r="M583">
        <f>TMTA!N583</f>
        <v>57.7</v>
      </c>
      <c r="O583">
        <f>ABS(L583-TMTA!$C$34)</f>
        <v>10.235737619065189</v>
      </c>
      <c r="P583">
        <f t="shared" ref="P583:P646" si="10">M583</f>
        <v>57.7</v>
      </c>
    </row>
    <row r="584" spans="10:16">
      <c r="J584" s="5"/>
      <c r="L584">
        <f>TMTA!M584</f>
        <v>0.13747094400000001</v>
      </c>
      <c r="M584">
        <f>TMTA!N584</f>
        <v>57.8</v>
      </c>
      <c r="O584">
        <f>ABS(L584-TMTA!$C$34)</f>
        <v>10.233427171065188</v>
      </c>
      <c r="P584">
        <f t="shared" si="10"/>
        <v>57.8</v>
      </c>
    </row>
    <row r="585" spans="10:16">
      <c r="J585" s="5"/>
      <c r="L585">
        <f>TMTA!M585</f>
        <v>0.139781392</v>
      </c>
      <c r="M585">
        <f>TMTA!N585</f>
        <v>57.9</v>
      </c>
      <c r="O585">
        <f>ABS(L585-TMTA!$C$34)</f>
        <v>10.231116723065188</v>
      </c>
      <c r="P585">
        <f t="shared" si="10"/>
        <v>57.9</v>
      </c>
    </row>
    <row r="586" spans="10:16">
      <c r="J586" s="5"/>
      <c r="L586">
        <f>TMTA!M586</f>
        <v>0.14107664</v>
      </c>
      <c r="M586">
        <f>TMTA!N586</f>
        <v>58</v>
      </c>
      <c r="O586">
        <f>ABS(L586-TMTA!$C$34)</f>
        <v>10.229821475065188</v>
      </c>
      <c r="P586">
        <f t="shared" si="10"/>
        <v>58</v>
      </c>
    </row>
    <row r="587" spans="10:16">
      <c r="J587" s="5"/>
      <c r="L587">
        <f>TMTA!M587</f>
        <v>0.14228164800000001</v>
      </c>
      <c r="M587">
        <f>TMTA!N587</f>
        <v>58.1</v>
      </c>
      <c r="O587">
        <f>ABS(L587-TMTA!$C$34)</f>
        <v>10.228616467065187</v>
      </c>
      <c r="P587">
        <f t="shared" si="10"/>
        <v>58.1</v>
      </c>
    </row>
    <row r="588" spans="10:16">
      <c r="J588" s="5"/>
      <c r="L588">
        <f>TMTA!M588</f>
        <v>0.14635398399999899</v>
      </c>
      <c r="M588">
        <f>TMTA!N588</f>
        <v>58.2</v>
      </c>
      <c r="O588">
        <f>ABS(L588-TMTA!$C$34)</f>
        <v>10.224544131065189</v>
      </c>
      <c r="P588">
        <f t="shared" si="10"/>
        <v>58.2</v>
      </c>
    </row>
    <row r="589" spans="10:16">
      <c r="J589" s="5"/>
      <c r="L589">
        <f>TMTA!M589</f>
        <v>0.15536449599999899</v>
      </c>
      <c r="M589">
        <f>TMTA!N589</f>
        <v>58.3</v>
      </c>
      <c r="O589">
        <f>ABS(L589-TMTA!$C$34)</f>
        <v>10.215533619065189</v>
      </c>
      <c r="P589">
        <f t="shared" si="10"/>
        <v>58.3</v>
      </c>
    </row>
    <row r="590" spans="10:16">
      <c r="J590" s="5"/>
      <c r="L590">
        <f>TMTA!M590</f>
        <v>0.16437500799999999</v>
      </c>
      <c r="M590">
        <f>TMTA!N590</f>
        <v>58.4</v>
      </c>
      <c r="O590">
        <f>ABS(L590-TMTA!$C$34)</f>
        <v>10.206523107065188</v>
      </c>
      <c r="P590">
        <f t="shared" si="10"/>
        <v>58.4</v>
      </c>
    </row>
    <row r="591" spans="10:16">
      <c r="J591" s="5"/>
      <c r="L591">
        <f>TMTA!M591</f>
        <v>0.16661335999999999</v>
      </c>
      <c r="M591">
        <f>TMTA!N591</f>
        <v>58.5</v>
      </c>
      <c r="O591">
        <f>ABS(L591-TMTA!$C$34)</f>
        <v>10.204284755065189</v>
      </c>
      <c r="P591">
        <f t="shared" si="10"/>
        <v>58.5</v>
      </c>
    </row>
    <row r="592" spans="10:16">
      <c r="J592" s="5"/>
      <c r="L592">
        <f>TMTA!M592</f>
        <v>0.16732797599999999</v>
      </c>
      <c r="M592">
        <f>TMTA!N592</f>
        <v>58.6</v>
      </c>
      <c r="O592">
        <f>ABS(L592-TMTA!$C$34)</f>
        <v>10.203570139065189</v>
      </c>
      <c r="P592">
        <f t="shared" si="10"/>
        <v>58.6</v>
      </c>
    </row>
    <row r="593" spans="10:16">
      <c r="J593" s="5"/>
      <c r="L593">
        <f>TMTA!M593</f>
        <v>0.16839847999999999</v>
      </c>
      <c r="M593">
        <f>TMTA!N593</f>
        <v>58.7</v>
      </c>
      <c r="O593">
        <f>ABS(L593-TMTA!$C$34)</f>
        <v>10.202499635065188</v>
      </c>
      <c r="P593">
        <f t="shared" si="10"/>
        <v>58.7</v>
      </c>
    </row>
    <row r="594" spans="10:16">
      <c r="J594" s="5"/>
      <c r="L594">
        <f>TMTA!M594</f>
        <v>0.17045452</v>
      </c>
      <c r="M594">
        <f>TMTA!N594</f>
        <v>58.8</v>
      </c>
      <c r="O594">
        <f>ABS(L594-TMTA!$C$34)</f>
        <v>10.200443595065188</v>
      </c>
      <c r="P594">
        <f t="shared" si="10"/>
        <v>58.8</v>
      </c>
    </row>
    <row r="595" spans="10:16">
      <c r="J595" s="5"/>
      <c r="L595">
        <f>TMTA!M595</f>
        <v>0.17251056000000001</v>
      </c>
      <c r="M595">
        <f>TMTA!N595</f>
        <v>58.9</v>
      </c>
      <c r="O595">
        <f>ABS(L595-TMTA!$C$34)</f>
        <v>10.198387555065189</v>
      </c>
      <c r="P595">
        <f t="shared" si="10"/>
        <v>58.9</v>
      </c>
    </row>
    <row r="596" spans="10:16">
      <c r="J596" s="5"/>
      <c r="L596">
        <f>TMTA!M596</f>
        <v>0.17570060000000001</v>
      </c>
      <c r="M596">
        <f>TMTA!N596</f>
        <v>59</v>
      </c>
      <c r="O596">
        <f>ABS(L596-TMTA!$C$34)</f>
        <v>10.195197515065187</v>
      </c>
      <c r="P596">
        <f t="shared" si="10"/>
        <v>59</v>
      </c>
    </row>
    <row r="597" spans="10:16">
      <c r="J597" s="5"/>
      <c r="L597">
        <f>TMTA!M597</f>
        <v>0.17934423999999999</v>
      </c>
      <c r="M597">
        <f>TMTA!N597</f>
        <v>59.1</v>
      </c>
      <c r="O597">
        <f>ABS(L597-TMTA!$C$34)</f>
        <v>10.191553875065187</v>
      </c>
      <c r="P597">
        <f t="shared" si="10"/>
        <v>59.1</v>
      </c>
    </row>
    <row r="598" spans="10:16">
      <c r="J598" s="5"/>
      <c r="L598">
        <f>TMTA!M598</f>
        <v>0.182778408</v>
      </c>
      <c r="M598">
        <f>TMTA!N598</f>
        <v>59.2</v>
      </c>
      <c r="O598">
        <f>ABS(L598-TMTA!$C$34)</f>
        <v>10.188119707065187</v>
      </c>
      <c r="P598">
        <f t="shared" si="10"/>
        <v>59.2</v>
      </c>
    </row>
    <row r="599" spans="10:16">
      <c r="J599" s="5"/>
      <c r="L599">
        <f>TMTA!M599</f>
        <v>0.18513903200000001</v>
      </c>
      <c r="M599">
        <f>TMTA!N599</f>
        <v>59.3</v>
      </c>
      <c r="O599">
        <f>ABS(L599-TMTA!$C$34)</f>
        <v>10.185759083065188</v>
      </c>
      <c r="P599">
        <f t="shared" si="10"/>
        <v>59.3</v>
      </c>
    </row>
    <row r="600" spans="10:16">
      <c r="J600" s="5"/>
      <c r="L600">
        <f>TMTA!M600</f>
        <v>0.18749965599999999</v>
      </c>
      <c r="M600">
        <f>TMTA!N600</f>
        <v>59.4</v>
      </c>
      <c r="O600">
        <f>ABS(L600-TMTA!$C$34)</f>
        <v>10.183398459065188</v>
      </c>
      <c r="P600">
        <f t="shared" si="10"/>
        <v>59.4</v>
      </c>
    </row>
    <row r="601" spans="10:16">
      <c r="J601" s="5"/>
      <c r="L601">
        <f>TMTA!M601</f>
        <v>0.19034556</v>
      </c>
      <c r="M601">
        <f>TMTA!N601</f>
        <v>59.5</v>
      </c>
      <c r="O601">
        <f>ABS(L601-TMTA!$C$34)</f>
        <v>10.180552555065187</v>
      </c>
      <c r="P601">
        <f t="shared" si="10"/>
        <v>59.5</v>
      </c>
    </row>
    <row r="602" spans="10:16">
      <c r="J602" s="5"/>
      <c r="L602">
        <f>TMTA!M602</f>
        <v>0.19349880799999999</v>
      </c>
      <c r="M602">
        <f>TMTA!N602</f>
        <v>59.6</v>
      </c>
      <c r="O602">
        <f>ABS(L602-TMTA!$C$34)</f>
        <v>10.177399307065189</v>
      </c>
      <c r="P602">
        <f t="shared" si="10"/>
        <v>59.6</v>
      </c>
    </row>
    <row r="603" spans="10:16">
      <c r="J603" s="5"/>
      <c r="L603">
        <f>TMTA!M603</f>
        <v>0.19648602400000001</v>
      </c>
      <c r="M603">
        <f>TMTA!N603</f>
        <v>59.7</v>
      </c>
      <c r="O603">
        <f>ABS(L603-TMTA!$C$34)</f>
        <v>10.174412091065188</v>
      </c>
      <c r="P603">
        <f t="shared" si="10"/>
        <v>59.7</v>
      </c>
    </row>
    <row r="604" spans="10:16">
      <c r="J604" s="5"/>
      <c r="L604">
        <f>TMTA!M604</f>
        <v>0.19692741599999999</v>
      </c>
      <c r="M604">
        <f>TMTA!N604</f>
        <v>59.8</v>
      </c>
      <c r="O604">
        <f>ABS(L604-TMTA!$C$34)</f>
        <v>10.173970699065189</v>
      </c>
      <c r="P604">
        <f t="shared" si="10"/>
        <v>59.8</v>
      </c>
    </row>
    <row r="605" spans="10:16">
      <c r="J605" s="5"/>
      <c r="L605">
        <f>TMTA!M605</f>
        <v>0.19736880800000001</v>
      </c>
      <c r="M605">
        <f>TMTA!N605</f>
        <v>59.9</v>
      </c>
      <c r="O605">
        <f>ABS(L605-TMTA!$C$34)</f>
        <v>10.173529307065188</v>
      </c>
      <c r="P605">
        <f t="shared" si="10"/>
        <v>59.9</v>
      </c>
    </row>
    <row r="606" spans="10:16">
      <c r="J606" s="5"/>
      <c r="L606">
        <f>TMTA!M606</f>
        <v>0.19758500000000001</v>
      </c>
      <c r="M606">
        <f>TMTA!N606</f>
        <v>60</v>
      </c>
      <c r="O606">
        <f>ABS(L606-TMTA!$C$34)</f>
        <v>10.173313115065188</v>
      </c>
      <c r="P606">
        <f t="shared" si="10"/>
        <v>60</v>
      </c>
    </row>
    <row r="607" spans="10:16">
      <c r="J607" s="5"/>
      <c r="L607">
        <f>TMTA!M607</f>
        <v>0.19758500000000001</v>
      </c>
      <c r="M607">
        <f>TMTA!N607</f>
        <v>60.1</v>
      </c>
      <c r="O607">
        <f>ABS(L607-TMTA!$C$34)</f>
        <v>10.173313115065188</v>
      </c>
      <c r="P607">
        <f t="shared" si="10"/>
        <v>60.1</v>
      </c>
    </row>
    <row r="608" spans="10:16">
      <c r="J608" s="5"/>
      <c r="L608">
        <f>TMTA!M608</f>
        <v>0.19758500000000001</v>
      </c>
      <c r="M608">
        <f>TMTA!N608</f>
        <v>60.2</v>
      </c>
      <c r="O608">
        <f>ABS(L608-TMTA!$C$34)</f>
        <v>10.173313115065188</v>
      </c>
      <c r="P608">
        <f t="shared" si="10"/>
        <v>60.2</v>
      </c>
    </row>
    <row r="609" spans="10:16">
      <c r="J609" s="5"/>
      <c r="L609">
        <f>TMTA!M609</f>
        <v>0.198546056</v>
      </c>
      <c r="M609">
        <f>TMTA!N609</f>
        <v>60.3</v>
      </c>
      <c r="O609">
        <f>ABS(L609-TMTA!$C$34)</f>
        <v>10.172352059065188</v>
      </c>
      <c r="P609">
        <f t="shared" si="10"/>
        <v>60.3</v>
      </c>
    </row>
    <row r="610" spans="10:16">
      <c r="J610" s="5"/>
      <c r="L610">
        <f>TMTA!M610</f>
        <v>0.199548008</v>
      </c>
      <c r="M610">
        <f>TMTA!N610</f>
        <v>60.4</v>
      </c>
      <c r="O610">
        <f>ABS(L610-TMTA!$C$34)</f>
        <v>10.171350107065187</v>
      </c>
      <c r="P610">
        <f t="shared" si="10"/>
        <v>60.4</v>
      </c>
    </row>
    <row r="611" spans="10:16">
      <c r="J611" s="5"/>
      <c r="L611">
        <f>TMTA!M611</f>
        <v>0.20014100000000001</v>
      </c>
      <c r="M611">
        <f>TMTA!N611</f>
        <v>60.5</v>
      </c>
      <c r="O611">
        <f>ABS(L611-TMTA!$C$34)</f>
        <v>10.170757115065188</v>
      </c>
      <c r="P611">
        <f t="shared" si="10"/>
        <v>60.5</v>
      </c>
    </row>
    <row r="612" spans="10:16">
      <c r="J612" s="5"/>
      <c r="L612">
        <f>TMTA!M612</f>
        <v>0.20014100000000001</v>
      </c>
      <c r="M612">
        <f>TMTA!N612</f>
        <v>60.6</v>
      </c>
      <c r="O612">
        <f>ABS(L612-TMTA!$C$34)</f>
        <v>10.170757115065188</v>
      </c>
      <c r="P612">
        <f t="shared" si="10"/>
        <v>60.6</v>
      </c>
    </row>
    <row r="613" spans="10:16">
      <c r="J613" s="5"/>
      <c r="L613">
        <f>TMTA!M613</f>
        <v>0.20014100000000001</v>
      </c>
      <c r="M613">
        <f>TMTA!N613</f>
        <v>60.7</v>
      </c>
      <c r="O613">
        <f>ABS(L613-TMTA!$C$34)</f>
        <v>10.170757115065188</v>
      </c>
      <c r="P613">
        <f t="shared" si="10"/>
        <v>60.7</v>
      </c>
    </row>
    <row r="614" spans="10:16">
      <c r="J614" s="5"/>
      <c r="L614">
        <f>TMTA!M614</f>
        <v>0.20676456800000001</v>
      </c>
      <c r="M614">
        <f>TMTA!N614</f>
        <v>60.8</v>
      </c>
      <c r="O614">
        <f>ABS(L614-TMTA!$C$34)</f>
        <v>10.164133547065187</v>
      </c>
      <c r="P614">
        <f t="shared" si="10"/>
        <v>60.8</v>
      </c>
    </row>
    <row r="615" spans="10:16">
      <c r="J615" s="5"/>
      <c r="L615">
        <f>TMTA!M615</f>
        <v>0.21449206400000001</v>
      </c>
      <c r="M615">
        <f>TMTA!N615</f>
        <v>60.9</v>
      </c>
      <c r="O615">
        <f>ABS(L615-TMTA!$C$34)</f>
        <v>10.156406051065188</v>
      </c>
      <c r="P615">
        <f t="shared" si="10"/>
        <v>60.9</v>
      </c>
    </row>
    <row r="616" spans="10:16">
      <c r="J616" s="5"/>
      <c r="L616">
        <f>TMTA!M616</f>
        <v>0.22113811999999999</v>
      </c>
      <c r="M616">
        <f>TMTA!N616</f>
        <v>61</v>
      </c>
      <c r="O616">
        <f>ABS(L616-TMTA!$C$34)</f>
        <v>10.149759995065189</v>
      </c>
      <c r="P616">
        <f t="shared" si="10"/>
        <v>61</v>
      </c>
    </row>
    <row r="617" spans="10:16">
      <c r="J617" s="5"/>
      <c r="L617">
        <f>TMTA!M617</f>
        <v>0.225332912</v>
      </c>
      <c r="M617">
        <f>TMTA!N617</f>
        <v>61.1</v>
      </c>
      <c r="O617">
        <f>ABS(L617-TMTA!$C$34)</f>
        <v>10.145565203065187</v>
      </c>
      <c r="P617">
        <f t="shared" si="10"/>
        <v>61.1</v>
      </c>
    </row>
    <row r="618" spans="10:16">
      <c r="J618" s="5"/>
      <c r="L618">
        <f>TMTA!M618</f>
        <v>0.229527704</v>
      </c>
      <c r="M618">
        <f>TMTA!N618</f>
        <v>61.2</v>
      </c>
      <c r="O618">
        <f>ABS(L618-TMTA!$C$34)</f>
        <v>10.141370411065187</v>
      </c>
      <c r="P618">
        <f t="shared" si="10"/>
        <v>61.2</v>
      </c>
    </row>
    <row r="619" spans="10:16">
      <c r="J619" s="5"/>
      <c r="L619">
        <f>TMTA!M619</f>
        <v>0.233775184</v>
      </c>
      <c r="M619">
        <f>TMTA!N619</f>
        <v>61.3</v>
      </c>
      <c r="O619">
        <f>ABS(L619-TMTA!$C$34)</f>
        <v>10.137122931065187</v>
      </c>
      <c r="P619">
        <f t="shared" si="10"/>
        <v>61.3</v>
      </c>
    </row>
    <row r="620" spans="10:16">
      <c r="J620" s="5"/>
      <c r="L620">
        <f>TMTA!M620</f>
        <v>0.23803975199999999</v>
      </c>
      <c r="M620">
        <f>TMTA!N620</f>
        <v>61.4</v>
      </c>
      <c r="O620">
        <f>ABS(L620-TMTA!$C$34)</f>
        <v>10.132858363065187</v>
      </c>
      <c r="P620">
        <f t="shared" si="10"/>
        <v>61.4</v>
      </c>
    </row>
    <row r="621" spans="10:16">
      <c r="J621" s="5"/>
      <c r="L621">
        <f>TMTA!M621</f>
        <v>0.24169328000000001</v>
      </c>
      <c r="M621">
        <f>TMTA!N621</f>
        <v>61.5</v>
      </c>
      <c r="O621">
        <f>ABS(L621-TMTA!$C$34)</f>
        <v>10.129204835065188</v>
      </c>
      <c r="P621">
        <f t="shared" si="10"/>
        <v>61.5</v>
      </c>
    </row>
    <row r="622" spans="10:16">
      <c r="J622" s="5"/>
      <c r="L622">
        <f>TMTA!M622</f>
        <v>0.24296375200000001</v>
      </c>
      <c r="M622">
        <f>TMTA!N622</f>
        <v>61.6</v>
      </c>
      <c r="O622">
        <f>ABS(L622-TMTA!$C$34)</f>
        <v>10.127934363065188</v>
      </c>
      <c r="P622">
        <f t="shared" si="10"/>
        <v>61.6</v>
      </c>
    </row>
    <row r="623" spans="10:16">
      <c r="J623" s="5"/>
      <c r="L623">
        <f>TMTA!M623</f>
        <v>0.244234224</v>
      </c>
      <c r="M623">
        <f>TMTA!N623</f>
        <v>61.7</v>
      </c>
      <c r="O623">
        <f>ABS(L623-TMTA!$C$34)</f>
        <v>10.126663891065188</v>
      </c>
      <c r="P623">
        <f t="shared" si="10"/>
        <v>61.7</v>
      </c>
    </row>
    <row r="624" spans="10:16">
      <c r="J624" s="5"/>
      <c r="L624">
        <f>TMTA!M624</f>
        <v>0.24619538399999999</v>
      </c>
      <c r="M624">
        <f>TMTA!N624</f>
        <v>61.8</v>
      </c>
      <c r="O624">
        <f>ABS(L624-TMTA!$C$34)</f>
        <v>10.124702731065188</v>
      </c>
      <c r="P624">
        <f t="shared" si="10"/>
        <v>61.8</v>
      </c>
    </row>
    <row r="625" spans="10:16">
      <c r="J625" s="5"/>
      <c r="L625">
        <f>TMTA!M625</f>
        <v>0.248523472</v>
      </c>
      <c r="M625">
        <f>TMTA!N625</f>
        <v>61.9</v>
      </c>
      <c r="O625">
        <f>ABS(L625-TMTA!$C$34)</f>
        <v>10.122374643065188</v>
      </c>
      <c r="P625">
        <f t="shared" si="10"/>
        <v>61.9</v>
      </c>
    </row>
    <row r="626" spans="10:16">
      <c r="J626" s="5"/>
      <c r="L626">
        <f>TMTA!M626</f>
        <v>0.25106620000000002</v>
      </c>
      <c r="M626">
        <f>TMTA!N626</f>
        <v>62</v>
      </c>
      <c r="O626">
        <f>ABS(L626-TMTA!$C$34)</f>
        <v>10.119831915065188</v>
      </c>
      <c r="P626">
        <f t="shared" si="10"/>
        <v>62</v>
      </c>
    </row>
    <row r="627" spans="10:16">
      <c r="J627" s="5"/>
      <c r="L627">
        <f>TMTA!M627</f>
        <v>0.25549776000000002</v>
      </c>
      <c r="M627">
        <f>TMTA!N627</f>
        <v>62.1</v>
      </c>
      <c r="O627">
        <f>ABS(L627-TMTA!$C$34)</f>
        <v>10.115400355065187</v>
      </c>
      <c r="P627">
        <f t="shared" si="10"/>
        <v>62.1</v>
      </c>
    </row>
    <row r="628" spans="10:16">
      <c r="J628" s="5"/>
      <c r="L628">
        <f>TMTA!M628</f>
        <v>0.25992932000000002</v>
      </c>
      <c r="M628">
        <f>TMTA!N628</f>
        <v>62.2</v>
      </c>
      <c r="O628">
        <f>ABS(L628-TMTA!$C$34)</f>
        <v>10.110968795065189</v>
      </c>
      <c r="P628">
        <f t="shared" si="10"/>
        <v>62.2</v>
      </c>
    </row>
    <row r="629" spans="10:16">
      <c r="J629" s="5"/>
      <c r="L629">
        <f>TMTA!M629</f>
        <v>0.26394680799999998</v>
      </c>
      <c r="M629">
        <f>TMTA!N629</f>
        <v>62.3</v>
      </c>
      <c r="O629">
        <f>ABS(L629-TMTA!$C$34)</f>
        <v>10.106951307065188</v>
      </c>
      <c r="P629">
        <f t="shared" si="10"/>
        <v>62.3</v>
      </c>
    </row>
    <row r="630" spans="10:16">
      <c r="J630" s="5"/>
      <c r="L630">
        <f>TMTA!M630</f>
        <v>0.267626904</v>
      </c>
      <c r="M630">
        <f>TMTA!N630</f>
        <v>62.4</v>
      </c>
      <c r="O630">
        <f>ABS(L630-TMTA!$C$34)</f>
        <v>10.103271211065188</v>
      </c>
      <c r="P630">
        <f t="shared" si="10"/>
        <v>62.4</v>
      </c>
    </row>
    <row r="631" spans="10:16">
      <c r="J631" s="5"/>
      <c r="L631">
        <f>TMTA!M631</f>
        <v>0.27130700000000002</v>
      </c>
      <c r="M631">
        <f>TMTA!N631</f>
        <v>62.5</v>
      </c>
      <c r="O631">
        <f>ABS(L631-TMTA!$C$34)</f>
        <v>10.099591115065188</v>
      </c>
      <c r="P631">
        <f t="shared" si="10"/>
        <v>62.5</v>
      </c>
    </row>
    <row r="632" spans="10:16">
      <c r="J632" s="5"/>
      <c r="L632">
        <f>TMTA!M632</f>
        <v>0.27589967199999998</v>
      </c>
      <c r="M632">
        <f>TMTA!N632</f>
        <v>62.6</v>
      </c>
      <c r="O632">
        <f>ABS(L632-TMTA!$C$34)</f>
        <v>10.094998443065188</v>
      </c>
      <c r="P632">
        <f t="shared" si="10"/>
        <v>62.6</v>
      </c>
    </row>
    <row r="633" spans="10:16">
      <c r="J633" s="5"/>
      <c r="L633">
        <f>TMTA!M633</f>
        <v>0.280492344</v>
      </c>
      <c r="M633">
        <f>TMTA!N633</f>
        <v>62.7</v>
      </c>
      <c r="O633">
        <f>ABS(L633-TMTA!$C$34)</f>
        <v>10.090405771065187</v>
      </c>
      <c r="P633">
        <f t="shared" si="10"/>
        <v>62.7</v>
      </c>
    </row>
    <row r="634" spans="10:16">
      <c r="J634" s="5"/>
      <c r="L634">
        <f>TMTA!M634</f>
        <v>0.28459714400000002</v>
      </c>
      <c r="M634">
        <f>TMTA!N634</f>
        <v>62.8</v>
      </c>
      <c r="O634">
        <f>ABS(L634-TMTA!$C$34)</f>
        <v>10.086300971065189</v>
      </c>
      <c r="P634">
        <f t="shared" si="10"/>
        <v>62.8</v>
      </c>
    </row>
    <row r="635" spans="10:16">
      <c r="J635" s="5"/>
      <c r="L635">
        <f>TMTA!M635</f>
        <v>0.28810319200000001</v>
      </c>
      <c r="M635">
        <f>TMTA!N635</f>
        <v>62.9</v>
      </c>
      <c r="O635">
        <f>ABS(L635-TMTA!$C$34)</f>
        <v>10.082794923065189</v>
      </c>
      <c r="P635">
        <f t="shared" si="10"/>
        <v>62.9</v>
      </c>
    </row>
    <row r="636" spans="10:16">
      <c r="J636" s="5"/>
      <c r="L636">
        <f>TMTA!M636</f>
        <v>0.29160923999999999</v>
      </c>
      <c r="M636">
        <f>TMTA!N636</f>
        <v>63</v>
      </c>
      <c r="O636">
        <f>ABS(L636-TMTA!$C$34)</f>
        <v>10.079288875065188</v>
      </c>
      <c r="P636">
        <f t="shared" si="10"/>
        <v>63</v>
      </c>
    </row>
    <row r="637" spans="10:16">
      <c r="J637" s="5"/>
      <c r="L637">
        <f>TMTA!M637</f>
        <v>0.304546072</v>
      </c>
      <c r="M637">
        <f>TMTA!N637</f>
        <v>63.1</v>
      </c>
      <c r="O637">
        <f>ABS(L637-TMTA!$C$34)</f>
        <v>10.066352043065187</v>
      </c>
      <c r="P637">
        <f t="shared" si="10"/>
        <v>63.1</v>
      </c>
    </row>
    <row r="638" spans="10:16">
      <c r="J638" s="5"/>
      <c r="L638">
        <f>TMTA!M638</f>
        <v>0.31855458399999997</v>
      </c>
      <c r="M638">
        <f>TMTA!N638</f>
        <v>63.2</v>
      </c>
      <c r="O638">
        <f>ABS(L638-TMTA!$C$34)</f>
        <v>10.052343531065189</v>
      </c>
      <c r="P638">
        <f t="shared" si="10"/>
        <v>63.2</v>
      </c>
    </row>
    <row r="639" spans="10:16">
      <c r="J639" s="5"/>
      <c r="L639">
        <f>TMTA!M639</f>
        <v>0.32873020800000002</v>
      </c>
      <c r="M639">
        <f>TMTA!N639</f>
        <v>63.3</v>
      </c>
      <c r="O639">
        <f>ABS(L639-TMTA!$C$34)</f>
        <v>10.042167907065188</v>
      </c>
      <c r="P639">
        <f t="shared" si="10"/>
        <v>63.3</v>
      </c>
    </row>
    <row r="640" spans="10:16">
      <c r="J640" s="5"/>
      <c r="L640">
        <f>TMTA!M640</f>
        <v>0.33169098400000002</v>
      </c>
      <c r="M640">
        <f>TMTA!N640</f>
        <v>63.4</v>
      </c>
      <c r="O640">
        <f>ABS(L640-TMTA!$C$34)</f>
        <v>10.039207131065188</v>
      </c>
      <c r="P640">
        <f t="shared" si="10"/>
        <v>63.4</v>
      </c>
    </row>
    <row r="641" spans="10:16">
      <c r="J641" s="5"/>
      <c r="L641">
        <f>TMTA!M641</f>
        <v>0.33465176000000002</v>
      </c>
      <c r="M641">
        <f>TMTA!N641</f>
        <v>63.5</v>
      </c>
      <c r="O641">
        <f>ABS(L641-TMTA!$C$34)</f>
        <v>10.036246355065188</v>
      </c>
      <c r="P641">
        <f t="shared" si="10"/>
        <v>63.5</v>
      </c>
    </row>
    <row r="642" spans="10:16">
      <c r="J642" s="5"/>
      <c r="L642">
        <f>TMTA!M642</f>
        <v>0.33661725599999998</v>
      </c>
      <c r="M642">
        <f>TMTA!N642</f>
        <v>63.6</v>
      </c>
      <c r="O642">
        <f>ABS(L642-TMTA!$C$34)</f>
        <v>10.034280859065188</v>
      </c>
      <c r="P642">
        <f t="shared" si="10"/>
        <v>63.6</v>
      </c>
    </row>
    <row r="643" spans="10:16">
      <c r="J643" s="5"/>
      <c r="L643">
        <f>TMTA!M643</f>
        <v>0.33832755199999998</v>
      </c>
      <c r="M643">
        <f>TMTA!N643</f>
        <v>63.7</v>
      </c>
      <c r="O643">
        <f>ABS(L643-TMTA!$C$34)</f>
        <v>10.032570563065189</v>
      </c>
      <c r="P643">
        <f t="shared" si="10"/>
        <v>63.7</v>
      </c>
    </row>
    <row r="644" spans="10:16">
      <c r="J644" s="5"/>
      <c r="L644">
        <f>TMTA!M644</f>
        <v>0.339619</v>
      </c>
      <c r="M644">
        <f>TMTA!N644</f>
        <v>63.8</v>
      </c>
      <c r="O644">
        <f>ABS(L644-TMTA!$C$34)</f>
        <v>10.031279115065187</v>
      </c>
      <c r="P644">
        <f t="shared" si="10"/>
        <v>63.8</v>
      </c>
    </row>
    <row r="645" spans="10:16">
      <c r="J645" s="5"/>
      <c r="L645">
        <f>TMTA!M645</f>
        <v>0.339619</v>
      </c>
      <c r="M645">
        <f>TMTA!N645</f>
        <v>63.9</v>
      </c>
      <c r="O645">
        <f>ABS(L645-TMTA!$C$34)</f>
        <v>10.031279115065187</v>
      </c>
      <c r="P645">
        <f t="shared" si="10"/>
        <v>63.9</v>
      </c>
    </row>
    <row r="646" spans="10:16">
      <c r="J646" s="5"/>
      <c r="L646">
        <f>TMTA!M646</f>
        <v>0.339619</v>
      </c>
      <c r="M646">
        <f>TMTA!N646</f>
        <v>64</v>
      </c>
      <c r="O646">
        <f>ABS(L646-TMTA!$C$34)</f>
        <v>10.031279115065187</v>
      </c>
      <c r="P646">
        <f t="shared" si="10"/>
        <v>64</v>
      </c>
    </row>
    <row r="647" spans="10:16">
      <c r="J647" s="5"/>
      <c r="L647">
        <f>TMTA!M647</f>
        <v>0.34208087199999998</v>
      </c>
      <c r="M647">
        <f>TMTA!N647</f>
        <v>64.099999999999994</v>
      </c>
      <c r="O647">
        <f>ABS(L647-TMTA!$C$34)</f>
        <v>10.028817243065188</v>
      </c>
      <c r="P647">
        <f t="shared" ref="P647:P710" si="11">M647</f>
        <v>64.099999999999994</v>
      </c>
    </row>
    <row r="648" spans="10:16">
      <c r="J648" s="5"/>
      <c r="L648">
        <f>TMTA!M648</f>
        <v>0.34562886399999998</v>
      </c>
      <c r="M648">
        <f>TMTA!N648</f>
        <v>64.2</v>
      </c>
      <c r="O648">
        <f>ABS(L648-TMTA!$C$34)</f>
        <v>10.025269251065188</v>
      </c>
      <c r="P648">
        <f t="shared" si="11"/>
        <v>64.2</v>
      </c>
    </row>
    <row r="649" spans="10:16">
      <c r="J649" s="5"/>
      <c r="L649">
        <f>TMTA!M649</f>
        <v>0.348787768</v>
      </c>
      <c r="M649">
        <f>TMTA!N649</f>
        <v>64.3</v>
      </c>
      <c r="O649">
        <f>ABS(L649-TMTA!$C$34)</f>
        <v>10.022110347065189</v>
      </c>
      <c r="P649">
        <f t="shared" si="11"/>
        <v>64.3</v>
      </c>
    </row>
    <row r="650" spans="10:16">
      <c r="J650" s="5"/>
      <c r="L650">
        <f>TMTA!M650</f>
        <v>0.34961214400000001</v>
      </c>
      <c r="M650">
        <f>TMTA!N650</f>
        <v>64.400000000000006</v>
      </c>
      <c r="O650">
        <f>ABS(L650-TMTA!$C$34)</f>
        <v>10.021285971065188</v>
      </c>
      <c r="P650">
        <f t="shared" si="11"/>
        <v>64.400000000000006</v>
      </c>
    </row>
    <row r="651" spans="10:16">
      <c r="J651" s="5"/>
      <c r="L651">
        <f>TMTA!M651</f>
        <v>0.35043651999999997</v>
      </c>
      <c r="M651">
        <f>TMTA!N651</f>
        <v>64.5</v>
      </c>
      <c r="O651">
        <f>ABS(L651-TMTA!$C$34)</f>
        <v>10.020461595065187</v>
      </c>
      <c r="P651">
        <f t="shared" si="11"/>
        <v>64.5</v>
      </c>
    </row>
    <row r="652" spans="10:16">
      <c r="J652" s="5"/>
      <c r="L652">
        <f>TMTA!M652</f>
        <v>0.35319554399999997</v>
      </c>
      <c r="M652">
        <f>TMTA!N652</f>
        <v>64.599999999999994</v>
      </c>
      <c r="O652">
        <f>ABS(L652-TMTA!$C$34)</f>
        <v>10.017702571065188</v>
      </c>
      <c r="P652">
        <f t="shared" si="11"/>
        <v>64.599999999999994</v>
      </c>
    </row>
    <row r="653" spans="10:16">
      <c r="J653" s="5"/>
      <c r="L653">
        <f>TMTA!M653</f>
        <v>0.35728880800000001</v>
      </c>
      <c r="M653">
        <f>TMTA!N653</f>
        <v>64.7</v>
      </c>
      <c r="O653">
        <f>ABS(L653-TMTA!$C$34)</f>
        <v>10.013609307065188</v>
      </c>
      <c r="P653">
        <f t="shared" si="11"/>
        <v>64.7</v>
      </c>
    </row>
    <row r="654" spans="10:16">
      <c r="J654" s="5"/>
      <c r="L654">
        <f>TMTA!M654</f>
        <v>0.36123149599999999</v>
      </c>
      <c r="M654">
        <f>TMTA!N654</f>
        <v>64.8</v>
      </c>
      <c r="O654">
        <f>ABS(L654-TMTA!$C$34)</f>
        <v>10.009666619065188</v>
      </c>
      <c r="P654">
        <f t="shared" si="11"/>
        <v>64.8</v>
      </c>
    </row>
    <row r="655" spans="10:16">
      <c r="J655" s="5"/>
      <c r="L655">
        <f>TMTA!M655</f>
        <v>0.36163564799999998</v>
      </c>
      <c r="M655">
        <f>TMTA!N655</f>
        <v>64.900000000000006</v>
      </c>
      <c r="O655">
        <f>ABS(L655-TMTA!$C$34)</f>
        <v>10.009262467065188</v>
      </c>
      <c r="P655">
        <f t="shared" si="11"/>
        <v>64.900000000000006</v>
      </c>
    </row>
    <row r="656" spans="10:16">
      <c r="J656" s="5"/>
      <c r="L656">
        <f>TMTA!M656</f>
        <v>0.36203980000000002</v>
      </c>
      <c r="M656">
        <f>TMTA!N656</f>
        <v>65</v>
      </c>
      <c r="O656">
        <f>ABS(L656-TMTA!$C$34)</f>
        <v>10.008858315065188</v>
      </c>
      <c r="P656">
        <f t="shared" si="11"/>
        <v>65</v>
      </c>
    </row>
    <row r="657" spans="10:16">
      <c r="J657" s="5"/>
      <c r="L657">
        <f>TMTA!M657</f>
        <v>0.36467844799999999</v>
      </c>
      <c r="M657">
        <f>TMTA!N657</f>
        <v>65.099999999999994</v>
      </c>
      <c r="O657">
        <f>ABS(L657-TMTA!$C$34)</f>
        <v>10.006219667065189</v>
      </c>
      <c r="P657">
        <f t="shared" si="11"/>
        <v>65.099999999999994</v>
      </c>
    </row>
    <row r="658" spans="10:16">
      <c r="J658" s="5"/>
      <c r="L658">
        <f>TMTA!M658</f>
        <v>0.36964469599999999</v>
      </c>
      <c r="M658">
        <f>TMTA!N658</f>
        <v>65.2</v>
      </c>
      <c r="O658">
        <f>ABS(L658-TMTA!$C$34)</f>
        <v>10.001253419065188</v>
      </c>
      <c r="P658">
        <f t="shared" si="11"/>
        <v>65.2</v>
      </c>
    </row>
    <row r="659" spans="10:16">
      <c r="J659" s="5"/>
      <c r="L659">
        <f>TMTA!M659</f>
        <v>0.374610944</v>
      </c>
      <c r="M659">
        <f>TMTA!N659</f>
        <v>65.3</v>
      </c>
      <c r="O659">
        <f>ABS(L659-TMTA!$C$34)</f>
        <v>9.9962871710651875</v>
      </c>
      <c r="P659">
        <f t="shared" si="11"/>
        <v>65.3</v>
      </c>
    </row>
    <row r="660" spans="10:16">
      <c r="J660" s="5"/>
      <c r="L660">
        <f>TMTA!M660</f>
        <v>0.37893724000000001</v>
      </c>
      <c r="M660">
        <f>TMTA!N660</f>
        <v>65.400000000000006</v>
      </c>
      <c r="O660">
        <f>ABS(L660-TMTA!$C$34)</f>
        <v>9.9919608750651872</v>
      </c>
      <c r="P660">
        <f t="shared" si="11"/>
        <v>65.400000000000006</v>
      </c>
    </row>
    <row r="661" spans="10:16">
      <c r="J661" s="5"/>
      <c r="L661">
        <f>TMTA!M661</f>
        <v>0.3832218</v>
      </c>
      <c r="M661">
        <f>TMTA!N661</f>
        <v>65.5</v>
      </c>
      <c r="O661">
        <f>ABS(L661-TMTA!$C$34)</f>
        <v>9.9876763150651886</v>
      </c>
      <c r="P661">
        <f t="shared" si="11"/>
        <v>65.5</v>
      </c>
    </row>
    <row r="662" spans="10:16">
      <c r="J662" s="5"/>
      <c r="L662">
        <f>TMTA!M662</f>
        <v>0.38627516000000001</v>
      </c>
      <c r="M662">
        <f>TMTA!N662</f>
        <v>65.599999999999994</v>
      </c>
      <c r="O662">
        <f>ABS(L662-TMTA!$C$34)</f>
        <v>9.9846229550651877</v>
      </c>
      <c r="P662">
        <f t="shared" si="11"/>
        <v>65.599999999999994</v>
      </c>
    </row>
    <row r="663" spans="10:16">
      <c r="J663" s="5"/>
      <c r="L663">
        <f>TMTA!M663</f>
        <v>0.38738452000000001</v>
      </c>
      <c r="M663">
        <f>TMTA!N663</f>
        <v>65.7</v>
      </c>
      <c r="O663">
        <f>ABS(L663-TMTA!$C$34)</f>
        <v>9.9835135950651885</v>
      </c>
      <c r="P663">
        <f t="shared" si="11"/>
        <v>65.7</v>
      </c>
    </row>
    <row r="664" spans="10:16">
      <c r="J664" s="5"/>
      <c r="L664">
        <f>TMTA!M664</f>
        <v>0.38849388000000001</v>
      </c>
      <c r="M664">
        <f>TMTA!N664</f>
        <v>65.8</v>
      </c>
      <c r="O664">
        <f>ABS(L664-TMTA!$C$34)</f>
        <v>9.9824042350651876</v>
      </c>
      <c r="P664">
        <f t="shared" si="11"/>
        <v>65.8</v>
      </c>
    </row>
    <row r="665" spans="10:16">
      <c r="J665" s="5"/>
      <c r="L665">
        <f>TMTA!M665</f>
        <v>0.39279631999999998</v>
      </c>
      <c r="M665">
        <f>TMTA!N665</f>
        <v>65.900000000000006</v>
      </c>
      <c r="O665">
        <f>ABS(L665-TMTA!$C$34)</f>
        <v>9.9781017950651876</v>
      </c>
      <c r="P665">
        <f t="shared" si="11"/>
        <v>65.900000000000006</v>
      </c>
    </row>
    <row r="666" spans="10:16">
      <c r="J666" s="5"/>
      <c r="L666">
        <f>TMTA!M666</f>
        <v>0.39772180000000001</v>
      </c>
      <c r="M666">
        <f>TMTA!N666</f>
        <v>66</v>
      </c>
      <c r="O666">
        <f>ABS(L666-TMTA!$C$34)</f>
        <v>9.9731763150651886</v>
      </c>
      <c r="P666">
        <f t="shared" si="11"/>
        <v>66</v>
      </c>
    </row>
    <row r="667" spans="10:16">
      <c r="J667" s="5"/>
      <c r="L667">
        <f>TMTA!M667</f>
        <v>0.404978000000001</v>
      </c>
      <c r="M667">
        <f>TMTA!N667</f>
        <v>66.099999999999994</v>
      </c>
      <c r="O667">
        <f>ABS(L667-TMTA!$C$34)</f>
        <v>9.9659201150651864</v>
      </c>
      <c r="P667">
        <f t="shared" si="11"/>
        <v>66.099999999999994</v>
      </c>
    </row>
    <row r="668" spans="10:16">
      <c r="J668" s="5"/>
      <c r="L668">
        <f>TMTA!M668</f>
        <v>0.41806100000000102</v>
      </c>
      <c r="M668">
        <f>TMTA!N668</f>
        <v>66.2</v>
      </c>
      <c r="O668">
        <f>ABS(L668-TMTA!$C$34)</f>
        <v>9.9528371150651864</v>
      </c>
      <c r="P668">
        <f t="shared" si="11"/>
        <v>66.2</v>
      </c>
    </row>
    <row r="669" spans="10:16">
      <c r="J669" s="5"/>
      <c r="L669">
        <f>TMTA!M669</f>
        <v>0.43114400000000003</v>
      </c>
      <c r="M669">
        <f>TMTA!N669</f>
        <v>66.3</v>
      </c>
      <c r="O669">
        <f>ABS(L669-TMTA!$C$34)</f>
        <v>9.9397541150651882</v>
      </c>
      <c r="P669">
        <f t="shared" si="11"/>
        <v>66.3</v>
      </c>
    </row>
    <row r="670" spans="10:16">
      <c r="J670" s="5"/>
      <c r="L670">
        <f>TMTA!M670</f>
        <v>0.43473595999999998</v>
      </c>
      <c r="M670">
        <f>TMTA!N670</f>
        <v>66.400000000000006</v>
      </c>
      <c r="O670">
        <f>ABS(L670-TMTA!$C$34)</f>
        <v>9.9361621550651886</v>
      </c>
      <c r="P670">
        <f t="shared" si="11"/>
        <v>66.400000000000006</v>
      </c>
    </row>
    <row r="671" spans="10:16">
      <c r="J671" s="5"/>
      <c r="L671">
        <f>TMTA!M671</f>
        <v>0.43490060000000003</v>
      </c>
      <c r="M671">
        <f>TMTA!N671</f>
        <v>66.5</v>
      </c>
      <c r="O671">
        <f>ABS(L671-TMTA!$C$34)</f>
        <v>9.9359975150651874</v>
      </c>
      <c r="P671">
        <f t="shared" si="11"/>
        <v>66.5</v>
      </c>
    </row>
    <row r="672" spans="10:16">
      <c r="J672" s="5"/>
      <c r="L672">
        <f>TMTA!M672</f>
        <v>0.435089</v>
      </c>
      <c r="M672">
        <f>TMTA!N672</f>
        <v>66.599999999999994</v>
      </c>
      <c r="O672">
        <f>ABS(L672-TMTA!$C$34)</f>
        <v>9.9358091150651884</v>
      </c>
      <c r="P672">
        <f t="shared" si="11"/>
        <v>66.599999999999994</v>
      </c>
    </row>
    <row r="673" spans="10:16">
      <c r="J673" s="5"/>
      <c r="L673">
        <f>TMTA!M673</f>
        <v>0.43538300000000002</v>
      </c>
      <c r="M673">
        <f>TMTA!N673</f>
        <v>66.7</v>
      </c>
      <c r="O673">
        <f>ABS(L673-TMTA!$C$34)</f>
        <v>9.9355151150651881</v>
      </c>
      <c r="P673">
        <f t="shared" si="11"/>
        <v>66.7</v>
      </c>
    </row>
    <row r="674" spans="10:16">
      <c r="J674" s="5"/>
      <c r="L674">
        <f>TMTA!M674</f>
        <v>0.43567699999999998</v>
      </c>
      <c r="M674">
        <f>TMTA!N674</f>
        <v>66.8</v>
      </c>
      <c r="O674">
        <f>ABS(L674-TMTA!$C$34)</f>
        <v>9.9352211150651879</v>
      </c>
      <c r="P674">
        <f t="shared" si="11"/>
        <v>66.8</v>
      </c>
    </row>
    <row r="675" spans="10:16">
      <c r="J675" s="5"/>
      <c r="L675">
        <f>TMTA!M675</f>
        <v>0.43783472000000001</v>
      </c>
      <c r="M675">
        <f>TMTA!N675</f>
        <v>66.900000000000006</v>
      </c>
      <c r="O675">
        <f>ABS(L675-TMTA!$C$34)</f>
        <v>9.9330633950651883</v>
      </c>
      <c r="P675">
        <f t="shared" si="11"/>
        <v>66.900000000000006</v>
      </c>
    </row>
    <row r="676" spans="10:16">
      <c r="J676" s="5"/>
      <c r="L676">
        <f>TMTA!M676</f>
        <v>0.44107459999999998</v>
      </c>
      <c r="M676">
        <f>TMTA!N676</f>
        <v>67</v>
      </c>
      <c r="O676">
        <f>ABS(L676-TMTA!$C$34)</f>
        <v>9.9298235150651877</v>
      </c>
      <c r="P676">
        <f t="shared" si="11"/>
        <v>67</v>
      </c>
    </row>
    <row r="677" spans="10:16">
      <c r="J677" s="5"/>
      <c r="L677">
        <f>TMTA!M677</f>
        <v>0.44405</v>
      </c>
      <c r="M677">
        <f>TMTA!N677</f>
        <v>67.099999999999994</v>
      </c>
      <c r="O677">
        <f>ABS(L677-TMTA!$C$34)</f>
        <v>9.9268481150651873</v>
      </c>
      <c r="P677">
        <f t="shared" si="11"/>
        <v>67.099999999999994</v>
      </c>
    </row>
    <row r="678" spans="10:16">
      <c r="J678" s="5"/>
      <c r="L678">
        <f>TMTA!M678</f>
        <v>0.44405</v>
      </c>
      <c r="M678">
        <f>TMTA!N678</f>
        <v>67.2</v>
      </c>
      <c r="O678">
        <f>ABS(L678-TMTA!$C$34)</f>
        <v>9.9268481150651873</v>
      </c>
      <c r="P678">
        <f t="shared" si="11"/>
        <v>67.2</v>
      </c>
    </row>
    <row r="679" spans="10:16">
      <c r="J679" s="5"/>
      <c r="L679">
        <f>TMTA!M679</f>
        <v>0.44405</v>
      </c>
      <c r="M679">
        <f>TMTA!N679</f>
        <v>67.3</v>
      </c>
      <c r="O679">
        <f>ABS(L679-TMTA!$C$34)</f>
        <v>9.9268481150651873</v>
      </c>
      <c r="P679">
        <f t="shared" si="11"/>
        <v>67.3</v>
      </c>
    </row>
    <row r="680" spans="10:16">
      <c r="J680" s="5"/>
      <c r="L680">
        <f>TMTA!M680</f>
        <v>0.44459828800000001</v>
      </c>
      <c r="M680">
        <f>TMTA!N680</f>
        <v>67.400000000000006</v>
      </c>
      <c r="O680">
        <f>ABS(L680-TMTA!$C$34)</f>
        <v>9.9262998270651881</v>
      </c>
      <c r="P680">
        <f t="shared" si="11"/>
        <v>67.400000000000006</v>
      </c>
    </row>
    <row r="681" spans="10:16">
      <c r="J681" s="5"/>
      <c r="L681">
        <f>TMTA!M681</f>
        <v>0.44563160000000002</v>
      </c>
      <c r="M681">
        <f>TMTA!N681</f>
        <v>67.5</v>
      </c>
      <c r="O681">
        <f>ABS(L681-TMTA!$C$34)</f>
        <v>9.9252665150651875</v>
      </c>
      <c r="P681">
        <f t="shared" si="11"/>
        <v>67.5</v>
      </c>
    </row>
    <row r="682" spans="10:16">
      <c r="J682" s="5"/>
      <c r="L682">
        <f>TMTA!M682</f>
        <v>0.44666491200000003</v>
      </c>
      <c r="M682">
        <f>TMTA!N682</f>
        <v>67.599999999999994</v>
      </c>
      <c r="O682">
        <f>ABS(L682-TMTA!$C$34)</f>
        <v>9.9242332030651887</v>
      </c>
      <c r="P682">
        <f t="shared" si="11"/>
        <v>67.599999999999994</v>
      </c>
    </row>
    <row r="683" spans="10:16">
      <c r="J683" s="5"/>
      <c r="L683">
        <f>TMTA!M683</f>
        <v>0.44773585599999999</v>
      </c>
      <c r="M683">
        <f>TMTA!N683</f>
        <v>67.7</v>
      </c>
      <c r="O683">
        <f>ABS(L683-TMTA!$C$34)</f>
        <v>9.9231622590651885</v>
      </c>
      <c r="P683">
        <f t="shared" si="11"/>
        <v>67.7</v>
      </c>
    </row>
    <row r="684" spans="10:16">
      <c r="J684" s="5"/>
      <c r="L684">
        <f>TMTA!M684</f>
        <v>0.44880758399999998</v>
      </c>
      <c r="M684">
        <f>TMTA!N684</f>
        <v>67.8</v>
      </c>
      <c r="O684">
        <f>ABS(L684-TMTA!$C$34)</f>
        <v>9.9220905310651872</v>
      </c>
      <c r="P684">
        <f t="shared" si="11"/>
        <v>67.8</v>
      </c>
    </row>
    <row r="685" spans="10:16">
      <c r="J685" s="5"/>
      <c r="L685">
        <f>TMTA!M685</f>
        <v>0.45066387200000002</v>
      </c>
      <c r="M685">
        <f>TMTA!N685</f>
        <v>67.900000000000006</v>
      </c>
      <c r="O685">
        <f>ABS(L685-TMTA!$C$34)</f>
        <v>9.9202342430651882</v>
      </c>
      <c r="P685">
        <f t="shared" si="11"/>
        <v>67.900000000000006</v>
      </c>
    </row>
    <row r="686" spans="10:16">
      <c r="J686" s="5"/>
      <c r="L686">
        <f>TMTA!M686</f>
        <v>0.45356624000000001</v>
      </c>
      <c r="M686">
        <f>TMTA!N686</f>
        <v>68</v>
      </c>
      <c r="O686">
        <f>ABS(L686-TMTA!$C$34)</f>
        <v>9.9173318750651873</v>
      </c>
      <c r="P686">
        <f t="shared" si="11"/>
        <v>68</v>
      </c>
    </row>
    <row r="687" spans="10:16">
      <c r="J687" s="5"/>
      <c r="L687">
        <f>TMTA!M687</f>
        <v>0.456468608</v>
      </c>
      <c r="M687">
        <f>TMTA!N687</f>
        <v>68.099999999999994</v>
      </c>
      <c r="O687">
        <f>ABS(L687-TMTA!$C$34)</f>
        <v>9.9144295070651882</v>
      </c>
      <c r="P687">
        <f t="shared" si="11"/>
        <v>68.099999999999994</v>
      </c>
    </row>
    <row r="688" spans="10:16">
      <c r="J688" s="5"/>
      <c r="L688">
        <f>TMTA!M688</f>
        <v>0.456828128</v>
      </c>
      <c r="M688">
        <f>TMTA!N688</f>
        <v>68.2</v>
      </c>
      <c r="O688">
        <f>ABS(L688-TMTA!$C$34)</f>
        <v>9.9140699870651883</v>
      </c>
      <c r="P688">
        <f t="shared" si="11"/>
        <v>68.2</v>
      </c>
    </row>
    <row r="689" spans="10:16">
      <c r="J689" s="5"/>
      <c r="L689">
        <f>TMTA!M689</f>
        <v>0.45683283200000002</v>
      </c>
      <c r="M689">
        <f>TMTA!N689</f>
        <v>68.3</v>
      </c>
      <c r="O689">
        <f>ABS(L689-TMTA!$C$34)</f>
        <v>9.9140652830651881</v>
      </c>
      <c r="P689">
        <f t="shared" si="11"/>
        <v>68.3</v>
      </c>
    </row>
    <row r="690" spans="10:16">
      <c r="J690" s="5"/>
      <c r="L690">
        <f>TMTA!M690</f>
        <v>0.460860832000001</v>
      </c>
      <c r="M690">
        <f>TMTA!N690</f>
        <v>68.400000000000006</v>
      </c>
      <c r="O690">
        <f>ABS(L690-TMTA!$C$34)</f>
        <v>9.9100372830651864</v>
      </c>
      <c r="P690">
        <f t="shared" si="11"/>
        <v>68.400000000000006</v>
      </c>
    </row>
    <row r="691" spans="10:16">
      <c r="J691" s="5"/>
      <c r="L691">
        <f>TMTA!M691</f>
        <v>0.47318688000000098</v>
      </c>
      <c r="M691">
        <f>TMTA!N691</f>
        <v>68.5</v>
      </c>
      <c r="O691">
        <f>ABS(L691-TMTA!$C$34)</f>
        <v>9.8977112350651879</v>
      </c>
      <c r="P691">
        <f t="shared" si="11"/>
        <v>68.5</v>
      </c>
    </row>
    <row r="692" spans="10:16">
      <c r="J692" s="5"/>
      <c r="L692">
        <f>TMTA!M692</f>
        <v>0.48551292800000101</v>
      </c>
      <c r="M692">
        <f>TMTA!N692</f>
        <v>68.599999999999994</v>
      </c>
      <c r="O692">
        <f>ABS(L692-TMTA!$C$34)</f>
        <v>9.8853851870651877</v>
      </c>
      <c r="P692">
        <f t="shared" si="11"/>
        <v>68.599999999999994</v>
      </c>
    </row>
    <row r="693" spans="10:16">
      <c r="J693" s="5"/>
      <c r="L693">
        <f>TMTA!M693</f>
        <v>0.490580672</v>
      </c>
      <c r="M693">
        <f>TMTA!N693</f>
        <v>68.7</v>
      </c>
      <c r="O693">
        <f>ABS(L693-TMTA!$C$34)</f>
        <v>9.8803174430651879</v>
      </c>
      <c r="P693">
        <f t="shared" si="11"/>
        <v>68.7</v>
      </c>
    </row>
    <row r="694" spans="10:16">
      <c r="J694" s="5"/>
      <c r="L694">
        <f>TMTA!M694</f>
        <v>0.49354732800000001</v>
      </c>
      <c r="M694">
        <f>TMTA!N694</f>
        <v>68.8</v>
      </c>
      <c r="O694">
        <f>ABS(L694-TMTA!$C$34)</f>
        <v>9.877350787065188</v>
      </c>
      <c r="P694">
        <f t="shared" si="11"/>
        <v>68.8</v>
      </c>
    </row>
    <row r="695" spans="10:16">
      <c r="J695" s="5"/>
      <c r="L695">
        <f>TMTA!M695</f>
        <v>0.49760509600000002</v>
      </c>
      <c r="M695">
        <f>TMTA!N695</f>
        <v>68.900000000000006</v>
      </c>
      <c r="O695">
        <f>ABS(L695-TMTA!$C$34)</f>
        <v>9.8732930190651871</v>
      </c>
      <c r="P695">
        <f t="shared" si="11"/>
        <v>68.900000000000006</v>
      </c>
    </row>
    <row r="696" spans="10:16">
      <c r="J696" s="5"/>
      <c r="L696">
        <f>TMTA!M696</f>
        <v>0.50543216000000002</v>
      </c>
      <c r="M696">
        <f>TMTA!N696</f>
        <v>69</v>
      </c>
      <c r="O696">
        <f>ABS(L696-TMTA!$C$34)</f>
        <v>9.8654659550651882</v>
      </c>
      <c r="P696">
        <f t="shared" si="11"/>
        <v>69</v>
      </c>
    </row>
    <row r="697" spans="10:16">
      <c r="J697" s="5"/>
      <c r="L697">
        <f>TMTA!M697</f>
        <v>0.51325922400000001</v>
      </c>
      <c r="M697">
        <f>TMTA!N697</f>
        <v>69.099999999999994</v>
      </c>
      <c r="O697">
        <f>ABS(L697-TMTA!$C$34)</f>
        <v>9.8576388910651875</v>
      </c>
      <c r="P697">
        <f t="shared" si="11"/>
        <v>69.099999999999994</v>
      </c>
    </row>
    <row r="698" spans="10:16">
      <c r="J698" s="5"/>
      <c r="L698">
        <f>TMTA!M698</f>
        <v>0.52040041599999998</v>
      </c>
      <c r="M698">
        <f>TMTA!N698</f>
        <v>69.2</v>
      </c>
      <c r="O698">
        <f>ABS(L698-TMTA!$C$34)</f>
        <v>9.8504976990651887</v>
      </c>
      <c r="P698">
        <f t="shared" si="11"/>
        <v>69.2</v>
      </c>
    </row>
    <row r="699" spans="10:16">
      <c r="J699" s="5"/>
      <c r="L699">
        <f>TMTA!M699</f>
        <v>0.52720906400000001</v>
      </c>
      <c r="M699">
        <f>TMTA!N699</f>
        <v>69.3</v>
      </c>
      <c r="O699">
        <f>ABS(L699-TMTA!$C$34)</f>
        <v>9.8436890510651871</v>
      </c>
      <c r="P699">
        <f t="shared" si="11"/>
        <v>69.3</v>
      </c>
    </row>
    <row r="700" spans="10:16">
      <c r="J700" s="5"/>
      <c r="L700">
        <f>TMTA!M700</f>
        <v>0.53352182400000003</v>
      </c>
      <c r="M700">
        <f>TMTA!N700</f>
        <v>69.400000000000006</v>
      </c>
      <c r="O700">
        <f>ABS(L700-TMTA!$C$34)</f>
        <v>9.8373762910651887</v>
      </c>
      <c r="P700">
        <f t="shared" si="11"/>
        <v>69.400000000000006</v>
      </c>
    </row>
    <row r="701" spans="10:16">
      <c r="J701" s="5"/>
      <c r="L701">
        <f>TMTA!M701</f>
        <v>0.53628072000000004</v>
      </c>
      <c r="M701">
        <f>TMTA!N701</f>
        <v>69.5</v>
      </c>
      <c r="O701">
        <f>ABS(L701-TMTA!$C$34)</f>
        <v>9.8346173950651874</v>
      </c>
      <c r="P701">
        <f t="shared" si="11"/>
        <v>69.5</v>
      </c>
    </row>
    <row r="702" spans="10:16">
      <c r="J702" s="5"/>
      <c r="L702">
        <f>TMTA!M702</f>
        <v>0.53903961600000005</v>
      </c>
      <c r="M702">
        <f>TMTA!N702</f>
        <v>69.599999999999994</v>
      </c>
      <c r="O702">
        <f>ABS(L702-TMTA!$C$34)</f>
        <v>9.8318584990651878</v>
      </c>
      <c r="P702">
        <f t="shared" si="11"/>
        <v>69.599999999999994</v>
      </c>
    </row>
    <row r="703" spans="10:16">
      <c r="J703" s="5"/>
      <c r="L703">
        <f>TMTA!M703</f>
        <v>0.54022199999999998</v>
      </c>
      <c r="M703">
        <f>TMTA!N703</f>
        <v>69.7</v>
      </c>
      <c r="O703">
        <f>ABS(L703-TMTA!$C$34)</f>
        <v>9.830676115065188</v>
      </c>
      <c r="P703">
        <f t="shared" si="11"/>
        <v>69.7</v>
      </c>
    </row>
    <row r="704" spans="10:16">
      <c r="J704" s="5"/>
      <c r="L704">
        <f>TMTA!M704</f>
        <v>0.54022199999999998</v>
      </c>
      <c r="M704">
        <f>TMTA!N704</f>
        <v>69.8</v>
      </c>
      <c r="O704">
        <f>ABS(L704-TMTA!$C$34)</f>
        <v>9.830676115065188</v>
      </c>
      <c r="P704">
        <f t="shared" si="11"/>
        <v>69.8</v>
      </c>
    </row>
    <row r="705" spans="10:16">
      <c r="J705" s="5"/>
      <c r="L705">
        <f>TMTA!M705</f>
        <v>0.540224072</v>
      </c>
      <c r="M705">
        <f>TMTA!N705</f>
        <v>69.900000000000006</v>
      </c>
      <c r="O705">
        <f>ABS(L705-TMTA!$C$34)</f>
        <v>9.8306740430651871</v>
      </c>
      <c r="P705">
        <f t="shared" si="11"/>
        <v>69.900000000000006</v>
      </c>
    </row>
    <row r="706" spans="10:16">
      <c r="J706" s="5"/>
      <c r="L706">
        <f>TMTA!M706</f>
        <v>0.54032559999999996</v>
      </c>
      <c r="M706">
        <f>TMTA!N706</f>
        <v>70</v>
      </c>
      <c r="O706">
        <f>ABS(L706-TMTA!$C$34)</f>
        <v>9.8305725150651888</v>
      </c>
      <c r="P706">
        <f t="shared" si="11"/>
        <v>70</v>
      </c>
    </row>
    <row r="707" spans="10:16">
      <c r="J707" s="5"/>
      <c r="L707">
        <f>TMTA!M707</f>
        <v>0.54042712800000003</v>
      </c>
      <c r="M707">
        <f>TMTA!N707</f>
        <v>70.099999999999994</v>
      </c>
      <c r="O707">
        <f>ABS(L707-TMTA!$C$34)</f>
        <v>9.8304709870651887</v>
      </c>
      <c r="P707">
        <f t="shared" si="11"/>
        <v>70.099999999999994</v>
      </c>
    </row>
    <row r="708" spans="10:16">
      <c r="J708" s="5"/>
      <c r="L708">
        <f>TMTA!M708</f>
        <v>0.54057520800000003</v>
      </c>
      <c r="M708">
        <f>TMTA!N708</f>
        <v>70.2</v>
      </c>
      <c r="O708">
        <f>ABS(L708-TMTA!$C$34)</f>
        <v>9.8303229070651881</v>
      </c>
      <c r="P708">
        <f t="shared" si="11"/>
        <v>70.2</v>
      </c>
    </row>
    <row r="709" spans="10:16">
      <c r="J709" s="5"/>
      <c r="L709">
        <f>TMTA!M709</f>
        <v>0.54077591199999997</v>
      </c>
      <c r="M709">
        <f>TMTA!N709</f>
        <v>70.3</v>
      </c>
      <c r="O709">
        <f>ABS(L709-TMTA!$C$34)</f>
        <v>9.8301222030651871</v>
      </c>
      <c r="P709">
        <f t="shared" si="11"/>
        <v>70.3</v>
      </c>
    </row>
    <row r="710" spans="10:16">
      <c r="J710" s="5"/>
      <c r="L710">
        <f>TMTA!M710</f>
        <v>0.54097661600000002</v>
      </c>
      <c r="M710">
        <f>TMTA!N710</f>
        <v>70.400000000000006</v>
      </c>
      <c r="O710">
        <f>ABS(L710-TMTA!$C$34)</f>
        <v>9.829921499065188</v>
      </c>
      <c r="P710">
        <f t="shared" si="11"/>
        <v>70.400000000000006</v>
      </c>
    </row>
    <row r="711" spans="10:16">
      <c r="J711" s="5"/>
      <c r="L711">
        <f>TMTA!M711</f>
        <v>0.54323292000000001</v>
      </c>
      <c r="M711">
        <f>TMTA!N711</f>
        <v>70.5</v>
      </c>
      <c r="O711">
        <f>ABS(L711-TMTA!$C$34)</f>
        <v>9.8276651950651885</v>
      </c>
      <c r="P711">
        <f t="shared" ref="P711:P774" si="12">M711</f>
        <v>70.5</v>
      </c>
    </row>
    <row r="712" spans="10:16">
      <c r="J712" s="5"/>
      <c r="L712">
        <f>TMTA!M712</f>
        <v>0.54567194399999996</v>
      </c>
      <c r="M712">
        <f>TMTA!N712</f>
        <v>70.599999999999994</v>
      </c>
      <c r="O712">
        <f>ABS(L712-TMTA!$C$34)</f>
        <v>9.8252261710651876</v>
      </c>
      <c r="P712">
        <f t="shared" si="12"/>
        <v>70.599999999999994</v>
      </c>
    </row>
    <row r="713" spans="10:16">
      <c r="J713" s="5"/>
      <c r="L713">
        <f>TMTA!M713</f>
        <v>0.54893349599999997</v>
      </c>
      <c r="M713">
        <f>TMTA!N713</f>
        <v>70.7</v>
      </c>
      <c r="O713">
        <f>ABS(L713-TMTA!$C$34)</f>
        <v>9.8219646190651879</v>
      </c>
      <c r="P713">
        <f t="shared" si="12"/>
        <v>70.7</v>
      </c>
    </row>
    <row r="714" spans="10:16">
      <c r="J714" s="5"/>
      <c r="L714">
        <f>TMTA!M714</f>
        <v>0.55361162399999997</v>
      </c>
      <c r="M714">
        <f>TMTA!N714</f>
        <v>70.8</v>
      </c>
      <c r="O714">
        <f>ABS(L714-TMTA!$C$34)</f>
        <v>9.8172864910651878</v>
      </c>
      <c r="P714">
        <f t="shared" si="12"/>
        <v>70.8</v>
      </c>
    </row>
    <row r="715" spans="10:16">
      <c r="J715" s="5"/>
      <c r="L715">
        <f>TMTA!M715</f>
        <v>0.55828975199999997</v>
      </c>
      <c r="M715">
        <f>TMTA!N715</f>
        <v>70.900000000000006</v>
      </c>
      <c r="O715">
        <f>ABS(L715-TMTA!$C$34)</f>
        <v>9.8126083630651877</v>
      </c>
      <c r="P715">
        <f t="shared" si="12"/>
        <v>70.900000000000006</v>
      </c>
    </row>
    <row r="716" spans="10:16">
      <c r="J716" s="5"/>
      <c r="L716">
        <f>TMTA!M716</f>
        <v>0.56083092000000001</v>
      </c>
      <c r="M716">
        <f>TMTA!N716</f>
        <v>71</v>
      </c>
      <c r="O716">
        <f>ABS(L716-TMTA!$C$34)</f>
        <v>9.8100671950651872</v>
      </c>
      <c r="P716">
        <f t="shared" si="12"/>
        <v>71</v>
      </c>
    </row>
    <row r="717" spans="10:16">
      <c r="J717" s="5"/>
      <c r="L717">
        <f>TMTA!M717</f>
        <v>0.562891272</v>
      </c>
      <c r="M717">
        <f>TMTA!N717</f>
        <v>71.099999999999994</v>
      </c>
      <c r="O717">
        <f>ABS(L717-TMTA!$C$34)</f>
        <v>9.8080068430651881</v>
      </c>
      <c r="P717">
        <f t="shared" si="12"/>
        <v>71.099999999999994</v>
      </c>
    </row>
    <row r="718" spans="10:16">
      <c r="J718" s="5"/>
      <c r="L718">
        <f>TMTA!M718</f>
        <v>0.56729828000000004</v>
      </c>
      <c r="M718">
        <f>TMTA!N718</f>
        <v>71.2</v>
      </c>
      <c r="O718">
        <f>ABS(L718-TMTA!$C$34)</f>
        <v>9.8035998350651887</v>
      </c>
      <c r="P718">
        <f t="shared" si="12"/>
        <v>71.2</v>
      </c>
    </row>
    <row r="719" spans="10:16">
      <c r="J719" s="5"/>
      <c r="L719">
        <f>TMTA!M719</f>
        <v>0.57820371999999898</v>
      </c>
      <c r="M719">
        <f>TMTA!N719</f>
        <v>71.3</v>
      </c>
      <c r="O719">
        <f>ABS(L719-TMTA!$C$34)</f>
        <v>9.7926943950651886</v>
      </c>
      <c r="P719">
        <f t="shared" si="12"/>
        <v>71.3</v>
      </c>
    </row>
    <row r="720" spans="10:16">
      <c r="J720" s="5"/>
      <c r="L720">
        <f>TMTA!M720</f>
        <v>0.58910915999999902</v>
      </c>
      <c r="M720">
        <f>TMTA!N720</f>
        <v>71.400000000000006</v>
      </c>
      <c r="O720">
        <f>ABS(L720-TMTA!$C$34)</f>
        <v>9.7817889550651884</v>
      </c>
      <c r="P720">
        <f t="shared" si="12"/>
        <v>71.400000000000006</v>
      </c>
    </row>
    <row r="721" spans="10:16">
      <c r="J721" s="5"/>
      <c r="L721">
        <f>TMTA!M721</f>
        <v>0.59548084000000001</v>
      </c>
      <c r="M721">
        <f>TMTA!N721</f>
        <v>71.5</v>
      </c>
      <c r="O721">
        <f>ABS(L721-TMTA!$C$34)</f>
        <v>9.7754172750651875</v>
      </c>
      <c r="P721">
        <f t="shared" si="12"/>
        <v>71.5</v>
      </c>
    </row>
    <row r="722" spans="10:16">
      <c r="J722" s="5"/>
      <c r="L722">
        <f>TMTA!M722</f>
        <v>0.60003901599999998</v>
      </c>
      <c r="M722">
        <f>TMTA!N722</f>
        <v>71.599999999999994</v>
      </c>
      <c r="O722">
        <f>ABS(L722-TMTA!$C$34)</f>
        <v>9.7708590990651878</v>
      </c>
      <c r="P722">
        <f t="shared" si="12"/>
        <v>71.599999999999994</v>
      </c>
    </row>
    <row r="723" spans="10:16">
      <c r="J723" s="5"/>
      <c r="L723">
        <f>TMTA!M723</f>
        <v>0.60455597599999999</v>
      </c>
      <c r="M723">
        <f>TMTA!N723</f>
        <v>71.7</v>
      </c>
      <c r="O723">
        <f>ABS(L723-TMTA!$C$34)</f>
        <v>9.7663421390651877</v>
      </c>
      <c r="P723">
        <f t="shared" si="12"/>
        <v>71.7</v>
      </c>
    </row>
    <row r="724" spans="10:16">
      <c r="J724" s="5"/>
      <c r="L724">
        <f>TMTA!M724</f>
        <v>0.60886170399999995</v>
      </c>
      <c r="M724">
        <f>TMTA!N724</f>
        <v>71.8</v>
      </c>
      <c r="O724">
        <f>ABS(L724-TMTA!$C$34)</f>
        <v>9.7620364110651874</v>
      </c>
      <c r="P724">
        <f t="shared" si="12"/>
        <v>71.8</v>
      </c>
    </row>
    <row r="725" spans="10:16">
      <c r="J725" s="5"/>
      <c r="L725">
        <f>TMTA!M725</f>
        <v>0.61316743200000001</v>
      </c>
      <c r="M725">
        <f>TMTA!N725</f>
        <v>71.900000000000006</v>
      </c>
      <c r="O725">
        <f>ABS(L725-TMTA!$C$34)</f>
        <v>9.7577306830651871</v>
      </c>
      <c r="P725">
        <f t="shared" si="12"/>
        <v>71.900000000000006</v>
      </c>
    </row>
    <row r="726" spans="10:16">
      <c r="J726" s="5"/>
      <c r="L726">
        <f>TMTA!M726</f>
        <v>0.61710140000000002</v>
      </c>
      <c r="M726">
        <f>TMTA!N726</f>
        <v>72</v>
      </c>
      <c r="O726">
        <f>ABS(L726-TMTA!$C$34)</f>
        <v>9.7537967150651887</v>
      </c>
      <c r="P726">
        <f t="shared" si="12"/>
        <v>72</v>
      </c>
    </row>
    <row r="727" spans="10:16">
      <c r="J727" s="5"/>
      <c r="L727">
        <f>TMTA!M727</f>
        <v>0.62079991999999995</v>
      </c>
      <c r="M727">
        <f>TMTA!N727</f>
        <v>72.099999999999994</v>
      </c>
      <c r="O727">
        <f>ABS(L727-TMTA!$C$34)</f>
        <v>9.7500981950651884</v>
      </c>
      <c r="P727">
        <f t="shared" si="12"/>
        <v>72.099999999999994</v>
      </c>
    </row>
    <row r="728" spans="10:16">
      <c r="J728" s="5"/>
      <c r="L728">
        <f>TMTA!M728</f>
        <v>0.62433896</v>
      </c>
      <c r="M728">
        <f>TMTA!N728</f>
        <v>72.2</v>
      </c>
      <c r="O728">
        <f>ABS(L728-TMTA!$C$34)</f>
        <v>9.7465591550651887</v>
      </c>
      <c r="P728">
        <f t="shared" si="12"/>
        <v>72.2</v>
      </c>
    </row>
    <row r="729" spans="10:16">
      <c r="J729" s="5"/>
      <c r="L729">
        <f>TMTA!M729</f>
        <v>0.62543263999999998</v>
      </c>
      <c r="M729">
        <f>TMTA!N729</f>
        <v>72.3</v>
      </c>
      <c r="O729">
        <f>ABS(L729-TMTA!$C$34)</f>
        <v>9.7454654750651883</v>
      </c>
      <c r="P729">
        <f t="shared" si="12"/>
        <v>72.3</v>
      </c>
    </row>
    <row r="730" spans="10:16">
      <c r="J730" s="5"/>
      <c r="L730">
        <f>TMTA!M730</f>
        <v>0.62652631999999997</v>
      </c>
      <c r="M730">
        <f>TMTA!N730</f>
        <v>72.400000000000006</v>
      </c>
      <c r="O730">
        <f>ABS(L730-TMTA!$C$34)</f>
        <v>9.744371795065188</v>
      </c>
      <c r="P730">
        <f t="shared" si="12"/>
        <v>72.400000000000006</v>
      </c>
    </row>
    <row r="731" spans="10:16">
      <c r="J731" s="5"/>
      <c r="L731">
        <f>TMTA!M731</f>
        <v>0.63087079999999995</v>
      </c>
      <c r="M731">
        <f>TMTA!N731</f>
        <v>72.5</v>
      </c>
      <c r="O731">
        <f>ABS(L731-TMTA!$C$34)</f>
        <v>9.7400273150651877</v>
      </c>
      <c r="P731">
        <f t="shared" si="12"/>
        <v>72.5</v>
      </c>
    </row>
    <row r="732" spans="10:16">
      <c r="J732" s="5"/>
      <c r="L732">
        <f>TMTA!M732</f>
        <v>0.63833604799999999</v>
      </c>
      <c r="M732">
        <f>TMTA!N732</f>
        <v>72.599999999999994</v>
      </c>
      <c r="O732">
        <f>ABS(L732-TMTA!$C$34)</f>
        <v>9.7325620670651887</v>
      </c>
      <c r="P732">
        <f t="shared" si="12"/>
        <v>72.599999999999994</v>
      </c>
    </row>
    <row r="733" spans="10:16">
      <c r="J733" s="5"/>
      <c r="L733">
        <f>TMTA!M733</f>
        <v>0.64580129600000002</v>
      </c>
      <c r="M733">
        <f>TMTA!N733</f>
        <v>72.7</v>
      </c>
      <c r="O733">
        <f>ABS(L733-TMTA!$C$34)</f>
        <v>9.7250968190651879</v>
      </c>
      <c r="P733">
        <f t="shared" si="12"/>
        <v>72.7</v>
      </c>
    </row>
    <row r="734" spans="10:16">
      <c r="J734" s="5"/>
      <c r="L734">
        <f>TMTA!M734</f>
        <v>0.65697277599999904</v>
      </c>
      <c r="M734">
        <f>TMTA!N734</f>
        <v>72.8</v>
      </c>
      <c r="O734">
        <f>ABS(L734-TMTA!$C$34)</f>
        <v>9.7139253390651881</v>
      </c>
      <c r="P734">
        <f t="shared" si="12"/>
        <v>72.8</v>
      </c>
    </row>
    <row r="735" spans="10:16">
      <c r="J735" s="5"/>
      <c r="L735">
        <f>TMTA!M735</f>
        <v>0.66830196799999897</v>
      </c>
      <c r="M735">
        <f>TMTA!N735</f>
        <v>72.900000000000006</v>
      </c>
      <c r="O735">
        <f>ABS(L735-TMTA!$C$34)</f>
        <v>9.7025961470651882</v>
      </c>
      <c r="P735">
        <f t="shared" si="12"/>
        <v>72.900000000000006</v>
      </c>
    </row>
    <row r="736" spans="10:16">
      <c r="J736" s="5"/>
      <c r="L736">
        <f>TMTA!M736</f>
        <v>0.67600059999999995</v>
      </c>
      <c r="M736">
        <f>TMTA!N736</f>
        <v>73</v>
      </c>
      <c r="O736">
        <f>ABS(L736-TMTA!$C$34)</f>
        <v>9.6948975150651879</v>
      </c>
      <c r="P736">
        <f t="shared" si="12"/>
        <v>73</v>
      </c>
    </row>
    <row r="737" spans="10:16">
      <c r="J737" s="5"/>
      <c r="L737">
        <f>TMTA!M737</f>
        <v>0.67843492000000005</v>
      </c>
      <c r="M737">
        <f>TMTA!N737</f>
        <v>73.099999999999994</v>
      </c>
      <c r="O737">
        <f>ABS(L737-TMTA!$C$34)</f>
        <v>9.6924631950651872</v>
      </c>
      <c r="P737">
        <f t="shared" si="12"/>
        <v>73.099999999999994</v>
      </c>
    </row>
    <row r="738" spans="10:16">
      <c r="J738" s="5"/>
      <c r="L738">
        <f>TMTA!M738</f>
        <v>0.68086924000000004</v>
      </c>
      <c r="M738">
        <f>TMTA!N738</f>
        <v>73.2</v>
      </c>
      <c r="O738">
        <f>ABS(L738-TMTA!$C$34)</f>
        <v>9.6900288750651882</v>
      </c>
      <c r="P738">
        <f t="shared" si="12"/>
        <v>73.2</v>
      </c>
    </row>
    <row r="739" spans="10:16">
      <c r="J739" s="5"/>
      <c r="L739">
        <f>TMTA!M739</f>
        <v>0.68520565600000005</v>
      </c>
      <c r="M739">
        <f>TMTA!N739</f>
        <v>73.3</v>
      </c>
      <c r="O739">
        <f>ABS(L739-TMTA!$C$34)</f>
        <v>9.6856924590651872</v>
      </c>
      <c r="P739">
        <f t="shared" si="12"/>
        <v>73.3</v>
      </c>
    </row>
    <row r="740" spans="10:16">
      <c r="J740" s="5"/>
      <c r="L740">
        <f>TMTA!M740</f>
        <v>0.68985908799999995</v>
      </c>
      <c r="M740">
        <f>TMTA!N740</f>
        <v>73.400000000000006</v>
      </c>
      <c r="O740">
        <f>ABS(L740-TMTA!$C$34)</f>
        <v>9.6810390270651876</v>
      </c>
      <c r="P740">
        <f t="shared" si="12"/>
        <v>73.400000000000006</v>
      </c>
    </row>
    <row r="741" spans="10:16">
      <c r="J741" s="5"/>
      <c r="L741">
        <f>TMTA!M741</f>
        <v>0.69322348</v>
      </c>
      <c r="M741">
        <f>TMTA!N741</f>
        <v>73.5</v>
      </c>
      <c r="O741">
        <f>ABS(L741-TMTA!$C$34)</f>
        <v>9.6776746350651877</v>
      </c>
      <c r="P741">
        <f t="shared" si="12"/>
        <v>73.5</v>
      </c>
    </row>
    <row r="742" spans="10:16">
      <c r="J742" s="5"/>
      <c r="L742">
        <f>TMTA!M742</f>
        <v>0.69366604799999998</v>
      </c>
      <c r="M742">
        <f>TMTA!N742</f>
        <v>73.599999999999994</v>
      </c>
      <c r="O742">
        <f>ABS(L742-TMTA!$C$34)</f>
        <v>9.6772320670651872</v>
      </c>
      <c r="P742">
        <f t="shared" si="12"/>
        <v>73.599999999999994</v>
      </c>
    </row>
    <row r="743" spans="10:16">
      <c r="J743" s="5"/>
      <c r="L743">
        <f>TMTA!M743</f>
        <v>0.69410861599999996</v>
      </c>
      <c r="M743">
        <f>TMTA!N743</f>
        <v>73.7</v>
      </c>
      <c r="O743">
        <f>ABS(L743-TMTA!$C$34)</f>
        <v>9.6767894990651886</v>
      </c>
      <c r="P743">
        <f t="shared" si="12"/>
        <v>73.7</v>
      </c>
    </row>
    <row r="744" spans="10:16">
      <c r="J744" s="5"/>
      <c r="L744">
        <f>TMTA!M744</f>
        <v>0.70236262400000005</v>
      </c>
      <c r="M744">
        <f>TMTA!N744</f>
        <v>73.8</v>
      </c>
      <c r="O744">
        <f>ABS(L744-TMTA!$C$34)</f>
        <v>9.6685354910651888</v>
      </c>
      <c r="P744">
        <f t="shared" si="12"/>
        <v>73.8</v>
      </c>
    </row>
    <row r="745" spans="10:16">
      <c r="J745" s="5"/>
      <c r="L745">
        <f>TMTA!M745</f>
        <v>0.71315007200000002</v>
      </c>
      <c r="M745">
        <f>TMTA!N745</f>
        <v>73.900000000000006</v>
      </c>
      <c r="O745">
        <f>ABS(L745-TMTA!$C$34)</f>
        <v>9.6577480430651885</v>
      </c>
      <c r="P745">
        <f t="shared" si="12"/>
        <v>73.900000000000006</v>
      </c>
    </row>
    <row r="746" spans="10:16">
      <c r="J746" s="5"/>
      <c r="L746">
        <f>TMTA!M746</f>
        <v>0.72173600000000004</v>
      </c>
      <c r="M746">
        <f>TMTA!N746</f>
        <v>74</v>
      </c>
      <c r="O746">
        <f>ABS(L746-TMTA!$C$34)</f>
        <v>9.6491621150651881</v>
      </c>
      <c r="P746">
        <f t="shared" si="12"/>
        <v>74</v>
      </c>
    </row>
    <row r="747" spans="10:16">
      <c r="J747" s="5"/>
      <c r="L747">
        <f>TMTA!M747</f>
        <v>0.72173600000000004</v>
      </c>
      <c r="M747">
        <f>TMTA!N747</f>
        <v>74.099999999999994</v>
      </c>
      <c r="O747">
        <f>ABS(L747-TMTA!$C$34)</f>
        <v>9.6491621150651881</v>
      </c>
      <c r="P747">
        <f t="shared" si="12"/>
        <v>74.099999999999994</v>
      </c>
    </row>
    <row r="748" spans="10:16">
      <c r="J748" s="5"/>
      <c r="L748">
        <f>TMTA!M748</f>
        <v>0.72173600000000004</v>
      </c>
      <c r="M748">
        <f>TMTA!N748</f>
        <v>74.2</v>
      </c>
      <c r="O748">
        <f>ABS(L748-TMTA!$C$34)</f>
        <v>9.6491621150651881</v>
      </c>
      <c r="P748">
        <f t="shared" si="12"/>
        <v>74.2</v>
      </c>
    </row>
    <row r="749" spans="10:16">
      <c r="J749" s="5"/>
      <c r="L749">
        <f>TMTA!M749</f>
        <v>0.72173600000000004</v>
      </c>
      <c r="M749">
        <f>TMTA!N749</f>
        <v>74.3</v>
      </c>
      <c r="O749">
        <f>ABS(L749-TMTA!$C$34)</f>
        <v>9.6491621150651881</v>
      </c>
      <c r="P749">
        <f t="shared" si="12"/>
        <v>74.3</v>
      </c>
    </row>
    <row r="750" spans="10:16">
      <c r="J750" s="5"/>
      <c r="L750">
        <f>TMTA!M750</f>
        <v>0.72173600000000004</v>
      </c>
      <c r="M750">
        <f>TMTA!N750</f>
        <v>74.400000000000006</v>
      </c>
      <c r="O750">
        <f>ABS(L750-TMTA!$C$34)</f>
        <v>9.6491621150651881</v>
      </c>
      <c r="P750">
        <f t="shared" si="12"/>
        <v>74.400000000000006</v>
      </c>
    </row>
    <row r="751" spans="10:16">
      <c r="J751" s="5"/>
      <c r="L751">
        <f>TMTA!M751</f>
        <v>0.72212651999999999</v>
      </c>
      <c r="M751">
        <f>TMTA!N751</f>
        <v>74.5</v>
      </c>
      <c r="O751">
        <f>ABS(L751-TMTA!$C$34)</f>
        <v>9.6487715950651882</v>
      </c>
      <c r="P751">
        <f t="shared" si="12"/>
        <v>74.5</v>
      </c>
    </row>
    <row r="752" spans="10:16">
      <c r="J752" s="5"/>
      <c r="L752">
        <f>TMTA!M752</f>
        <v>0.72595361599999997</v>
      </c>
      <c r="M752">
        <f>TMTA!N752</f>
        <v>74.599999999999994</v>
      </c>
      <c r="O752">
        <f>ABS(L752-TMTA!$C$34)</f>
        <v>9.644944499065188</v>
      </c>
      <c r="P752">
        <f t="shared" si="12"/>
        <v>74.599999999999994</v>
      </c>
    </row>
    <row r="753" spans="10:16">
      <c r="J753" s="5"/>
      <c r="L753">
        <f>TMTA!M753</f>
        <v>0.72978071200000005</v>
      </c>
      <c r="M753">
        <f>TMTA!N753</f>
        <v>74.7</v>
      </c>
      <c r="O753">
        <f>ABS(L753-TMTA!$C$34)</f>
        <v>9.6411174030651878</v>
      </c>
      <c r="P753">
        <f t="shared" si="12"/>
        <v>74.7</v>
      </c>
    </row>
    <row r="754" spans="10:16">
      <c r="J754" s="5"/>
      <c r="L754">
        <f>TMTA!M754</f>
        <v>0.73249864799999997</v>
      </c>
      <c r="M754">
        <f>TMTA!N754</f>
        <v>74.8</v>
      </c>
      <c r="O754">
        <f>ABS(L754-TMTA!$C$34)</f>
        <v>9.638399467065188</v>
      </c>
      <c r="P754">
        <f t="shared" si="12"/>
        <v>74.8</v>
      </c>
    </row>
    <row r="755" spans="10:16">
      <c r="J755" s="5"/>
      <c r="L755">
        <f>TMTA!M755</f>
        <v>0.73431282399999998</v>
      </c>
      <c r="M755">
        <f>TMTA!N755</f>
        <v>74.900000000000006</v>
      </c>
      <c r="O755">
        <f>ABS(L755-TMTA!$C$34)</f>
        <v>9.6365852910651881</v>
      </c>
      <c r="P755">
        <f t="shared" si="12"/>
        <v>74.900000000000006</v>
      </c>
    </row>
    <row r="756" spans="10:16">
      <c r="J756" s="5"/>
      <c r="L756">
        <f>TMTA!M756</f>
        <v>0.73612699999999998</v>
      </c>
      <c r="M756">
        <f>TMTA!N756</f>
        <v>75</v>
      </c>
      <c r="O756">
        <f>ABS(L756-TMTA!$C$34)</f>
        <v>9.6347711150651882</v>
      </c>
      <c r="P756">
        <f t="shared" si="12"/>
        <v>75</v>
      </c>
    </row>
    <row r="757" spans="10:16">
      <c r="J757" s="5"/>
      <c r="L757">
        <f>TMTA!M757</f>
        <v>0.73612699999999998</v>
      </c>
      <c r="M757">
        <f>TMTA!N757</f>
        <v>75.099999999999994</v>
      </c>
      <c r="O757">
        <f>ABS(L757-TMTA!$C$34)</f>
        <v>9.6347711150651882</v>
      </c>
      <c r="P757">
        <f t="shared" si="12"/>
        <v>75.099999999999994</v>
      </c>
    </row>
    <row r="758" spans="10:16">
      <c r="J758" s="5"/>
      <c r="L758">
        <f>TMTA!M758</f>
        <v>0.73612699999999998</v>
      </c>
      <c r="M758">
        <f>TMTA!N758</f>
        <v>75.2</v>
      </c>
      <c r="O758">
        <f>ABS(L758-TMTA!$C$34)</f>
        <v>9.6347711150651882</v>
      </c>
      <c r="P758">
        <f t="shared" si="12"/>
        <v>75.2</v>
      </c>
    </row>
    <row r="759" spans="10:16">
      <c r="J759" s="5"/>
      <c r="L759">
        <f>TMTA!M759</f>
        <v>0.73710098400000001</v>
      </c>
      <c r="M759">
        <f>TMTA!N759</f>
        <v>75.3</v>
      </c>
      <c r="O759">
        <f>ABS(L759-TMTA!$C$34)</f>
        <v>9.6337971310651884</v>
      </c>
      <c r="P759">
        <f t="shared" si="12"/>
        <v>75.3</v>
      </c>
    </row>
    <row r="760" spans="10:16">
      <c r="J760" s="5"/>
      <c r="L760">
        <f>TMTA!M760</f>
        <v>0.73927031200000004</v>
      </c>
      <c r="M760">
        <f>TMTA!N760</f>
        <v>75.400000000000006</v>
      </c>
      <c r="O760">
        <f>ABS(L760-TMTA!$C$34)</f>
        <v>9.6316278030651876</v>
      </c>
      <c r="P760">
        <f t="shared" si="12"/>
        <v>75.400000000000006</v>
      </c>
    </row>
    <row r="761" spans="10:16">
      <c r="J761" s="5"/>
      <c r="L761">
        <f>TMTA!M761</f>
        <v>0.74143963999999996</v>
      </c>
      <c r="M761">
        <f>TMTA!N761</f>
        <v>75.5</v>
      </c>
      <c r="O761">
        <f>ABS(L761-TMTA!$C$34)</f>
        <v>9.6294584750651886</v>
      </c>
      <c r="P761">
        <f t="shared" si="12"/>
        <v>75.5</v>
      </c>
    </row>
    <row r="762" spans="10:16">
      <c r="J762" s="5"/>
      <c r="L762">
        <f>TMTA!M762</f>
        <v>0.74166100000000001</v>
      </c>
      <c r="M762">
        <f>TMTA!N762</f>
        <v>75.599999999999994</v>
      </c>
      <c r="O762">
        <f>ABS(L762-TMTA!$C$34)</f>
        <v>9.6292371150651874</v>
      </c>
      <c r="P762">
        <f t="shared" si="12"/>
        <v>75.599999999999994</v>
      </c>
    </row>
    <row r="763" spans="10:16">
      <c r="J763" s="5"/>
      <c r="L763">
        <f>TMTA!M763</f>
        <v>0.74166100000000001</v>
      </c>
      <c r="M763">
        <f>TMTA!N763</f>
        <v>75.7</v>
      </c>
      <c r="O763">
        <f>ABS(L763-TMTA!$C$34)</f>
        <v>9.6292371150651874</v>
      </c>
      <c r="P763">
        <f t="shared" si="12"/>
        <v>75.7</v>
      </c>
    </row>
    <row r="764" spans="10:16">
      <c r="J764" s="5"/>
      <c r="L764">
        <f>TMTA!M764</f>
        <v>0.74166100000000001</v>
      </c>
      <c r="M764">
        <f>TMTA!N764</f>
        <v>75.8</v>
      </c>
      <c r="O764">
        <f>ABS(L764-TMTA!$C$34)</f>
        <v>9.6292371150651874</v>
      </c>
      <c r="P764">
        <f t="shared" si="12"/>
        <v>75.8</v>
      </c>
    </row>
    <row r="765" spans="10:16">
      <c r="J765" s="5"/>
      <c r="L765">
        <f>TMTA!M765</f>
        <v>0.74166100000000001</v>
      </c>
      <c r="M765">
        <f>TMTA!N765</f>
        <v>75.900000000000006</v>
      </c>
      <c r="O765">
        <f>ABS(L765-TMTA!$C$34)</f>
        <v>9.6292371150651874</v>
      </c>
      <c r="P765">
        <f t="shared" si="12"/>
        <v>75.900000000000006</v>
      </c>
    </row>
    <row r="766" spans="10:16">
      <c r="J766" s="5"/>
      <c r="L766">
        <f>TMTA!M766</f>
        <v>0.74166100000000001</v>
      </c>
      <c r="M766">
        <f>TMTA!N766</f>
        <v>76</v>
      </c>
      <c r="O766">
        <f>ABS(L766-TMTA!$C$34)</f>
        <v>9.6292371150651874</v>
      </c>
      <c r="P766">
        <f t="shared" si="12"/>
        <v>76</v>
      </c>
    </row>
    <row r="767" spans="10:16">
      <c r="J767" s="5"/>
      <c r="L767">
        <f>TMTA!M767</f>
        <v>0.74767479999999997</v>
      </c>
      <c r="M767">
        <f>TMTA!N767</f>
        <v>76.099999999999994</v>
      </c>
      <c r="O767">
        <f>ABS(L767-TMTA!$C$34)</f>
        <v>9.6232233150651876</v>
      </c>
      <c r="P767">
        <f t="shared" si="12"/>
        <v>76.099999999999994</v>
      </c>
    </row>
    <row r="768" spans="10:16">
      <c r="J768" s="5"/>
      <c r="L768">
        <f>TMTA!M768</f>
        <v>0.75523059999999997</v>
      </c>
      <c r="M768">
        <f>TMTA!N768</f>
        <v>76.2</v>
      </c>
      <c r="O768">
        <f>ABS(L768-TMTA!$C$34)</f>
        <v>9.6156675150651871</v>
      </c>
      <c r="P768">
        <f t="shared" si="12"/>
        <v>76.2</v>
      </c>
    </row>
    <row r="769" spans="10:16">
      <c r="J769" s="5"/>
      <c r="L769">
        <f>TMTA!M769</f>
        <v>0.76143375999999996</v>
      </c>
      <c r="M769">
        <f>TMTA!N769</f>
        <v>76.3</v>
      </c>
      <c r="O769">
        <f>ABS(L769-TMTA!$C$34)</f>
        <v>9.6094643550651888</v>
      </c>
      <c r="P769">
        <f t="shared" si="12"/>
        <v>76.3</v>
      </c>
    </row>
    <row r="770" spans="10:16">
      <c r="J770" s="5"/>
      <c r="L770">
        <f>TMTA!M770</f>
        <v>0.76346628000000005</v>
      </c>
      <c r="M770">
        <f>TMTA!N770</f>
        <v>76.400000000000006</v>
      </c>
      <c r="O770">
        <f>ABS(L770-TMTA!$C$34)</f>
        <v>9.6074318350651886</v>
      </c>
      <c r="P770">
        <f t="shared" si="12"/>
        <v>76.400000000000006</v>
      </c>
    </row>
    <row r="771" spans="10:16">
      <c r="J771" s="5"/>
      <c r="L771">
        <f>TMTA!M771</f>
        <v>0.76549880000000003</v>
      </c>
      <c r="M771">
        <f>TMTA!N771</f>
        <v>76.5</v>
      </c>
      <c r="O771">
        <f>ABS(L771-TMTA!$C$34)</f>
        <v>9.6053993150651884</v>
      </c>
      <c r="P771">
        <f t="shared" si="12"/>
        <v>76.5</v>
      </c>
    </row>
    <row r="772" spans="10:16">
      <c r="J772" s="5"/>
      <c r="L772">
        <f>TMTA!M772</f>
        <v>0.76612100000000005</v>
      </c>
      <c r="M772">
        <f>TMTA!N772</f>
        <v>76.599999999999994</v>
      </c>
      <c r="O772">
        <f>ABS(L772-TMTA!$C$34)</f>
        <v>9.6047771150651879</v>
      </c>
      <c r="P772">
        <f t="shared" si="12"/>
        <v>76.599999999999994</v>
      </c>
    </row>
    <row r="773" spans="10:16">
      <c r="J773" s="5"/>
      <c r="L773">
        <f>TMTA!M773</f>
        <v>0.76612100000000005</v>
      </c>
      <c r="M773">
        <f>TMTA!N773</f>
        <v>76.7</v>
      </c>
      <c r="O773">
        <f>ABS(L773-TMTA!$C$34)</f>
        <v>9.6047771150651879</v>
      </c>
      <c r="P773">
        <f t="shared" si="12"/>
        <v>76.7</v>
      </c>
    </row>
    <row r="774" spans="10:16">
      <c r="J774" s="5"/>
      <c r="L774">
        <f>TMTA!M774</f>
        <v>0.76645257600000005</v>
      </c>
      <c r="M774">
        <f>TMTA!N774</f>
        <v>76.8</v>
      </c>
      <c r="O774">
        <f>ABS(L774-TMTA!$C$34)</f>
        <v>9.6044455390651873</v>
      </c>
      <c r="P774">
        <f t="shared" si="12"/>
        <v>76.8</v>
      </c>
    </row>
    <row r="775" spans="10:16">
      <c r="J775" s="5"/>
      <c r="L775">
        <f>TMTA!M775</f>
        <v>0.76877360800000005</v>
      </c>
      <c r="M775">
        <f>TMTA!N775</f>
        <v>76.900000000000006</v>
      </c>
      <c r="O775">
        <f>ABS(L775-TMTA!$C$34)</f>
        <v>9.6021245070651879</v>
      </c>
      <c r="P775">
        <f t="shared" ref="P775:P838" si="13">M775</f>
        <v>76.900000000000006</v>
      </c>
    </row>
    <row r="776" spans="10:16">
      <c r="J776" s="5"/>
      <c r="L776">
        <f>TMTA!M776</f>
        <v>0.77109464000000005</v>
      </c>
      <c r="M776">
        <f>TMTA!N776</f>
        <v>77</v>
      </c>
      <c r="O776">
        <f>ABS(L776-TMTA!$C$34)</f>
        <v>9.5998034750651886</v>
      </c>
      <c r="P776">
        <f t="shared" si="13"/>
        <v>77</v>
      </c>
    </row>
    <row r="777" spans="10:16">
      <c r="J777" s="5"/>
      <c r="L777">
        <f>TMTA!M777</f>
        <v>0.77353932800000003</v>
      </c>
      <c r="M777">
        <f>TMTA!N777</f>
        <v>77.099999999999994</v>
      </c>
      <c r="O777">
        <f>ABS(L777-TMTA!$C$34)</f>
        <v>9.597358787065188</v>
      </c>
      <c r="P777">
        <f t="shared" si="13"/>
        <v>77.099999999999994</v>
      </c>
    </row>
    <row r="778" spans="10:16">
      <c r="J778" s="5"/>
      <c r="L778">
        <f>TMTA!M778</f>
        <v>0.77606929599999996</v>
      </c>
      <c r="M778">
        <f>TMTA!N778</f>
        <v>77.2</v>
      </c>
      <c r="O778">
        <f>ABS(L778-TMTA!$C$34)</f>
        <v>9.5948288190651887</v>
      </c>
      <c r="P778">
        <f t="shared" si="13"/>
        <v>77.2</v>
      </c>
    </row>
    <row r="779" spans="10:16">
      <c r="J779" s="5"/>
      <c r="L779">
        <f>TMTA!M779</f>
        <v>0.77874027199999996</v>
      </c>
      <c r="M779">
        <f>TMTA!N779</f>
        <v>77.3</v>
      </c>
      <c r="O779">
        <f>ABS(L779-TMTA!$C$34)</f>
        <v>9.5921578430651877</v>
      </c>
      <c r="P779">
        <f t="shared" si="13"/>
        <v>77.3</v>
      </c>
    </row>
    <row r="780" spans="10:16">
      <c r="J780" s="5"/>
      <c r="L780">
        <f>TMTA!M780</f>
        <v>0.78472493600000004</v>
      </c>
      <c r="M780">
        <f>TMTA!N780</f>
        <v>77.400000000000006</v>
      </c>
      <c r="O780">
        <f>ABS(L780-TMTA!$C$34)</f>
        <v>9.5861731790651881</v>
      </c>
      <c r="P780">
        <f t="shared" si="13"/>
        <v>77.400000000000006</v>
      </c>
    </row>
    <row r="781" spans="10:16">
      <c r="J781" s="5"/>
      <c r="L781">
        <f>TMTA!M781</f>
        <v>0.79070960000000001</v>
      </c>
      <c r="M781">
        <f>TMTA!N781</f>
        <v>77.5</v>
      </c>
      <c r="O781">
        <f>ABS(L781-TMTA!$C$34)</f>
        <v>9.5801885150651884</v>
      </c>
      <c r="P781">
        <f t="shared" si="13"/>
        <v>77.5</v>
      </c>
    </row>
    <row r="782" spans="10:16">
      <c r="J782" s="5"/>
      <c r="L782">
        <f>TMTA!M782</f>
        <v>0.80088447200000001</v>
      </c>
      <c r="M782">
        <f>TMTA!N782</f>
        <v>77.599999999999994</v>
      </c>
      <c r="O782">
        <f>ABS(L782-TMTA!$C$34)</f>
        <v>9.5700136430651881</v>
      </c>
      <c r="P782">
        <f t="shared" si="13"/>
        <v>77.599999999999994</v>
      </c>
    </row>
    <row r="783" spans="10:16">
      <c r="J783" s="5"/>
      <c r="L783">
        <f>TMTA!M783</f>
        <v>0.81542414399999996</v>
      </c>
      <c r="M783">
        <f>TMTA!N783</f>
        <v>77.7</v>
      </c>
      <c r="O783">
        <f>ABS(L783-TMTA!$C$34)</f>
        <v>9.5554739710651884</v>
      </c>
      <c r="P783">
        <f t="shared" si="13"/>
        <v>77.7</v>
      </c>
    </row>
    <row r="784" spans="10:16">
      <c r="J784" s="5"/>
      <c r="L784">
        <f>TMTA!M784</f>
        <v>0.82996381600000002</v>
      </c>
      <c r="M784">
        <f>TMTA!N784</f>
        <v>77.8</v>
      </c>
      <c r="O784">
        <f>ABS(L784-TMTA!$C$34)</f>
        <v>9.5409342990651886</v>
      </c>
      <c r="P784">
        <f t="shared" si="13"/>
        <v>77.8</v>
      </c>
    </row>
    <row r="785" spans="10:16">
      <c r="J785" s="5"/>
      <c r="L785">
        <f>TMTA!M785</f>
        <v>0.83336743999999996</v>
      </c>
      <c r="M785">
        <f>TMTA!N785</f>
        <v>77.900000000000006</v>
      </c>
      <c r="O785">
        <f>ABS(L785-TMTA!$C$34)</f>
        <v>9.537530675065188</v>
      </c>
      <c r="P785">
        <f t="shared" si="13"/>
        <v>77.900000000000006</v>
      </c>
    </row>
    <row r="786" spans="10:16">
      <c r="J786" s="5"/>
      <c r="L786">
        <f>TMTA!M786</f>
        <v>0.83604480000000003</v>
      </c>
      <c r="M786">
        <f>TMTA!N786</f>
        <v>78</v>
      </c>
      <c r="O786">
        <f>ABS(L786-TMTA!$C$34)</f>
        <v>9.5348533150651882</v>
      </c>
      <c r="P786">
        <f t="shared" si="13"/>
        <v>78</v>
      </c>
    </row>
    <row r="787" spans="10:16">
      <c r="J787" s="5"/>
      <c r="L787">
        <f>TMTA!M787</f>
        <v>0.83892523200000002</v>
      </c>
      <c r="M787">
        <f>TMTA!N787</f>
        <v>78.099999999999994</v>
      </c>
      <c r="O787">
        <f>ABS(L787-TMTA!$C$34)</f>
        <v>9.5319728830651886</v>
      </c>
      <c r="P787">
        <f t="shared" si="13"/>
        <v>78.099999999999994</v>
      </c>
    </row>
    <row r="788" spans="10:16">
      <c r="J788" s="5"/>
      <c r="L788">
        <f>TMTA!M788</f>
        <v>0.84212630399999999</v>
      </c>
      <c r="M788">
        <f>TMTA!N788</f>
        <v>78.2</v>
      </c>
      <c r="O788">
        <f>ABS(L788-TMTA!$C$34)</f>
        <v>9.5287718110651873</v>
      </c>
      <c r="P788">
        <f t="shared" si="13"/>
        <v>78.2</v>
      </c>
    </row>
    <row r="789" spans="10:16">
      <c r="J789" s="5"/>
      <c r="L789">
        <f>TMTA!M789</f>
        <v>0.84532737599999996</v>
      </c>
      <c r="M789">
        <f>TMTA!N789</f>
        <v>78.3</v>
      </c>
      <c r="O789">
        <f>ABS(L789-TMTA!$C$34)</f>
        <v>9.5255707390651878</v>
      </c>
      <c r="P789">
        <f t="shared" si="13"/>
        <v>78.3</v>
      </c>
    </row>
    <row r="790" spans="10:16">
      <c r="J790" s="5"/>
      <c r="L790">
        <f>TMTA!M790</f>
        <v>0.84622031200000003</v>
      </c>
      <c r="M790">
        <f>TMTA!N790</f>
        <v>78.400000000000006</v>
      </c>
      <c r="O790">
        <f>ABS(L790-TMTA!$C$34)</f>
        <v>9.5246778030651882</v>
      </c>
      <c r="P790">
        <f t="shared" si="13"/>
        <v>78.400000000000006</v>
      </c>
    </row>
    <row r="791" spans="10:16">
      <c r="J791" s="5"/>
      <c r="L791">
        <f>TMTA!M791</f>
        <v>0.84666288000000001</v>
      </c>
      <c r="M791">
        <f>TMTA!N791</f>
        <v>78.5</v>
      </c>
      <c r="O791">
        <f>ABS(L791-TMTA!$C$34)</f>
        <v>9.5242352350651878</v>
      </c>
      <c r="P791">
        <f t="shared" si="13"/>
        <v>78.5</v>
      </c>
    </row>
    <row r="792" spans="10:16">
      <c r="J792" s="5"/>
      <c r="L792">
        <f>TMTA!M792</f>
        <v>0.84698997600000003</v>
      </c>
      <c r="M792">
        <f>TMTA!N792</f>
        <v>78.599999999999994</v>
      </c>
      <c r="O792">
        <f>ABS(L792-TMTA!$C$34)</f>
        <v>9.5239081390651883</v>
      </c>
      <c r="P792">
        <f t="shared" si="13"/>
        <v>78.599999999999994</v>
      </c>
    </row>
    <row r="793" spans="10:16">
      <c r="J793" s="5"/>
      <c r="L793">
        <f>TMTA!M793</f>
        <v>0.84702839200000002</v>
      </c>
      <c r="M793">
        <f>TMTA!N793</f>
        <v>78.7</v>
      </c>
      <c r="O793">
        <f>ABS(L793-TMTA!$C$34)</f>
        <v>9.5238697230651876</v>
      </c>
      <c r="P793">
        <f t="shared" si="13"/>
        <v>78.7</v>
      </c>
    </row>
    <row r="794" spans="10:16">
      <c r="J794" s="5"/>
      <c r="L794">
        <f>TMTA!M794</f>
        <v>0.847066808</v>
      </c>
      <c r="M794">
        <f>TMTA!N794</f>
        <v>78.8</v>
      </c>
      <c r="O794">
        <f>ABS(L794-TMTA!$C$34)</f>
        <v>9.5238313070651888</v>
      </c>
      <c r="P794">
        <f t="shared" si="13"/>
        <v>78.8</v>
      </c>
    </row>
    <row r="795" spans="10:16">
      <c r="J795" s="5"/>
      <c r="L795">
        <f>TMTA!M795</f>
        <v>0.84727859999999999</v>
      </c>
      <c r="M795">
        <f>TMTA!N795</f>
        <v>78.900000000000006</v>
      </c>
      <c r="O795">
        <f>ABS(L795-TMTA!$C$34)</f>
        <v>9.5236195150651888</v>
      </c>
      <c r="P795">
        <f t="shared" si="13"/>
        <v>78.900000000000006</v>
      </c>
    </row>
    <row r="796" spans="10:16">
      <c r="J796" s="5"/>
      <c r="L796">
        <f>TMTA!M796</f>
        <v>0.847553</v>
      </c>
      <c r="M796">
        <f>TMTA!N796</f>
        <v>79</v>
      </c>
      <c r="O796">
        <f>ABS(L796-TMTA!$C$34)</f>
        <v>9.5233451150651884</v>
      </c>
      <c r="P796">
        <f t="shared" si="13"/>
        <v>79</v>
      </c>
    </row>
    <row r="797" spans="10:16">
      <c r="J797" s="5"/>
      <c r="L797">
        <f>TMTA!M797</f>
        <v>0.84781235200000005</v>
      </c>
      <c r="M797">
        <f>TMTA!N797</f>
        <v>79.099999999999994</v>
      </c>
      <c r="O797">
        <f>ABS(L797-TMTA!$C$34)</f>
        <v>9.5230857630651879</v>
      </c>
      <c r="P797">
        <f t="shared" si="13"/>
        <v>79.099999999999994</v>
      </c>
    </row>
    <row r="798" spans="10:16">
      <c r="J798" s="5"/>
      <c r="L798">
        <f>TMTA!M798</f>
        <v>0.84800482399999999</v>
      </c>
      <c r="M798">
        <f>TMTA!N798</f>
        <v>79.2</v>
      </c>
      <c r="O798">
        <f>ABS(L798-TMTA!$C$34)</f>
        <v>9.5228932910651878</v>
      </c>
      <c r="P798">
        <f t="shared" si="13"/>
        <v>79.2</v>
      </c>
    </row>
    <row r="799" spans="10:16">
      <c r="J799" s="5"/>
      <c r="L799">
        <f>TMTA!M799</f>
        <v>0.84819729600000004</v>
      </c>
      <c r="M799">
        <f>TMTA!N799</f>
        <v>79.3</v>
      </c>
      <c r="O799">
        <f>ABS(L799-TMTA!$C$34)</f>
        <v>9.5227008190651876</v>
      </c>
      <c r="P799">
        <f t="shared" si="13"/>
        <v>79.3</v>
      </c>
    </row>
    <row r="800" spans="10:16">
      <c r="J800" s="5"/>
      <c r="L800">
        <f>TMTA!M800</f>
        <v>0.84833744</v>
      </c>
      <c r="M800">
        <f>TMTA!N800</f>
        <v>79.400000000000006</v>
      </c>
      <c r="O800">
        <f>ABS(L800-TMTA!$C$34)</f>
        <v>9.5225606750651881</v>
      </c>
      <c r="P800">
        <f t="shared" si="13"/>
        <v>79.400000000000006</v>
      </c>
    </row>
    <row r="801" spans="10:16">
      <c r="J801" s="5"/>
      <c r="L801">
        <f>TMTA!M801</f>
        <v>0.84844719999999996</v>
      </c>
      <c r="M801">
        <f>TMTA!N801</f>
        <v>79.5</v>
      </c>
      <c r="O801">
        <f>ABS(L801-TMTA!$C$34)</f>
        <v>9.5224509150651873</v>
      </c>
      <c r="P801">
        <f t="shared" si="13"/>
        <v>79.5</v>
      </c>
    </row>
    <row r="802" spans="10:16">
      <c r="J802" s="5"/>
      <c r="L802">
        <f>TMTA!M802</f>
        <v>0.84974560000000099</v>
      </c>
      <c r="M802">
        <f>TMTA!N802</f>
        <v>79.599999999999994</v>
      </c>
      <c r="O802">
        <f>ABS(L802-TMTA!$C$34)</f>
        <v>9.5211525150651877</v>
      </c>
      <c r="P802">
        <f t="shared" si="13"/>
        <v>79.599999999999994</v>
      </c>
    </row>
    <row r="803" spans="10:16">
      <c r="J803" s="5"/>
      <c r="L803">
        <f>TMTA!M803</f>
        <v>0.86441620000000097</v>
      </c>
      <c r="M803">
        <f>TMTA!N803</f>
        <v>79.7</v>
      </c>
      <c r="O803">
        <f>ABS(L803-TMTA!$C$34)</f>
        <v>9.5064819150651871</v>
      </c>
      <c r="P803">
        <f t="shared" si="13"/>
        <v>79.7</v>
      </c>
    </row>
    <row r="804" spans="10:16">
      <c r="J804" s="5"/>
      <c r="L804">
        <f>TMTA!M804</f>
        <v>0.87908680000000095</v>
      </c>
      <c r="M804">
        <f>TMTA!N804</f>
        <v>79.8</v>
      </c>
      <c r="O804">
        <f>ABS(L804-TMTA!$C$34)</f>
        <v>9.4918113150651866</v>
      </c>
      <c r="P804">
        <f t="shared" si="13"/>
        <v>79.8</v>
      </c>
    </row>
    <row r="805" spans="10:16">
      <c r="J805" s="5"/>
      <c r="L805">
        <f>TMTA!M805</f>
        <v>0.88744439200000003</v>
      </c>
      <c r="M805">
        <f>TMTA!N805</f>
        <v>79.900000000000006</v>
      </c>
      <c r="O805">
        <f>ABS(L805-TMTA!$C$34)</f>
        <v>9.4834537230651872</v>
      </c>
      <c r="P805">
        <f t="shared" si="13"/>
        <v>79.900000000000006</v>
      </c>
    </row>
    <row r="806" spans="10:16">
      <c r="J806" s="5"/>
      <c r="L806">
        <f>TMTA!M806</f>
        <v>0.89021740000000005</v>
      </c>
      <c r="M806">
        <f>TMTA!N806</f>
        <v>80</v>
      </c>
      <c r="O806">
        <f>ABS(L806-TMTA!$C$34)</f>
        <v>9.4806807150651871</v>
      </c>
      <c r="P806">
        <f t="shared" si="13"/>
        <v>80</v>
      </c>
    </row>
    <row r="807" spans="10:16">
      <c r="J807" s="5"/>
      <c r="L807">
        <f>TMTA!M807</f>
        <v>0.89299040799999996</v>
      </c>
      <c r="M807">
        <f>TMTA!N807</f>
        <v>80.099999999999994</v>
      </c>
      <c r="O807">
        <f>ABS(L807-TMTA!$C$34)</f>
        <v>9.4779077070651887</v>
      </c>
      <c r="P807">
        <f t="shared" si="13"/>
        <v>80.099999999999994</v>
      </c>
    </row>
    <row r="808" spans="10:16">
      <c r="J808" s="5"/>
      <c r="L808">
        <f>TMTA!M808</f>
        <v>0.89304700000000004</v>
      </c>
      <c r="M808">
        <f>TMTA!N808</f>
        <v>80.2</v>
      </c>
      <c r="O808">
        <f>ABS(L808-TMTA!$C$34)</f>
        <v>9.4778511150651887</v>
      </c>
      <c r="P808">
        <f t="shared" si="13"/>
        <v>80.2</v>
      </c>
    </row>
    <row r="809" spans="10:16">
      <c r="J809" s="5"/>
      <c r="L809">
        <f>TMTA!M809</f>
        <v>0.89304700000000004</v>
      </c>
      <c r="M809">
        <f>TMTA!N809</f>
        <v>80.3</v>
      </c>
      <c r="O809">
        <f>ABS(L809-TMTA!$C$34)</f>
        <v>9.4778511150651887</v>
      </c>
      <c r="P809">
        <f t="shared" si="13"/>
        <v>80.3</v>
      </c>
    </row>
    <row r="810" spans="10:16">
      <c r="J810" s="5"/>
      <c r="L810">
        <f>TMTA!M810</f>
        <v>0.89339879200000005</v>
      </c>
      <c r="M810">
        <f>TMTA!N810</f>
        <v>80.400000000000006</v>
      </c>
      <c r="O810">
        <f>ABS(L810-TMTA!$C$34)</f>
        <v>9.4774993230651887</v>
      </c>
      <c r="P810">
        <f t="shared" si="13"/>
        <v>80.400000000000006</v>
      </c>
    </row>
    <row r="811" spans="10:16">
      <c r="J811" s="5"/>
      <c r="L811">
        <f>TMTA!M811</f>
        <v>0.89421963999999998</v>
      </c>
      <c r="M811">
        <f>TMTA!N811</f>
        <v>80.5</v>
      </c>
      <c r="O811">
        <f>ABS(L811-TMTA!$C$34)</f>
        <v>9.4766784750651887</v>
      </c>
      <c r="P811">
        <f t="shared" si="13"/>
        <v>80.5</v>
      </c>
    </row>
    <row r="812" spans="10:16">
      <c r="J812" s="5"/>
      <c r="L812">
        <f>TMTA!M812</f>
        <v>0.89504048800000002</v>
      </c>
      <c r="M812">
        <f>TMTA!N812</f>
        <v>80.599999999999994</v>
      </c>
      <c r="O812">
        <f>ABS(L812-TMTA!$C$34)</f>
        <v>9.4758576270651886</v>
      </c>
      <c r="P812">
        <f t="shared" si="13"/>
        <v>80.599999999999994</v>
      </c>
    </row>
    <row r="813" spans="10:16">
      <c r="J813" s="5"/>
      <c r="L813">
        <f>TMTA!M813</f>
        <v>0.89580973600000002</v>
      </c>
      <c r="M813">
        <f>TMTA!N813</f>
        <v>80.7</v>
      </c>
      <c r="O813">
        <f>ABS(L813-TMTA!$C$34)</f>
        <v>9.4750883790651876</v>
      </c>
      <c r="P813">
        <f t="shared" si="13"/>
        <v>80.7</v>
      </c>
    </row>
    <row r="814" spans="10:16">
      <c r="J814" s="5"/>
      <c r="L814">
        <f>TMTA!M814</f>
        <v>0.89657178400000004</v>
      </c>
      <c r="M814">
        <f>TMTA!N814</f>
        <v>80.8</v>
      </c>
      <c r="O814">
        <f>ABS(L814-TMTA!$C$34)</f>
        <v>9.4743263310651873</v>
      </c>
      <c r="P814">
        <f t="shared" si="13"/>
        <v>80.8</v>
      </c>
    </row>
    <row r="815" spans="10:16">
      <c r="J815" s="5"/>
      <c r="L815">
        <f>TMTA!M815</f>
        <v>0.89739232800000002</v>
      </c>
      <c r="M815">
        <f>TMTA!N815</f>
        <v>80.900000000000006</v>
      </c>
      <c r="O815">
        <f>ABS(L815-TMTA!$C$34)</f>
        <v>9.4735057870651875</v>
      </c>
      <c r="P815">
        <f t="shared" si="13"/>
        <v>80.900000000000006</v>
      </c>
    </row>
    <row r="816" spans="10:16">
      <c r="J816" s="5"/>
      <c r="L816">
        <f>TMTA!M816</f>
        <v>0.89833352</v>
      </c>
      <c r="M816">
        <f>TMTA!N816</f>
        <v>81</v>
      </c>
      <c r="O816">
        <f>ABS(L816-TMTA!$C$34)</f>
        <v>9.4725645950651884</v>
      </c>
      <c r="P816">
        <f t="shared" si="13"/>
        <v>81</v>
      </c>
    </row>
    <row r="817" spans="10:16">
      <c r="J817" s="5"/>
      <c r="L817">
        <f>TMTA!M817</f>
        <v>0.89927471199999998</v>
      </c>
      <c r="M817">
        <f>TMTA!N817</f>
        <v>81.099999999999994</v>
      </c>
      <c r="O817">
        <f>ABS(L817-TMTA!$C$34)</f>
        <v>9.4716234030651876</v>
      </c>
      <c r="P817">
        <f t="shared" si="13"/>
        <v>81.099999999999994</v>
      </c>
    </row>
    <row r="818" spans="10:16">
      <c r="J818" s="5"/>
      <c r="L818">
        <f>TMTA!M818</f>
        <v>0.89948600000000001</v>
      </c>
      <c r="M818">
        <f>TMTA!N818</f>
        <v>81.2</v>
      </c>
      <c r="O818">
        <f>ABS(L818-TMTA!$C$34)</f>
        <v>9.4714121150651884</v>
      </c>
      <c r="P818">
        <f t="shared" si="13"/>
        <v>81.2</v>
      </c>
    </row>
    <row r="819" spans="10:16">
      <c r="J819" s="5"/>
      <c r="L819">
        <f>TMTA!M819</f>
        <v>0.89948600000000001</v>
      </c>
      <c r="M819">
        <f>TMTA!N819</f>
        <v>81.3</v>
      </c>
      <c r="O819">
        <f>ABS(L819-TMTA!$C$34)</f>
        <v>9.4714121150651884</v>
      </c>
      <c r="P819">
        <f t="shared" si="13"/>
        <v>81.3</v>
      </c>
    </row>
    <row r="820" spans="10:16">
      <c r="J820" s="5"/>
      <c r="L820">
        <f>TMTA!M820</f>
        <v>0.89990241599999998</v>
      </c>
      <c r="M820">
        <f>TMTA!N820</f>
        <v>81.400000000000006</v>
      </c>
      <c r="O820">
        <f>ABS(L820-TMTA!$C$34)</f>
        <v>9.4709956990651882</v>
      </c>
      <c r="P820">
        <f t="shared" si="13"/>
        <v>81.400000000000006</v>
      </c>
    </row>
    <row r="821" spans="10:16">
      <c r="J821" s="5"/>
      <c r="L821">
        <f>TMTA!M821</f>
        <v>0.90175735999999995</v>
      </c>
      <c r="M821">
        <f>TMTA!N821</f>
        <v>81.5</v>
      </c>
      <c r="O821">
        <f>ABS(L821-TMTA!$C$34)</f>
        <v>9.4691407550651885</v>
      </c>
      <c r="P821">
        <f t="shared" si="13"/>
        <v>81.5</v>
      </c>
    </row>
    <row r="822" spans="10:16">
      <c r="J822" s="5"/>
      <c r="L822">
        <f>TMTA!M822</f>
        <v>0.90361230400000003</v>
      </c>
      <c r="M822">
        <f>TMTA!N822</f>
        <v>81.599999999999994</v>
      </c>
      <c r="O822">
        <f>ABS(L822-TMTA!$C$34)</f>
        <v>9.4672858110651887</v>
      </c>
      <c r="P822">
        <f t="shared" si="13"/>
        <v>81.599999999999994</v>
      </c>
    </row>
    <row r="823" spans="10:16">
      <c r="J823" s="5"/>
      <c r="L823">
        <f>TMTA!M823</f>
        <v>0.90421799999999997</v>
      </c>
      <c r="M823">
        <f>TMTA!N823</f>
        <v>81.7</v>
      </c>
      <c r="O823">
        <f>ABS(L823-TMTA!$C$34)</f>
        <v>9.4666801150651878</v>
      </c>
      <c r="P823">
        <f t="shared" si="13"/>
        <v>81.7</v>
      </c>
    </row>
    <row r="824" spans="10:16">
      <c r="J824" s="5"/>
      <c r="L824">
        <f>TMTA!M824</f>
        <v>0.90421799999999997</v>
      </c>
      <c r="M824">
        <f>TMTA!N824</f>
        <v>81.8</v>
      </c>
      <c r="O824">
        <f>ABS(L824-TMTA!$C$34)</f>
        <v>9.4666801150651878</v>
      </c>
      <c r="P824">
        <f t="shared" si="13"/>
        <v>81.8</v>
      </c>
    </row>
    <row r="825" spans="10:16">
      <c r="J825" s="5"/>
      <c r="L825">
        <f>TMTA!M825</f>
        <v>0.90428548799999997</v>
      </c>
      <c r="M825">
        <f>TMTA!N825</f>
        <v>81.900000000000006</v>
      </c>
      <c r="O825">
        <f>ABS(L825-TMTA!$C$34)</f>
        <v>9.4666126270651887</v>
      </c>
      <c r="P825">
        <f t="shared" si="13"/>
        <v>81.900000000000006</v>
      </c>
    </row>
    <row r="826" spans="10:16">
      <c r="J826" s="5"/>
      <c r="L826">
        <f>TMTA!M826</f>
        <v>0.90483663999999997</v>
      </c>
      <c r="M826">
        <f>TMTA!N826</f>
        <v>82</v>
      </c>
      <c r="O826">
        <f>ABS(L826-TMTA!$C$34)</f>
        <v>9.4660614750651888</v>
      </c>
      <c r="P826">
        <f t="shared" si="13"/>
        <v>82</v>
      </c>
    </row>
    <row r="827" spans="10:16">
      <c r="J827" s="5"/>
      <c r="L827">
        <f>TMTA!M827</f>
        <v>0.90538779199999997</v>
      </c>
      <c r="M827">
        <f>TMTA!N827</f>
        <v>82.1</v>
      </c>
      <c r="O827">
        <f>ABS(L827-TMTA!$C$34)</f>
        <v>9.4655103230651889</v>
      </c>
      <c r="P827">
        <f t="shared" si="13"/>
        <v>82.1</v>
      </c>
    </row>
    <row r="828" spans="10:16">
      <c r="J828" s="5"/>
      <c r="L828">
        <f>TMTA!M828</f>
        <v>0.90562399999999998</v>
      </c>
      <c r="M828">
        <f>TMTA!N828</f>
        <v>82.2</v>
      </c>
      <c r="O828">
        <f>ABS(L828-TMTA!$C$34)</f>
        <v>9.4652741150651885</v>
      </c>
      <c r="P828">
        <f t="shared" si="13"/>
        <v>82.2</v>
      </c>
    </row>
    <row r="829" spans="10:16">
      <c r="J829" s="5"/>
      <c r="L829">
        <f>TMTA!M829</f>
        <v>0.90562399999999998</v>
      </c>
      <c r="M829">
        <f>TMTA!N829</f>
        <v>82.3</v>
      </c>
      <c r="O829">
        <f>ABS(L829-TMTA!$C$34)</f>
        <v>9.4652741150651885</v>
      </c>
      <c r="P829">
        <f t="shared" si="13"/>
        <v>82.3</v>
      </c>
    </row>
    <row r="830" spans="10:16">
      <c r="J830" s="5"/>
      <c r="L830">
        <f>TMTA!M830</f>
        <v>0.90562667200000002</v>
      </c>
      <c r="M830">
        <f>TMTA!N830</f>
        <v>82.4</v>
      </c>
      <c r="O830">
        <f>ABS(L830-TMTA!$C$34)</f>
        <v>9.4652714430651876</v>
      </c>
      <c r="P830">
        <f t="shared" si="13"/>
        <v>82.4</v>
      </c>
    </row>
    <row r="831" spans="10:16">
      <c r="J831" s="5"/>
      <c r="L831">
        <f>TMTA!M831</f>
        <v>0.90575760000000005</v>
      </c>
      <c r="M831">
        <f>TMTA!N831</f>
        <v>82.5</v>
      </c>
      <c r="O831">
        <f>ABS(L831-TMTA!$C$34)</f>
        <v>9.4651405150651886</v>
      </c>
      <c r="P831">
        <f t="shared" si="13"/>
        <v>82.5</v>
      </c>
    </row>
    <row r="832" spans="10:16">
      <c r="J832" s="5"/>
      <c r="L832">
        <f>TMTA!M832</f>
        <v>0.90588852799999997</v>
      </c>
      <c r="M832">
        <f>TMTA!N832</f>
        <v>82.6</v>
      </c>
      <c r="O832">
        <f>ABS(L832-TMTA!$C$34)</f>
        <v>9.4650095870651878</v>
      </c>
      <c r="P832">
        <f t="shared" si="13"/>
        <v>82.6</v>
      </c>
    </row>
    <row r="833" spans="10:16">
      <c r="J833" s="5"/>
      <c r="L833">
        <f>TMTA!M833</f>
        <v>0.91016994400000095</v>
      </c>
      <c r="M833">
        <f>TMTA!N833</f>
        <v>82.7</v>
      </c>
      <c r="O833">
        <f>ABS(L833-TMTA!$C$34)</f>
        <v>9.4607281710651865</v>
      </c>
      <c r="P833">
        <f t="shared" si="13"/>
        <v>82.7</v>
      </c>
    </row>
    <row r="834" spans="10:16">
      <c r="J834" s="5"/>
      <c r="L834">
        <f>TMTA!M834</f>
        <v>0.91914321600000004</v>
      </c>
      <c r="M834">
        <f>TMTA!N834</f>
        <v>82.8</v>
      </c>
      <c r="O834">
        <f>ABS(L834-TMTA!$C$34)</f>
        <v>9.4517548990651878</v>
      </c>
      <c r="P834">
        <f t="shared" si="13"/>
        <v>82.8</v>
      </c>
    </row>
    <row r="835" spans="10:16">
      <c r="J835" s="5"/>
      <c r="L835">
        <f>TMTA!M835</f>
        <v>0.92811648800000002</v>
      </c>
      <c r="M835">
        <f>TMTA!N835</f>
        <v>82.9</v>
      </c>
      <c r="O835">
        <f>ABS(L835-TMTA!$C$34)</f>
        <v>9.4427816270651874</v>
      </c>
      <c r="P835">
        <f t="shared" si="13"/>
        <v>82.9</v>
      </c>
    </row>
    <row r="836" spans="10:16">
      <c r="J836" s="5"/>
      <c r="L836">
        <f>TMTA!M836</f>
        <v>0.93892648000000001</v>
      </c>
      <c r="M836">
        <f>TMTA!N836</f>
        <v>83</v>
      </c>
      <c r="O836">
        <f>ABS(L836-TMTA!$C$34)</f>
        <v>9.4319716350651888</v>
      </c>
      <c r="P836">
        <f t="shared" si="13"/>
        <v>83</v>
      </c>
    </row>
    <row r="837" spans="10:16">
      <c r="J837" s="5"/>
      <c r="L837">
        <f>TMTA!M837</f>
        <v>0.94989973599999999</v>
      </c>
      <c r="M837">
        <f>TMTA!N837</f>
        <v>83.1</v>
      </c>
      <c r="O837">
        <f>ABS(L837-TMTA!$C$34)</f>
        <v>9.4209983790651872</v>
      </c>
      <c r="P837">
        <f t="shared" si="13"/>
        <v>83.1</v>
      </c>
    </row>
    <row r="838" spans="10:16">
      <c r="J838" s="5"/>
      <c r="L838">
        <f>TMTA!M838</f>
        <v>0.95825593600000003</v>
      </c>
      <c r="M838">
        <f>TMTA!N838</f>
        <v>83.2</v>
      </c>
      <c r="O838">
        <f>ABS(L838-TMTA!$C$34)</f>
        <v>9.4126421790651875</v>
      </c>
      <c r="P838">
        <f t="shared" si="13"/>
        <v>83.2</v>
      </c>
    </row>
    <row r="839" spans="10:16">
      <c r="J839" s="5"/>
      <c r="L839">
        <f>TMTA!M839</f>
        <v>0.962104984</v>
      </c>
      <c r="M839">
        <f>TMTA!N839</f>
        <v>83.3</v>
      </c>
      <c r="O839">
        <f>ABS(L839-TMTA!$C$34)</f>
        <v>9.4087931310651882</v>
      </c>
      <c r="P839">
        <f t="shared" ref="P839:P902" si="14">M839</f>
        <v>83.3</v>
      </c>
    </row>
    <row r="840" spans="10:16">
      <c r="J840" s="5"/>
      <c r="L840">
        <f>TMTA!M840</f>
        <v>0.96595403199999996</v>
      </c>
      <c r="M840">
        <f>TMTA!N840</f>
        <v>83.4</v>
      </c>
      <c r="O840">
        <f>ABS(L840-TMTA!$C$34)</f>
        <v>9.4049440830651889</v>
      </c>
      <c r="P840">
        <f t="shared" si="14"/>
        <v>83.4</v>
      </c>
    </row>
    <row r="841" spans="10:16">
      <c r="J841" s="5"/>
      <c r="L841">
        <f>TMTA!M841</f>
        <v>0.96676404000000005</v>
      </c>
      <c r="M841">
        <f>TMTA!N841</f>
        <v>83.5</v>
      </c>
      <c r="O841">
        <f>ABS(L841-TMTA!$C$34)</f>
        <v>9.4041340750651887</v>
      </c>
      <c r="P841">
        <f t="shared" si="14"/>
        <v>83.5</v>
      </c>
    </row>
    <row r="842" spans="10:16">
      <c r="J842" s="5"/>
      <c r="L842">
        <f>TMTA!M842</f>
        <v>0.966890264</v>
      </c>
      <c r="M842">
        <f>TMTA!N842</f>
        <v>83.6</v>
      </c>
      <c r="O842">
        <f>ABS(L842-TMTA!$C$34)</f>
        <v>9.4040078510651881</v>
      </c>
      <c r="P842">
        <f t="shared" si="14"/>
        <v>83.6</v>
      </c>
    </row>
    <row r="843" spans="10:16">
      <c r="J843" s="5"/>
      <c r="L843">
        <f>TMTA!M843</f>
        <v>0.96808935200000001</v>
      </c>
      <c r="M843">
        <f>TMTA!N843</f>
        <v>83.7</v>
      </c>
      <c r="O843">
        <f>ABS(L843-TMTA!$C$34)</f>
        <v>9.4028087630651882</v>
      </c>
      <c r="P843">
        <f t="shared" si="14"/>
        <v>83.7</v>
      </c>
    </row>
    <row r="844" spans="10:16">
      <c r="J844" s="5"/>
      <c r="L844">
        <f>TMTA!M844</f>
        <v>0.97225944799999997</v>
      </c>
      <c r="M844">
        <f>TMTA!N844</f>
        <v>83.8</v>
      </c>
      <c r="O844">
        <f>ABS(L844-TMTA!$C$34)</f>
        <v>9.3986386670651889</v>
      </c>
      <c r="P844">
        <f t="shared" si="14"/>
        <v>83.8</v>
      </c>
    </row>
    <row r="845" spans="10:16">
      <c r="J845" s="5"/>
      <c r="L845">
        <f>TMTA!M845</f>
        <v>0.97642954400000004</v>
      </c>
      <c r="M845">
        <f>TMTA!N845</f>
        <v>83.9</v>
      </c>
      <c r="O845">
        <f>ABS(L845-TMTA!$C$34)</f>
        <v>9.3944685710651878</v>
      </c>
      <c r="P845">
        <f t="shared" si="14"/>
        <v>83.9</v>
      </c>
    </row>
    <row r="846" spans="10:16">
      <c r="J846" s="5"/>
      <c r="L846">
        <f>TMTA!M846</f>
        <v>0.97762099999999996</v>
      </c>
      <c r="M846">
        <f>TMTA!N846</f>
        <v>84</v>
      </c>
      <c r="O846">
        <f>ABS(L846-TMTA!$C$34)</f>
        <v>9.3932771150651888</v>
      </c>
      <c r="P846">
        <f t="shared" si="14"/>
        <v>84</v>
      </c>
    </row>
    <row r="847" spans="10:16">
      <c r="J847" s="5"/>
      <c r="L847">
        <f>TMTA!M847</f>
        <v>0.97762099999999996</v>
      </c>
      <c r="M847">
        <f>TMTA!N847</f>
        <v>84.1</v>
      </c>
      <c r="O847">
        <f>ABS(L847-TMTA!$C$34)</f>
        <v>9.3932771150651888</v>
      </c>
      <c r="P847">
        <f t="shared" si="14"/>
        <v>84.1</v>
      </c>
    </row>
    <row r="848" spans="10:16">
      <c r="J848" s="5"/>
      <c r="L848">
        <f>TMTA!M848</f>
        <v>0.97796391199999999</v>
      </c>
      <c r="M848">
        <f>TMTA!N848</f>
        <v>84.2</v>
      </c>
      <c r="O848">
        <f>ABS(L848-TMTA!$C$34)</f>
        <v>9.3929342030651881</v>
      </c>
      <c r="P848">
        <f t="shared" si="14"/>
        <v>84.2</v>
      </c>
    </row>
    <row r="849" spans="10:16">
      <c r="J849" s="5"/>
      <c r="L849">
        <f>TMTA!M849</f>
        <v>0.98006424800000003</v>
      </c>
      <c r="M849">
        <f>TMTA!N849</f>
        <v>84.3</v>
      </c>
      <c r="O849">
        <f>ABS(L849-TMTA!$C$34)</f>
        <v>9.3908338670651883</v>
      </c>
      <c r="P849">
        <f t="shared" si="14"/>
        <v>84.3</v>
      </c>
    </row>
    <row r="850" spans="10:16">
      <c r="J850" s="5"/>
      <c r="L850">
        <f>TMTA!M850</f>
        <v>0.98216458399999995</v>
      </c>
      <c r="M850">
        <f>TMTA!N850</f>
        <v>84.4</v>
      </c>
      <c r="O850">
        <f>ABS(L850-TMTA!$C$34)</f>
        <v>9.3887335310651885</v>
      </c>
      <c r="P850">
        <f t="shared" si="14"/>
        <v>84.4</v>
      </c>
    </row>
    <row r="851" spans="10:16">
      <c r="J851" s="5"/>
      <c r="L851">
        <f>TMTA!M851</f>
        <v>0.99007195999999997</v>
      </c>
      <c r="M851">
        <f>TMTA!N851</f>
        <v>84.5</v>
      </c>
      <c r="O851">
        <f>ABS(L851-TMTA!$C$34)</f>
        <v>9.3808261550651881</v>
      </c>
      <c r="P851">
        <f t="shared" si="14"/>
        <v>84.5</v>
      </c>
    </row>
    <row r="852" spans="10:16">
      <c r="J852" s="5"/>
      <c r="L852">
        <f>TMTA!M852</f>
        <v>1.001657128</v>
      </c>
      <c r="M852">
        <f>TMTA!N852</f>
        <v>84.6</v>
      </c>
      <c r="O852">
        <f>ABS(L852-TMTA!$C$34)</f>
        <v>9.3692409870651883</v>
      </c>
      <c r="P852">
        <f t="shared" si="14"/>
        <v>84.6</v>
      </c>
    </row>
    <row r="853" spans="10:16">
      <c r="J853" s="5"/>
      <c r="L853">
        <f>TMTA!M853</f>
        <v>1.0125457920000001</v>
      </c>
      <c r="M853">
        <f>TMTA!N853</f>
        <v>84.7</v>
      </c>
      <c r="O853">
        <f>ABS(L853-TMTA!$C$34)</f>
        <v>9.3583523230651871</v>
      </c>
      <c r="P853">
        <f t="shared" si="14"/>
        <v>84.7</v>
      </c>
    </row>
    <row r="854" spans="10:16">
      <c r="J854" s="5"/>
      <c r="L854">
        <f>TMTA!M854</f>
        <v>1.012754728</v>
      </c>
      <c r="M854">
        <f>TMTA!N854</f>
        <v>84.8</v>
      </c>
      <c r="O854">
        <f>ABS(L854-TMTA!$C$34)</f>
        <v>9.3581433870651871</v>
      </c>
      <c r="P854">
        <f t="shared" si="14"/>
        <v>84.8</v>
      </c>
    </row>
    <row r="855" spans="10:16">
      <c r="J855" s="5"/>
      <c r="L855">
        <f>TMTA!M855</f>
        <v>1.0129636639999999</v>
      </c>
      <c r="M855">
        <f>TMTA!N855</f>
        <v>84.9</v>
      </c>
      <c r="O855">
        <f>ABS(L855-TMTA!$C$34)</f>
        <v>9.3579344510651872</v>
      </c>
      <c r="P855">
        <f t="shared" si="14"/>
        <v>84.9</v>
      </c>
    </row>
    <row r="856" spans="10:16">
      <c r="J856" s="5"/>
      <c r="L856">
        <f>TMTA!M856</f>
        <v>1.0135246</v>
      </c>
      <c r="M856">
        <f>TMTA!N856</f>
        <v>85</v>
      </c>
      <c r="O856">
        <f>ABS(L856-TMTA!$C$34)</f>
        <v>9.3573735150651878</v>
      </c>
      <c r="P856">
        <f t="shared" si="14"/>
        <v>85</v>
      </c>
    </row>
    <row r="857" spans="10:16">
      <c r="J857" s="5"/>
      <c r="L857">
        <f>TMTA!M857</f>
        <v>1.0144234560000001</v>
      </c>
      <c r="M857">
        <f>TMTA!N857</f>
        <v>85.1</v>
      </c>
      <c r="O857">
        <f>ABS(L857-TMTA!$C$34)</f>
        <v>9.3564746590651886</v>
      </c>
      <c r="P857">
        <f t="shared" si="14"/>
        <v>85.1</v>
      </c>
    </row>
    <row r="858" spans="10:16">
      <c r="J858" s="5"/>
      <c r="L858">
        <f>TMTA!M858</f>
        <v>1.0153223119999999</v>
      </c>
      <c r="M858">
        <f>TMTA!N858</f>
        <v>85.2</v>
      </c>
      <c r="O858">
        <f>ABS(L858-TMTA!$C$34)</f>
        <v>9.3555758030651877</v>
      </c>
      <c r="P858">
        <f t="shared" si="14"/>
        <v>85.2</v>
      </c>
    </row>
    <row r="859" spans="10:16">
      <c r="J859" s="5"/>
      <c r="L859">
        <f>TMTA!M859</f>
        <v>1.0153589999999999</v>
      </c>
      <c r="M859">
        <f>TMTA!N859</f>
        <v>85.3</v>
      </c>
      <c r="O859">
        <f>ABS(L859-TMTA!$C$34)</f>
        <v>9.3555391150651879</v>
      </c>
      <c r="P859">
        <f t="shared" si="14"/>
        <v>85.3</v>
      </c>
    </row>
    <row r="860" spans="10:16">
      <c r="J860" s="5"/>
      <c r="L860">
        <f>TMTA!M860</f>
        <v>1.0153589999999999</v>
      </c>
      <c r="M860">
        <f>TMTA!N860</f>
        <v>85.4</v>
      </c>
      <c r="O860">
        <f>ABS(L860-TMTA!$C$34)</f>
        <v>9.3555391150651879</v>
      </c>
      <c r="P860">
        <f t="shared" si="14"/>
        <v>85.4</v>
      </c>
    </row>
    <row r="861" spans="10:16">
      <c r="J861" s="5"/>
      <c r="L861">
        <f>TMTA!M861</f>
        <v>1.0171940399999999</v>
      </c>
      <c r="M861">
        <f>TMTA!N861</f>
        <v>85.5</v>
      </c>
      <c r="O861">
        <f>ABS(L861-TMTA!$C$34)</f>
        <v>9.3537040750651883</v>
      </c>
      <c r="P861">
        <f t="shared" si="14"/>
        <v>85.5</v>
      </c>
    </row>
    <row r="862" spans="10:16">
      <c r="J862" s="5"/>
      <c r="L862">
        <f>TMTA!M862</f>
        <v>1.021689888</v>
      </c>
      <c r="M862">
        <f>TMTA!N862</f>
        <v>85.6</v>
      </c>
      <c r="O862">
        <f>ABS(L862-TMTA!$C$34)</f>
        <v>9.3492082270651871</v>
      </c>
      <c r="P862">
        <f t="shared" si="14"/>
        <v>85.6</v>
      </c>
    </row>
    <row r="863" spans="10:16">
      <c r="J863" s="5"/>
      <c r="L863">
        <f>TMTA!M863</f>
        <v>1.026185736</v>
      </c>
      <c r="M863">
        <f>TMTA!N863</f>
        <v>85.7</v>
      </c>
      <c r="O863">
        <f>ABS(L863-TMTA!$C$34)</f>
        <v>9.3447123790651876</v>
      </c>
      <c r="P863">
        <f t="shared" si="14"/>
        <v>85.7</v>
      </c>
    </row>
    <row r="864" spans="10:16">
      <c r="J864" s="5"/>
      <c r="L864">
        <f>TMTA!M864</f>
        <v>1.028156208</v>
      </c>
      <c r="M864">
        <f>TMTA!N864</f>
        <v>85.8</v>
      </c>
      <c r="O864">
        <f>ABS(L864-TMTA!$C$34)</f>
        <v>9.3427419070651876</v>
      </c>
      <c r="P864">
        <f t="shared" si="14"/>
        <v>85.8</v>
      </c>
    </row>
    <row r="865" spans="10:16">
      <c r="J865" s="5"/>
      <c r="L865">
        <f>TMTA!M865</f>
        <v>1.0297057839999999</v>
      </c>
      <c r="M865">
        <f>TMTA!N865</f>
        <v>85.9</v>
      </c>
      <c r="O865">
        <f>ABS(L865-TMTA!$C$34)</f>
        <v>9.3411923310651872</v>
      </c>
      <c r="P865">
        <f t="shared" si="14"/>
        <v>85.9</v>
      </c>
    </row>
    <row r="866" spans="10:16">
      <c r="J866" s="5"/>
      <c r="L866">
        <f>TMTA!M866</f>
        <v>1.03246316</v>
      </c>
      <c r="M866">
        <f>TMTA!N866</f>
        <v>86</v>
      </c>
      <c r="O866">
        <f>ABS(L866-TMTA!$C$34)</f>
        <v>9.3384349550651873</v>
      </c>
      <c r="P866">
        <f t="shared" si="14"/>
        <v>86</v>
      </c>
    </row>
    <row r="867" spans="10:16">
      <c r="J867" s="5"/>
      <c r="L867">
        <f>TMTA!M867</f>
        <v>1.037958216</v>
      </c>
      <c r="M867">
        <f>TMTA!N867</f>
        <v>86.1</v>
      </c>
      <c r="O867">
        <f>ABS(L867-TMTA!$C$34)</f>
        <v>9.3329398990651882</v>
      </c>
      <c r="P867">
        <f t="shared" si="14"/>
        <v>86.1</v>
      </c>
    </row>
    <row r="868" spans="10:16">
      <c r="J868" s="5"/>
      <c r="L868">
        <f>TMTA!M868</f>
        <v>1.043453272</v>
      </c>
      <c r="M868">
        <f>TMTA!N868</f>
        <v>86.2</v>
      </c>
      <c r="O868">
        <f>ABS(L868-TMTA!$C$34)</f>
        <v>9.3274448430651873</v>
      </c>
      <c r="P868">
        <f t="shared" si="14"/>
        <v>86.2</v>
      </c>
    </row>
    <row r="869" spans="10:16">
      <c r="J869" s="5"/>
      <c r="L869">
        <f>TMTA!M869</f>
        <v>1.050851016</v>
      </c>
      <c r="M869">
        <f>TMTA!N869</f>
        <v>86.3</v>
      </c>
      <c r="O869">
        <f>ABS(L869-TMTA!$C$34)</f>
        <v>9.3200470990651887</v>
      </c>
      <c r="P869">
        <f t="shared" si="14"/>
        <v>86.3</v>
      </c>
    </row>
    <row r="870" spans="10:16">
      <c r="J870" s="5"/>
      <c r="L870">
        <f>TMTA!M870</f>
        <v>1.0588658479999999</v>
      </c>
      <c r="M870">
        <f>TMTA!N870</f>
        <v>86.4</v>
      </c>
      <c r="O870">
        <f>ABS(L870-TMTA!$C$34)</f>
        <v>9.3120322670651881</v>
      </c>
      <c r="P870">
        <f t="shared" si="14"/>
        <v>86.4</v>
      </c>
    </row>
    <row r="871" spans="10:16">
      <c r="J871" s="5"/>
      <c r="L871">
        <f>TMTA!M871</f>
        <v>1.06576892</v>
      </c>
      <c r="M871">
        <f>TMTA!N871</f>
        <v>86.5</v>
      </c>
      <c r="O871">
        <f>ABS(L871-TMTA!$C$34)</f>
        <v>9.305129195065188</v>
      </c>
      <c r="P871">
        <f t="shared" si="14"/>
        <v>86.5</v>
      </c>
    </row>
    <row r="872" spans="10:16">
      <c r="J872" s="5"/>
      <c r="L872">
        <f>TMTA!M872</f>
        <v>1.0683361280000001</v>
      </c>
      <c r="M872">
        <f>TMTA!N872</f>
        <v>86.6</v>
      </c>
      <c r="O872">
        <f>ABS(L872-TMTA!$C$34)</f>
        <v>9.3025619870651877</v>
      </c>
      <c r="P872">
        <f t="shared" si="14"/>
        <v>86.6</v>
      </c>
    </row>
    <row r="873" spans="10:16">
      <c r="J873" s="5"/>
      <c r="L873">
        <f>TMTA!M873</f>
        <v>1.070903336</v>
      </c>
      <c r="M873">
        <f>TMTA!N873</f>
        <v>86.7</v>
      </c>
      <c r="O873">
        <f>ABS(L873-TMTA!$C$34)</f>
        <v>9.2999947790651873</v>
      </c>
      <c r="P873">
        <f t="shared" si="14"/>
        <v>86.7</v>
      </c>
    </row>
    <row r="874" spans="10:16">
      <c r="J874" s="5"/>
      <c r="L874">
        <f>TMTA!M874</f>
        <v>1.0731321119999999</v>
      </c>
      <c r="M874">
        <f>TMTA!N874</f>
        <v>86.8</v>
      </c>
      <c r="O874">
        <f>ABS(L874-TMTA!$C$34)</f>
        <v>9.2977660030651883</v>
      </c>
      <c r="P874">
        <f t="shared" si="14"/>
        <v>86.8</v>
      </c>
    </row>
    <row r="875" spans="10:16">
      <c r="J875" s="5"/>
      <c r="L875">
        <f>TMTA!M875</f>
        <v>1.0751810959999999</v>
      </c>
      <c r="M875">
        <f>TMTA!N875</f>
        <v>86.9</v>
      </c>
      <c r="O875">
        <f>ABS(L875-TMTA!$C$34)</f>
        <v>9.2957170190651883</v>
      </c>
      <c r="P875">
        <f t="shared" si="14"/>
        <v>86.9</v>
      </c>
    </row>
    <row r="876" spans="10:16">
      <c r="J876" s="5"/>
      <c r="L876">
        <f>TMTA!M876</f>
        <v>1.07784016</v>
      </c>
      <c r="M876">
        <f>TMTA!N876</f>
        <v>87</v>
      </c>
      <c r="O876">
        <f>ABS(L876-TMTA!$C$34)</f>
        <v>9.2930579550651871</v>
      </c>
      <c r="P876">
        <f t="shared" si="14"/>
        <v>87</v>
      </c>
    </row>
    <row r="877" spans="10:16">
      <c r="J877" s="5"/>
      <c r="L877">
        <f>TMTA!M877</f>
        <v>1.0858679280000001</v>
      </c>
      <c r="M877">
        <f>TMTA!N877</f>
        <v>87.1</v>
      </c>
      <c r="O877">
        <f>ABS(L877-TMTA!$C$34)</f>
        <v>9.2850301870651872</v>
      </c>
      <c r="P877">
        <f t="shared" si="14"/>
        <v>87.1</v>
      </c>
    </row>
    <row r="878" spans="10:16">
      <c r="J878" s="5"/>
      <c r="L878">
        <f>TMTA!M878</f>
        <v>1.0938956959999999</v>
      </c>
      <c r="M878">
        <f>TMTA!N878</f>
        <v>87.2</v>
      </c>
      <c r="O878">
        <f>ABS(L878-TMTA!$C$34)</f>
        <v>9.2770024190651874</v>
      </c>
      <c r="P878">
        <f t="shared" si="14"/>
        <v>87.2</v>
      </c>
    </row>
    <row r="879" spans="10:16">
      <c r="J879" s="5"/>
      <c r="L879">
        <f>TMTA!M879</f>
        <v>1.0996409920000001</v>
      </c>
      <c r="M879">
        <f>TMTA!N879</f>
        <v>87.3</v>
      </c>
      <c r="O879">
        <f>ABS(L879-TMTA!$C$34)</f>
        <v>9.2712571230651886</v>
      </c>
      <c r="P879">
        <f t="shared" si="14"/>
        <v>87.3</v>
      </c>
    </row>
    <row r="880" spans="10:16">
      <c r="J880" s="5"/>
      <c r="L880">
        <f>TMTA!M880</f>
        <v>1.103526496</v>
      </c>
      <c r="M880">
        <f>TMTA!N880</f>
        <v>87.4</v>
      </c>
      <c r="O880">
        <f>ABS(L880-TMTA!$C$34)</f>
        <v>9.2673716190651874</v>
      </c>
      <c r="P880">
        <f t="shared" si="14"/>
        <v>87.4</v>
      </c>
    </row>
    <row r="881" spans="10:16">
      <c r="J881" s="5"/>
      <c r="L881">
        <f>TMTA!M881</f>
        <v>1.1074120000000001</v>
      </c>
      <c r="M881">
        <f>TMTA!N881</f>
        <v>87.5</v>
      </c>
      <c r="O881">
        <f>ABS(L881-TMTA!$C$34)</f>
        <v>9.2634861150651879</v>
      </c>
      <c r="P881">
        <f t="shared" si="14"/>
        <v>87.5</v>
      </c>
    </row>
    <row r="882" spans="10:16">
      <c r="J882" s="5"/>
      <c r="L882">
        <f>TMTA!M882</f>
        <v>1.109314768</v>
      </c>
      <c r="M882">
        <f>TMTA!N882</f>
        <v>87.6</v>
      </c>
      <c r="O882">
        <f>ABS(L882-TMTA!$C$34)</f>
        <v>9.2615833470651872</v>
      </c>
      <c r="P882">
        <f t="shared" si="14"/>
        <v>87.6</v>
      </c>
    </row>
    <row r="883" spans="10:16">
      <c r="J883" s="5"/>
      <c r="L883">
        <f>TMTA!M883</f>
        <v>1.1112175360000001</v>
      </c>
      <c r="M883">
        <f>TMTA!N883</f>
        <v>87.7</v>
      </c>
      <c r="O883">
        <f>ABS(L883-TMTA!$C$34)</f>
        <v>9.2596805790651882</v>
      </c>
      <c r="P883">
        <f t="shared" si="14"/>
        <v>87.7</v>
      </c>
    </row>
    <row r="884" spans="10:16">
      <c r="J884" s="5"/>
      <c r="L884">
        <f>TMTA!M884</f>
        <v>1.118054112</v>
      </c>
      <c r="M884">
        <f>TMTA!N884</f>
        <v>87.8</v>
      </c>
      <c r="O884">
        <f>ABS(L884-TMTA!$C$34)</f>
        <v>9.2528440030651886</v>
      </c>
      <c r="P884">
        <f t="shared" si="14"/>
        <v>87.8</v>
      </c>
    </row>
    <row r="885" spans="10:16">
      <c r="J885" s="5"/>
      <c r="L885">
        <f>TMTA!M885</f>
        <v>1.1309458160000001</v>
      </c>
      <c r="M885">
        <f>TMTA!N885</f>
        <v>87.9</v>
      </c>
      <c r="O885">
        <f>ABS(L885-TMTA!$C$34)</f>
        <v>9.2399522990651874</v>
      </c>
      <c r="P885">
        <f t="shared" si="14"/>
        <v>87.9</v>
      </c>
    </row>
    <row r="886" spans="10:16">
      <c r="J886" s="5"/>
      <c r="L886">
        <f>TMTA!M886</f>
        <v>1.1438375199999999</v>
      </c>
      <c r="M886">
        <f>TMTA!N886</f>
        <v>88</v>
      </c>
      <c r="O886">
        <f>ABS(L886-TMTA!$C$34)</f>
        <v>9.2270605950651881</v>
      </c>
      <c r="P886">
        <f t="shared" si="14"/>
        <v>88</v>
      </c>
    </row>
    <row r="887" spans="10:16">
      <c r="J887" s="5"/>
      <c r="L887">
        <f>TMTA!M887</f>
        <v>1.1491964240000001</v>
      </c>
      <c r="M887">
        <f>TMTA!N887</f>
        <v>88.1</v>
      </c>
      <c r="O887">
        <f>ABS(L887-TMTA!$C$34)</f>
        <v>9.2217016910651886</v>
      </c>
      <c r="P887">
        <f t="shared" si="14"/>
        <v>88.1</v>
      </c>
    </row>
    <row r="888" spans="10:16">
      <c r="J888" s="5"/>
      <c r="L888">
        <f>TMTA!M888</f>
        <v>1.1536993280000001</v>
      </c>
      <c r="M888">
        <f>TMTA!N888</f>
        <v>88.2</v>
      </c>
      <c r="O888">
        <f>ABS(L888-TMTA!$C$34)</f>
        <v>9.2171987870651879</v>
      </c>
      <c r="P888">
        <f t="shared" si="14"/>
        <v>88.2</v>
      </c>
    </row>
    <row r="889" spans="10:16">
      <c r="J889" s="5"/>
      <c r="L889">
        <f>TMTA!M889</f>
        <v>1.1570146800000001</v>
      </c>
      <c r="M889">
        <f>TMTA!N889</f>
        <v>88.3</v>
      </c>
      <c r="O889">
        <f>ABS(L889-TMTA!$C$34)</f>
        <v>9.2138834350651884</v>
      </c>
      <c r="P889">
        <f t="shared" si="14"/>
        <v>88.3</v>
      </c>
    </row>
    <row r="890" spans="10:16">
      <c r="J890" s="5"/>
      <c r="L890">
        <f>TMTA!M890</f>
        <v>1.1580946400000001</v>
      </c>
      <c r="M890">
        <f>TMTA!N890</f>
        <v>88.4</v>
      </c>
      <c r="O890">
        <f>ABS(L890-TMTA!$C$34)</f>
        <v>9.2128034750651882</v>
      </c>
      <c r="P890">
        <f t="shared" si="14"/>
        <v>88.4</v>
      </c>
    </row>
    <row r="891" spans="10:16">
      <c r="J891" s="5"/>
      <c r="L891">
        <f>TMTA!M891</f>
        <v>1.1591746000000001</v>
      </c>
      <c r="M891">
        <f>TMTA!N891</f>
        <v>88.5</v>
      </c>
      <c r="O891">
        <f>ABS(L891-TMTA!$C$34)</f>
        <v>9.2117235150651879</v>
      </c>
      <c r="P891">
        <f t="shared" si="14"/>
        <v>88.5</v>
      </c>
    </row>
    <row r="892" spans="10:16">
      <c r="J892" s="5"/>
      <c r="L892">
        <f>TMTA!M892</f>
        <v>1.163806992</v>
      </c>
      <c r="M892">
        <f>TMTA!N892</f>
        <v>88.6</v>
      </c>
      <c r="O892">
        <f>ABS(L892-TMTA!$C$34)</f>
        <v>9.2070911230651884</v>
      </c>
      <c r="P892">
        <f t="shared" si="14"/>
        <v>88.6</v>
      </c>
    </row>
    <row r="893" spans="10:16">
      <c r="J893" s="5"/>
      <c r="L893">
        <f>TMTA!M893</f>
        <v>1.169350264</v>
      </c>
      <c r="M893">
        <f>TMTA!N893</f>
        <v>88.7</v>
      </c>
      <c r="O893">
        <f>ABS(L893-TMTA!$C$34)</f>
        <v>9.2015478510651878</v>
      </c>
      <c r="P893">
        <f t="shared" si="14"/>
        <v>88.7</v>
      </c>
    </row>
    <row r="894" spans="10:16">
      <c r="J894" s="5"/>
      <c r="L894">
        <f>TMTA!M894</f>
        <v>1.173564512</v>
      </c>
      <c r="M894">
        <f>TMTA!N894</f>
        <v>88.8</v>
      </c>
      <c r="O894">
        <f>ABS(L894-TMTA!$C$34)</f>
        <v>9.1973336030651875</v>
      </c>
      <c r="P894">
        <f t="shared" si="14"/>
        <v>88.8</v>
      </c>
    </row>
    <row r="895" spans="10:16">
      <c r="J895" s="5"/>
      <c r="L895">
        <f>TMTA!M895</f>
        <v>1.173680936</v>
      </c>
      <c r="M895">
        <f>TMTA!N895</f>
        <v>88.9</v>
      </c>
      <c r="O895">
        <f>ABS(L895-TMTA!$C$34)</f>
        <v>9.1972171790651878</v>
      </c>
      <c r="P895">
        <f t="shared" si="14"/>
        <v>88.9</v>
      </c>
    </row>
    <row r="896" spans="10:16">
      <c r="J896" s="5"/>
      <c r="L896">
        <f>TMTA!M896</f>
        <v>1.17379736</v>
      </c>
      <c r="M896">
        <f>TMTA!N896</f>
        <v>89</v>
      </c>
      <c r="O896">
        <f>ABS(L896-TMTA!$C$34)</f>
        <v>9.197100755065188</v>
      </c>
      <c r="P896">
        <f t="shared" si="14"/>
        <v>89</v>
      </c>
    </row>
    <row r="897" spans="10:16">
      <c r="J897" s="5"/>
      <c r="L897">
        <f>TMTA!M897</f>
        <v>1.1840920239999999</v>
      </c>
      <c r="M897">
        <f>TMTA!N897</f>
        <v>89.1</v>
      </c>
      <c r="O897">
        <f>ABS(L897-TMTA!$C$34)</f>
        <v>9.1868060910651881</v>
      </c>
      <c r="P897">
        <f t="shared" si="14"/>
        <v>89.1</v>
      </c>
    </row>
    <row r="898" spans="10:16">
      <c r="J898" s="5"/>
      <c r="L898">
        <f>TMTA!M898</f>
        <v>1.1988770879999999</v>
      </c>
      <c r="M898">
        <f>TMTA!N898</f>
        <v>89.2</v>
      </c>
      <c r="O898">
        <f>ABS(L898-TMTA!$C$34)</f>
        <v>9.1720210270651883</v>
      </c>
      <c r="P898">
        <f t="shared" si="14"/>
        <v>89.2</v>
      </c>
    </row>
    <row r="899" spans="10:16">
      <c r="J899" s="5"/>
      <c r="L899">
        <f>TMTA!M899</f>
        <v>1.2122721759999999</v>
      </c>
      <c r="M899">
        <f>TMTA!N899</f>
        <v>89.3</v>
      </c>
      <c r="O899">
        <f>ABS(L899-TMTA!$C$34)</f>
        <v>9.158625939065189</v>
      </c>
      <c r="P899">
        <f t="shared" si="14"/>
        <v>89.3</v>
      </c>
    </row>
    <row r="900" spans="10:16">
      <c r="J900" s="5"/>
      <c r="L900">
        <f>TMTA!M900</f>
        <v>1.2173274080000001</v>
      </c>
      <c r="M900">
        <f>TMTA!N900</f>
        <v>89.4</v>
      </c>
      <c r="O900">
        <f>ABS(L900-TMTA!$C$34)</f>
        <v>9.1535707070651888</v>
      </c>
      <c r="P900">
        <f t="shared" si="14"/>
        <v>89.4</v>
      </c>
    </row>
    <row r="901" spans="10:16">
      <c r="J901" s="5"/>
      <c r="L901">
        <f>TMTA!M901</f>
        <v>1.22238264</v>
      </c>
      <c r="M901">
        <f>TMTA!N901</f>
        <v>89.5</v>
      </c>
      <c r="O901">
        <f>ABS(L901-TMTA!$C$34)</f>
        <v>9.1485154750651887</v>
      </c>
      <c r="P901">
        <f t="shared" si="14"/>
        <v>89.5</v>
      </c>
    </row>
    <row r="902" spans="10:16">
      <c r="J902" s="5"/>
      <c r="L902">
        <f>TMTA!M902</f>
        <v>1.232710768</v>
      </c>
      <c r="M902">
        <f>TMTA!N902</f>
        <v>89.6</v>
      </c>
      <c r="O902">
        <f>ABS(L902-TMTA!$C$34)</f>
        <v>9.1381873470651875</v>
      </c>
      <c r="P902">
        <f t="shared" si="14"/>
        <v>89.6</v>
      </c>
    </row>
    <row r="903" spans="10:16">
      <c r="J903" s="5"/>
      <c r="L903">
        <f>TMTA!M903</f>
        <v>1.246675376</v>
      </c>
      <c r="M903">
        <f>TMTA!N903</f>
        <v>89.7</v>
      </c>
      <c r="O903">
        <f>ABS(L903-TMTA!$C$34)</f>
        <v>9.1242227390651873</v>
      </c>
      <c r="P903">
        <f t="shared" ref="P903:P966" si="15">M903</f>
        <v>89.7</v>
      </c>
    </row>
    <row r="904" spans="10:16">
      <c r="J904" s="5"/>
      <c r="L904">
        <f>TMTA!M904</f>
        <v>1.2605331200000001</v>
      </c>
      <c r="M904">
        <f>TMTA!N904</f>
        <v>89.8</v>
      </c>
      <c r="O904">
        <f>ABS(L904-TMTA!$C$34)</f>
        <v>9.1103649950651882</v>
      </c>
      <c r="P904">
        <f t="shared" si="15"/>
        <v>89.8</v>
      </c>
    </row>
    <row r="905" spans="10:16">
      <c r="J905" s="5"/>
      <c r="L905">
        <f>TMTA!M905</f>
        <v>1.2718795599999999</v>
      </c>
      <c r="M905">
        <f>TMTA!N905</f>
        <v>89.9</v>
      </c>
      <c r="O905">
        <f>ABS(L905-TMTA!$C$34)</f>
        <v>9.0990185550651876</v>
      </c>
      <c r="P905">
        <f t="shared" si="15"/>
        <v>89.9</v>
      </c>
    </row>
    <row r="906" spans="10:16">
      <c r="J906" s="5"/>
      <c r="L906">
        <f>TMTA!M906</f>
        <v>1.283226</v>
      </c>
      <c r="M906">
        <f>TMTA!N906</f>
        <v>90</v>
      </c>
      <c r="O906">
        <f>ABS(L906-TMTA!$C$34)</f>
        <v>9.0876721150651889</v>
      </c>
      <c r="P906">
        <f t="shared" si="15"/>
        <v>90</v>
      </c>
    </row>
    <row r="907" spans="10:16">
      <c r="J907" s="5"/>
      <c r="L907">
        <f>TMTA!M907</f>
        <v>1.2945549679999999</v>
      </c>
      <c r="M907">
        <f>TMTA!N907</f>
        <v>90.1</v>
      </c>
      <c r="O907">
        <f>ABS(L907-TMTA!$C$34)</f>
        <v>9.0763431470651881</v>
      </c>
      <c r="P907">
        <f t="shared" si="15"/>
        <v>90.1</v>
      </c>
    </row>
    <row r="908" spans="10:16">
      <c r="J908" s="5"/>
      <c r="L908">
        <f>TMTA!M908</f>
        <v>1.3058657360000001</v>
      </c>
      <c r="M908">
        <f>TMTA!N908</f>
        <v>90.2</v>
      </c>
      <c r="O908">
        <f>ABS(L908-TMTA!$C$34)</f>
        <v>9.0650323790651886</v>
      </c>
      <c r="P908">
        <f t="shared" si="15"/>
        <v>90.2</v>
      </c>
    </row>
    <row r="909" spans="10:16">
      <c r="J909" s="5"/>
      <c r="L909">
        <f>TMTA!M909</f>
        <v>1.3171765040000001</v>
      </c>
      <c r="M909">
        <f>TMTA!N909</f>
        <v>90.3</v>
      </c>
      <c r="O909">
        <f>ABS(L909-TMTA!$C$34)</f>
        <v>9.0537216110651872</v>
      </c>
      <c r="P909">
        <f t="shared" si="15"/>
        <v>90.3</v>
      </c>
    </row>
    <row r="910" spans="10:16">
      <c r="J910" s="5"/>
      <c r="L910">
        <f>TMTA!M910</f>
        <v>1.3308490959999999</v>
      </c>
      <c r="M910">
        <f>TMTA!N910</f>
        <v>90.4</v>
      </c>
      <c r="O910">
        <f>ABS(L910-TMTA!$C$34)</f>
        <v>9.0400490190651883</v>
      </c>
      <c r="P910">
        <f t="shared" si="15"/>
        <v>90.4</v>
      </c>
    </row>
    <row r="911" spans="10:16">
      <c r="J911" s="5"/>
      <c r="L911">
        <f>TMTA!M911</f>
        <v>1.3446757199999999</v>
      </c>
      <c r="M911">
        <f>TMTA!N911</f>
        <v>90.5</v>
      </c>
      <c r="O911">
        <f>ABS(L911-TMTA!$C$34)</f>
        <v>9.0262223950651883</v>
      </c>
      <c r="P911">
        <f t="shared" si="15"/>
        <v>90.5</v>
      </c>
    </row>
    <row r="912" spans="10:16">
      <c r="J912" s="5"/>
      <c r="L912">
        <f>TMTA!M912</f>
        <v>1.354699152</v>
      </c>
      <c r="M912">
        <f>TMTA!N912</f>
        <v>90.6</v>
      </c>
      <c r="O912">
        <f>ABS(L912-TMTA!$C$34)</f>
        <v>9.0161989630651878</v>
      </c>
      <c r="P912">
        <f t="shared" si="15"/>
        <v>90.6</v>
      </c>
    </row>
    <row r="913" spans="10:16">
      <c r="J913" s="5"/>
      <c r="L913">
        <f>TMTA!M913</f>
        <v>1.3587175440000001</v>
      </c>
      <c r="M913">
        <f>TMTA!N913</f>
        <v>90.7</v>
      </c>
      <c r="O913">
        <f>ABS(L913-TMTA!$C$34)</f>
        <v>9.012180571065187</v>
      </c>
      <c r="P913">
        <f t="shared" si="15"/>
        <v>90.7</v>
      </c>
    </row>
    <row r="914" spans="10:16">
      <c r="J914" s="5"/>
      <c r="L914">
        <f>TMTA!M914</f>
        <v>1.362735936</v>
      </c>
      <c r="M914">
        <f>TMTA!N914</f>
        <v>90.8</v>
      </c>
      <c r="O914">
        <f>ABS(L914-TMTA!$C$34)</f>
        <v>9.008162179065188</v>
      </c>
      <c r="P914">
        <f t="shared" si="15"/>
        <v>90.8</v>
      </c>
    </row>
    <row r="915" spans="10:16">
      <c r="J915" s="5"/>
      <c r="L915">
        <f>TMTA!M915</f>
        <v>1.3633919999999999</v>
      </c>
      <c r="M915">
        <f>TMTA!N915</f>
        <v>90.9</v>
      </c>
      <c r="O915">
        <f>ABS(L915-TMTA!$C$34)</f>
        <v>9.0075061150651887</v>
      </c>
      <c r="P915">
        <f t="shared" si="15"/>
        <v>90.9</v>
      </c>
    </row>
    <row r="916" spans="10:16">
      <c r="J916" s="5"/>
      <c r="L916">
        <f>TMTA!M916</f>
        <v>1.3633919999999999</v>
      </c>
      <c r="M916">
        <f>TMTA!N916</f>
        <v>91</v>
      </c>
      <c r="O916">
        <f>ABS(L916-TMTA!$C$34)</f>
        <v>9.0075061150651887</v>
      </c>
      <c r="P916">
        <f t="shared" si="15"/>
        <v>91</v>
      </c>
    </row>
    <row r="917" spans="10:16">
      <c r="J917" s="5"/>
      <c r="L917">
        <f>TMTA!M917</f>
        <v>1.3644247519999999</v>
      </c>
      <c r="M917">
        <f>TMTA!N917</f>
        <v>91.1</v>
      </c>
      <c r="O917">
        <f>ABS(L917-TMTA!$C$34)</f>
        <v>9.0064733630651883</v>
      </c>
      <c r="P917">
        <f t="shared" si="15"/>
        <v>91.1</v>
      </c>
    </row>
    <row r="918" spans="10:16">
      <c r="J918" s="5"/>
      <c r="L918">
        <f>TMTA!M918</f>
        <v>1.368039384</v>
      </c>
      <c r="M918">
        <f>TMTA!N918</f>
        <v>91.2</v>
      </c>
      <c r="O918">
        <f>ABS(L918-TMTA!$C$34)</f>
        <v>9.0028587310651886</v>
      </c>
      <c r="P918">
        <f t="shared" si="15"/>
        <v>91.2</v>
      </c>
    </row>
    <row r="919" spans="10:16">
      <c r="J919" s="5"/>
      <c r="L919">
        <f>TMTA!M919</f>
        <v>1.3716540159999999</v>
      </c>
      <c r="M919">
        <f>TMTA!N919</f>
        <v>91.3</v>
      </c>
      <c r="O919">
        <f>ABS(L919-TMTA!$C$34)</f>
        <v>8.9992440990651872</v>
      </c>
      <c r="P919">
        <f t="shared" si="15"/>
        <v>91.3</v>
      </c>
    </row>
    <row r="920" spans="10:16">
      <c r="J920" s="5"/>
      <c r="L920">
        <f>TMTA!M920</f>
        <v>1.383445544</v>
      </c>
      <c r="M920">
        <f>TMTA!N920</f>
        <v>91.4</v>
      </c>
      <c r="O920">
        <f>ABS(L920-TMTA!$C$34)</f>
        <v>8.9874525710651874</v>
      </c>
      <c r="P920">
        <f t="shared" si="15"/>
        <v>91.4</v>
      </c>
    </row>
    <row r="921" spans="10:16">
      <c r="J921" s="5"/>
      <c r="L921">
        <f>TMTA!M921</f>
        <v>1.3981898399999999</v>
      </c>
      <c r="M921">
        <f>TMTA!N921</f>
        <v>91.5</v>
      </c>
      <c r="O921">
        <f>ABS(L921-TMTA!$C$34)</f>
        <v>8.9727082750651874</v>
      </c>
      <c r="P921">
        <f t="shared" si="15"/>
        <v>91.5</v>
      </c>
    </row>
    <row r="922" spans="10:16">
      <c r="J922" s="5"/>
      <c r="L922">
        <f>TMTA!M922</f>
        <v>1.4113749040000001</v>
      </c>
      <c r="M922">
        <f>TMTA!N922</f>
        <v>91.6</v>
      </c>
      <c r="O922">
        <f>ABS(L922-TMTA!$C$34)</f>
        <v>8.9595232110651875</v>
      </c>
      <c r="P922">
        <f t="shared" si="15"/>
        <v>91.6</v>
      </c>
    </row>
    <row r="923" spans="10:16">
      <c r="J923" s="5"/>
      <c r="L923">
        <f>TMTA!M923</f>
        <v>1.4176300479999999</v>
      </c>
      <c r="M923">
        <f>TMTA!N923</f>
        <v>91.7</v>
      </c>
      <c r="O923">
        <f>ABS(L923-TMTA!$C$34)</f>
        <v>8.9532680670651885</v>
      </c>
      <c r="P923">
        <f t="shared" si="15"/>
        <v>91.7</v>
      </c>
    </row>
    <row r="924" spans="10:16">
      <c r="J924" s="5"/>
      <c r="L924">
        <f>TMTA!M924</f>
        <v>1.423885192</v>
      </c>
      <c r="M924">
        <f>TMTA!N924</f>
        <v>91.8</v>
      </c>
      <c r="O924">
        <f>ABS(L924-TMTA!$C$34)</f>
        <v>8.9470129230651878</v>
      </c>
      <c r="P924">
        <f t="shared" si="15"/>
        <v>91.8</v>
      </c>
    </row>
    <row r="925" spans="10:16">
      <c r="J925" s="5"/>
      <c r="L925">
        <f>TMTA!M925</f>
        <v>1.4291500720000001</v>
      </c>
      <c r="M925">
        <f>TMTA!N925</f>
        <v>91.9</v>
      </c>
      <c r="O925">
        <f>ABS(L925-TMTA!$C$34)</f>
        <v>8.9417480430651874</v>
      </c>
      <c r="P925">
        <f t="shared" si="15"/>
        <v>91.9</v>
      </c>
    </row>
    <row r="926" spans="10:16">
      <c r="J926" s="5"/>
      <c r="L926">
        <f>TMTA!M926</f>
        <v>1.43383996</v>
      </c>
      <c r="M926">
        <f>TMTA!N926</f>
        <v>92</v>
      </c>
      <c r="O926">
        <f>ABS(L926-TMTA!$C$34)</f>
        <v>8.9370581550651877</v>
      </c>
      <c r="P926">
        <f t="shared" si="15"/>
        <v>92</v>
      </c>
    </row>
    <row r="927" spans="10:16">
      <c r="J927" s="5"/>
      <c r="L927">
        <f>TMTA!M927</f>
        <v>1.4384781040000001</v>
      </c>
      <c r="M927">
        <f>TMTA!N927</f>
        <v>92.1</v>
      </c>
      <c r="O927">
        <f>ABS(L927-TMTA!$C$34)</f>
        <v>8.9324200110651883</v>
      </c>
      <c r="P927">
        <f t="shared" si="15"/>
        <v>92.1</v>
      </c>
    </row>
    <row r="928" spans="10:16">
      <c r="J928" s="5"/>
      <c r="L928">
        <f>TMTA!M928</f>
        <v>1.4425341279999999</v>
      </c>
      <c r="M928">
        <f>TMTA!N928</f>
        <v>92.2</v>
      </c>
      <c r="O928">
        <f>ABS(L928-TMTA!$C$34)</f>
        <v>8.9283639870651879</v>
      </c>
      <c r="P928">
        <f t="shared" si="15"/>
        <v>92.2</v>
      </c>
    </row>
    <row r="929" spans="10:16">
      <c r="J929" s="5"/>
      <c r="L929">
        <f>TMTA!M929</f>
        <v>1.446590152</v>
      </c>
      <c r="M929">
        <f>TMTA!N929</f>
        <v>92.3</v>
      </c>
      <c r="O929">
        <f>ABS(L929-TMTA!$C$34)</f>
        <v>8.9243079630651874</v>
      </c>
      <c r="P929">
        <f t="shared" si="15"/>
        <v>92.3</v>
      </c>
    </row>
    <row r="930" spans="10:16">
      <c r="J930" s="5"/>
      <c r="L930">
        <f>TMTA!M930</f>
        <v>1.4610719679999999</v>
      </c>
      <c r="M930">
        <f>TMTA!N930</f>
        <v>92.4</v>
      </c>
      <c r="O930">
        <f>ABS(L930-TMTA!$C$34)</f>
        <v>8.9098261470651874</v>
      </c>
      <c r="P930">
        <f t="shared" si="15"/>
        <v>92.4</v>
      </c>
    </row>
    <row r="931" spans="10:16">
      <c r="J931" s="5"/>
      <c r="L931">
        <f>TMTA!M931</f>
        <v>1.4847766</v>
      </c>
      <c r="M931">
        <f>TMTA!N931</f>
        <v>92.5</v>
      </c>
      <c r="O931">
        <f>ABS(L931-TMTA!$C$34)</f>
        <v>8.886121515065188</v>
      </c>
      <c r="P931">
        <f t="shared" si="15"/>
        <v>92.5</v>
      </c>
    </row>
    <row r="932" spans="10:16">
      <c r="J932" s="5"/>
      <c r="L932">
        <f>TMTA!M932</f>
        <v>1.5084812320000001</v>
      </c>
      <c r="M932">
        <f>TMTA!N932</f>
        <v>92.6</v>
      </c>
      <c r="O932">
        <f>ABS(L932-TMTA!$C$34)</f>
        <v>8.8624168830651886</v>
      </c>
      <c r="P932">
        <f t="shared" si="15"/>
        <v>92.6</v>
      </c>
    </row>
    <row r="933" spans="10:16">
      <c r="J933" s="5"/>
      <c r="L933">
        <f>TMTA!M933</f>
        <v>1.510473352</v>
      </c>
      <c r="M933">
        <f>TMTA!N933</f>
        <v>92.7</v>
      </c>
      <c r="O933">
        <f>ABS(L933-TMTA!$C$34)</f>
        <v>8.860424763065188</v>
      </c>
      <c r="P933">
        <f t="shared" si="15"/>
        <v>92.7</v>
      </c>
    </row>
    <row r="934" spans="10:16">
      <c r="J934" s="5"/>
      <c r="L934">
        <f>TMTA!M934</f>
        <v>1.512013128</v>
      </c>
      <c r="M934">
        <f>TMTA!N934</f>
        <v>92.8</v>
      </c>
      <c r="O934">
        <f>ABS(L934-TMTA!$C$34)</f>
        <v>8.8588849870651885</v>
      </c>
      <c r="P934">
        <f t="shared" si="15"/>
        <v>92.8</v>
      </c>
    </row>
    <row r="935" spans="10:16">
      <c r="J935" s="5"/>
      <c r="L935">
        <f>TMTA!M935</f>
        <v>1.514764352</v>
      </c>
      <c r="M935">
        <f>TMTA!N935</f>
        <v>92.9</v>
      </c>
      <c r="O935">
        <f>ABS(L935-TMTA!$C$34)</f>
        <v>8.8561337630651877</v>
      </c>
      <c r="P935">
        <f t="shared" si="15"/>
        <v>92.9</v>
      </c>
    </row>
    <row r="936" spans="10:16">
      <c r="J936" s="5"/>
      <c r="L936">
        <f>TMTA!M936</f>
        <v>1.5191308400000001</v>
      </c>
      <c r="M936">
        <f>TMTA!N936</f>
        <v>93</v>
      </c>
      <c r="O936">
        <f>ABS(L936-TMTA!$C$34)</f>
        <v>8.8517672750651872</v>
      </c>
      <c r="P936">
        <f t="shared" si="15"/>
        <v>93</v>
      </c>
    </row>
    <row r="937" spans="10:16">
      <c r="J937" s="5"/>
      <c r="L937">
        <f>TMTA!M937</f>
        <v>1.5234973279999999</v>
      </c>
      <c r="M937">
        <f>TMTA!N937</f>
        <v>93.1</v>
      </c>
      <c r="O937">
        <f>ABS(L937-TMTA!$C$34)</f>
        <v>8.8474007870651885</v>
      </c>
      <c r="P937">
        <f t="shared" si="15"/>
        <v>93.1</v>
      </c>
    </row>
    <row r="938" spans="10:16">
      <c r="J938" s="5"/>
      <c r="L938">
        <f>TMTA!M938</f>
        <v>1.533942296</v>
      </c>
      <c r="M938">
        <f>TMTA!N938</f>
        <v>93.2</v>
      </c>
      <c r="O938">
        <f>ABS(L938-TMTA!$C$34)</f>
        <v>8.8369558190651887</v>
      </c>
      <c r="P938">
        <f t="shared" si="15"/>
        <v>93.2</v>
      </c>
    </row>
    <row r="939" spans="10:16">
      <c r="J939" s="5"/>
      <c r="L939">
        <f>TMTA!M939</f>
        <v>1.5452354239999999</v>
      </c>
      <c r="M939">
        <f>TMTA!N939</f>
        <v>93.3</v>
      </c>
      <c r="O939">
        <f>ABS(L939-TMTA!$C$34)</f>
        <v>8.8256626910651885</v>
      </c>
      <c r="P939">
        <f t="shared" si="15"/>
        <v>93.3</v>
      </c>
    </row>
    <row r="940" spans="10:16">
      <c r="J940" s="5"/>
      <c r="L940">
        <f>TMTA!M940</f>
        <v>1.5581521039999999</v>
      </c>
      <c r="M940">
        <f>TMTA!N940</f>
        <v>93.4</v>
      </c>
      <c r="O940">
        <f>ABS(L940-TMTA!$C$34)</f>
        <v>8.8127460110651885</v>
      </c>
      <c r="P940">
        <f t="shared" si="15"/>
        <v>93.4</v>
      </c>
    </row>
    <row r="941" spans="10:16">
      <c r="J941" s="5"/>
      <c r="L941">
        <f>TMTA!M941</f>
        <v>1.57441736</v>
      </c>
      <c r="M941">
        <f>TMTA!N941</f>
        <v>93.5</v>
      </c>
      <c r="O941">
        <f>ABS(L941-TMTA!$C$34)</f>
        <v>8.796480755065188</v>
      </c>
      <c r="P941">
        <f t="shared" si="15"/>
        <v>93.5</v>
      </c>
    </row>
    <row r="942" spans="10:16">
      <c r="J942" s="5"/>
      <c r="L942">
        <f>TMTA!M942</f>
        <v>1.590682616</v>
      </c>
      <c r="M942">
        <f>TMTA!N942</f>
        <v>93.6</v>
      </c>
      <c r="O942">
        <f>ABS(L942-TMTA!$C$34)</f>
        <v>8.7802154990651875</v>
      </c>
      <c r="P942">
        <f t="shared" si="15"/>
        <v>93.6</v>
      </c>
    </row>
    <row r="943" spans="10:16">
      <c r="J943" s="5"/>
      <c r="L943">
        <f>TMTA!M943</f>
        <v>1.596039744</v>
      </c>
      <c r="M943">
        <f>TMTA!N943</f>
        <v>93.7</v>
      </c>
      <c r="O943">
        <f>ABS(L943-TMTA!$C$34)</f>
        <v>8.7748583710651875</v>
      </c>
      <c r="P943">
        <f t="shared" si="15"/>
        <v>93.7</v>
      </c>
    </row>
    <row r="944" spans="10:16">
      <c r="J944" s="5"/>
      <c r="L944">
        <f>TMTA!M944</f>
        <v>1.5982392560000001</v>
      </c>
      <c r="M944">
        <f>TMTA!N944</f>
        <v>93.8</v>
      </c>
      <c r="O944">
        <f>ABS(L944-TMTA!$C$34)</f>
        <v>8.7726588590651886</v>
      </c>
      <c r="P944">
        <f t="shared" si="15"/>
        <v>93.8</v>
      </c>
    </row>
    <row r="945" spans="10:16">
      <c r="J945" s="5"/>
      <c r="L945">
        <f>TMTA!M945</f>
        <v>1.6004387680000001</v>
      </c>
      <c r="M945">
        <f>TMTA!N945</f>
        <v>93.9</v>
      </c>
      <c r="O945">
        <f>ABS(L945-TMTA!$C$34)</f>
        <v>8.7704593470651879</v>
      </c>
      <c r="P945">
        <f t="shared" si="15"/>
        <v>93.9</v>
      </c>
    </row>
    <row r="946" spans="10:16">
      <c r="J946" s="5"/>
      <c r="L946">
        <f>TMTA!M946</f>
        <v>1.6026382800000001</v>
      </c>
      <c r="M946">
        <f>TMTA!N946</f>
        <v>94</v>
      </c>
      <c r="O946">
        <f>ABS(L946-TMTA!$C$34)</f>
        <v>8.7682598350651872</v>
      </c>
      <c r="P946">
        <f t="shared" si="15"/>
        <v>94</v>
      </c>
    </row>
    <row r="947" spans="10:16">
      <c r="J947" s="5"/>
      <c r="L947">
        <f>TMTA!M947</f>
        <v>1.6048377920000001</v>
      </c>
      <c r="M947">
        <f>TMTA!N947</f>
        <v>94.1</v>
      </c>
      <c r="O947">
        <f>ABS(L947-TMTA!$C$34)</f>
        <v>8.7660603230651883</v>
      </c>
      <c r="P947">
        <f t="shared" si="15"/>
        <v>94.1</v>
      </c>
    </row>
    <row r="948" spans="10:16">
      <c r="J948" s="5"/>
      <c r="L948">
        <f>TMTA!M948</f>
        <v>1.608770992</v>
      </c>
      <c r="M948">
        <f>TMTA!N948</f>
        <v>94.2</v>
      </c>
      <c r="O948">
        <f>ABS(L948-TMTA!$C$34)</f>
        <v>8.7621271230651878</v>
      </c>
      <c r="P948">
        <f t="shared" si="15"/>
        <v>94.2</v>
      </c>
    </row>
    <row r="949" spans="10:16">
      <c r="J949" s="5"/>
      <c r="L949">
        <f>TMTA!M949</f>
        <v>1.6135447679999999</v>
      </c>
      <c r="M949">
        <f>TMTA!N949</f>
        <v>94.3</v>
      </c>
      <c r="O949">
        <f>ABS(L949-TMTA!$C$34)</f>
        <v>8.7573533470651874</v>
      </c>
      <c r="P949">
        <f t="shared" si="15"/>
        <v>94.3</v>
      </c>
    </row>
    <row r="950" spans="10:16">
      <c r="J950" s="5"/>
      <c r="L950">
        <f>TMTA!M950</f>
        <v>1.618092992</v>
      </c>
      <c r="M950">
        <f>TMTA!N950</f>
        <v>94.4</v>
      </c>
      <c r="O950">
        <f>ABS(L950-TMTA!$C$34)</f>
        <v>8.7528051230651887</v>
      </c>
      <c r="P950">
        <f t="shared" si="15"/>
        <v>94.4</v>
      </c>
    </row>
    <row r="951" spans="10:16">
      <c r="J951" s="5"/>
      <c r="L951">
        <f>TMTA!M951</f>
        <v>1.6210247600000001</v>
      </c>
      <c r="M951">
        <f>TMTA!N951</f>
        <v>94.5</v>
      </c>
      <c r="O951">
        <f>ABS(L951-TMTA!$C$34)</f>
        <v>8.749873355065187</v>
      </c>
      <c r="P951">
        <f t="shared" si="15"/>
        <v>94.5</v>
      </c>
    </row>
    <row r="952" spans="10:16">
      <c r="J952" s="5"/>
      <c r="L952">
        <f>TMTA!M952</f>
        <v>1.6239565279999999</v>
      </c>
      <c r="M952">
        <f>TMTA!N952</f>
        <v>94.6</v>
      </c>
      <c r="O952">
        <f>ABS(L952-TMTA!$C$34)</f>
        <v>8.7469415870651872</v>
      </c>
      <c r="P952">
        <f t="shared" si="15"/>
        <v>94.6</v>
      </c>
    </row>
    <row r="953" spans="10:16">
      <c r="J953" s="5"/>
      <c r="L953">
        <f>TMTA!M953</f>
        <v>1.625213</v>
      </c>
      <c r="M953">
        <f>TMTA!N953</f>
        <v>94.7</v>
      </c>
      <c r="O953">
        <f>ABS(L953-TMTA!$C$34)</f>
        <v>8.7456851150651875</v>
      </c>
      <c r="P953">
        <f t="shared" si="15"/>
        <v>94.7</v>
      </c>
    </row>
    <row r="954" spans="10:16">
      <c r="J954" s="5"/>
      <c r="L954">
        <f>TMTA!M954</f>
        <v>1.625213</v>
      </c>
      <c r="M954">
        <f>TMTA!N954</f>
        <v>94.8</v>
      </c>
      <c r="O954">
        <f>ABS(L954-TMTA!$C$34)</f>
        <v>8.7456851150651875</v>
      </c>
      <c r="P954">
        <f t="shared" si="15"/>
        <v>94.8</v>
      </c>
    </row>
    <row r="955" spans="10:16">
      <c r="J955" s="5"/>
      <c r="L955">
        <f>TMTA!M955</f>
        <v>1.625388072</v>
      </c>
      <c r="M955">
        <f>TMTA!N955</f>
        <v>94.9</v>
      </c>
      <c r="O955">
        <f>ABS(L955-TMTA!$C$34)</f>
        <v>8.7455100430651882</v>
      </c>
      <c r="P955">
        <f t="shared" si="15"/>
        <v>94.9</v>
      </c>
    </row>
    <row r="956" spans="10:16">
      <c r="J956" s="5"/>
      <c r="L956">
        <f>TMTA!M956</f>
        <v>1.6339665999999999</v>
      </c>
      <c r="M956">
        <f>TMTA!N956</f>
        <v>95</v>
      </c>
      <c r="O956">
        <f>ABS(L956-TMTA!$C$34)</f>
        <v>8.7369315150651872</v>
      </c>
      <c r="P956">
        <f t="shared" si="15"/>
        <v>95</v>
      </c>
    </row>
    <row r="957" spans="10:16">
      <c r="J957" s="5"/>
      <c r="L957">
        <f>TMTA!M957</f>
        <v>1.6425451280000001</v>
      </c>
      <c r="M957">
        <f>TMTA!N957</f>
        <v>95.1</v>
      </c>
      <c r="O957">
        <f>ABS(L957-TMTA!$C$34)</f>
        <v>8.7283529870651879</v>
      </c>
      <c r="P957">
        <f t="shared" si="15"/>
        <v>95.1</v>
      </c>
    </row>
    <row r="958" spans="10:16">
      <c r="J958" s="5"/>
      <c r="L958">
        <f>TMTA!M958</f>
        <v>1.6551297039999999</v>
      </c>
      <c r="M958">
        <f>TMTA!N958</f>
        <v>95.2</v>
      </c>
      <c r="O958">
        <f>ABS(L958-TMTA!$C$34)</f>
        <v>8.7157684110651878</v>
      </c>
      <c r="P958">
        <f t="shared" si="15"/>
        <v>95.2</v>
      </c>
    </row>
    <row r="959" spans="10:16">
      <c r="J959" s="5"/>
      <c r="L959">
        <f>TMTA!M959</f>
        <v>1.672242856</v>
      </c>
      <c r="M959">
        <f>TMTA!N959</f>
        <v>95.3</v>
      </c>
      <c r="O959">
        <f>ABS(L959-TMTA!$C$34)</f>
        <v>8.6986552590651876</v>
      </c>
      <c r="P959">
        <f t="shared" si="15"/>
        <v>95.3</v>
      </c>
    </row>
    <row r="960" spans="10:16">
      <c r="J960" s="5"/>
      <c r="L960">
        <f>TMTA!M960</f>
        <v>1.6893560080000001</v>
      </c>
      <c r="M960">
        <f>TMTA!N960</f>
        <v>95.4</v>
      </c>
      <c r="O960">
        <f>ABS(L960-TMTA!$C$34)</f>
        <v>8.6815421070651873</v>
      </c>
      <c r="P960">
        <f t="shared" si="15"/>
        <v>95.4</v>
      </c>
    </row>
    <row r="961" spans="10:16">
      <c r="J961" s="5"/>
      <c r="L961">
        <f>TMTA!M961</f>
        <v>1.6920954399999999</v>
      </c>
      <c r="M961">
        <f>TMTA!N961</f>
        <v>95.5</v>
      </c>
      <c r="O961">
        <f>ABS(L961-TMTA!$C$34)</f>
        <v>8.6788026750651888</v>
      </c>
      <c r="P961">
        <f t="shared" si="15"/>
        <v>95.5</v>
      </c>
    </row>
    <row r="962" spans="10:16">
      <c r="J962" s="5"/>
      <c r="L962">
        <f>TMTA!M962</f>
        <v>1.6935572080000001</v>
      </c>
      <c r="M962">
        <f>TMTA!N962</f>
        <v>95.6</v>
      </c>
      <c r="O962">
        <f>ABS(L962-TMTA!$C$34)</f>
        <v>8.6773409070651883</v>
      </c>
      <c r="P962">
        <f t="shared" si="15"/>
        <v>95.6</v>
      </c>
    </row>
    <row r="963" spans="10:16">
      <c r="J963" s="5"/>
      <c r="L963">
        <f>TMTA!M963</f>
        <v>1.695937552</v>
      </c>
      <c r="M963">
        <f>TMTA!N963</f>
        <v>95.7</v>
      </c>
      <c r="O963">
        <f>ABS(L963-TMTA!$C$34)</f>
        <v>8.6749605630651878</v>
      </c>
      <c r="P963">
        <f t="shared" si="15"/>
        <v>95.7</v>
      </c>
    </row>
    <row r="964" spans="10:16">
      <c r="J964" s="5"/>
      <c r="L964">
        <f>TMTA!M964</f>
        <v>1.699899888</v>
      </c>
      <c r="M964">
        <f>TMTA!N964</f>
        <v>95.8</v>
      </c>
      <c r="O964">
        <f>ABS(L964-TMTA!$C$34)</f>
        <v>8.6709982270651871</v>
      </c>
      <c r="P964">
        <f t="shared" si="15"/>
        <v>95.8</v>
      </c>
    </row>
    <row r="965" spans="10:16">
      <c r="J965" s="5"/>
      <c r="L965">
        <f>TMTA!M965</f>
        <v>1.7038622240000001</v>
      </c>
      <c r="M965">
        <f>TMTA!N965</f>
        <v>95.9</v>
      </c>
      <c r="O965">
        <f>ABS(L965-TMTA!$C$34)</f>
        <v>8.6670358910651881</v>
      </c>
      <c r="P965">
        <f t="shared" si="15"/>
        <v>95.9</v>
      </c>
    </row>
    <row r="966" spans="10:16">
      <c r="J966" s="5"/>
      <c r="L966">
        <f>TMTA!M966</f>
        <v>1.7462098399999999</v>
      </c>
      <c r="M966">
        <f>TMTA!N966</f>
        <v>96</v>
      </c>
      <c r="O966">
        <f>ABS(L966-TMTA!$C$34)</f>
        <v>8.6246882750651874</v>
      </c>
      <c r="P966">
        <f t="shared" si="15"/>
        <v>96</v>
      </c>
    </row>
    <row r="967" spans="10:16">
      <c r="J967" s="5"/>
      <c r="L967">
        <f>TMTA!M967</f>
        <v>1.7971941440000001</v>
      </c>
      <c r="M967">
        <f>TMTA!N967</f>
        <v>96.1</v>
      </c>
      <c r="O967">
        <f>ABS(L967-TMTA!$C$34)</f>
        <v>8.5737039710651874</v>
      </c>
      <c r="P967">
        <f t="shared" ref="P967:P1006" si="16">M967</f>
        <v>96.1</v>
      </c>
    </row>
    <row r="968" spans="10:16">
      <c r="J968" s="5"/>
      <c r="L968">
        <f>TMTA!M968</f>
        <v>1.83495984</v>
      </c>
      <c r="M968">
        <f>TMTA!N968</f>
        <v>96.2</v>
      </c>
      <c r="O968">
        <f>ABS(L968-TMTA!$C$34)</f>
        <v>8.5359382750651882</v>
      </c>
      <c r="P968">
        <f t="shared" si="16"/>
        <v>96.2</v>
      </c>
    </row>
    <row r="969" spans="10:16">
      <c r="J969" s="5"/>
      <c r="L969">
        <f>TMTA!M969</f>
        <v>1.8361201599999999</v>
      </c>
      <c r="M969">
        <f>TMTA!N969</f>
        <v>96.3</v>
      </c>
      <c r="O969">
        <f>ABS(L969-TMTA!$C$34)</f>
        <v>8.5347779550651879</v>
      </c>
      <c r="P969">
        <f t="shared" si="16"/>
        <v>96.3</v>
      </c>
    </row>
    <row r="970" spans="10:16">
      <c r="J970" s="5"/>
      <c r="L970">
        <f>TMTA!M970</f>
        <v>1.83728048</v>
      </c>
      <c r="M970">
        <f>TMTA!N970</f>
        <v>96.4</v>
      </c>
      <c r="O970">
        <f>ABS(L970-TMTA!$C$34)</f>
        <v>8.5336176350651876</v>
      </c>
      <c r="P970">
        <f t="shared" si="16"/>
        <v>96.4</v>
      </c>
    </row>
    <row r="971" spans="10:16">
      <c r="J971" s="5"/>
      <c r="L971">
        <f>TMTA!M971</f>
        <v>1.8410154000000001</v>
      </c>
      <c r="M971">
        <f>TMTA!N971</f>
        <v>96.5</v>
      </c>
      <c r="O971">
        <f>ABS(L971-TMTA!$C$34)</f>
        <v>8.5298827150651881</v>
      </c>
      <c r="P971">
        <f t="shared" si="16"/>
        <v>96.5</v>
      </c>
    </row>
    <row r="972" spans="10:16">
      <c r="J972" s="5"/>
      <c r="L972">
        <f>TMTA!M972</f>
        <v>1.8457801599999999</v>
      </c>
      <c r="M972">
        <f>TMTA!N972</f>
        <v>96.6</v>
      </c>
      <c r="O972">
        <f>ABS(L972-TMTA!$C$34)</f>
        <v>8.5251179550651877</v>
      </c>
      <c r="P972">
        <f t="shared" si="16"/>
        <v>96.6</v>
      </c>
    </row>
    <row r="973" spans="10:16">
      <c r="J973" s="5"/>
      <c r="L973">
        <f>TMTA!M973</f>
        <v>1.8499469040000001</v>
      </c>
      <c r="M973">
        <f>TMTA!N973</f>
        <v>96.7</v>
      </c>
      <c r="O973">
        <f>ABS(L973-TMTA!$C$34)</f>
        <v>8.5209512110651886</v>
      </c>
      <c r="P973">
        <f t="shared" si="16"/>
        <v>96.7</v>
      </c>
    </row>
    <row r="974" spans="10:16">
      <c r="J974" s="5"/>
      <c r="L974">
        <f>TMTA!M974</f>
        <v>1.851048816</v>
      </c>
      <c r="M974">
        <f>TMTA!N974</f>
        <v>96.8</v>
      </c>
      <c r="O974">
        <f>ABS(L974-TMTA!$C$34)</f>
        <v>8.5198492990651875</v>
      </c>
      <c r="P974">
        <f t="shared" si="16"/>
        <v>96.8</v>
      </c>
    </row>
    <row r="975" spans="10:16">
      <c r="J975" s="5"/>
      <c r="L975">
        <f>TMTA!M975</f>
        <v>1.852150728</v>
      </c>
      <c r="M975">
        <f>TMTA!N975</f>
        <v>96.9</v>
      </c>
      <c r="O975">
        <f>ABS(L975-TMTA!$C$34)</f>
        <v>8.5187473870651882</v>
      </c>
      <c r="P975">
        <f t="shared" si="16"/>
        <v>96.9</v>
      </c>
    </row>
    <row r="976" spans="10:16">
      <c r="J976" s="5"/>
      <c r="L976">
        <f>TMTA!M976</f>
        <v>1.85738208</v>
      </c>
      <c r="M976">
        <f>TMTA!N976</f>
        <v>97</v>
      </c>
      <c r="O976">
        <f>ABS(L976-TMTA!$C$34)</f>
        <v>8.5135160350651873</v>
      </c>
      <c r="P976">
        <f t="shared" si="16"/>
        <v>97</v>
      </c>
    </row>
    <row r="977" spans="10:16">
      <c r="J977" s="5"/>
      <c r="L977">
        <f>TMTA!M977</f>
        <v>1.8652287439999999</v>
      </c>
      <c r="M977">
        <f>TMTA!N977</f>
        <v>97.1</v>
      </c>
      <c r="O977">
        <f>ABS(L977-TMTA!$C$34)</f>
        <v>8.5056693710651885</v>
      </c>
      <c r="P977">
        <f t="shared" si="16"/>
        <v>97.1</v>
      </c>
    </row>
    <row r="978" spans="10:16">
      <c r="J978" s="5"/>
      <c r="L978">
        <f>TMTA!M978</f>
        <v>1.872712288</v>
      </c>
      <c r="M978">
        <f>TMTA!N978</f>
        <v>97.2</v>
      </c>
      <c r="O978">
        <f>ABS(L978-TMTA!$C$34)</f>
        <v>8.4981858270651873</v>
      </c>
      <c r="P978">
        <f t="shared" si="16"/>
        <v>97.2</v>
      </c>
    </row>
    <row r="979" spans="10:16">
      <c r="J979" s="5"/>
      <c r="L979">
        <f>TMTA!M979</f>
        <v>1.874627992</v>
      </c>
      <c r="M979">
        <f>TMTA!N979</f>
        <v>97.3</v>
      </c>
      <c r="O979">
        <f>ABS(L979-TMTA!$C$34)</f>
        <v>8.4962701230651874</v>
      </c>
      <c r="P979">
        <f t="shared" si="16"/>
        <v>97.3</v>
      </c>
    </row>
    <row r="980" spans="10:16">
      <c r="J980" s="5"/>
      <c r="L980">
        <f>TMTA!M980</f>
        <v>1.8765436959999999</v>
      </c>
      <c r="M980">
        <f>TMTA!N980</f>
        <v>97.4</v>
      </c>
      <c r="O980">
        <f>ABS(L980-TMTA!$C$34)</f>
        <v>8.4943544190651874</v>
      </c>
      <c r="P980">
        <f t="shared" si="16"/>
        <v>97.4</v>
      </c>
    </row>
    <row r="981" spans="10:16">
      <c r="J981" s="5"/>
      <c r="L981">
        <f>TMTA!M981</f>
        <v>1.8851666</v>
      </c>
      <c r="M981">
        <f>TMTA!N981</f>
        <v>97.5</v>
      </c>
      <c r="O981">
        <f>ABS(L981-TMTA!$C$34)</f>
        <v>8.4857315150651882</v>
      </c>
      <c r="P981">
        <f t="shared" si="16"/>
        <v>97.5</v>
      </c>
    </row>
    <row r="982" spans="10:16">
      <c r="J982" s="5"/>
      <c r="L982">
        <f>TMTA!M982</f>
        <v>1.900228416</v>
      </c>
      <c r="M982">
        <f>TMTA!N982</f>
        <v>97.6</v>
      </c>
      <c r="O982">
        <f>ABS(L982-TMTA!$C$34)</f>
        <v>8.4706696990651871</v>
      </c>
      <c r="P982">
        <f t="shared" si="16"/>
        <v>97.6</v>
      </c>
    </row>
    <row r="983" spans="10:16">
      <c r="J983" s="5"/>
      <c r="L983">
        <f>TMTA!M983</f>
        <v>1.915290232</v>
      </c>
      <c r="M983">
        <f>TMTA!N983</f>
        <v>97.7</v>
      </c>
      <c r="O983">
        <f>ABS(L983-TMTA!$C$34)</f>
        <v>8.4556078830651877</v>
      </c>
      <c r="P983">
        <f t="shared" si="16"/>
        <v>97.7</v>
      </c>
    </row>
    <row r="984" spans="10:16">
      <c r="J984" s="5"/>
      <c r="L984">
        <f>TMTA!M984</f>
        <v>1.93109916</v>
      </c>
      <c r="M984">
        <f>TMTA!N984</f>
        <v>97.8</v>
      </c>
      <c r="O984">
        <f>ABS(L984-TMTA!$C$34)</f>
        <v>8.4397989550651875</v>
      </c>
      <c r="P984">
        <f t="shared" si="16"/>
        <v>97.8</v>
      </c>
    </row>
    <row r="985" spans="10:16">
      <c r="J985" s="5"/>
      <c r="L985">
        <f>TMTA!M985</f>
        <v>1.94693988</v>
      </c>
      <c r="M985">
        <f>TMTA!N985</f>
        <v>97.9</v>
      </c>
      <c r="O985">
        <f>ABS(L985-TMTA!$C$34)</f>
        <v>8.4239582350651876</v>
      </c>
      <c r="P985">
        <f t="shared" si="16"/>
        <v>97.9</v>
      </c>
    </row>
    <row r="986" spans="10:16">
      <c r="J986" s="5"/>
      <c r="L986">
        <f>TMTA!M986</f>
        <v>1.9767607599999999</v>
      </c>
      <c r="M986">
        <f>TMTA!N986</f>
        <v>98</v>
      </c>
      <c r="O986">
        <f>ABS(L986-TMTA!$C$34)</f>
        <v>8.3941373550651885</v>
      </c>
      <c r="P986">
        <f t="shared" si="16"/>
        <v>98</v>
      </c>
    </row>
    <row r="987" spans="10:16">
      <c r="J987" s="5"/>
      <c r="L987">
        <f>TMTA!M987</f>
        <v>2.0268528720000001</v>
      </c>
      <c r="M987">
        <f>TMTA!N987</f>
        <v>98.1</v>
      </c>
      <c r="O987">
        <f>ABS(L987-TMTA!$C$34)</f>
        <v>8.3440452430651888</v>
      </c>
      <c r="P987">
        <f t="shared" si="16"/>
        <v>98.1</v>
      </c>
    </row>
    <row r="988" spans="10:16">
      <c r="J988" s="5"/>
      <c r="L988">
        <f>TMTA!M988</f>
        <v>2.0769449839999998</v>
      </c>
      <c r="M988">
        <f>TMTA!N988</f>
        <v>98.2</v>
      </c>
      <c r="O988">
        <f>ABS(L988-TMTA!$C$34)</f>
        <v>8.2939531310651873</v>
      </c>
      <c r="P988">
        <f t="shared" si="16"/>
        <v>98.2</v>
      </c>
    </row>
    <row r="989" spans="10:16">
      <c r="J989" s="5"/>
      <c r="L989">
        <f>TMTA!M989</f>
        <v>2.0869778320000001</v>
      </c>
      <c r="M989">
        <f>TMTA!N989</f>
        <v>98.3</v>
      </c>
      <c r="O989">
        <f>ABS(L989-TMTA!$C$34)</f>
        <v>8.2839202830651875</v>
      </c>
      <c r="P989">
        <f t="shared" si="16"/>
        <v>98.3</v>
      </c>
    </row>
    <row r="990" spans="10:16">
      <c r="J990" s="5"/>
      <c r="L990">
        <f>TMTA!M990</f>
        <v>2.0903341360000001</v>
      </c>
      <c r="M990">
        <f>TMTA!N990</f>
        <v>98.4</v>
      </c>
      <c r="O990">
        <f>ABS(L990-TMTA!$C$34)</f>
        <v>8.2805639790651888</v>
      </c>
      <c r="P990">
        <f t="shared" si="16"/>
        <v>98.4</v>
      </c>
    </row>
    <row r="991" spans="10:16">
      <c r="J991" s="5"/>
      <c r="L991">
        <f>TMTA!M991</f>
        <v>2.1209393200000002</v>
      </c>
      <c r="M991">
        <f>TMTA!N991</f>
        <v>98.5</v>
      </c>
      <c r="O991">
        <f>ABS(L991-TMTA!$C$34)</f>
        <v>8.2499587950651883</v>
      </c>
      <c r="P991">
        <f t="shared" si="16"/>
        <v>98.5</v>
      </c>
    </row>
    <row r="992" spans="10:16">
      <c r="J992" s="5"/>
      <c r="L992">
        <f>TMTA!M992</f>
        <v>2.2133086319999999</v>
      </c>
      <c r="M992">
        <f>TMTA!N992</f>
        <v>98.6</v>
      </c>
      <c r="O992">
        <f>ABS(L992-TMTA!$C$34)</f>
        <v>8.1575894830651876</v>
      </c>
      <c r="P992">
        <f t="shared" si="16"/>
        <v>98.6</v>
      </c>
    </row>
    <row r="993" spans="10:16">
      <c r="J993" s="5"/>
      <c r="L993">
        <f>TMTA!M993</f>
        <v>2.3056779440000001</v>
      </c>
      <c r="M993">
        <f>TMTA!N993</f>
        <v>98.7</v>
      </c>
      <c r="O993">
        <f>ABS(L993-TMTA!$C$34)</f>
        <v>8.0652201710651887</v>
      </c>
      <c r="P993">
        <f t="shared" si="16"/>
        <v>98.7</v>
      </c>
    </row>
    <row r="994" spans="10:16">
      <c r="J994" s="5"/>
      <c r="L994">
        <f>TMTA!M994</f>
        <v>2.3282989999999999</v>
      </c>
      <c r="M994">
        <f>TMTA!N994</f>
        <v>98.8</v>
      </c>
      <c r="O994">
        <f>ABS(L994-TMTA!$C$34)</f>
        <v>8.0425991150651885</v>
      </c>
      <c r="P994">
        <f t="shared" si="16"/>
        <v>98.8</v>
      </c>
    </row>
    <row r="995" spans="10:16">
      <c r="J995" s="5"/>
      <c r="L995">
        <f>TMTA!M995</f>
        <v>2.3282989999999999</v>
      </c>
      <c r="M995">
        <f>TMTA!N995</f>
        <v>98.9</v>
      </c>
      <c r="O995">
        <f>ABS(L995-TMTA!$C$34)</f>
        <v>8.0425991150651885</v>
      </c>
      <c r="P995">
        <f t="shared" si="16"/>
        <v>98.9</v>
      </c>
    </row>
    <row r="996" spans="10:16">
      <c r="J996" s="5"/>
      <c r="L996">
        <f>TMTA!M996</f>
        <v>2.3297907599999998</v>
      </c>
      <c r="M996">
        <f>TMTA!N996</f>
        <v>99</v>
      </c>
      <c r="O996">
        <f>ABS(L996-TMTA!$C$34)</f>
        <v>8.0411073550651881</v>
      </c>
      <c r="P996">
        <f t="shared" si="16"/>
        <v>99</v>
      </c>
    </row>
    <row r="997" spans="10:16">
      <c r="J997" s="5"/>
      <c r="L997">
        <f>TMTA!M997</f>
        <v>2.3371003840000002</v>
      </c>
      <c r="M997">
        <f>TMTA!N997</f>
        <v>99.1</v>
      </c>
      <c r="O997">
        <f>ABS(L997-TMTA!$C$34)</f>
        <v>8.0337977310651887</v>
      </c>
      <c r="P997">
        <f t="shared" si="16"/>
        <v>99.1</v>
      </c>
    </row>
    <row r="998" spans="10:16">
      <c r="J998" s="5"/>
      <c r="L998">
        <f>TMTA!M998</f>
        <v>2.3444100080000001</v>
      </c>
      <c r="M998">
        <f>TMTA!N998</f>
        <v>99.2</v>
      </c>
      <c r="O998">
        <f>ABS(L998-TMTA!$C$34)</f>
        <v>8.0264881070651874</v>
      </c>
      <c r="P998">
        <f t="shared" si="16"/>
        <v>99.2</v>
      </c>
    </row>
    <row r="999" spans="10:16">
      <c r="J999" s="5"/>
      <c r="L999">
        <f>TMTA!M999</f>
        <v>2.3758501920000001</v>
      </c>
      <c r="M999">
        <f>TMTA!N999</f>
        <v>99.3</v>
      </c>
      <c r="O999">
        <f>ABS(L999-TMTA!$C$34)</f>
        <v>7.9950479230651883</v>
      </c>
      <c r="P999">
        <f t="shared" si="16"/>
        <v>99.3</v>
      </c>
    </row>
    <row r="1000" spans="10:16">
      <c r="J1000" s="5"/>
      <c r="L1000">
        <f>TMTA!M1000</f>
        <v>2.4201097360000001</v>
      </c>
      <c r="M1000">
        <f>TMTA!N1000</f>
        <v>99.4</v>
      </c>
      <c r="O1000">
        <f>ABS(L1000-TMTA!$C$34)</f>
        <v>7.9507883790651874</v>
      </c>
      <c r="P1000">
        <f t="shared" si="16"/>
        <v>99.4</v>
      </c>
    </row>
    <row r="1001" spans="10:16">
      <c r="J1001" s="5"/>
      <c r="L1001">
        <f>TMTA!M1001</f>
        <v>2.4768770800000102</v>
      </c>
      <c r="M1001">
        <f>TMTA!N1001</f>
        <v>99.5</v>
      </c>
      <c r="O1001">
        <f>ABS(L1001-TMTA!$C$34)</f>
        <v>7.8940210350651778</v>
      </c>
      <c r="P1001">
        <f t="shared" si="16"/>
        <v>99.5</v>
      </c>
    </row>
    <row r="1002" spans="10:16">
      <c r="J1002" s="5"/>
      <c r="L1002">
        <f>TMTA!M1002</f>
        <v>2.6437130640000102</v>
      </c>
      <c r="M1002">
        <f>TMTA!N1002</f>
        <v>99.6</v>
      </c>
      <c r="O1002">
        <f>ABS(L1002-TMTA!$C$34)</f>
        <v>7.7271850510651774</v>
      </c>
      <c r="P1002">
        <f t="shared" si="16"/>
        <v>99.6</v>
      </c>
    </row>
    <row r="1003" spans="10:16">
      <c r="J1003" s="5"/>
      <c r="L1003">
        <f>TMTA!M1003</f>
        <v>2.8105490479999999</v>
      </c>
      <c r="M1003">
        <f>TMTA!N1003</f>
        <v>99.7</v>
      </c>
      <c r="O1003">
        <f>ABS(L1003-TMTA!$C$34)</f>
        <v>7.5603490670651876</v>
      </c>
      <c r="P1003">
        <f t="shared" si="16"/>
        <v>99.7</v>
      </c>
    </row>
    <row r="1004" spans="10:16">
      <c r="J1004" s="5"/>
      <c r="L1004">
        <f>TMTA!M1004</f>
        <v>2.9756006560000001</v>
      </c>
      <c r="M1004">
        <f>TMTA!N1004</f>
        <v>99.8</v>
      </c>
      <c r="O1004">
        <f>ABS(L1004-TMTA!$C$34)</f>
        <v>7.3952974590651879</v>
      </c>
      <c r="P1004">
        <f t="shared" si="16"/>
        <v>99.8</v>
      </c>
    </row>
    <row r="1005" spans="10:16">
      <c r="J1005" s="5"/>
      <c r="L1005">
        <f>TMTA!M1005</f>
        <v>3.139198328</v>
      </c>
      <c r="M1005">
        <f>TMTA!N1005</f>
        <v>99.9</v>
      </c>
      <c r="O1005">
        <f>ABS(L1005-TMTA!$C$34)</f>
        <v>7.231699787065188</v>
      </c>
      <c r="P1005">
        <f t="shared" si="16"/>
        <v>99.9</v>
      </c>
    </row>
    <row r="1006" spans="10:16">
      <c r="J1006" s="5"/>
      <c r="L1006">
        <f>TMTA!M1006</f>
        <v>3.3027959999999998</v>
      </c>
      <c r="M1006">
        <f>TMTA!N1006</f>
        <v>100</v>
      </c>
      <c r="O1006">
        <f>ABS(L1006-TMTA!$C$34)</f>
        <v>7.0681021150651882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Normal="100" workbookViewId="0">
      <selection activeCell="M6" sqref="M6:N1006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SD_PERC_DigDir!A42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3.6465853647642401</v>
      </c>
      <c r="I6" s="10" t="s">
        <v>36</v>
      </c>
      <c r="M6">
        <v>-1.6227929999999999</v>
      </c>
      <c r="N6">
        <v>0</v>
      </c>
    </row>
    <row r="7" spans="1:14">
      <c r="B7" t="s">
        <v>66</v>
      </c>
      <c r="C7">
        <v>5.2568811573833397E-2</v>
      </c>
      <c r="M7">
        <v>-1.6227929999999999</v>
      </c>
      <c r="N7">
        <v>0.1</v>
      </c>
    </row>
    <row r="8" spans="1:14">
      <c r="I8" s="9"/>
      <c r="J8" s="9"/>
      <c r="M8">
        <v>-1.6227929999999999</v>
      </c>
      <c r="N8">
        <v>0.2</v>
      </c>
    </row>
    <row r="9" spans="1:14">
      <c r="H9" s="9" t="s">
        <v>34</v>
      </c>
      <c r="I9" s="56" t="s">
        <v>37</v>
      </c>
      <c r="J9" s="57"/>
      <c r="M9">
        <v>-1.6227929999999999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-1.6227929999999999</v>
      </c>
      <c r="N10">
        <v>0.4</v>
      </c>
    </row>
    <row r="11" spans="1:14">
      <c r="B11" s="29"/>
      <c r="C11" s="30"/>
      <c r="I11" s="14"/>
      <c r="J11" s="15"/>
      <c r="M11">
        <v>-1.6227929999999999</v>
      </c>
      <c r="N11">
        <v>0.5</v>
      </c>
    </row>
    <row r="12" spans="1:14">
      <c r="B12" s="29"/>
      <c r="C12" s="30"/>
      <c r="I12" s="14"/>
      <c r="J12" s="15"/>
      <c r="M12">
        <v>-1.6227929999999999</v>
      </c>
      <c r="N12">
        <v>0.6</v>
      </c>
    </row>
    <row r="13" spans="1:14">
      <c r="B13" s="29"/>
      <c r="C13" s="30"/>
      <c r="I13" s="14"/>
      <c r="J13" s="15"/>
      <c r="M13">
        <v>-1.6227929999999999</v>
      </c>
      <c r="N13">
        <v>0.7</v>
      </c>
    </row>
    <row r="14" spans="1:14">
      <c r="B14" s="29"/>
      <c r="C14" s="30"/>
      <c r="I14" s="14"/>
      <c r="J14" s="15"/>
      <c r="M14">
        <v>-1.6227929999999999</v>
      </c>
      <c r="N14">
        <v>0.8</v>
      </c>
    </row>
    <row r="15" spans="1:14">
      <c r="B15" s="29"/>
      <c r="C15" s="30"/>
      <c r="I15" s="14"/>
      <c r="J15" s="15"/>
      <c r="M15">
        <v>-1.6227929999999999</v>
      </c>
      <c r="N15">
        <v>0.9</v>
      </c>
    </row>
    <row r="16" spans="1:14">
      <c r="B16" s="29"/>
      <c r="C16" s="30"/>
      <c r="I16" s="14"/>
      <c r="J16" s="15"/>
      <c r="M16">
        <v>-1.6227929999999999</v>
      </c>
      <c r="N16">
        <v>1</v>
      </c>
    </row>
    <row r="17" spans="1:14">
      <c r="B17" s="29"/>
      <c r="C17" s="30"/>
      <c r="I17" s="14"/>
      <c r="J17" s="15"/>
      <c r="M17">
        <v>-1.6227929999999999</v>
      </c>
      <c r="N17">
        <v>1.1000000000000001</v>
      </c>
    </row>
    <row r="18" spans="1:14">
      <c r="B18" s="29"/>
      <c r="C18" s="30"/>
      <c r="I18" s="14"/>
      <c r="J18" s="15"/>
      <c r="M18">
        <v>-1.6227929999999999</v>
      </c>
      <c r="N18">
        <v>1.2</v>
      </c>
    </row>
    <row r="19" spans="1:14">
      <c r="B19" s="29"/>
      <c r="C19" s="30"/>
      <c r="I19" s="14"/>
      <c r="J19" s="15"/>
      <c r="M19">
        <v>-1.6227929999999999</v>
      </c>
      <c r="N19">
        <v>1.3</v>
      </c>
    </row>
    <row r="20" spans="1:14">
      <c r="B20" s="29"/>
      <c r="C20" s="30"/>
      <c r="I20" s="14"/>
      <c r="J20" s="15"/>
      <c r="M20">
        <v>-1.6227929999999999</v>
      </c>
      <c r="N20">
        <v>1.4</v>
      </c>
    </row>
    <row r="21" spans="1:14">
      <c r="B21" s="29"/>
      <c r="C21" s="30"/>
      <c r="I21" s="14"/>
      <c r="J21" s="15"/>
      <c r="M21">
        <v>-1.6227929999999999</v>
      </c>
      <c r="N21">
        <v>1.5</v>
      </c>
    </row>
    <row r="22" spans="1:14">
      <c r="B22" s="29"/>
      <c r="C22" s="30"/>
      <c r="I22" s="16"/>
      <c r="J22" s="17"/>
      <c r="M22">
        <v>-1.6227929999999999</v>
      </c>
      <c r="N22">
        <v>1.6</v>
      </c>
    </row>
    <row r="23" spans="1:14">
      <c r="B23" s="29"/>
      <c r="C23" s="30"/>
      <c r="M23">
        <v>-1.6227929999999999</v>
      </c>
      <c r="N23">
        <v>1.7</v>
      </c>
    </row>
    <row r="24" spans="1:14">
      <c r="B24" s="31"/>
      <c r="C24" s="11"/>
      <c r="M24">
        <v>-1.6227929999999999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-1.6227929999999999</v>
      </c>
      <c r="N25">
        <v>1.9</v>
      </c>
    </row>
    <row r="26" spans="1:14">
      <c r="I26" t="s">
        <v>1</v>
      </c>
      <c r="J26" s="61" t="s">
        <v>17</v>
      </c>
      <c r="M26">
        <v>-1.6227929999999999</v>
      </c>
      <c r="N26">
        <v>2</v>
      </c>
    </row>
    <row r="27" spans="1:14">
      <c r="A27" s="34">
        <v>4</v>
      </c>
      <c r="B27" s="2" t="s">
        <v>2</v>
      </c>
      <c r="C27" s="32">
        <f xml:space="preserve"> $C$6 +  $C$7*('Normative data'!C8)</f>
        <v>4.2774111036502411</v>
      </c>
      <c r="I27" t="s">
        <v>63</v>
      </c>
      <c r="J27">
        <v>20.969942223344599</v>
      </c>
      <c r="M27">
        <v>-1.622466808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t="s">
        <v>67</v>
      </c>
      <c r="J28">
        <v>-10.8813464188328</v>
      </c>
      <c r="M28">
        <v>-1.6219156560000001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t="s">
        <v>68</v>
      </c>
      <c r="J29">
        <v>1.6155189520445401</v>
      </c>
      <c r="M29">
        <v>-1.6213869999999999</v>
      </c>
      <c r="N29">
        <v>2.2999999999999998</v>
      </c>
    </row>
    <row r="30" spans="1:14">
      <c r="B30" s="2" t="s">
        <v>8</v>
      </c>
      <c r="I30" t="s">
        <v>69</v>
      </c>
      <c r="J30">
        <v>-4.2387637121602602E-2</v>
      </c>
      <c r="M30">
        <v>-1.6213869999999999</v>
      </c>
      <c r="N30">
        <v>2.4</v>
      </c>
    </row>
    <row r="31" spans="1:14">
      <c r="I31" s="14"/>
      <c r="J31" s="15"/>
      <c r="M31">
        <v>-1.6213869999999999</v>
      </c>
      <c r="N31">
        <v>2.5</v>
      </c>
    </row>
    <row r="32" spans="1:14">
      <c r="I32" s="35"/>
      <c r="J32" s="17"/>
      <c r="M32">
        <v>-1.6213869999999999</v>
      </c>
      <c r="N32">
        <v>2.6</v>
      </c>
    </row>
    <row r="33" spans="2:14">
      <c r="B33" t="s">
        <v>9</v>
      </c>
      <c r="C33">
        <f>'Normative data'!C15-DigInv!C27</f>
        <v>-3.2774111036502411</v>
      </c>
      <c r="M33">
        <v>-1.6213869999999999</v>
      </c>
      <c r="N33">
        <v>2.7</v>
      </c>
    </row>
    <row r="34" spans="2:14">
      <c r="B34" t="s">
        <v>12</v>
      </c>
      <c r="C34">
        <f>C33/SD_PERC_DigInv!I38</f>
        <v>-4.0141884278975937</v>
      </c>
      <c r="I34" t="s">
        <v>41</v>
      </c>
      <c r="J34">
        <f>SD_PERC_DigInv!I38</f>
        <v>0.81645671659881813</v>
      </c>
      <c r="M34">
        <v>-1.6213869999999999</v>
      </c>
      <c r="N34">
        <v>2.8</v>
      </c>
    </row>
    <row r="35" spans="2:14">
      <c r="M35">
        <v>-1.6213869999999999</v>
      </c>
      <c r="N35">
        <v>2.9</v>
      </c>
    </row>
    <row r="36" spans="2:14">
      <c r="M36">
        <v>-1.6213869999999999</v>
      </c>
      <c r="N36">
        <v>3</v>
      </c>
    </row>
    <row r="37" spans="2:14">
      <c r="M37">
        <v>-1.6213869999999999</v>
      </c>
      <c r="N37">
        <v>3.1</v>
      </c>
    </row>
    <row r="38" spans="2:14">
      <c r="M38">
        <v>-1.6213869999999999</v>
      </c>
      <c r="N38">
        <v>3.2</v>
      </c>
    </row>
    <row r="39" spans="2:14">
      <c r="M39">
        <v>-1.6213869999999999</v>
      </c>
      <c r="N39">
        <v>3.3</v>
      </c>
    </row>
    <row r="40" spans="2:14">
      <c r="M40">
        <v>-1.6213869999999999</v>
      </c>
      <c r="N40">
        <v>3.4</v>
      </c>
    </row>
    <row r="41" spans="2:14">
      <c r="M41">
        <v>-1.6213869999999999</v>
      </c>
      <c r="N41">
        <v>3.5</v>
      </c>
    </row>
    <row r="42" spans="2:14">
      <c r="M42">
        <v>-1.6213869999999999</v>
      </c>
      <c r="N42">
        <v>3.6</v>
      </c>
    </row>
    <row r="43" spans="2:14">
      <c r="M43">
        <v>-1.6213869999999999</v>
      </c>
      <c r="N43">
        <v>3.7</v>
      </c>
    </row>
    <row r="44" spans="2:14">
      <c r="M44">
        <v>-1.6213869999999999</v>
      </c>
      <c r="N44">
        <v>3.8</v>
      </c>
    </row>
    <row r="45" spans="2:14">
      <c r="M45">
        <v>-1.6213869999999999</v>
      </c>
      <c r="N45">
        <v>3.9</v>
      </c>
    </row>
    <row r="46" spans="2:14">
      <c r="M46">
        <v>-1.6213869999999999</v>
      </c>
      <c r="N46">
        <v>4</v>
      </c>
    </row>
    <row r="47" spans="2:14">
      <c r="M47">
        <v>-1.6213869999999999</v>
      </c>
      <c r="N47">
        <v>4.0999999999999996</v>
      </c>
    </row>
    <row r="48" spans="2:14">
      <c r="M48">
        <v>-1.6213869999999999</v>
      </c>
      <c r="N48">
        <v>4.2</v>
      </c>
    </row>
    <row r="49" spans="13:14">
      <c r="M49">
        <v>-1.6213869999999999</v>
      </c>
      <c r="N49">
        <v>4.3</v>
      </c>
    </row>
    <row r="50" spans="13:14">
      <c r="M50">
        <v>-1.6213869999999999</v>
      </c>
      <c r="N50">
        <v>4.4000000000000004</v>
      </c>
    </row>
    <row r="51" spans="13:14">
      <c r="M51">
        <v>-1.6213869999999999</v>
      </c>
      <c r="N51">
        <v>4.5</v>
      </c>
    </row>
    <row r="52" spans="13:14">
      <c r="M52">
        <v>-1.6213713199999999</v>
      </c>
      <c r="N52">
        <v>4.5999999999999996</v>
      </c>
    </row>
    <row r="53" spans="13:14">
      <c r="M53">
        <v>-1.62117924</v>
      </c>
      <c r="N53">
        <v>4.7</v>
      </c>
    </row>
    <row r="54" spans="13:14">
      <c r="M54">
        <v>-1.6209871600000001</v>
      </c>
      <c r="N54">
        <v>4.8</v>
      </c>
    </row>
    <row r="55" spans="13:14">
      <c r="M55">
        <v>-1.620897</v>
      </c>
      <c r="N55">
        <v>4.9000000000000004</v>
      </c>
    </row>
    <row r="56" spans="13:14">
      <c r="M56">
        <v>-1.620897</v>
      </c>
      <c r="N56">
        <v>5</v>
      </c>
    </row>
    <row r="57" spans="13:14">
      <c r="M57">
        <v>-1.620897</v>
      </c>
      <c r="N57">
        <v>5.0999999999999996</v>
      </c>
    </row>
    <row r="58" spans="13:14">
      <c r="M58">
        <v>-1.620897</v>
      </c>
      <c r="N58">
        <v>5.2</v>
      </c>
    </row>
    <row r="59" spans="13:14">
      <c r="M59">
        <v>-1.620897</v>
      </c>
      <c r="N59">
        <v>5.3</v>
      </c>
    </row>
    <row r="60" spans="13:14">
      <c r="M60">
        <v>-1.620897</v>
      </c>
      <c r="N60">
        <v>5.4</v>
      </c>
    </row>
    <row r="61" spans="13:14">
      <c r="M61">
        <v>-1.620897</v>
      </c>
      <c r="N61">
        <v>5.5</v>
      </c>
    </row>
    <row r="62" spans="13:14">
      <c r="M62">
        <v>-1.620897</v>
      </c>
      <c r="N62">
        <v>5.6</v>
      </c>
    </row>
    <row r="63" spans="13:14">
      <c r="M63">
        <v>-1.6188526080000001</v>
      </c>
      <c r="N63">
        <v>5.7</v>
      </c>
    </row>
    <row r="64" spans="13:14">
      <c r="M64">
        <v>-1.616522952</v>
      </c>
      <c r="N64">
        <v>5.8</v>
      </c>
    </row>
    <row r="65" spans="13:14">
      <c r="M65">
        <v>-1.614954</v>
      </c>
      <c r="N65">
        <v>5.9</v>
      </c>
    </row>
    <row r="66" spans="13:14">
      <c r="M66">
        <v>-1.614954</v>
      </c>
      <c r="N66">
        <v>6</v>
      </c>
    </row>
    <row r="67" spans="13:14">
      <c r="M67">
        <v>-1.614954</v>
      </c>
      <c r="N67">
        <v>6.1</v>
      </c>
    </row>
    <row r="68" spans="13:14">
      <c r="M68">
        <v>-1.614954</v>
      </c>
      <c r="N68">
        <v>6.2</v>
      </c>
    </row>
    <row r="69" spans="13:14">
      <c r="M69">
        <v>-1.614954</v>
      </c>
      <c r="N69">
        <v>6.3</v>
      </c>
    </row>
    <row r="70" spans="13:14">
      <c r="M70">
        <v>-1.614954</v>
      </c>
      <c r="N70">
        <v>6.4</v>
      </c>
    </row>
    <row r="71" spans="13:14">
      <c r="M71">
        <v>-1.614954</v>
      </c>
      <c r="N71">
        <v>6.5</v>
      </c>
    </row>
    <row r="72" spans="13:14">
      <c r="M72">
        <v>-1.614954</v>
      </c>
      <c r="N72">
        <v>6.6</v>
      </c>
    </row>
    <row r="73" spans="13:14">
      <c r="M73">
        <v>-1.614954</v>
      </c>
      <c r="N73">
        <v>6.7</v>
      </c>
    </row>
    <row r="74" spans="13:14">
      <c r="M74">
        <v>-1.614954</v>
      </c>
      <c r="N74">
        <v>6.8</v>
      </c>
    </row>
    <row r="75" spans="13:14">
      <c r="M75">
        <v>-1.614954</v>
      </c>
      <c r="N75">
        <v>6.9</v>
      </c>
    </row>
    <row r="76" spans="13:14">
      <c r="M76">
        <v>-1.614954</v>
      </c>
      <c r="N76">
        <v>7</v>
      </c>
    </row>
    <row r="77" spans="13:14">
      <c r="M77">
        <v>-1.614954</v>
      </c>
      <c r="N77">
        <v>7.1</v>
      </c>
    </row>
    <row r="78" spans="13:14">
      <c r="M78">
        <v>-1.614954</v>
      </c>
      <c r="N78">
        <v>7.2</v>
      </c>
    </row>
    <row r="79" spans="13:14">
      <c r="M79">
        <v>-1.614954</v>
      </c>
      <c r="N79">
        <v>7.3</v>
      </c>
    </row>
    <row r="80" spans="13:14">
      <c r="M80">
        <v>-1.61492412</v>
      </c>
      <c r="N80">
        <v>7.4</v>
      </c>
    </row>
    <row r="81" spans="13:14">
      <c r="M81">
        <v>-1.6134599999999999</v>
      </c>
      <c r="N81">
        <v>7.5</v>
      </c>
    </row>
    <row r="82" spans="13:14">
      <c r="M82">
        <v>-1.61199588</v>
      </c>
      <c r="N82">
        <v>7.6</v>
      </c>
    </row>
    <row r="83" spans="13:14">
      <c r="M83">
        <v>-1.6099184879999999</v>
      </c>
      <c r="N83">
        <v>7.7</v>
      </c>
    </row>
    <row r="84" spans="13:14">
      <c r="M84">
        <v>-1.6071478320000001</v>
      </c>
      <c r="N84">
        <v>7.8</v>
      </c>
    </row>
    <row r="85" spans="13:14">
      <c r="M85">
        <v>-1.6043771760000001</v>
      </c>
      <c r="N85">
        <v>7.9</v>
      </c>
    </row>
    <row r="86" spans="13:14">
      <c r="M86">
        <v>-1.6041510000000001</v>
      </c>
      <c r="N86">
        <v>8</v>
      </c>
    </row>
    <row r="87" spans="13:14">
      <c r="M87">
        <v>-1.6041510000000001</v>
      </c>
      <c r="N87">
        <v>8.1</v>
      </c>
    </row>
    <row r="88" spans="13:14">
      <c r="M88">
        <v>-1.6041510000000001</v>
      </c>
      <c r="N88">
        <v>8.1999999999999993</v>
      </c>
    </row>
    <row r="89" spans="13:14">
      <c r="M89">
        <v>-1.6041510000000001</v>
      </c>
      <c r="N89">
        <v>8.3000000000000007</v>
      </c>
    </row>
    <row r="90" spans="13:14">
      <c r="M90">
        <v>-1.6041510000000001</v>
      </c>
      <c r="N90">
        <v>8.4</v>
      </c>
    </row>
    <row r="91" spans="13:14">
      <c r="M91">
        <v>-1.6041510000000001</v>
      </c>
      <c r="N91">
        <v>8.5</v>
      </c>
    </row>
    <row r="92" spans="13:14">
      <c r="M92">
        <v>-1.6041510000000001</v>
      </c>
      <c r="N92">
        <v>8.6</v>
      </c>
    </row>
    <row r="93" spans="13:14">
      <c r="M93">
        <v>-1.602433752</v>
      </c>
      <c r="N93">
        <v>8.6999999999999993</v>
      </c>
    </row>
    <row r="94" spans="13:14">
      <c r="M94">
        <v>-1.5959610479999999</v>
      </c>
      <c r="N94">
        <v>8.8000000000000007</v>
      </c>
    </row>
    <row r="95" spans="13:14">
      <c r="M95">
        <v>-1.5894883440000001</v>
      </c>
      <c r="N95">
        <v>8.9</v>
      </c>
    </row>
    <row r="96" spans="13:14">
      <c r="M96">
        <v>-1.587639</v>
      </c>
      <c r="N96">
        <v>9</v>
      </c>
    </row>
    <row r="97" spans="13:14">
      <c r="M97">
        <v>-1.587639</v>
      </c>
      <c r="N97">
        <v>9.1</v>
      </c>
    </row>
    <row r="98" spans="13:14">
      <c r="M98">
        <v>-1.5861631599999999</v>
      </c>
      <c r="N98">
        <v>9.1999999999999993</v>
      </c>
    </row>
    <row r="99" spans="13:14">
      <c r="M99">
        <v>-1.5771236399999999</v>
      </c>
      <c r="N99">
        <v>9.3000000000000007</v>
      </c>
    </row>
    <row r="100" spans="13:14">
      <c r="M100">
        <v>-1.56808412</v>
      </c>
      <c r="N100">
        <v>9.4</v>
      </c>
    </row>
    <row r="101" spans="13:14">
      <c r="M101">
        <v>-1.5645789999999999</v>
      </c>
      <c r="N101">
        <v>9.5</v>
      </c>
    </row>
    <row r="102" spans="13:14">
      <c r="M102">
        <v>-1.5645789999999999</v>
      </c>
      <c r="N102">
        <v>9.6</v>
      </c>
    </row>
    <row r="103" spans="13:14">
      <c r="M103">
        <v>-1.5645789999999999</v>
      </c>
      <c r="N103">
        <v>9.6999999999999993</v>
      </c>
    </row>
    <row r="104" spans="13:14">
      <c r="M104">
        <v>-1.5645789999999999</v>
      </c>
      <c r="N104">
        <v>9.8000000000000007</v>
      </c>
    </row>
    <row r="105" spans="13:14">
      <c r="M105">
        <v>-1.5645789999999999</v>
      </c>
      <c r="N105">
        <v>9.9</v>
      </c>
    </row>
    <row r="106" spans="13:14">
      <c r="M106">
        <v>-1.5645789999999999</v>
      </c>
      <c r="N106">
        <v>10</v>
      </c>
    </row>
    <row r="107" spans="13:14">
      <c r="M107">
        <v>-1.5645789999999999</v>
      </c>
      <c r="N107">
        <v>10.1</v>
      </c>
    </row>
    <row r="108" spans="13:14">
      <c r="M108">
        <v>-1.5645789999999999</v>
      </c>
      <c r="N108">
        <v>10.199999999999999</v>
      </c>
    </row>
    <row r="109" spans="13:14">
      <c r="M109">
        <v>-1.5645789999999999</v>
      </c>
      <c r="N109">
        <v>10.3</v>
      </c>
    </row>
    <row r="110" spans="13:14">
      <c r="M110">
        <v>-1.5645789999999999</v>
      </c>
      <c r="N110">
        <v>10.4</v>
      </c>
    </row>
    <row r="111" spans="13:14">
      <c r="M111">
        <v>-1.5645789999999999</v>
      </c>
      <c r="N111">
        <v>10.5</v>
      </c>
    </row>
    <row r="112" spans="13:14">
      <c r="M112">
        <v>-1.5645789999999999</v>
      </c>
      <c r="N112">
        <v>10.6</v>
      </c>
    </row>
    <row r="113" spans="13:14">
      <c r="M113">
        <v>-1.5645789999999999</v>
      </c>
      <c r="N113">
        <v>10.7</v>
      </c>
    </row>
    <row r="114" spans="13:14">
      <c r="M114">
        <v>-1.5645789999999999</v>
      </c>
      <c r="N114">
        <v>10.8</v>
      </c>
    </row>
    <row r="115" spans="13:14">
      <c r="M115">
        <v>-1.5645789999999999</v>
      </c>
      <c r="N115">
        <v>10.9</v>
      </c>
    </row>
    <row r="116" spans="13:14">
      <c r="M116">
        <v>-1.5645789999999999</v>
      </c>
      <c r="N116">
        <v>11</v>
      </c>
    </row>
    <row r="117" spans="13:14">
      <c r="M117">
        <v>-1.5645789999999999</v>
      </c>
      <c r="N117">
        <v>11.1</v>
      </c>
    </row>
    <row r="118" spans="13:14">
      <c r="M118">
        <v>-1.5645789999999999</v>
      </c>
      <c r="N118">
        <v>11.2</v>
      </c>
    </row>
    <row r="119" spans="13:14">
      <c r="M119">
        <v>-1.5645789999999999</v>
      </c>
      <c r="N119">
        <v>11.3</v>
      </c>
    </row>
    <row r="120" spans="13:14">
      <c r="M120">
        <v>-1.5645789999999999</v>
      </c>
      <c r="N120">
        <v>11.4</v>
      </c>
    </row>
    <row r="121" spans="13:14">
      <c r="M121">
        <v>-1.5645789999999999</v>
      </c>
      <c r="N121">
        <v>11.5</v>
      </c>
    </row>
    <row r="122" spans="13:14">
      <c r="M122">
        <v>-1.5645789999999999</v>
      </c>
      <c r="N122">
        <v>11.6</v>
      </c>
    </row>
    <row r="123" spans="13:14">
      <c r="M123">
        <v>-1.5645789999999999</v>
      </c>
      <c r="N123">
        <v>11.7</v>
      </c>
    </row>
    <row r="124" spans="13:14">
      <c r="M124">
        <v>-1.5645789999999999</v>
      </c>
      <c r="N124">
        <v>11.8</v>
      </c>
    </row>
    <row r="125" spans="13:14">
      <c r="M125">
        <v>-1.5645789999999999</v>
      </c>
      <c r="N125">
        <v>11.9</v>
      </c>
    </row>
    <row r="126" spans="13:14">
      <c r="M126">
        <v>-1.5645789999999999</v>
      </c>
      <c r="N126">
        <v>12</v>
      </c>
    </row>
    <row r="127" spans="13:14">
      <c r="M127">
        <v>-1.5645789999999999</v>
      </c>
      <c r="N127">
        <v>12.1</v>
      </c>
    </row>
    <row r="128" spans="13:14">
      <c r="M128">
        <v>-1.5645789999999999</v>
      </c>
      <c r="N128">
        <v>12.2</v>
      </c>
    </row>
    <row r="129" spans="13:14">
      <c r="M129">
        <v>-1.5645789999999999</v>
      </c>
      <c r="N129">
        <v>12.3</v>
      </c>
    </row>
    <row r="130" spans="13:14">
      <c r="M130">
        <v>-1.5645789999999999</v>
      </c>
      <c r="N130">
        <v>12.4</v>
      </c>
    </row>
    <row r="131" spans="13:14">
      <c r="M131">
        <v>-1.5645789999999999</v>
      </c>
      <c r="N131">
        <v>12.5</v>
      </c>
    </row>
    <row r="132" spans="13:14">
      <c r="M132">
        <v>-1.5645789999999999</v>
      </c>
      <c r="N132">
        <v>12.6</v>
      </c>
    </row>
    <row r="133" spans="13:14">
      <c r="M133">
        <v>-1.5645789999999999</v>
      </c>
      <c r="N133">
        <v>12.7</v>
      </c>
    </row>
    <row r="134" spans="13:14">
      <c r="M134">
        <v>-1.5645789999999999</v>
      </c>
      <c r="N134">
        <v>12.8</v>
      </c>
    </row>
    <row r="135" spans="13:14">
      <c r="M135">
        <v>-1.5645789999999999</v>
      </c>
      <c r="N135">
        <v>12.9</v>
      </c>
    </row>
    <row r="136" spans="13:14">
      <c r="M136">
        <v>-1.5645789999999999</v>
      </c>
      <c r="N136">
        <v>13</v>
      </c>
    </row>
    <row r="137" spans="13:14">
      <c r="M137">
        <v>-1.5645789999999999</v>
      </c>
      <c r="N137">
        <v>13.1</v>
      </c>
    </row>
    <row r="138" spans="13:14">
      <c r="M138">
        <v>-1.5645789999999999</v>
      </c>
      <c r="N138">
        <v>13.2</v>
      </c>
    </row>
    <row r="139" spans="13:14">
      <c r="M139">
        <v>-1.548911664</v>
      </c>
      <c r="N139">
        <v>13.3</v>
      </c>
    </row>
    <row r="140" spans="13:14">
      <c r="M140">
        <v>-1.503752872</v>
      </c>
      <c r="N140">
        <v>13.4</v>
      </c>
    </row>
    <row r="141" spans="13:14">
      <c r="M141">
        <v>-1.4585940799999999</v>
      </c>
      <c r="N141">
        <v>13.5</v>
      </c>
    </row>
    <row r="142" spans="13:14">
      <c r="M142">
        <v>-1.4126708880000001</v>
      </c>
      <c r="N142">
        <v>13.6</v>
      </c>
    </row>
    <row r="143" spans="13:14">
      <c r="M143">
        <v>-1.3665516959999999</v>
      </c>
      <c r="N143">
        <v>13.7</v>
      </c>
    </row>
    <row r="144" spans="13:14">
      <c r="M144">
        <v>-1.3317270000000001</v>
      </c>
      <c r="N144">
        <v>13.8</v>
      </c>
    </row>
    <row r="145" spans="13:14">
      <c r="M145">
        <v>-1.3317270000000001</v>
      </c>
      <c r="N145">
        <v>13.9</v>
      </c>
    </row>
    <row r="146" spans="13:14">
      <c r="M146">
        <v>-1.3317270000000001</v>
      </c>
      <c r="N146">
        <v>14</v>
      </c>
    </row>
    <row r="147" spans="13:14">
      <c r="M147">
        <v>-1.312681832</v>
      </c>
      <c r="N147">
        <v>14.1</v>
      </c>
    </row>
    <row r="148" spans="13:14">
      <c r="M148">
        <v>-1.285234384</v>
      </c>
      <c r="N148">
        <v>14.2</v>
      </c>
    </row>
    <row r="149" spans="13:14">
      <c r="M149">
        <v>-1.2617080000000001</v>
      </c>
      <c r="N149">
        <v>14.3</v>
      </c>
    </row>
    <row r="150" spans="13:14">
      <c r="M150">
        <v>-1.2617080000000001</v>
      </c>
      <c r="N150">
        <v>14.4</v>
      </c>
    </row>
    <row r="151" spans="13:14">
      <c r="M151">
        <v>-1.2617080000000001</v>
      </c>
      <c r="N151">
        <v>14.5</v>
      </c>
    </row>
    <row r="152" spans="13:14">
      <c r="M152">
        <v>-1.2617080000000001</v>
      </c>
      <c r="N152">
        <v>14.6</v>
      </c>
    </row>
    <row r="153" spans="13:14">
      <c r="M153">
        <v>-1.2617080000000001</v>
      </c>
      <c r="N153">
        <v>14.7</v>
      </c>
    </row>
    <row r="154" spans="13:14">
      <c r="M154">
        <v>-1.2521175520000001</v>
      </c>
      <c r="N154">
        <v>14.8</v>
      </c>
    </row>
    <row r="155" spans="13:14">
      <c r="M155">
        <v>-1.0171515760000001</v>
      </c>
      <c r="N155">
        <v>14.9</v>
      </c>
    </row>
    <row r="156" spans="13:14">
      <c r="M156">
        <v>-0.78218560000000203</v>
      </c>
      <c r="N156">
        <v>15</v>
      </c>
    </row>
    <row r="157" spans="13:14">
      <c r="M157">
        <v>-0.66230500000000003</v>
      </c>
      <c r="N157">
        <v>15.1</v>
      </c>
    </row>
    <row r="158" spans="13:14">
      <c r="M158">
        <v>-0.66230500000000003</v>
      </c>
      <c r="N158">
        <v>15.2</v>
      </c>
    </row>
    <row r="159" spans="13:14">
      <c r="M159">
        <v>-0.66230500000000003</v>
      </c>
      <c r="N159">
        <v>15.3</v>
      </c>
    </row>
    <row r="160" spans="13:14">
      <c r="M160">
        <v>-0.65203191199999999</v>
      </c>
      <c r="N160">
        <v>15.4</v>
      </c>
    </row>
    <row r="161" spans="13:14">
      <c r="M161">
        <v>-0.64108883999999999</v>
      </c>
      <c r="N161">
        <v>15.5</v>
      </c>
    </row>
    <row r="162" spans="13:14">
      <c r="M162">
        <v>-0.62968703199999998</v>
      </c>
      <c r="N162">
        <v>15.6</v>
      </c>
    </row>
    <row r="163" spans="13:14">
      <c r="M163">
        <v>-0.61756090399999997</v>
      </c>
      <c r="N163">
        <v>15.7</v>
      </c>
    </row>
    <row r="164" spans="13:14">
      <c r="M164">
        <v>-0.60543477599999995</v>
      </c>
      <c r="N164">
        <v>15.8</v>
      </c>
    </row>
    <row r="165" spans="13:14">
      <c r="M165">
        <v>-0.60345499999999996</v>
      </c>
      <c r="N165">
        <v>15.9</v>
      </c>
    </row>
    <row r="166" spans="13:14">
      <c r="M166">
        <v>-0.60345499999999996</v>
      </c>
      <c r="N166">
        <v>16</v>
      </c>
    </row>
    <row r="167" spans="13:14">
      <c r="M167">
        <v>-0.60345499999999996</v>
      </c>
      <c r="N167">
        <v>16.100000000000001</v>
      </c>
    </row>
    <row r="168" spans="13:14">
      <c r="M168">
        <v>-0.60345499999999996</v>
      </c>
      <c r="N168">
        <v>16.2</v>
      </c>
    </row>
    <row r="169" spans="13:14">
      <c r="M169">
        <v>-0.60345499999999996</v>
      </c>
      <c r="N169">
        <v>16.3</v>
      </c>
    </row>
    <row r="170" spans="13:14">
      <c r="M170">
        <v>-0.60345499999999996</v>
      </c>
      <c r="N170">
        <v>16.399999999999999</v>
      </c>
    </row>
    <row r="171" spans="13:14">
      <c r="M171">
        <v>-0.60345499999999996</v>
      </c>
      <c r="N171">
        <v>16.5</v>
      </c>
    </row>
    <row r="172" spans="13:14">
      <c r="M172">
        <v>-0.60345499999999996</v>
      </c>
      <c r="N172">
        <v>16.600000000000001</v>
      </c>
    </row>
    <row r="173" spans="13:14">
      <c r="M173">
        <v>-0.60345499999999996</v>
      </c>
      <c r="N173">
        <v>16.7</v>
      </c>
    </row>
    <row r="174" spans="13:14">
      <c r="M174">
        <v>-0.60345499999999996</v>
      </c>
      <c r="N174">
        <v>16.8</v>
      </c>
    </row>
    <row r="175" spans="13:14">
      <c r="M175">
        <v>-0.60345499999999996</v>
      </c>
      <c r="N175">
        <v>16.899999999999999</v>
      </c>
    </row>
    <row r="176" spans="13:14">
      <c r="M176">
        <v>-0.60345499999999996</v>
      </c>
      <c r="N176">
        <v>17</v>
      </c>
    </row>
    <row r="177" spans="13:14">
      <c r="M177">
        <v>-0.60345499999999996</v>
      </c>
      <c r="N177">
        <v>17.100000000000001</v>
      </c>
    </row>
    <row r="178" spans="13:14">
      <c r="M178">
        <v>-0.60345499999999996</v>
      </c>
      <c r="N178">
        <v>17.2</v>
      </c>
    </row>
    <row r="179" spans="13:14">
      <c r="M179">
        <v>-0.60345499999999996</v>
      </c>
      <c r="N179">
        <v>17.3</v>
      </c>
    </row>
    <row r="180" spans="13:14">
      <c r="M180">
        <v>-0.60345499999999996</v>
      </c>
      <c r="N180">
        <v>17.399999999999999</v>
      </c>
    </row>
    <row r="181" spans="13:14">
      <c r="M181">
        <v>-0.60345499999999996</v>
      </c>
      <c r="N181">
        <v>17.5</v>
      </c>
    </row>
    <row r="182" spans="13:14">
      <c r="M182">
        <v>-0.60345499999999996</v>
      </c>
      <c r="N182">
        <v>17.600000000000001</v>
      </c>
    </row>
    <row r="183" spans="13:14">
      <c r="M183">
        <v>-0.60345499999999996</v>
      </c>
      <c r="N183">
        <v>17.7</v>
      </c>
    </row>
    <row r="184" spans="13:14">
      <c r="M184">
        <v>-0.60345499999999996</v>
      </c>
      <c r="N184">
        <v>17.8</v>
      </c>
    </row>
    <row r="185" spans="13:14">
      <c r="M185">
        <v>-0.60345499999999996</v>
      </c>
      <c r="N185">
        <v>17.899999999999999</v>
      </c>
    </row>
    <row r="186" spans="13:14">
      <c r="M186">
        <v>-0.60345499999999996</v>
      </c>
      <c r="N186">
        <v>18</v>
      </c>
    </row>
    <row r="187" spans="13:14">
      <c r="M187">
        <v>-0.60345499999999996</v>
      </c>
      <c r="N187">
        <v>18.100000000000001</v>
      </c>
    </row>
    <row r="188" spans="13:14">
      <c r="M188">
        <v>-0.60345499999999996</v>
      </c>
      <c r="N188">
        <v>18.2</v>
      </c>
    </row>
    <row r="189" spans="13:14">
      <c r="M189">
        <v>-0.60345499999999996</v>
      </c>
      <c r="N189">
        <v>18.3</v>
      </c>
    </row>
    <row r="190" spans="13:14">
      <c r="M190">
        <v>-0.60345499999999996</v>
      </c>
      <c r="N190">
        <v>18.399999999999999</v>
      </c>
    </row>
    <row r="191" spans="13:14">
      <c r="M191">
        <v>-0.60345499999999996</v>
      </c>
      <c r="N191">
        <v>18.5</v>
      </c>
    </row>
    <row r="192" spans="13:14">
      <c r="M192">
        <v>-0.60345499999999996</v>
      </c>
      <c r="N192">
        <v>18.600000000000001</v>
      </c>
    </row>
    <row r="193" spans="13:14">
      <c r="M193">
        <v>-0.60345499999999996</v>
      </c>
      <c r="N193">
        <v>18.7</v>
      </c>
    </row>
    <row r="194" spans="13:14">
      <c r="M194">
        <v>-0.60345499999999996</v>
      </c>
      <c r="N194">
        <v>18.8</v>
      </c>
    </row>
    <row r="195" spans="13:14">
      <c r="M195">
        <v>-0.60345499999999996</v>
      </c>
      <c r="N195">
        <v>18.899999999999999</v>
      </c>
    </row>
    <row r="196" spans="13:14">
      <c r="M196">
        <v>-0.60345499999999996</v>
      </c>
      <c r="N196">
        <v>19</v>
      </c>
    </row>
    <row r="197" spans="13:14">
      <c r="M197">
        <v>-0.60345499999999996</v>
      </c>
      <c r="N197">
        <v>19.100000000000001</v>
      </c>
    </row>
    <row r="198" spans="13:14">
      <c r="M198">
        <v>-0.60345499999999996</v>
      </c>
      <c r="N198">
        <v>19.2</v>
      </c>
    </row>
    <row r="199" spans="13:14">
      <c r="M199">
        <v>-0.60345499999999996</v>
      </c>
      <c r="N199">
        <v>19.3</v>
      </c>
    </row>
    <row r="200" spans="13:14">
      <c r="M200">
        <v>-0.60345499999999996</v>
      </c>
      <c r="N200">
        <v>19.399999999999999</v>
      </c>
    </row>
    <row r="201" spans="13:14">
      <c r="M201">
        <v>-0.60345499999999996</v>
      </c>
      <c r="N201">
        <v>19.5</v>
      </c>
    </row>
    <row r="202" spans="13:14">
      <c r="M202">
        <v>-0.60345499999999996</v>
      </c>
      <c r="N202">
        <v>19.600000000000001</v>
      </c>
    </row>
    <row r="203" spans="13:14">
      <c r="M203">
        <v>-0.60345499999999996</v>
      </c>
      <c r="N203">
        <v>19.7</v>
      </c>
    </row>
    <row r="204" spans="13:14">
      <c r="M204">
        <v>-0.60345499999999996</v>
      </c>
      <c r="N204">
        <v>19.8</v>
      </c>
    </row>
    <row r="205" spans="13:14">
      <c r="M205">
        <v>-0.60345499999999996</v>
      </c>
      <c r="N205">
        <v>19.899999999999999</v>
      </c>
    </row>
    <row r="206" spans="13:14">
      <c r="M206">
        <v>-0.60345499999999996</v>
      </c>
      <c r="N206">
        <v>20</v>
      </c>
    </row>
    <row r="207" spans="13:14">
      <c r="M207">
        <v>-0.60345499999999996</v>
      </c>
      <c r="N207">
        <v>20.100000000000001</v>
      </c>
    </row>
    <row r="208" spans="13:14">
      <c r="M208">
        <v>-0.60345499999999996</v>
      </c>
      <c r="N208">
        <v>20.2</v>
      </c>
    </row>
    <row r="209" spans="13:14">
      <c r="M209">
        <v>-0.60345499999999996</v>
      </c>
      <c r="N209">
        <v>20.3</v>
      </c>
    </row>
    <row r="210" spans="13:14">
      <c r="M210">
        <v>-0.60345499999999996</v>
      </c>
      <c r="N210">
        <v>20.399999999999999</v>
      </c>
    </row>
    <row r="211" spans="13:14">
      <c r="M211">
        <v>-0.60345499999999996</v>
      </c>
      <c r="N211">
        <v>20.5</v>
      </c>
    </row>
    <row r="212" spans="13:14">
      <c r="M212">
        <v>-0.60345499999999996</v>
      </c>
      <c r="N212">
        <v>20.6</v>
      </c>
    </row>
    <row r="213" spans="13:14">
      <c r="M213">
        <v>-0.60345499999999996</v>
      </c>
      <c r="N213">
        <v>20.7</v>
      </c>
    </row>
    <row r="214" spans="13:14">
      <c r="M214">
        <v>-0.60345499999999996</v>
      </c>
      <c r="N214">
        <v>20.8</v>
      </c>
    </row>
    <row r="215" spans="13:14">
      <c r="M215">
        <v>-0.60345499999999996</v>
      </c>
      <c r="N215">
        <v>20.9</v>
      </c>
    </row>
    <row r="216" spans="13:14">
      <c r="M216">
        <v>-0.60345499999999996</v>
      </c>
      <c r="N216">
        <v>21</v>
      </c>
    </row>
    <row r="217" spans="13:14">
      <c r="M217">
        <v>-0.60345499999999996</v>
      </c>
      <c r="N217">
        <v>21.1</v>
      </c>
    </row>
    <row r="218" spans="13:14">
      <c r="M218">
        <v>-0.60345499999999996</v>
      </c>
      <c r="N218">
        <v>21.2</v>
      </c>
    </row>
    <row r="219" spans="13:14">
      <c r="M219">
        <v>-0.60345499999999996</v>
      </c>
      <c r="N219">
        <v>21.3</v>
      </c>
    </row>
    <row r="220" spans="13:14">
      <c r="M220">
        <v>-0.60345499999999996</v>
      </c>
      <c r="N220">
        <v>21.4</v>
      </c>
    </row>
    <row r="221" spans="13:14">
      <c r="M221">
        <v>-0.60345499999999996</v>
      </c>
      <c r="N221">
        <v>21.5</v>
      </c>
    </row>
    <row r="222" spans="13:14">
      <c r="M222">
        <v>-0.60345499999999996</v>
      </c>
      <c r="N222">
        <v>21.6</v>
      </c>
    </row>
    <row r="223" spans="13:14">
      <c r="M223">
        <v>-0.60345499999999996</v>
      </c>
      <c r="N223">
        <v>21.7</v>
      </c>
    </row>
    <row r="224" spans="13:14">
      <c r="M224">
        <v>-0.60345499999999996</v>
      </c>
      <c r="N224">
        <v>21.8</v>
      </c>
    </row>
    <row r="225" spans="13:14">
      <c r="M225">
        <v>-0.60345499999999996</v>
      </c>
      <c r="N225">
        <v>21.9</v>
      </c>
    </row>
    <row r="226" spans="13:14">
      <c r="M226">
        <v>-0.60345499999999996</v>
      </c>
      <c r="N226">
        <v>22</v>
      </c>
    </row>
    <row r="227" spans="13:14">
      <c r="M227">
        <v>-0.60345499999999996</v>
      </c>
      <c r="N227">
        <v>22.1</v>
      </c>
    </row>
    <row r="228" spans="13:14">
      <c r="M228">
        <v>-0.60345499999999996</v>
      </c>
      <c r="N228">
        <v>22.2</v>
      </c>
    </row>
    <row r="229" spans="13:14">
      <c r="M229">
        <v>-0.60345499999999996</v>
      </c>
      <c r="N229">
        <v>22.3</v>
      </c>
    </row>
    <row r="230" spans="13:14">
      <c r="M230">
        <v>-0.60345499999999996</v>
      </c>
      <c r="N230">
        <v>22.4</v>
      </c>
    </row>
    <row r="231" spans="13:14">
      <c r="M231">
        <v>-0.60345499999999996</v>
      </c>
      <c r="N231">
        <v>22.5</v>
      </c>
    </row>
    <row r="232" spans="13:14">
      <c r="M232">
        <v>-0.60345499999999996</v>
      </c>
      <c r="N232">
        <v>22.6</v>
      </c>
    </row>
    <row r="233" spans="13:14">
      <c r="M233">
        <v>-0.60345499999999996</v>
      </c>
      <c r="N233">
        <v>22.7</v>
      </c>
    </row>
    <row r="234" spans="13:14">
      <c r="M234">
        <v>-0.60345499999999996</v>
      </c>
      <c r="N234">
        <v>22.8</v>
      </c>
    </row>
    <row r="235" spans="13:14">
      <c r="M235">
        <v>-0.60345499999999996</v>
      </c>
      <c r="N235">
        <v>22.9</v>
      </c>
    </row>
    <row r="236" spans="13:14">
      <c r="M236">
        <v>-0.60345499999999996</v>
      </c>
      <c r="N236">
        <v>23</v>
      </c>
    </row>
    <row r="237" spans="13:14">
      <c r="M237">
        <v>-0.60345499999999996</v>
      </c>
      <c r="N237">
        <v>23.1</v>
      </c>
    </row>
    <row r="238" spans="13:14">
      <c r="M238">
        <v>-0.60345499999999996</v>
      </c>
      <c r="N238">
        <v>23.2</v>
      </c>
    </row>
    <row r="239" spans="13:14">
      <c r="M239">
        <v>-0.60345499999999996</v>
      </c>
      <c r="N239">
        <v>23.3</v>
      </c>
    </row>
    <row r="240" spans="13:14">
      <c r="M240">
        <v>-0.60345499999999996</v>
      </c>
      <c r="N240">
        <v>23.4</v>
      </c>
    </row>
    <row r="241" spans="13:14">
      <c r="M241">
        <v>-0.60345499999999996</v>
      </c>
      <c r="N241">
        <v>23.5</v>
      </c>
    </row>
    <row r="242" spans="13:14">
      <c r="M242">
        <v>-0.60345499999999996</v>
      </c>
      <c r="N242">
        <v>23.6</v>
      </c>
    </row>
    <row r="243" spans="13:14">
      <c r="M243">
        <v>-0.60345499999999996</v>
      </c>
      <c r="N243">
        <v>23.7</v>
      </c>
    </row>
    <row r="244" spans="13:14">
      <c r="M244">
        <v>-0.60345499999999996</v>
      </c>
      <c r="N244">
        <v>23.8</v>
      </c>
    </row>
    <row r="245" spans="13:14">
      <c r="M245">
        <v>-0.60345499999999996</v>
      </c>
      <c r="N245">
        <v>23.9</v>
      </c>
    </row>
    <row r="246" spans="13:14">
      <c r="M246">
        <v>-0.60345499999999996</v>
      </c>
      <c r="N246">
        <v>24</v>
      </c>
    </row>
    <row r="247" spans="13:14">
      <c r="M247">
        <v>-0.60345499999999996</v>
      </c>
      <c r="N247">
        <v>24.1</v>
      </c>
    </row>
    <row r="248" spans="13:14">
      <c r="M248">
        <v>-0.60345499999999996</v>
      </c>
      <c r="N248">
        <v>24.2</v>
      </c>
    </row>
    <row r="249" spans="13:14">
      <c r="M249">
        <v>-0.60345499999999996</v>
      </c>
      <c r="N249">
        <v>24.3</v>
      </c>
    </row>
    <row r="250" spans="13:14">
      <c r="M250">
        <v>-0.60345499999999996</v>
      </c>
      <c r="N250">
        <v>24.4</v>
      </c>
    </row>
    <row r="251" spans="13:14">
      <c r="M251">
        <v>-0.60345499999999996</v>
      </c>
      <c r="N251">
        <v>24.5</v>
      </c>
    </row>
    <row r="252" spans="13:14">
      <c r="M252">
        <v>-0.60345499999999996</v>
      </c>
      <c r="N252">
        <v>24.6</v>
      </c>
    </row>
    <row r="253" spans="13:14">
      <c r="M253">
        <v>-0.60345499999999996</v>
      </c>
      <c r="N253">
        <v>24.7</v>
      </c>
    </row>
    <row r="254" spans="13:14">
      <c r="M254">
        <v>-0.60345499999999996</v>
      </c>
      <c r="N254">
        <v>24.8</v>
      </c>
    </row>
    <row r="255" spans="13:14">
      <c r="M255">
        <v>-0.60345499999999996</v>
      </c>
      <c r="N255">
        <v>24.9</v>
      </c>
    </row>
    <row r="256" spans="13:14">
      <c r="M256">
        <v>-0.60345499999999996</v>
      </c>
      <c r="N256">
        <v>25</v>
      </c>
    </row>
    <row r="257" spans="13:14">
      <c r="M257">
        <v>-0.60345499999999996</v>
      </c>
      <c r="N257">
        <v>25.1</v>
      </c>
    </row>
    <row r="258" spans="13:14">
      <c r="M258">
        <v>-0.60345499999999996</v>
      </c>
      <c r="N258">
        <v>25.2</v>
      </c>
    </row>
    <row r="259" spans="13:14">
      <c r="M259">
        <v>-0.60345499999999996</v>
      </c>
      <c r="N259">
        <v>25.3</v>
      </c>
    </row>
    <row r="260" spans="13:14">
      <c r="M260">
        <v>-0.60345499999999996</v>
      </c>
      <c r="N260">
        <v>25.4</v>
      </c>
    </row>
    <row r="261" spans="13:14">
      <c r="M261">
        <v>-0.60345499999999996</v>
      </c>
      <c r="N261">
        <v>25.5</v>
      </c>
    </row>
    <row r="262" spans="13:14">
      <c r="M262">
        <v>-0.59139935200000004</v>
      </c>
      <c r="N262">
        <v>25.6</v>
      </c>
    </row>
    <row r="263" spans="13:14">
      <c r="M263">
        <v>-0.57797374400000001</v>
      </c>
      <c r="N263">
        <v>25.7</v>
      </c>
    </row>
    <row r="264" spans="13:14">
      <c r="M264">
        <v>-0.56920599999999999</v>
      </c>
      <c r="N264">
        <v>25.8</v>
      </c>
    </row>
    <row r="265" spans="13:14">
      <c r="M265">
        <v>-0.56920599999999999</v>
      </c>
      <c r="N265">
        <v>25.9</v>
      </c>
    </row>
    <row r="266" spans="13:14">
      <c r="M266">
        <v>-0.56920599999999999</v>
      </c>
      <c r="N266">
        <v>26</v>
      </c>
    </row>
    <row r="267" spans="13:14">
      <c r="M267">
        <v>-0.56920599999999999</v>
      </c>
      <c r="N267">
        <v>26.1</v>
      </c>
    </row>
    <row r="268" spans="13:14">
      <c r="M268">
        <v>-0.56920599999999999</v>
      </c>
      <c r="N268">
        <v>26.2</v>
      </c>
    </row>
    <row r="269" spans="13:14">
      <c r="M269">
        <v>-0.56920599999999999</v>
      </c>
      <c r="N269">
        <v>26.3</v>
      </c>
    </row>
    <row r="270" spans="13:14">
      <c r="M270">
        <v>-0.56920599999999999</v>
      </c>
      <c r="N270">
        <v>26.4</v>
      </c>
    </row>
    <row r="271" spans="13:14">
      <c r="M271">
        <v>-0.56920599999999999</v>
      </c>
      <c r="N271">
        <v>26.5</v>
      </c>
    </row>
    <row r="272" spans="13:14">
      <c r="M272">
        <v>-0.56920599999999999</v>
      </c>
      <c r="N272">
        <v>26.6</v>
      </c>
    </row>
    <row r="273" spans="13:14">
      <c r="M273">
        <v>-0.56920599999999999</v>
      </c>
      <c r="N273">
        <v>26.7</v>
      </c>
    </row>
    <row r="274" spans="13:14">
      <c r="M274">
        <v>-0.56920599999999999</v>
      </c>
      <c r="N274">
        <v>26.8</v>
      </c>
    </row>
    <row r="275" spans="13:14">
      <c r="M275">
        <v>-0.56920599999999999</v>
      </c>
      <c r="N275">
        <v>26.9</v>
      </c>
    </row>
    <row r="276" spans="13:14">
      <c r="M276">
        <v>-0.56920599999999999</v>
      </c>
      <c r="N276">
        <v>27</v>
      </c>
    </row>
    <row r="277" spans="13:14">
      <c r="M277">
        <v>-0.56920599999999999</v>
      </c>
      <c r="N277">
        <v>27.1</v>
      </c>
    </row>
    <row r="278" spans="13:14">
      <c r="M278">
        <v>-0.56920599999999999</v>
      </c>
      <c r="N278">
        <v>27.2</v>
      </c>
    </row>
    <row r="279" spans="13:14">
      <c r="M279">
        <v>-0.56920599999999999</v>
      </c>
      <c r="N279">
        <v>27.3</v>
      </c>
    </row>
    <row r="280" spans="13:14">
      <c r="M280">
        <v>-0.56920599999999999</v>
      </c>
      <c r="N280">
        <v>27.4</v>
      </c>
    </row>
    <row r="281" spans="13:14">
      <c r="M281">
        <v>-0.56920599999999999</v>
      </c>
      <c r="N281">
        <v>27.5</v>
      </c>
    </row>
    <row r="282" spans="13:14">
      <c r="M282">
        <v>-0.56920599999999999</v>
      </c>
      <c r="N282">
        <v>27.6</v>
      </c>
    </row>
    <row r="283" spans="13:14">
      <c r="M283">
        <v>-0.56920599999999999</v>
      </c>
      <c r="N283">
        <v>27.7</v>
      </c>
    </row>
    <row r="284" spans="13:14">
      <c r="M284">
        <v>-0.56920599999999999</v>
      </c>
      <c r="N284">
        <v>27.8</v>
      </c>
    </row>
    <row r="285" spans="13:14">
      <c r="M285">
        <v>-0.56920599999999999</v>
      </c>
      <c r="N285">
        <v>27.9</v>
      </c>
    </row>
    <row r="286" spans="13:14">
      <c r="M286">
        <v>-0.56920599999999999</v>
      </c>
      <c r="N286">
        <v>28</v>
      </c>
    </row>
    <row r="287" spans="13:14">
      <c r="M287">
        <v>-0.56920599999999999</v>
      </c>
      <c r="N287">
        <v>28.1</v>
      </c>
    </row>
    <row r="288" spans="13:14">
      <c r="M288">
        <v>-0.56920599999999999</v>
      </c>
      <c r="N288">
        <v>28.2</v>
      </c>
    </row>
    <row r="289" spans="13:14">
      <c r="M289">
        <v>-0.56920599999999999</v>
      </c>
      <c r="N289">
        <v>28.3</v>
      </c>
    </row>
    <row r="290" spans="13:14">
      <c r="M290">
        <v>-0.56920599999999999</v>
      </c>
      <c r="N290">
        <v>28.4</v>
      </c>
    </row>
    <row r="291" spans="13:14">
      <c r="M291">
        <v>-0.56920599999999999</v>
      </c>
      <c r="N291">
        <v>28.5</v>
      </c>
    </row>
    <row r="292" spans="13:14">
      <c r="M292">
        <v>-0.56920599999999999</v>
      </c>
      <c r="N292">
        <v>28.6</v>
      </c>
    </row>
    <row r="293" spans="13:14">
      <c r="M293">
        <v>-0.56920599999999999</v>
      </c>
      <c r="N293">
        <v>28.7</v>
      </c>
    </row>
    <row r="294" spans="13:14">
      <c r="M294">
        <v>-0.56920599999999999</v>
      </c>
      <c r="N294">
        <v>28.8</v>
      </c>
    </row>
    <row r="295" spans="13:14">
      <c r="M295">
        <v>-0.56920599999999999</v>
      </c>
      <c r="N295">
        <v>28.9</v>
      </c>
    </row>
    <row r="296" spans="13:14">
      <c r="M296">
        <v>-0.56920599999999999</v>
      </c>
      <c r="N296">
        <v>29</v>
      </c>
    </row>
    <row r="297" spans="13:14">
      <c r="M297">
        <v>-0.56920599999999999</v>
      </c>
      <c r="N297">
        <v>29.1</v>
      </c>
    </row>
    <row r="298" spans="13:14">
      <c r="M298">
        <v>-0.56920599999999999</v>
      </c>
      <c r="N298">
        <v>29.2</v>
      </c>
    </row>
    <row r="299" spans="13:14">
      <c r="M299">
        <v>-0.56920599999999999</v>
      </c>
      <c r="N299">
        <v>29.3</v>
      </c>
    </row>
    <row r="300" spans="13:14">
      <c r="M300">
        <v>-0.56920599999999999</v>
      </c>
      <c r="N300">
        <v>29.4</v>
      </c>
    </row>
    <row r="301" spans="13:14">
      <c r="M301">
        <v>-0.56920599999999999</v>
      </c>
      <c r="N301">
        <v>29.5</v>
      </c>
    </row>
    <row r="302" spans="13:14">
      <c r="M302">
        <v>-0.56920599999999999</v>
      </c>
      <c r="N302">
        <v>29.6</v>
      </c>
    </row>
    <row r="303" spans="13:14">
      <c r="M303">
        <v>-0.56920599999999999</v>
      </c>
      <c r="N303">
        <v>29.7</v>
      </c>
    </row>
    <row r="304" spans="13:14">
      <c r="M304">
        <v>-0.56920599999999999</v>
      </c>
      <c r="N304">
        <v>29.8</v>
      </c>
    </row>
    <row r="305" spans="13:14">
      <c r="M305">
        <v>-0.56920599999999999</v>
      </c>
      <c r="N305">
        <v>29.9</v>
      </c>
    </row>
    <row r="306" spans="13:14">
      <c r="M306">
        <v>-0.56920599999999999</v>
      </c>
      <c r="N306">
        <v>30</v>
      </c>
    </row>
    <row r="307" spans="13:14">
      <c r="M307">
        <v>-0.56920599999999999</v>
      </c>
      <c r="N307">
        <v>30.1</v>
      </c>
    </row>
    <row r="308" spans="13:14">
      <c r="M308">
        <v>-0.56920599999999999</v>
      </c>
      <c r="N308">
        <v>30.2</v>
      </c>
    </row>
    <row r="309" spans="13:14">
      <c r="M309">
        <v>-0.56920599999999999</v>
      </c>
      <c r="N309">
        <v>30.3</v>
      </c>
    </row>
    <row r="310" spans="13:14">
      <c r="M310">
        <v>-0.56920599999999999</v>
      </c>
      <c r="N310">
        <v>30.4</v>
      </c>
    </row>
    <row r="311" spans="13:14">
      <c r="M311">
        <v>-0.56920599999999999</v>
      </c>
      <c r="N311">
        <v>30.5</v>
      </c>
    </row>
    <row r="312" spans="13:14">
      <c r="M312">
        <v>-0.56920599999999999</v>
      </c>
      <c r="N312">
        <v>30.6</v>
      </c>
    </row>
    <row r="313" spans="13:14">
      <c r="M313">
        <v>-0.56920599999999999</v>
      </c>
      <c r="N313">
        <v>30.7</v>
      </c>
    </row>
    <row r="314" spans="13:14">
      <c r="M314">
        <v>-0.56920599999999999</v>
      </c>
      <c r="N314">
        <v>30.8</v>
      </c>
    </row>
    <row r="315" spans="13:14">
      <c r="M315">
        <v>-0.56920599999999999</v>
      </c>
      <c r="N315">
        <v>30.9</v>
      </c>
    </row>
    <row r="316" spans="13:14">
      <c r="M316">
        <v>-0.56920599999999999</v>
      </c>
      <c r="N316">
        <v>31</v>
      </c>
    </row>
    <row r="317" spans="13:14">
      <c r="M317">
        <v>-0.56920599999999999</v>
      </c>
      <c r="N317">
        <v>31.1</v>
      </c>
    </row>
    <row r="318" spans="13:14">
      <c r="M318">
        <v>-0.56920599999999999</v>
      </c>
      <c r="N318">
        <v>31.2</v>
      </c>
    </row>
    <row r="319" spans="13:14">
      <c r="M319">
        <v>-0.56920599999999999</v>
      </c>
      <c r="N319">
        <v>31.3</v>
      </c>
    </row>
    <row r="320" spans="13:14">
      <c r="M320">
        <v>-0.56920599999999999</v>
      </c>
      <c r="N320">
        <v>31.4</v>
      </c>
    </row>
    <row r="321" spans="13:14">
      <c r="M321">
        <v>-0.56920599999999999</v>
      </c>
      <c r="N321">
        <v>31.5</v>
      </c>
    </row>
    <row r="322" spans="13:14">
      <c r="M322">
        <v>-0.56920599999999999</v>
      </c>
      <c r="N322">
        <v>31.6</v>
      </c>
    </row>
    <row r="323" spans="13:14">
      <c r="M323">
        <v>-0.55921307200000003</v>
      </c>
      <c r="N323">
        <v>31.7</v>
      </c>
    </row>
    <row r="324" spans="13:14">
      <c r="M324">
        <v>-0.54437508800000001</v>
      </c>
      <c r="N324">
        <v>31.8</v>
      </c>
    </row>
    <row r="325" spans="13:14">
      <c r="M325">
        <v>-0.53135399999999999</v>
      </c>
      <c r="N325">
        <v>31.9</v>
      </c>
    </row>
    <row r="326" spans="13:14">
      <c r="M326">
        <v>-0.53135399999999999</v>
      </c>
      <c r="N326">
        <v>32</v>
      </c>
    </row>
    <row r="327" spans="13:14">
      <c r="M327">
        <v>-0.53135399999999999</v>
      </c>
      <c r="N327">
        <v>32.1</v>
      </c>
    </row>
    <row r="328" spans="13:14">
      <c r="M328">
        <v>-0.53135399999999999</v>
      </c>
      <c r="N328">
        <v>32.200000000000003</v>
      </c>
    </row>
    <row r="329" spans="13:14">
      <c r="M329">
        <v>-0.53135399999999999</v>
      </c>
      <c r="N329">
        <v>32.299999999999997</v>
      </c>
    </row>
    <row r="330" spans="13:14">
      <c r="M330">
        <v>-0.53135399999999999</v>
      </c>
      <c r="N330">
        <v>32.4</v>
      </c>
    </row>
    <row r="331" spans="13:14">
      <c r="M331">
        <v>-0.53135399999999999</v>
      </c>
      <c r="N331">
        <v>32.5</v>
      </c>
    </row>
    <row r="332" spans="13:14">
      <c r="M332">
        <v>-0.53135399999999999</v>
      </c>
      <c r="N332">
        <v>32.6</v>
      </c>
    </row>
    <row r="333" spans="13:14">
      <c r="M333">
        <v>-0.53135399999999999</v>
      </c>
      <c r="N333">
        <v>32.700000000000003</v>
      </c>
    </row>
    <row r="334" spans="13:14">
      <c r="M334">
        <v>-0.53135399999999999</v>
      </c>
      <c r="N334">
        <v>32.799999999999997</v>
      </c>
    </row>
    <row r="335" spans="13:14">
      <c r="M335">
        <v>-0.53135399999999999</v>
      </c>
      <c r="N335">
        <v>32.9</v>
      </c>
    </row>
    <row r="336" spans="13:14">
      <c r="M336">
        <v>-0.53135399999999999</v>
      </c>
      <c r="N336">
        <v>33</v>
      </c>
    </row>
    <row r="337" spans="13:14">
      <c r="M337">
        <v>-0.53135399999999999</v>
      </c>
      <c r="N337">
        <v>33.1</v>
      </c>
    </row>
    <row r="338" spans="13:14">
      <c r="M338">
        <v>-0.53135399999999999</v>
      </c>
      <c r="N338">
        <v>33.200000000000003</v>
      </c>
    </row>
    <row r="339" spans="13:14">
      <c r="M339">
        <v>-0.53135399999999999</v>
      </c>
      <c r="N339">
        <v>33.299999999999997</v>
      </c>
    </row>
    <row r="340" spans="13:14">
      <c r="M340">
        <v>-0.53135399999999999</v>
      </c>
      <c r="N340">
        <v>33.4</v>
      </c>
    </row>
    <row r="341" spans="13:14">
      <c r="M341">
        <v>-0.53135399999999999</v>
      </c>
      <c r="N341">
        <v>33.5</v>
      </c>
    </row>
    <row r="342" spans="13:14">
      <c r="M342">
        <v>-0.53135399999999999</v>
      </c>
      <c r="N342">
        <v>33.6</v>
      </c>
    </row>
    <row r="343" spans="13:14">
      <c r="M343">
        <v>-0.53135399999999999</v>
      </c>
      <c r="N343">
        <v>33.700000000000003</v>
      </c>
    </row>
    <row r="344" spans="13:14">
      <c r="M344">
        <v>-0.53135399999999999</v>
      </c>
      <c r="N344">
        <v>33.799999999999997</v>
      </c>
    </row>
    <row r="345" spans="13:14">
      <c r="M345">
        <v>-0.53135399999999999</v>
      </c>
      <c r="N345">
        <v>33.9</v>
      </c>
    </row>
    <row r="346" spans="13:14">
      <c r="M346">
        <v>-0.53135399999999999</v>
      </c>
      <c r="N346">
        <v>34</v>
      </c>
    </row>
    <row r="347" spans="13:14">
      <c r="M347">
        <v>-0.53135399999999999</v>
      </c>
      <c r="N347">
        <v>34.1</v>
      </c>
    </row>
    <row r="348" spans="13:14">
      <c r="M348">
        <v>-0.53135399999999999</v>
      </c>
      <c r="N348">
        <v>34.200000000000003</v>
      </c>
    </row>
    <row r="349" spans="13:14">
      <c r="M349">
        <v>-0.53135399999999999</v>
      </c>
      <c r="N349">
        <v>34.299999999999997</v>
      </c>
    </row>
    <row r="350" spans="13:14">
      <c r="M350">
        <v>-0.53135399999999999</v>
      </c>
      <c r="N350">
        <v>34.4</v>
      </c>
    </row>
    <row r="351" spans="13:14">
      <c r="M351">
        <v>-0.52134336000000003</v>
      </c>
      <c r="N351">
        <v>34.5</v>
      </c>
    </row>
    <row r="352" spans="13:14">
      <c r="M352">
        <v>-0.50499264799999999</v>
      </c>
      <c r="N352">
        <v>34.6</v>
      </c>
    </row>
    <row r="353" spans="13:14">
      <c r="M353">
        <v>-0.48964299999999999</v>
      </c>
      <c r="N353">
        <v>34.700000000000003</v>
      </c>
    </row>
    <row r="354" spans="13:14">
      <c r="M354">
        <v>-0.48964299999999999</v>
      </c>
      <c r="N354">
        <v>34.799999999999997</v>
      </c>
    </row>
    <row r="355" spans="13:14">
      <c r="M355">
        <v>-0.48964299999999999</v>
      </c>
      <c r="N355">
        <v>34.9</v>
      </c>
    </row>
    <row r="356" spans="13:14">
      <c r="M356">
        <v>-0.48964299999999999</v>
      </c>
      <c r="N356">
        <v>35</v>
      </c>
    </row>
    <row r="357" spans="13:14">
      <c r="M357">
        <v>-0.48964299999999999</v>
      </c>
      <c r="N357">
        <v>35.1</v>
      </c>
    </row>
    <row r="358" spans="13:14">
      <c r="M358">
        <v>-0.48964299999999999</v>
      </c>
      <c r="N358">
        <v>35.200000000000003</v>
      </c>
    </row>
    <row r="359" spans="13:14">
      <c r="M359">
        <v>-0.48964299999999999</v>
      </c>
      <c r="N359">
        <v>35.299999999999997</v>
      </c>
    </row>
    <row r="360" spans="13:14">
      <c r="M360">
        <v>-0.48964299999999999</v>
      </c>
      <c r="N360">
        <v>35.4</v>
      </c>
    </row>
    <row r="361" spans="13:14">
      <c r="M361">
        <v>-0.48964299999999999</v>
      </c>
      <c r="N361">
        <v>35.5</v>
      </c>
    </row>
    <row r="362" spans="13:14">
      <c r="M362">
        <v>-0.48964299999999999</v>
      </c>
      <c r="N362">
        <v>35.6</v>
      </c>
    </row>
    <row r="363" spans="13:14">
      <c r="M363">
        <v>-0.48964299999999999</v>
      </c>
      <c r="N363">
        <v>35.700000000000003</v>
      </c>
    </row>
    <row r="364" spans="13:14">
      <c r="M364">
        <v>-0.48964299999999999</v>
      </c>
      <c r="N364">
        <v>35.799999999999997</v>
      </c>
    </row>
    <row r="365" spans="13:14">
      <c r="M365">
        <v>-0.48964299999999999</v>
      </c>
      <c r="N365">
        <v>35.9</v>
      </c>
    </row>
    <row r="366" spans="13:14">
      <c r="M366">
        <v>-0.48964299999999999</v>
      </c>
      <c r="N366">
        <v>36</v>
      </c>
    </row>
    <row r="367" spans="13:14">
      <c r="M367">
        <v>-0.48964299999999999</v>
      </c>
      <c r="N367">
        <v>36.1</v>
      </c>
    </row>
    <row r="368" spans="13:14">
      <c r="M368">
        <v>-0.48964299999999999</v>
      </c>
      <c r="N368">
        <v>36.200000000000003</v>
      </c>
    </row>
    <row r="369" spans="13:14">
      <c r="M369">
        <v>-0.48964299999999999</v>
      </c>
      <c r="N369">
        <v>36.299999999999997</v>
      </c>
    </row>
    <row r="370" spans="13:14">
      <c r="M370">
        <v>-0.48964299999999999</v>
      </c>
      <c r="N370">
        <v>36.4</v>
      </c>
    </row>
    <row r="371" spans="13:14">
      <c r="M371">
        <v>-0.48964299999999999</v>
      </c>
      <c r="N371">
        <v>36.5</v>
      </c>
    </row>
    <row r="372" spans="13:14">
      <c r="M372">
        <v>-0.48964299999999999</v>
      </c>
      <c r="N372">
        <v>36.6</v>
      </c>
    </row>
    <row r="373" spans="13:14">
      <c r="M373">
        <v>-0.48964299999999999</v>
      </c>
      <c r="N373">
        <v>36.700000000000003</v>
      </c>
    </row>
    <row r="374" spans="13:14">
      <c r="M374">
        <v>-0.48964299999999999</v>
      </c>
      <c r="N374">
        <v>36.799999999999997</v>
      </c>
    </row>
    <row r="375" spans="13:14">
      <c r="M375">
        <v>-0.48964299999999999</v>
      </c>
      <c r="N375">
        <v>36.9</v>
      </c>
    </row>
    <row r="376" spans="13:14">
      <c r="M376">
        <v>-0.48964299999999999</v>
      </c>
      <c r="N376">
        <v>37</v>
      </c>
    </row>
    <row r="377" spans="13:14">
      <c r="M377">
        <v>-0.48964299999999999</v>
      </c>
      <c r="N377">
        <v>37.1</v>
      </c>
    </row>
    <row r="378" spans="13:14">
      <c r="M378">
        <v>-0.48964299999999999</v>
      </c>
      <c r="N378">
        <v>37.200000000000003</v>
      </c>
    </row>
    <row r="379" spans="13:14">
      <c r="M379">
        <v>-0.48964299999999999</v>
      </c>
      <c r="N379">
        <v>37.299999999999997</v>
      </c>
    </row>
    <row r="380" spans="13:14">
      <c r="M380">
        <v>-0.48964299999999999</v>
      </c>
      <c r="N380">
        <v>37.4</v>
      </c>
    </row>
    <row r="381" spans="13:14">
      <c r="M381">
        <v>-0.48964299999999999</v>
      </c>
      <c r="N381">
        <v>37.5</v>
      </c>
    </row>
    <row r="382" spans="13:14">
      <c r="M382">
        <v>-0.48964299999999999</v>
      </c>
      <c r="N382">
        <v>37.6</v>
      </c>
    </row>
    <row r="383" spans="13:14">
      <c r="M383">
        <v>-0.48964299999999999</v>
      </c>
      <c r="N383">
        <v>37.700000000000003</v>
      </c>
    </row>
    <row r="384" spans="13:14">
      <c r="M384">
        <v>-0.48964299999999999</v>
      </c>
      <c r="N384">
        <v>37.799999999999997</v>
      </c>
    </row>
    <row r="385" spans="13:14">
      <c r="M385">
        <v>-0.48964299999999999</v>
      </c>
      <c r="N385">
        <v>37.9</v>
      </c>
    </row>
    <row r="386" spans="13:14">
      <c r="M386">
        <v>-0.48964299999999999</v>
      </c>
      <c r="N386">
        <v>38</v>
      </c>
    </row>
    <row r="387" spans="13:14">
      <c r="M387">
        <v>-0.48964299999999999</v>
      </c>
      <c r="N387">
        <v>38.1</v>
      </c>
    </row>
    <row r="388" spans="13:14">
      <c r="M388">
        <v>-0.48964299999999999</v>
      </c>
      <c r="N388">
        <v>38.200000000000003</v>
      </c>
    </row>
    <row r="389" spans="13:14">
      <c r="M389">
        <v>-0.48964299999999999</v>
      </c>
      <c r="N389">
        <v>38.299999999999997</v>
      </c>
    </row>
    <row r="390" spans="13:14">
      <c r="M390">
        <v>-0.48964299999999999</v>
      </c>
      <c r="N390">
        <v>38.4</v>
      </c>
    </row>
    <row r="391" spans="13:14">
      <c r="M391">
        <v>-0.48964299999999999</v>
      </c>
      <c r="N391">
        <v>38.5</v>
      </c>
    </row>
    <row r="392" spans="13:14">
      <c r="M392">
        <v>-0.48964299999999999</v>
      </c>
      <c r="N392">
        <v>38.6</v>
      </c>
    </row>
    <row r="393" spans="13:14">
      <c r="M393">
        <v>-0.48964299999999999</v>
      </c>
      <c r="N393">
        <v>38.700000000000003</v>
      </c>
    </row>
    <row r="394" spans="13:14">
      <c r="M394">
        <v>-0.48964299999999999</v>
      </c>
      <c r="N394">
        <v>38.799999999999997</v>
      </c>
    </row>
    <row r="395" spans="13:14">
      <c r="M395">
        <v>-0.48964299999999999</v>
      </c>
      <c r="N395">
        <v>38.9</v>
      </c>
    </row>
    <row r="396" spans="13:14">
      <c r="M396">
        <v>-0.48964299999999999</v>
      </c>
      <c r="N396">
        <v>39</v>
      </c>
    </row>
    <row r="397" spans="13:14">
      <c r="M397">
        <v>-0.48964299999999999</v>
      </c>
      <c r="N397">
        <v>39.1</v>
      </c>
    </row>
    <row r="398" spans="13:14">
      <c r="M398">
        <v>-0.48964299999999999</v>
      </c>
      <c r="N398">
        <v>39.200000000000003</v>
      </c>
    </row>
    <row r="399" spans="13:14">
      <c r="M399">
        <v>-0.48964299999999999</v>
      </c>
      <c r="N399">
        <v>39.299999999999997</v>
      </c>
    </row>
    <row r="400" spans="13:14">
      <c r="M400">
        <v>-0.48964299999999999</v>
      </c>
      <c r="N400">
        <v>39.4</v>
      </c>
    </row>
    <row r="401" spans="13:14">
      <c r="M401">
        <v>-0.48964299999999999</v>
      </c>
      <c r="N401">
        <v>39.5</v>
      </c>
    </row>
    <row r="402" spans="13:14">
      <c r="M402">
        <v>-0.48964299999999999</v>
      </c>
      <c r="N402">
        <v>39.6</v>
      </c>
    </row>
    <row r="403" spans="13:14">
      <c r="M403">
        <v>-0.48964299999999999</v>
      </c>
      <c r="N403">
        <v>39.700000000000003</v>
      </c>
    </row>
    <row r="404" spans="13:14">
      <c r="M404">
        <v>-0.48964299999999999</v>
      </c>
      <c r="N404">
        <v>39.799999999999997</v>
      </c>
    </row>
    <row r="405" spans="13:14">
      <c r="M405">
        <v>-0.48964299999999999</v>
      </c>
      <c r="N405">
        <v>39.9</v>
      </c>
    </row>
    <row r="406" spans="13:14">
      <c r="M406">
        <v>-0.48964299999999999</v>
      </c>
      <c r="N406">
        <v>40</v>
      </c>
    </row>
    <row r="407" spans="13:14">
      <c r="M407">
        <v>-0.48964299999999999</v>
      </c>
      <c r="N407">
        <v>40.1</v>
      </c>
    </row>
    <row r="408" spans="13:14">
      <c r="M408">
        <v>-0.48964299999999999</v>
      </c>
      <c r="N408">
        <v>40.200000000000003</v>
      </c>
    </row>
    <row r="409" spans="13:14">
      <c r="M409">
        <v>-0.48964299999999999</v>
      </c>
      <c r="N409">
        <v>40.299999999999997</v>
      </c>
    </row>
    <row r="410" spans="13:14">
      <c r="M410">
        <v>-0.47279706399999899</v>
      </c>
      <c r="N410">
        <v>40.4</v>
      </c>
    </row>
    <row r="411" spans="13:14">
      <c r="M411">
        <v>-0.454852479999999</v>
      </c>
      <c r="N411">
        <v>40.5</v>
      </c>
    </row>
    <row r="412" spans="13:14">
      <c r="M412">
        <v>-0.44386599999999998</v>
      </c>
      <c r="N412">
        <v>40.6</v>
      </c>
    </row>
    <row r="413" spans="13:14">
      <c r="M413">
        <v>-0.44386599999999998</v>
      </c>
      <c r="N413">
        <v>40.700000000000003</v>
      </c>
    </row>
    <row r="414" spans="13:14">
      <c r="M414">
        <v>-0.44386599999999998</v>
      </c>
      <c r="N414">
        <v>40.799999999999997</v>
      </c>
    </row>
    <row r="415" spans="13:14">
      <c r="M415">
        <v>-0.44386599999999998</v>
      </c>
      <c r="N415">
        <v>40.9</v>
      </c>
    </row>
    <row r="416" spans="13:14">
      <c r="M416">
        <v>-0.44386599999999998</v>
      </c>
      <c r="N416">
        <v>41</v>
      </c>
    </row>
    <row r="417" spans="13:14">
      <c r="M417">
        <v>-0.44386599999999998</v>
      </c>
      <c r="N417">
        <v>41.1</v>
      </c>
    </row>
    <row r="418" spans="13:14">
      <c r="M418">
        <v>-0.44386599999999998</v>
      </c>
      <c r="N418">
        <v>41.2</v>
      </c>
    </row>
    <row r="419" spans="13:14">
      <c r="M419">
        <v>-0.44386599999999998</v>
      </c>
      <c r="N419">
        <v>41.3</v>
      </c>
    </row>
    <row r="420" spans="13:14">
      <c r="M420">
        <v>-0.42947809599999898</v>
      </c>
      <c r="N420">
        <v>41.4</v>
      </c>
    </row>
    <row r="421" spans="13:14">
      <c r="M421">
        <v>-0.40989456000000002</v>
      </c>
      <c r="N421">
        <v>41.5</v>
      </c>
    </row>
    <row r="422" spans="13:14">
      <c r="M422">
        <v>-0.390010352</v>
      </c>
      <c r="N422">
        <v>41.6</v>
      </c>
    </row>
    <row r="423" spans="13:14">
      <c r="M423">
        <v>-0.36878982399999999</v>
      </c>
      <c r="N423">
        <v>41.7</v>
      </c>
    </row>
    <row r="424" spans="13:14">
      <c r="M424">
        <v>-0.34756929600000003</v>
      </c>
      <c r="N424">
        <v>41.8</v>
      </c>
    </row>
    <row r="425" spans="13:14">
      <c r="M425">
        <v>-0.33977400000000002</v>
      </c>
      <c r="N425">
        <v>41.9</v>
      </c>
    </row>
    <row r="426" spans="13:14">
      <c r="M426">
        <v>-0.33977400000000002</v>
      </c>
      <c r="N426">
        <v>42</v>
      </c>
    </row>
    <row r="427" spans="13:14">
      <c r="M427">
        <v>-0.33977400000000002</v>
      </c>
      <c r="N427">
        <v>42.1</v>
      </c>
    </row>
    <row r="428" spans="13:14">
      <c r="M428">
        <v>-0.33977400000000002</v>
      </c>
      <c r="N428">
        <v>42.2</v>
      </c>
    </row>
    <row r="429" spans="13:14">
      <c r="M429">
        <v>-0.33977400000000002</v>
      </c>
      <c r="N429">
        <v>42.3</v>
      </c>
    </row>
    <row r="430" spans="13:14">
      <c r="M430">
        <v>-0.33977400000000002</v>
      </c>
      <c r="N430">
        <v>42.4</v>
      </c>
    </row>
    <row r="431" spans="13:14">
      <c r="M431">
        <v>-0.33977400000000002</v>
      </c>
      <c r="N431">
        <v>42.5</v>
      </c>
    </row>
    <row r="432" spans="13:14">
      <c r="M432">
        <v>-0.33977400000000002</v>
      </c>
      <c r="N432">
        <v>42.6</v>
      </c>
    </row>
    <row r="433" spans="13:14">
      <c r="M433">
        <v>-0.33977400000000002</v>
      </c>
      <c r="N433">
        <v>42.7</v>
      </c>
    </row>
    <row r="434" spans="13:14">
      <c r="M434">
        <v>-0.33977400000000002</v>
      </c>
      <c r="N434">
        <v>42.8</v>
      </c>
    </row>
    <row r="435" spans="13:14">
      <c r="M435">
        <v>-0.33977400000000002</v>
      </c>
      <c r="N435">
        <v>42.9</v>
      </c>
    </row>
    <row r="436" spans="13:14">
      <c r="M436">
        <v>-0.33977400000000002</v>
      </c>
      <c r="N436">
        <v>43</v>
      </c>
    </row>
    <row r="437" spans="13:14">
      <c r="M437">
        <v>-0.33977400000000002</v>
      </c>
      <c r="N437">
        <v>43.1</v>
      </c>
    </row>
    <row r="438" spans="13:14">
      <c r="M438">
        <v>-0.33977400000000002</v>
      </c>
      <c r="N438">
        <v>43.2</v>
      </c>
    </row>
    <row r="439" spans="13:14">
      <c r="M439">
        <v>-0.33977400000000002</v>
      </c>
      <c r="N439">
        <v>43.3</v>
      </c>
    </row>
    <row r="440" spans="13:14">
      <c r="M440">
        <v>-0.33977400000000002</v>
      </c>
      <c r="N440">
        <v>43.4</v>
      </c>
    </row>
    <row r="441" spans="13:14">
      <c r="M441">
        <v>-0.33977400000000002</v>
      </c>
      <c r="N441">
        <v>43.5</v>
      </c>
    </row>
    <row r="442" spans="13:14">
      <c r="M442">
        <v>-0.33977400000000002</v>
      </c>
      <c r="N442">
        <v>43.6</v>
      </c>
    </row>
    <row r="443" spans="13:14">
      <c r="M443">
        <v>-0.33977400000000002</v>
      </c>
      <c r="N443">
        <v>43.7</v>
      </c>
    </row>
    <row r="444" spans="13:14">
      <c r="M444">
        <v>-0.33977400000000002</v>
      </c>
      <c r="N444">
        <v>43.8</v>
      </c>
    </row>
    <row r="445" spans="13:14">
      <c r="M445">
        <v>-0.33977400000000002</v>
      </c>
      <c r="N445">
        <v>43.9</v>
      </c>
    </row>
    <row r="446" spans="13:14">
      <c r="M446">
        <v>-0.33977400000000002</v>
      </c>
      <c r="N446">
        <v>44</v>
      </c>
    </row>
    <row r="447" spans="13:14">
      <c r="M447">
        <v>-0.33977400000000002</v>
      </c>
      <c r="N447">
        <v>44.1</v>
      </c>
    </row>
    <row r="448" spans="13:14">
      <c r="M448">
        <v>-0.33977400000000002</v>
      </c>
      <c r="N448">
        <v>44.2</v>
      </c>
    </row>
    <row r="449" spans="13:14">
      <c r="M449">
        <v>-0.33977400000000002</v>
      </c>
      <c r="N449">
        <v>44.3</v>
      </c>
    </row>
    <row r="450" spans="13:14">
      <c r="M450">
        <v>-0.33977400000000002</v>
      </c>
      <c r="N450">
        <v>44.4</v>
      </c>
    </row>
    <row r="451" spans="13:14">
      <c r="M451">
        <v>-0.33977400000000002</v>
      </c>
      <c r="N451">
        <v>44.5</v>
      </c>
    </row>
    <row r="452" spans="13:14">
      <c r="M452">
        <v>-0.33977400000000002</v>
      </c>
      <c r="N452">
        <v>44.6</v>
      </c>
    </row>
    <row r="453" spans="13:14">
      <c r="M453">
        <v>-0.33977400000000002</v>
      </c>
      <c r="N453">
        <v>44.7</v>
      </c>
    </row>
    <row r="454" spans="13:14">
      <c r="M454">
        <v>-0.33977400000000002</v>
      </c>
      <c r="N454">
        <v>44.8</v>
      </c>
    </row>
    <row r="455" spans="13:14">
      <c r="M455">
        <v>-0.33977400000000002</v>
      </c>
      <c r="N455">
        <v>44.9</v>
      </c>
    </row>
    <row r="456" spans="13:14">
      <c r="M456">
        <v>-0.33977400000000002</v>
      </c>
      <c r="N456">
        <v>45</v>
      </c>
    </row>
    <row r="457" spans="13:14">
      <c r="M457">
        <v>-0.33977400000000002</v>
      </c>
      <c r="N457">
        <v>45.1</v>
      </c>
    </row>
    <row r="458" spans="13:14">
      <c r="M458">
        <v>-0.33977400000000002</v>
      </c>
      <c r="N458">
        <v>45.2</v>
      </c>
    </row>
    <row r="459" spans="13:14">
      <c r="M459">
        <v>-0.33977400000000002</v>
      </c>
      <c r="N459">
        <v>45.3</v>
      </c>
    </row>
    <row r="460" spans="13:14">
      <c r="M460">
        <v>-0.33977400000000002</v>
      </c>
      <c r="N460">
        <v>45.4</v>
      </c>
    </row>
    <row r="461" spans="13:14">
      <c r="M461">
        <v>-0.33977400000000002</v>
      </c>
      <c r="N461">
        <v>45.5</v>
      </c>
    </row>
    <row r="462" spans="13:14">
      <c r="M462">
        <v>-0.33977400000000002</v>
      </c>
      <c r="N462">
        <v>45.6</v>
      </c>
    </row>
    <row r="463" spans="13:14">
      <c r="M463">
        <v>-0.33977400000000002</v>
      </c>
      <c r="N463">
        <v>45.7</v>
      </c>
    </row>
    <row r="464" spans="13:14">
      <c r="M464">
        <v>-0.33977400000000002</v>
      </c>
      <c r="N464">
        <v>45.8</v>
      </c>
    </row>
    <row r="465" spans="13:14">
      <c r="M465">
        <v>-0.33977400000000002</v>
      </c>
      <c r="N465">
        <v>45.9</v>
      </c>
    </row>
    <row r="466" spans="13:14">
      <c r="M466">
        <v>-0.33977400000000002</v>
      </c>
      <c r="N466">
        <v>46</v>
      </c>
    </row>
    <row r="467" spans="13:14">
      <c r="M467">
        <v>-0.33977400000000002</v>
      </c>
      <c r="N467">
        <v>46.1</v>
      </c>
    </row>
    <row r="468" spans="13:14">
      <c r="M468">
        <v>-0.33977400000000002</v>
      </c>
      <c r="N468">
        <v>46.2</v>
      </c>
    </row>
    <row r="469" spans="13:14">
      <c r="M469">
        <v>-0.33977400000000002</v>
      </c>
      <c r="N469">
        <v>46.3</v>
      </c>
    </row>
    <row r="470" spans="13:14">
      <c r="M470">
        <v>-0.33977400000000002</v>
      </c>
      <c r="N470">
        <v>46.4</v>
      </c>
    </row>
    <row r="471" spans="13:14">
      <c r="M471">
        <v>-0.33977400000000002</v>
      </c>
      <c r="N471">
        <v>46.5</v>
      </c>
    </row>
    <row r="472" spans="13:14">
      <c r="M472">
        <v>-0.33977400000000002</v>
      </c>
      <c r="N472">
        <v>46.6</v>
      </c>
    </row>
    <row r="473" spans="13:14">
      <c r="M473">
        <v>-0.33977400000000002</v>
      </c>
      <c r="N473">
        <v>46.7</v>
      </c>
    </row>
    <row r="474" spans="13:14">
      <c r="M474">
        <v>-0.33977400000000002</v>
      </c>
      <c r="N474">
        <v>46.8</v>
      </c>
    </row>
    <row r="475" spans="13:14">
      <c r="M475">
        <v>-0.33977400000000002</v>
      </c>
      <c r="N475">
        <v>46.9</v>
      </c>
    </row>
    <row r="476" spans="13:14">
      <c r="M476">
        <v>-0.33977400000000002</v>
      </c>
      <c r="N476">
        <v>47</v>
      </c>
    </row>
    <row r="477" spans="13:14">
      <c r="M477">
        <v>-0.33977400000000002</v>
      </c>
      <c r="N477">
        <v>47.1</v>
      </c>
    </row>
    <row r="478" spans="13:14">
      <c r="M478">
        <v>-0.33977400000000002</v>
      </c>
      <c r="N478">
        <v>47.2</v>
      </c>
    </row>
    <row r="479" spans="13:14">
      <c r="M479">
        <v>-0.33977400000000002</v>
      </c>
      <c r="N479">
        <v>47.3</v>
      </c>
    </row>
    <row r="480" spans="13:14">
      <c r="M480">
        <v>-0.33977400000000002</v>
      </c>
      <c r="N480">
        <v>47.4</v>
      </c>
    </row>
    <row r="481" spans="13:14">
      <c r="M481">
        <v>-0.33977400000000002</v>
      </c>
      <c r="N481">
        <v>47.5</v>
      </c>
    </row>
    <row r="482" spans="13:14">
      <c r="M482">
        <v>-0.33977400000000002</v>
      </c>
      <c r="N482">
        <v>47.6</v>
      </c>
    </row>
    <row r="483" spans="13:14">
      <c r="M483">
        <v>-0.33977400000000002</v>
      </c>
      <c r="N483">
        <v>47.7</v>
      </c>
    </row>
    <row r="484" spans="13:14">
      <c r="M484">
        <v>-0.33977400000000002</v>
      </c>
      <c r="N484">
        <v>47.8</v>
      </c>
    </row>
    <row r="485" spans="13:14">
      <c r="M485">
        <v>-0.33977400000000002</v>
      </c>
      <c r="N485">
        <v>47.9</v>
      </c>
    </row>
    <row r="486" spans="13:14">
      <c r="M486">
        <v>-0.33977400000000002</v>
      </c>
      <c r="N486">
        <v>48</v>
      </c>
    </row>
    <row r="487" spans="13:14">
      <c r="M487">
        <v>-0.33977400000000002</v>
      </c>
      <c r="N487">
        <v>48.1</v>
      </c>
    </row>
    <row r="488" spans="13:14">
      <c r="M488">
        <v>-0.33977400000000002</v>
      </c>
      <c r="N488">
        <v>48.2</v>
      </c>
    </row>
    <row r="489" spans="13:14">
      <c r="M489">
        <v>-0.33977400000000002</v>
      </c>
      <c r="N489">
        <v>48.3</v>
      </c>
    </row>
    <row r="490" spans="13:14">
      <c r="M490">
        <v>-0.33977400000000002</v>
      </c>
      <c r="N490">
        <v>48.4</v>
      </c>
    </row>
    <row r="491" spans="13:14">
      <c r="M491">
        <v>-0.33977400000000002</v>
      </c>
      <c r="N491">
        <v>48.5</v>
      </c>
    </row>
    <row r="492" spans="13:14">
      <c r="M492">
        <v>-0.33977400000000002</v>
      </c>
      <c r="N492">
        <v>48.6</v>
      </c>
    </row>
    <row r="493" spans="13:14">
      <c r="M493">
        <v>-0.33977400000000002</v>
      </c>
      <c r="N493">
        <v>48.7</v>
      </c>
    </row>
    <row r="494" spans="13:14">
      <c r="M494">
        <v>-0.33977400000000002</v>
      </c>
      <c r="N494">
        <v>48.8</v>
      </c>
    </row>
    <row r="495" spans="13:14">
      <c r="M495">
        <v>-0.33977400000000002</v>
      </c>
      <c r="N495">
        <v>48.9</v>
      </c>
    </row>
    <row r="496" spans="13:14">
      <c r="M496">
        <v>-0.33977400000000002</v>
      </c>
      <c r="N496">
        <v>49</v>
      </c>
    </row>
    <row r="497" spans="13:14">
      <c r="M497">
        <v>-0.33977400000000002</v>
      </c>
      <c r="N497">
        <v>49.1</v>
      </c>
    </row>
    <row r="498" spans="13:14">
      <c r="M498">
        <v>-0.33977400000000002</v>
      </c>
      <c r="N498">
        <v>49.2</v>
      </c>
    </row>
    <row r="499" spans="13:14">
      <c r="M499">
        <v>-0.33977400000000002</v>
      </c>
      <c r="N499">
        <v>49.3</v>
      </c>
    </row>
    <row r="500" spans="13:14">
      <c r="M500">
        <v>-0.33977400000000002</v>
      </c>
      <c r="N500">
        <v>49.4</v>
      </c>
    </row>
    <row r="501" spans="13:14">
      <c r="M501">
        <v>-0.33977400000000002</v>
      </c>
      <c r="N501">
        <v>49.5</v>
      </c>
    </row>
    <row r="502" spans="13:14">
      <c r="M502">
        <v>-0.33977400000000002</v>
      </c>
      <c r="N502">
        <v>49.6</v>
      </c>
    </row>
    <row r="503" spans="13:14">
      <c r="M503">
        <v>-0.33977400000000002</v>
      </c>
      <c r="N503">
        <v>49.7</v>
      </c>
    </row>
    <row r="504" spans="13:14">
      <c r="M504">
        <v>-0.33977400000000002</v>
      </c>
      <c r="N504">
        <v>49.8</v>
      </c>
    </row>
    <row r="505" spans="13:14">
      <c r="M505">
        <v>-0.33977400000000002</v>
      </c>
      <c r="N505">
        <v>49.9</v>
      </c>
    </row>
    <row r="506" spans="13:14">
      <c r="M506">
        <v>-0.33977400000000002</v>
      </c>
      <c r="N506">
        <v>50</v>
      </c>
    </row>
    <row r="507" spans="13:14">
      <c r="M507">
        <v>-0.33977400000000002</v>
      </c>
      <c r="N507">
        <v>50.1</v>
      </c>
    </row>
    <row r="508" spans="13:14">
      <c r="M508">
        <v>-0.33977400000000002</v>
      </c>
      <c r="N508">
        <v>50.2</v>
      </c>
    </row>
    <row r="509" spans="13:14">
      <c r="M509">
        <v>-0.32954100800000102</v>
      </c>
      <c r="N509">
        <v>50.3</v>
      </c>
    </row>
    <row r="510" spans="13:14">
      <c r="M510">
        <v>-0.30674934399999898</v>
      </c>
      <c r="N510">
        <v>50.4</v>
      </c>
    </row>
    <row r="511" spans="13:14">
      <c r="M511">
        <v>-0.28395767999999999</v>
      </c>
      <c r="N511">
        <v>50.5</v>
      </c>
    </row>
    <row r="512" spans="13:14">
      <c r="M512">
        <v>-0.28163199999999999</v>
      </c>
      <c r="N512">
        <v>50.6</v>
      </c>
    </row>
    <row r="513" spans="13:14">
      <c r="M513">
        <v>-0.28163199999999999</v>
      </c>
      <c r="N513">
        <v>50.7</v>
      </c>
    </row>
    <row r="514" spans="13:14">
      <c r="M514">
        <v>-0.28163199999999999</v>
      </c>
      <c r="N514">
        <v>50.8</v>
      </c>
    </row>
    <row r="515" spans="13:14">
      <c r="M515">
        <v>-0.28163199999999999</v>
      </c>
      <c r="N515">
        <v>50.9</v>
      </c>
    </row>
    <row r="516" spans="13:14">
      <c r="M516">
        <v>-0.28163199999999999</v>
      </c>
      <c r="N516">
        <v>51</v>
      </c>
    </row>
    <row r="517" spans="13:14">
      <c r="M517">
        <v>-0.26235164799999899</v>
      </c>
      <c r="N517">
        <v>51.1</v>
      </c>
    </row>
    <row r="518" spans="13:14">
      <c r="M518">
        <v>-0.23812761599999999</v>
      </c>
      <c r="N518">
        <v>51.2</v>
      </c>
    </row>
    <row r="519" spans="13:14">
      <c r="M519">
        <v>-0.219836</v>
      </c>
      <c r="N519">
        <v>51.3</v>
      </c>
    </row>
    <row r="520" spans="13:14">
      <c r="M520">
        <v>-0.219836</v>
      </c>
      <c r="N520">
        <v>51.4</v>
      </c>
    </row>
    <row r="521" spans="13:14">
      <c r="M521">
        <v>-0.219836</v>
      </c>
      <c r="N521">
        <v>51.5</v>
      </c>
    </row>
    <row r="522" spans="13:14">
      <c r="M522">
        <v>-0.219836</v>
      </c>
      <c r="N522">
        <v>51.6</v>
      </c>
    </row>
    <row r="523" spans="13:14">
      <c r="M523">
        <v>-0.219836</v>
      </c>
      <c r="N523">
        <v>51.7</v>
      </c>
    </row>
    <row r="524" spans="13:14">
      <c r="M524">
        <v>-0.219836</v>
      </c>
      <c r="N524">
        <v>51.8</v>
      </c>
    </row>
    <row r="525" spans="13:14">
      <c r="M525">
        <v>-0.219836</v>
      </c>
      <c r="N525">
        <v>51.9</v>
      </c>
    </row>
    <row r="526" spans="13:14">
      <c r="M526">
        <v>-0.219836</v>
      </c>
      <c r="N526">
        <v>52</v>
      </c>
    </row>
    <row r="527" spans="13:14">
      <c r="M527">
        <v>-0.20478244800000001</v>
      </c>
      <c r="N527">
        <v>52.1</v>
      </c>
    </row>
    <row r="528" spans="13:14">
      <c r="M528">
        <v>-0.17934713599999999</v>
      </c>
      <c r="N528">
        <v>52.2</v>
      </c>
    </row>
    <row r="529" spans="13:14">
      <c r="M529">
        <v>-0.15387452799999901</v>
      </c>
      <c r="N529">
        <v>52.3</v>
      </c>
    </row>
    <row r="530" spans="13:14">
      <c r="M530">
        <v>-0.12752546399999901</v>
      </c>
      <c r="N530">
        <v>52.4</v>
      </c>
    </row>
    <row r="531" spans="13:14">
      <c r="M531">
        <v>-0.101176399999999</v>
      </c>
      <c r="N531">
        <v>52.5</v>
      </c>
    </row>
    <row r="532" spans="13:14">
      <c r="M532">
        <v>-7.4559495999999503E-2</v>
      </c>
      <c r="N532">
        <v>52.6</v>
      </c>
    </row>
    <row r="533" spans="13:14">
      <c r="M533">
        <v>-4.7663591999999803E-2</v>
      </c>
      <c r="N533">
        <v>52.7</v>
      </c>
    </row>
    <row r="534" spans="13:14">
      <c r="M534">
        <v>-2.07676880000001E-2</v>
      </c>
      <c r="N534">
        <v>52.8</v>
      </c>
    </row>
    <row r="535" spans="13:14">
      <c r="M535">
        <v>-1.9120999999999999E-2</v>
      </c>
      <c r="N535">
        <v>52.9</v>
      </c>
    </row>
    <row r="536" spans="13:14">
      <c r="M536">
        <v>-1.9120999999999999E-2</v>
      </c>
      <c r="N536">
        <v>53</v>
      </c>
    </row>
    <row r="537" spans="13:14">
      <c r="M537">
        <v>-8.6386239999989498E-3</v>
      </c>
      <c r="N537">
        <v>53.1</v>
      </c>
    </row>
    <row r="538" spans="13:14">
      <c r="M538">
        <v>1.8394872000000801E-2</v>
      </c>
      <c r="N538">
        <v>53.2</v>
      </c>
    </row>
    <row r="539" spans="13:14">
      <c r="M539">
        <v>4.5428368000000503E-2</v>
      </c>
      <c r="N539">
        <v>53.3</v>
      </c>
    </row>
    <row r="540" spans="13:14">
      <c r="M540">
        <v>4.9841999999999997E-2</v>
      </c>
      <c r="N540">
        <v>53.4</v>
      </c>
    </row>
    <row r="541" spans="13:14">
      <c r="M541">
        <v>4.9841999999999997E-2</v>
      </c>
      <c r="N541">
        <v>53.5</v>
      </c>
    </row>
    <row r="542" spans="13:14">
      <c r="M542">
        <v>7.6359792000005505E-2</v>
      </c>
      <c r="N542">
        <v>53.6</v>
      </c>
    </row>
    <row r="543" spans="13:14">
      <c r="M543">
        <v>0.16917206400000501</v>
      </c>
      <c r="N543">
        <v>53.7</v>
      </c>
    </row>
    <row r="544" spans="13:14">
      <c r="M544">
        <v>0.26198433600000398</v>
      </c>
      <c r="N544">
        <v>53.8</v>
      </c>
    </row>
    <row r="545" spans="13:14">
      <c r="M545">
        <v>0.32343456000000098</v>
      </c>
      <c r="N545">
        <v>53.9</v>
      </c>
    </row>
    <row r="546" spans="13:14">
      <c r="M546">
        <v>0.37355960000000099</v>
      </c>
      <c r="N546">
        <v>54</v>
      </c>
    </row>
    <row r="547" spans="13:14">
      <c r="M547">
        <v>0.41447800000000001</v>
      </c>
      <c r="N547">
        <v>54.1</v>
      </c>
    </row>
    <row r="548" spans="13:14">
      <c r="M548">
        <v>0.41447800000000001</v>
      </c>
      <c r="N548">
        <v>54.2</v>
      </c>
    </row>
    <row r="549" spans="13:14">
      <c r="M549">
        <v>0.41447800000000001</v>
      </c>
      <c r="N549">
        <v>54.3</v>
      </c>
    </row>
    <row r="550" spans="13:14">
      <c r="M550">
        <v>0.41447800000000001</v>
      </c>
      <c r="N550">
        <v>54.4</v>
      </c>
    </row>
    <row r="551" spans="13:14">
      <c r="M551">
        <v>0.41447800000000001</v>
      </c>
      <c r="N551">
        <v>54.5</v>
      </c>
    </row>
    <row r="552" spans="13:14">
      <c r="M552">
        <v>0.41447800000000001</v>
      </c>
      <c r="N552">
        <v>54.6</v>
      </c>
    </row>
    <row r="553" spans="13:14">
      <c r="M553">
        <v>0.41447800000000001</v>
      </c>
      <c r="N553">
        <v>54.7</v>
      </c>
    </row>
    <row r="554" spans="13:14">
      <c r="M554">
        <v>0.41447800000000001</v>
      </c>
      <c r="N554">
        <v>54.8</v>
      </c>
    </row>
    <row r="555" spans="13:14">
      <c r="M555">
        <v>0.41447800000000001</v>
      </c>
      <c r="N555">
        <v>54.9</v>
      </c>
    </row>
    <row r="556" spans="13:14">
      <c r="M556">
        <v>0.41447800000000001</v>
      </c>
      <c r="N556">
        <v>55</v>
      </c>
    </row>
    <row r="557" spans="13:14">
      <c r="M557">
        <v>0.41447800000000001</v>
      </c>
      <c r="N557">
        <v>55.1</v>
      </c>
    </row>
    <row r="558" spans="13:14">
      <c r="M558">
        <v>0.41447800000000001</v>
      </c>
      <c r="N558">
        <v>55.2</v>
      </c>
    </row>
    <row r="559" spans="13:14">
      <c r="M559">
        <v>0.41447800000000001</v>
      </c>
      <c r="N559">
        <v>55.3</v>
      </c>
    </row>
    <row r="560" spans="13:14">
      <c r="M560">
        <v>0.41447800000000001</v>
      </c>
      <c r="N560">
        <v>55.4</v>
      </c>
    </row>
    <row r="561" spans="13:14">
      <c r="M561">
        <v>0.41447800000000001</v>
      </c>
      <c r="N561">
        <v>55.5</v>
      </c>
    </row>
    <row r="562" spans="13:14">
      <c r="M562">
        <v>0.41447800000000001</v>
      </c>
      <c r="N562">
        <v>55.6</v>
      </c>
    </row>
    <row r="563" spans="13:14">
      <c r="M563">
        <v>0.41447800000000001</v>
      </c>
      <c r="N563">
        <v>55.7</v>
      </c>
    </row>
    <row r="564" spans="13:14">
      <c r="M564">
        <v>0.41447800000000001</v>
      </c>
      <c r="N564">
        <v>55.8</v>
      </c>
    </row>
    <row r="565" spans="13:14">
      <c r="M565">
        <v>0.41447800000000001</v>
      </c>
      <c r="N565">
        <v>55.9</v>
      </c>
    </row>
    <row r="566" spans="13:14">
      <c r="M566">
        <v>0.41447800000000001</v>
      </c>
      <c r="N566">
        <v>56</v>
      </c>
    </row>
    <row r="567" spans="13:14">
      <c r="M567">
        <v>0.41447800000000001</v>
      </c>
      <c r="N567">
        <v>56.1</v>
      </c>
    </row>
    <row r="568" spans="13:14">
      <c r="M568">
        <v>0.41447800000000001</v>
      </c>
      <c r="N568">
        <v>56.2</v>
      </c>
    </row>
    <row r="569" spans="13:14">
      <c r="M569">
        <v>0.41447800000000001</v>
      </c>
      <c r="N569">
        <v>56.3</v>
      </c>
    </row>
    <row r="570" spans="13:14">
      <c r="M570">
        <v>0.41447800000000001</v>
      </c>
      <c r="N570">
        <v>56.4</v>
      </c>
    </row>
    <row r="571" spans="13:14">
      <c r="M571">
        <v>0.41447800000000001</v>
      </c>
      <c r="N571">
        <v>56.5</v>
      </c>
    </row>
    <row r="572" spans="13:14">
      <c r="M572">
        <v>0.41447800000000001</v>
      </c>
      <c r="N572">
        <v>56.6</v>
      </c>
    </row>
    <row r="573" spans="13:14">
      <c r="M573">
        <v>0.41447800000000001</v>
      </c>
      <c r="N573">
        <v>56.7</v>
      </c>
    </row>
    <row r="574" spans="13:14">
      <c r="M574">
        <v>0.41447800000000001</v>
      </c>
      <c r="N574">
        <v>56.8</v>
      </c>
    </row>
    <row r="575" spans="13:14">
      <c r="M575">
        <v>0.41447800000000001</v>
      </c>
      <c r="N575">
        <v>56.9</v>
      </c>
    </row>
    <row r="576" spans="13:14">
      <c r="M576">
        <v>0.41447800000000001</v>
      </c>
      <c r="N576">
        <v>57</v>
      </c>
    </row>
    <row r="577" spans="13:14">
      <c r="M577">
        <v>0.41447800000000001</v>
      </c>
      <c r="N577">
        <v>57.1</v>
      </c>
    </row>
    <row r="578" spans="13:14">
      <c r="M578">
        <v>0.41447800000000001</v>
      </c>
      <c r="N578">
        <v>57.2</v>
      </c>
    </row>
    <row r="579" spans="13:14">
      <c r="M579">
        <v>0.41447800000000001</v>
      </c>
      <c r="N579">
        <v>57.3</v>
      </c>
    </row>
    <row r="580" spans="13:14">
      <c r="M580">
        <v>0.41447800000000001</v>
      </c>
      <c r="N580">
        <v>57.4</v>
      </c>
    </row>
    <row r="581" spans="13:14">
      <c r="M581">
        <v>0.41447800000000001</v>
      </c>
      <c r="N581">
        <v>57.5</v>
      </c>
    </row>
    <row r="582" spans="13:14">
      <c r="M582">
        <v>0.41447800000000001</v>
      </c>
      <c r="N582">
        <v>57.6</v>
      </c>
    </row>
    <row r="583" spans="13:14">
      <c r="M583">
        <v>0.41447800000000001</v>
      </c>
      <c r="N583">
        <v>57.7</v>
      </c>
    </row>
    <row r="584" spans="13:14">
      <c r="M584">
        <v>0.41447800000000001</v>
      </c>
      <c r="N584">
        <v>57.8</v>
      </c>
    </row>
    <row r="585" spans="13:14">
      <c r="M585">
        <v>0.41447800000000001</v>
      </c>
      <c r="N585">
        <v>57.9</v>
      </c>
    </row>
    <row r="586" spans="13:14">
      <c r="M586">
        <v>0.41447800000000001</v>
      </c>
      <c r="N586">
        <v>58</v>
      </c>
    </row>
    <row r="587" spans="13:14">
      <c r="M587">
        <v>0.41447800000000001</v>
      </c>
      <c r="N587">
        <v>58.1</v>
      </c>
    </row>
    <row r="588" spans="13:14">
      <c r="M588">
        <v>0.41447800000000001</v>
      </c>
      <c r="N588">
        <v>58.2</v>
      </c>
    </row>
    <row r="589" spans="13:14">
      <c r="M589">
        <v>0.41447800000000001</v>
      </c>
      <c r="N589">
        <v>58.3</v>
      </c>
    </row>
    <row r="590" spans="13:14">
      <c r="M590">
        <v>0.41447800000000001</v>
      </c>
      <c r="N590">
        <v>58.4</v>
      </c>
    </row>
    <row r="591" spans="13:14">
      <c r="M591">
        <v>0.41447800000000001</v>
      </c>
      <c r="N591">
        <v>58.5</v>
      </c>
    </row>
    <row r="592" spans="13:14">
      <c r="M592">
        <v>0.41447800000000001</v>
      </c>
      <c r="N592">
        <v>58.6</v>
      </c>
    </row>
    <row r="593" spans="13:14">
      <c r="M593">
        <v>0.41447800000000001</v>
      </c>
      <c r="N593">
        <v>58.7</v>
      </c>
    </row>
    <row r="594" spans="13:14">
      <c r="M594">
        <v>0.41447800000000001</v>
      </c>
      <c r="N594">
        <v>58.8</v>
      </c>
    </row>
    <row r="595" spans="13:14">
      <c r="M595">
        <v>0.41447800000000001</v>
      </c>
      <c r="N595">
        <v>58.9</v>
      </c>
    </row>
    <row r="596" spans="13:14">
      <c r="M596">
        <v>0.41447800000000001</v>
      </c>
      <c r="N596">
        <v>59</v>
      </c>
    </row>
    <row r="597" spans="13:14">
      <c r="M597">
        <v>0.41447800000000001</v>
      </c>
      <c r="N597">
        <v>59.1</v>
      </c>
    </row>
    <row r="598" spans="13:14">
      <c r="M598">
        <v>0.41447800000000001</v>
      </c>
      <c r="N598">
        <v>59.2</v>
      </c>
    </row>
    <row r="599" spans="13:14">
      <c r="M599">
        <v>0.41447800000000001</v>
      </c>
      <c r="N599">
        <v>59.3</v>
      </c>
    </row>
    <row r="600" spans="13:14">
      <c r="M600">
        <v>0.41447800000000001</v>
      </c>
      <c r="N600">
        <v>59.4</v>
      </c>
    </row>
    <row r="601" spans="13:14">
      <c r="M601">
        <v>0.41447800000000001</v>
      </c>
      <c r="N601">
        <v>59.5</v>
      </c>
    </row>
    <row r="602" spans="13:14">
      <c r="M602">
        <v>0.41447800000000001</v>
      </c>
      <c r="N602">
        <v>59.6</v>
      </c>
    </row>
    <row r="603" spans="13:14">
      <c r="M603">
        <v>0.41447800000000001</v>
      </c>
      <c r="N603">
        <v>59.7</v>
      </c>
    </row>
    <row r="604" spans="13:14">
      <c r="M604">
        <v>0.41447800000000001</v>
      </c>
      <c r="N604">
        <v>59.8</v>
      </c>
    </row>
    <row r="605" spans="13:14">
      <c r="M605">
        <v>0.41447800000000001</v>
      </c>
      <c r="N605">
        <v>59.9</v>
      </c>
    </row>
    <row r="606" spans="13:14">
      <c r="M606">
        <v>0.41447800000000001</v>
      </c>
      <c r="N606">
        <v>60</v>
      </c>
    </row>
    <row r="607" spans="13:14">
      <c r="M607">
        <v>0.41447800000000001</v>
      </c>
      <c r="N607">
        <v>60.1</v>
      </c>
    </row>
    <row r="608" spans="13:14">
      <c r="M608">
        <v>0.41447800000000001</v>
      </c>
      <c r="N608">
        <v>60.2</v>
      </c>
    </row>
    <row r="609" spans="13:14">
      <c r="M609">
        <v>0.41447800000000001</v>
      </c>
      <c r="N609">
        <v>60.3</v>
      </c>
    </row>
    <row r="610" spans="13:14">
      <c r="M610">
        <v>0.41447800000000001</v>
      </c>
      <c r="N610">
        <v>60.4</v>
      </c>
    </row>
    <row r="611" spans="13:14">
      <c r="M611">
        <v>0.41447800000000001</v>
      </c>
      <c r="N611">
        <v>60.5</v>
      </c>
    </row>
    <row r="612" spans="13:14">
      <c r="M612">
        <v>0.41447800000000001</v>
      </c>
      <c r="N612">
        <v>60.6</v>
      </c>
    </row>
    <row r="613" spans="13:14">
      <c r="M613">
        <v>0.41447800000000001</v>
      </c>
      <c r="N613">
        <v>60.7</v>
      </c>
    </row>
    <row r="614" spans="13:14">
      <c r="M614">
        <v>0.41447800000000001</v>
      </c>
      <c r="N614">
        <v>60.8</v>
      </c>
    </row>
    <row r="615" spans="13:14">
      <c r="M615">
        <v>0.41447800000000001</v>
      </c>
      <c r="N615">
        <v>60.9</v>
      </c>
    </row>
    <row r="616" spans="13:14">
      <c r="M616">
        <v>0.41447800000000001</v>
      </c>
      <c r="N616">
        <v>61</v>
      </c>
    </row>
    <row r="617" spans="13:14">
      <c r="M617">
        <v>0.41447800000000001</v>
      </c>
      <c r="N617">
        <v>61.1</v>
      </c>
    </row>
    <row r="618" spans="13:14">
      <c r="M618">
        <v>0.41447800000000001</v>
      </c>
      <c r="N618">
        <v>61.2</v>
      </c>
    </row>
    <row r="619" spans="13:14">
      <c r="M619">
        <v>0.41447800000000001</v>
      </c>
      <c r="N619">
        <v>61.3</v>
      </c>
    </row>
    <row r="620" spans="13:14">
      <c r="M620">
        <v>0.41447800000000001</v>
      </c>
      <c r="N620">
        <v>61.4</v>
      </c>
    </row>
    <row r="621" spans="13:14">
      <c r="M621">
        <v>0.41447800000000001</v>
      </c>
      <c r="N621">
        <v>61.5</v>
      </c>
    </row>
    <row r="622" spans="13:14">
      <c r="M622">
        <v>0.41447800000000001</v>
      </c>
      <c r="N622">
        <v>61.6</v>
      </c>
    </row>
    <row r="623" spans="13:14">
      <c r="M623">
        <v>0.41447800000000001</v>
      </c>
      <c r="N623">
        <v>61.7</v>
      </c>
    </row>
    <row r="624" spans="13:14">
      <c r="M624">
        <v>0.41447800000000001</v>
      </c>
      <c r="N624">
        <v>61.8</v>
      </c>
    </row>
    <row r="625" spans="13:14">
      <c r="M625">
        <v>0.41447800000000001</v>
      </c>
      <c r="N625">
        <v>61.9</v>
      </c>
    </row>
    <row r="626" spans="13:14">
      <c r="M626">
        <v>0.41447800000000001</v>
      </c>
      <c r="N626">
        <v>62</v>
      </c>
    </row>
    <row r="627" spans="13:14">
      <c r="M627">
        <v>0.41447800000000001</v>
      </c>
      <c r="N627">
        <v>62.1</v>
      </c>
    </row>
    <row r="628" spans="13:14">
      <c r="M628">
        <v>0.41447800000000001</v>
      </c>
      <c r="N628">
        <v>62.2</v>
      </c>
    </row>
    <row r="629" spans="13:14">
      <c r="M629">
        <v>0.41447800000000001</v>
      </c>
      <c r="N629">
        <v>62.3</v>
      </c>
    </row>
    <row r="630" spans="13:14">
      <c r="M630">
        <v>0.41447800000000001</v>
      </c>
      <c r="N630">
        <v>62.4</v>
      </c>
    </row>
    <row r="631" spans="13:14">
      <c r="M631">
        <v>0.41447800000000001</v>
      </c>
      <c r="N631">
        <v>62.5</v>
      </c>
    </row>
    <row r="632" spans="13:14">
      <c r="M632">
        <v>0.41447800000000001</v>
      </c>
      <c r="N632">
        <v>62.6</v>
      </c>
    </row>
    <row r="633" spans="13:14">
      <c r="M633">
        <v>0.41447800000000001</v>
      </c>
      <c r="N633">
        <v>62.7</v>
      </c>
    </row>
    <row r="634" spans="13:14">
      <c r="M634">
        <v>0.41447800000000001</v>
      </c>
      <c r="N634">
        <v>62.8</v>
      </c>
    </row>
    <row r="635" spans="13:14">
      <c r="M635">
        <v>0.41447800000000001</v>
      </c>
      <c r="N635">
        <v>62.9</v>
      </c>
    </row>
    <row r="636" spans="13:14">
      <c r="M636">
        <v>0.41447800000000001</v>
      </c>
      <c r="N636">
        <v>63</v>
      </c>
    </row>
    <row r="637" spans="13:14">
      <c r="M637">
        <v>0.41447800000000001</v>
      </c>
      <c r="N637">
        <v>63.1</v>
      </c>
    </row>
    <row r="638" spans="13:14">
      <c r="M638">
        <v>0.41447800000000001</v>
      </c>
      <c r="N638">
        <v>63.2</v>
      </c>
    </row>
    <row r="639" spans="13:14">
      <c r="M639">
        <v>0.41447800000000001</v>
      </c>
      <c r="N639">
        <v>63.3</v>
      </c>
    </row>
    <row r="640" spans="13:14">
      <c r="M640">
        <v>0.41447800000000001</v>
      </c>
      <c r="N640">
        <v>63.4</v>
      </c>
    </row>
    <row r="641" spans="13:14">
      <c r="M641">
        <v>0.41447800000000001</v>
      </c>
      <c r="N641">
        <v>63.5</v>
      </c>
    </row>
    <row r="642" spans="13:14">
      <c r="M642">
        <v>0.43628773600000098</v>
      </c>
      <c r="N642">
        <v>63.6</v>
      </c>
    </row>
    <row r="643" spans="13:14">
      <c r="M643">
        <v>0.46368971200000098</v>
      </c>
      <c r="N643">
        <v>63.7</v>
      </c>
    </row>
    <row r="644" spans="13:14">
      <c r="M644">
        <v>0.48438100000000001</v>
      </c>
      <c r="N644">
        <v>63.8</v>
      </c>
    </row>
    <row r="645" spans="13:14">
      <c r="M645">
        <v>0.48438100000000001</v>
      </c>
      <c r="N645">
        <v>63.9</v>
      </c>
    </row>
    <row r="646" spans="13:14">
      <c r="M646">
        <v>0.48438100000000001</v>
      </c>
      <c r="N646">
        <v>64</v>
      </c>
    </row>
    <row r="647" spans="13:14">
      <c r="M647">
        <v>0.48438100000000001</v>
      </c>
      <c r="N647">
        <v>64.099999999999994</v>
      </c>
    </row>
    <row r="648" spans="13:14">
      <c r="M648">
        <v>0.48438100000000001</v>
      </c>
      <c r="N648">
        <v>64.2</v>
      </c>
    </row>
    <row r="649" spans="13:14">
      <c r="M649">
        <v>0.48438100000000001</v>
      </c>
      <c r="N649">
        <v>64.3</v>
      </c>
    </row>
    <row r="650" spans="13:14">
      <c r="M650">
        <v>0.48438100000000001</v>
      </c>
      <c r="N650">
        <v>64.400000000000006</v>
      </c>
    </row>
    <row r="651" spans="13:14">
      <c r="M651">
        <v>0.48438100000000001</v>
      </c>
      <c r="N651">
        <v>64.5</v>
      </c>
    </row>
    <row r="652" spans="13:14">
      <c r="M652">
        <v>0.48438100000000001</v>
      </c>
      <c r="N652">
        <v>64.599999999999994</v>
      </c>
    </row>
    <row r="653" spans="13:14">
      <c r="M653">
        <v>0.48438100000000001</v>
      </c>
      <c r="N653">
        <v>64.7</v>
      </c>
    </row>
    <row r="654" spans="13:14">
      <c r="M654">
        <v>0.48438100000000001</v>
      </c>
      <c r="N654">
        <v>64.8</v>
      </c>
    </row>
    <row r="655" spans="13:14">
      <c r="M655">
        <v>0.48438100000000001</v>
      </c>
      <c r="N655">
        <v>64.900000000000006</v>
      </c>
    </row>
    <row r="656" spans="13:14">
      <c r="M656">
        <v>0.48438100000000001</v>
      </c>
      <c r="N656">
        <v>65</v>
      </c>
    </row>
    <row r="657" spans="13:14">
      <c r="M657">
        <v>0.48438100000000001</v>
      </c>
      <c r="N657">
        <v>65.099999999999994</v>
      </c>
    </row>
    <row r="658" spans="13:14">
      <c r="M658">
        <v>0.48438100000000001</v>
      </c>
      <c r="N658">
        <v>65.2</v>
      </c>
    </row>
    <row r="659" spans="13:14">
      <c r="M659">
        <v>0.48438100000000001</v>
      </c>
      <c r="N659">
        <v>65.3</v>
      </c>
    </row>
    <row r="660" spans="13:14">
      <c r="M660">
        <v>0.48438100000000001</v>
      </c>
      <c r="N660">
        <v>65.400000000000006</v>
      </c>
    </row>
    <row r="661" spans="13:14">
      <c r="M661">
        <v>0.48438100000000001</v>
      </c>
      <c r="N661">
        <v>65.5</v>
      </c>
    </row>
    <row r="662" spans="13:14">
      <c r="M662">
        <v>0.48438100000000001</v>
      </c>
      <c r="N662">
        <v>65.599999999999994</v>
      </c>
    </row>
    <row r="663" spans="13:14">
      <c r="M663">
        <v>0.48438100000000001</v>
      </c>
      <c r="N663">
        <v>65.7</v>
      </c>
    </row>
    <row r="664" spans="13:14">
      <c r="M664">
        <v>0.48438100000000001</v>
      </c>
      <c r="N664">
        <v>65.8</v>
      </c>
    </row>
    <row r="665" spans="13:14">
      <c r="M665">
        <v>0.48438100000000001</v>
      </c>
      <c r="N665">
        <v>65.900000000000006</v>
      </c>
    </row>
    <row r="666" spans="13:14">
      <c r="M666">
        <v>0.48438100000000001</v>
      </c>
      <c r="N666">
        <v>66</v>
      </c>
    </row>
    <row r="667" spans="13:14">
      <c r="M667">
        <v>0.48438100000000001</v>
      </c>
      <c r="N667">
        <v>66.099999999999994</v>
      </c>
    </row>
    <row r="668" spans="13:14">
      <c r="M668">
        <v>0.48438100000000001</v>
      </c>
      <c r="N668">
        <v>66.2</v>
      </c>
    </row>
    <row r="669" spans="13:14">
      <c r="M669">
        <v>0.48438100000000001</v>
      </c>
      <c r="N669">
        <v>66.3</v>
      </c>
    </row>
    <row r="670" spans="13:14">
      <c r="M670">
        <v>0.48438100000000001</v>
      </c>
      <c r="N670">
        <v>66.400000000000006</v>
      </c>
    </row>
    <row r="671" spans="13:14">
      <c r="M671">
        <v>0.48438100000000001</v>
      </c>
      <c r="N671">
        <v>66.5</v>
      </c>
    </row>
    <row r="672" spans="13:14">
      <c r="M672">
        <v>0.48438100000000001</v>
      </c>
      <c r="N672">
        <v>66.599999999999994</v>
      </c>
    </row>
    <row r="673" spans="13:14">
      <c r="M673">
        <v>0.48438100000000001</v>
      </c>
      <c r="N673">
        <v>66.7</v>
      </c>
    </row>
    <row r="674" spans="13:14">
      <c r="M674">
        <v>0.48438100000000001</v>
      </c>
      <c r="N674">
        <v>66.8</v>
      </c>
    </row>
    <row r="675" spans="13:14">
      <c r="M675">
        <v>0.48438100000000001</v>
      </c>
      <c r="N675">
        <v>66.900000000000006</v>
      </c>
    </row>
    <row r="676" spans="13:14">
      <c r="M676">
        <v>0.48438100000000001</v>
      </c>
      <c r="N676">
        <v>67</v>
      </c>
    </row>
    <row r="677" spans="13:14">
      <c r="M677">
        <v>0.48438100000000001</v>
      </c>
      <c r="N677">
        <v>67.099999999999994</v>
      </c>
    </row>
    <row r="678" spans="13:14">
      <c r="M678">
        <v>0.48438100000000001</v>
      </c>
      <c r="N678">
        <v>67.2</v>
      </c>
    </row>
    <row r="679" spans="13:14">
      <c r="M679">
        <v>0.48438100000000001</v>
      </c>
      <c r="N679">
        <v>67.3</v>
      </c>
    </row>
    <row r="680" spans="13:14">
      <c r="M680">
        <v>0.48438100000000001</v>
      </c>
      <c r="N680">
        <v>67.400000000000006</v>
      </c>
    </row>
    <row r="681" spans="13:14">
      <c r="M681">
        <v>0.48438100000000001</v>
      </c>
      <c r="N681">
        <v>67.5</v>
      </c>
    </row>
    <row r="682" spans="13:14">
      <c r="M682">
        <v>0.48438100000000001</v>
      </c>
      <c r="N682">
        <v>67.599999999999994</v>
      </c>
    </row>
    <row r="683" spans="13:14">
      <c r="M683">
        <v>0.48438100000000001</v>
      </c>
      <c r="N683">
        <v>67.7</v>
      </c>
    </row>
    <row r="684" spans="13:14">
      <c r="M684">
        <v>0.48438100000000001</v>
      </c>
      <c r="N684">
        <v>67.8</v>
      </c>
    </row>
    <row r="685" spans="13:14">
      <c r="M685">
        <v>0.48438100000000001</v>
      </c>
      <c r="N685">
        <v>67.900000000000006</v>
      </c>
    </row>
    <row r="686" spans="13:14">
      <c r="M686">
        <v>0.48438100000000001</v>
      </c>
      <c r="N686">
        <v>68</v>
      </c>
    </row>
    <row r="687" spans="13:14">
      <c r="M687">
        <v>0.48438100000000001</v>
      </c>
      <c r="N687">
        <v>68.099999999999994</v>
      </c>
    </row>
    <row r="688" spans="13:14">
      <c r="M688">
        <v>0.50977060799999996</v>
      </c>
      <c r="N688">
        <v>68.2</v>
      </c>
    </row>
    <row r="689" spans="13:14">
      <c r="M689">
        <v>0.53870295200000395</v>
      </c>
      <c r="N689">
        <v>68.3</v>
      </c>
    </row>
    <row r="690" spans="13:14">
      <c r="M690">
        <v>0.55818800000000002</v>
      </c>
      <c r="N690">
        <v>68.400000000000006</v>
      </c>
    </row>
    <row r="691" spans="13:14">
      <c r="M691">
        <v>0.55818800000000002</v>
      </c>
      <c r="N691">
        <v>68.5</v>
      </c>
    </row>
    <row r="692" spans="13:14">
      <c r="M692">
        <v>0.55818800000000002</v>
      </c>
      <c r="N692">
        <v>68.599999999999994</v>
      </c>
    </row>
    <row r="693" spans="13:14">
      <c r="M693">
        <v>0.55818800000000002</v>
      </c>
      <c r="N693">
        <v>68.7</v>
      </c>
    </row>
    <row r="694" spans="13:14">
      <c r="M694">
        <v>0.55818800000000002</v>
      </c>
      <c r="N694">
        <v>68.8</v>
      </c>
    </row>
    <row r="695" spans="13:14">
      <c r="M695">
        <v>0.55818800000000002</v>
      </c>
      <c r="N695">
        <v>68.900000000000006</v>
      </c>
    </row>
    <row r="696" spans="13:14">
      <c r="M696">
        <v>0.55818800000000002</v>
      </c>
      <c r="N696">
        <v>69</v>
      </c>
    </row>
    <row r="697" spans="13:14">
      <c r="M697">
        <v>0.55818800000000002</v>
      </c>
      <c r="N697">
        <v>69.099999999999994</v>
      </c>
    </row>
    <row r="698" spans="13:14">
      <c r="M698">
        <v>0.55818800000000002</v>
      </c>
      <c r="N698">
        <v>69.2</v>
      </c>
    </row>
    <row r="699" spans="13:14">
      <c r="M699">
        <v>0.55818800000000002</v>
      </c>
      <c r="N699">
        <v>69.3</v>
      </c>
    </row>
    <row r="700" spans="13:14">
      <c r="M700">
        <v>0.55818800000000002</v>
      </c>
      <c r="N700">
        <v>69.400000000000006</v>
      </c>
    </row>
    <row r="701" spans="13:14">
      <c r="M701">
        <v>0.55818800000000002</v>
      </c>
      <c r="N701">
        <v>69.5</v>
      </c>
    </row>
    <row r="702" spans="13:14">
      <c r="M702">
        <v>0.55818800000000002</v>
      </c>
      <c r="N702">
        <v>69.599999999999994</v>
      </c>
    </row>
    <row r="703" spans="13:14">
      <c r="M703">
        <v>0.55818800000000002</v>
      </c>
      <c r="N703">
        <v>69.7</v>
      </c>
    </row>
    <row r="704" spans="13:14">
      <c r="M704">
        <v>0.55818800000000002</v>
      </c>
      <c r="N704">
        <v>69.8</v>
      </c>
    </row>
    <row r="705" spans="13:14">
      <c r="M705">
        <v>0.55818800000000002</v>
      </c>
      <c r="N705">
        <v>69.900000000000006</v>
      </c>
    </row>
    <row r="706" spans="13:14">
      <c r="M706">
        <v>0.55818800000000002</v>
      </c>
      <c r="N706">
        <v>70</v>
      </c>
    </row>
    <row r="707" spans="13:14">
      <c r="M707">
        <v>0.55818800000000002</v>
      </c>
      <c r="N707">
        <v>70.099999999999994</v>
      </c>
    </row>
    <row r="708" spans="13:14">
      <c r="M708">
        <v>0.55818800000000002</v>
      </c>
      <c r="N708">
        <v>70.2</v>
      </c>
    </row>
    <row r="709" spans="13:14">
      <c r="M709">
        <v>0.55818800000000002</v>
      </c>
      <c r="N709">
        <v>70.3</v>
      </c>
    </row>
    <row r="710" spans="13:14">
      <c r="M710">
        <v>0.55818800000000002</v>
      </c>
      <c r="N710">
        <v>70.400000000000006</v>
      </c>
    </row>
    <row r="711" spans="13:14">
      <c r="M711">
        <v>0.58608079999999696</v>
      </c>
      <c r="N711">
        <v>70.5</v>
      </c>
    </row>
    <row r="712" spans="13:14">
      <c r="M712">
        <v>0.61645296000000105</v>
      </c>
      <c r="N712">
        <v>70.599999999999994</v>
      </c>
    </row>
    <row r="713" spans="13:14">
      <c r="M713">
        <v>0.63566800000000001</v>
      </c>
      <c r="N713">
        <v>70.7</v>
      </c>
    </row>
    <row r="714" spans="13:14">
      <c r="M714">
        <v>0.63566800000000001</v>
      </c>
      <c r="N714">
        <v>70.8</v>
      </c>
    </row>
    <row r="715" spans="13:14">
      <c r="M715">
        <v>0.63566800000000001</v>
      </c>
      <c r="N715">
        <v>70.900000000000006</v>
      </c>
    </row>
    <row r="716" spans="13:14">
      <c r="M716">
        <v>0.63566800000000001</v>
      </c>
      <c r="N716">
        <v>71</v>
      </c>
    </row>
    <row r="717" spans="13:14">
      <c r="M717">
        <v>0.63566800000000001</v>
      </c>
      <c r="N717">
        <v>71.099999999999994</v>
      </c>
    </row>
    <row r="718" spans="13:14">
      <c r="M718">
        <v>0.63566800000000001</v>
      </c>
      <c r="N718">
        <v>71.2</v>
      </c>
    </row>
    <row r="719" spans="13:14">
      <c r="M719">
        <v>0.63566800000000001</v>
      </c>
      <c r="N719">
        <v>71.3</v>
      </c>
    </row>
    <row r="720" spans="13:14">
      <c r="M720">
        <v>0.63566800000000001</v>
      </c>
      <c r="N720">
        <v>71.400000000000006</v>
      </c>
    </row>
    <row r="721" spans="13:14">
      <c r="M721">
        <v>0.63566800000000001</v>
      </c>
      <c r="N721">
        <v>71.5</v>
      </c>
    </row>
    <row r="722" spans="13:14">
      <c r="M722">
        <v>0.63566800000000001</v>
      </c>
      <c r="N722">
        <v>71.599999999999994</v>
      </c>
    </row>
    <row r="723" spans="13:14">
      <c r="M723">
        <v>0.63566800000000001</v>
      </c>
      <c r="N723">
        <v>71.7</v>
      </c>
    </row>
    <row r="724" spans="13:14">
      <c r="M724">
        <v>0.63566800000000001</v>
      </c>
      <c r="N724">
        <v>71.8</v>
      </c>
    </row>
    <row r="725" spans="13:14">
      <c r="M725">
        <v>0.63566800000000001</v>
      </c>
      <c r="N725">
        <v>71.900000000000006</v>
      </c>
    </row>
    <row r="726" spans="13:14">
      <c r="M726">
        <v>0.63566800000000001</v>
      </c>
      <c r="N726">
        <v>72</v>
      </c>
    </row>
    <row r="727" spans="13:14">
      <c r="M727">
        <v>0.63566800000000001</v>
      </c>
      <c r="N727">
        <v>72.099999999999994</v>
      </c>
    </row>
    <row r="728" spans="13:14">
      <c r="M728">
        <v>0.63566800000000001</v>
      </c>
      <c r="N728">
        <v>72.2</v>
      </c>
    </row>
    <row r="729" spans="13:14">
      <c r="M729">
        <v>0.63566800000000001</v>
      </c>
      <c r="N729">
        <v>72.3</v>
      </c>
    </row>
    <row r="730" spans="13:14">
      <c r="M730">
        <v>0.63566800000000001</v>
      </c>
      <c r="N730">
        <v>72.400000000000006</v>
      </c>
    </row>
    <row r="731" spans="13:14">
      <c r="M731">
        <v>0.63566800000000001</v>
      </c>
      <c r="N731">
        <v>72.5</v>
      </c>
    </row>
    <row r="732" spans="13:14">
      <c r="M732">
        <v>0.63566800000000001</v>
      </c>
      <c r="N732">
        <v>72.599999999999994</v>
      </c>
    </row>
    <row r="733" spans="13:14">
      <c r="M733">
        <v>0.63566800000000001</v>
      </c>
      <c r="N733">
        <v>72.7</v>
      </c>
    </row>
    <row r="734" spans="13:14">
      <c r="M734">
        <v>0.63566800000000001</v>
      </c>
      <c r="N734">
        <v>72.8</v>
      </c>
    </row>
    <row r="735" spans="13:14">
      <c r="M735">
        <v>0.63566800000000001</v>
      </c>
      <c r="N735">
        <v>72.900000000000006</v>
      </c>
    </row>
    <row r="736" spans="13:14">
      <c r="M736">
        <v>0.63566800000000001</v>
      </c>
      <c r="N736">
        <v>73</v>
      </c>
    </row>
    <row r="737" spans="13:14">
      <c r="M737">
        <v>0.63566800000000001</v>
      </c>
      <c r="N737">
        <v>73.099999999999994</v>
      </c>
    </row>
    <row r="738" spans="13:14">
      <c r="M738">
        <v>0.63566800000000001</v>
      </c>
      <c r="N738">
        <v>73.2</v>
      </c>
    </row>
    <row r="739" spans="13:14">
      <c r="M739">
        <v>0.63566800000000001</v>
      </c>
      <c r="N739">
        <v>73.3</v>
      </c>
    </row>
    <row r="740" spans="13:14">
      <c r="M740">
        <v>0.63566800000000001</v>
      </c>
      <c r="N740">
        <v>73.400000000000006</v>
      </c>
    </row>
    <row r="741" spans="13:14">
      <c r="M741">
        <v>0.63566800000000001</v>
      </c>
      <c r="N741">
        <v>73.5</v>
      </c>
    </row>
    <row r="742" spans="13:14">
      <c r="M742">
        <v>0.63566800000000001</v>
      </c>
      <c r="N742">
        <v>73.599999999999994</v>
      </c>
    </row>
    <row r="743" spans="13:14">
      <c r="M743">
        <v>0.63566800000000001</v>
      </c>
      <c r="N743">
        <v>73.7</v>
      </c>
    </row>
    <row r="744" spans="13:14">
      <c r="M744">
        <v>0.63566800000000001</v>
      </c>
      <c r="N744">
        <v>73.8</v>
      </c>
    </row>
    <row r="745" spans="13:14">
      <c r="M745">
        <v>0.63566800000000001</v>
      </c>
      <c r="N745">
        <v>73.900000000000006</v>
      </c>
    </row>
    <row r="746" spans="13:14">
      <c r="M746">
        <v>0.63566800000000001</v>
      </c>
      <c r="N746">
        <v>74</v>
      </c>
    </row>
    <row r="747" spans="13:14">
      <c r="M747">
        <v>0.63566800000000001</v>
      </c>
      <c r="N747">
        <v>74.099999999999994</v>
      </c>
    </row>
    <row r="748" spans="13:14">
      <c r="M748">
        <v>0.63566800000000001</v>
      </c>
      <c r="N748">
        <v>74.2</v>
      </c>
    </row>
    <row r="749" spans="13:14">
      <c r="M749">
        <v>0.63566800000000001</v>
      </c>
      <c r="N749">
        <v>74.3</v>
      </c>
    </row>
    <row r="750" spans="13:14">
      <c r="M750">
        <v>0.63566800000000001</v>
      </c>
      <c r="N750">
        <v>74.400000000000006</v>
      </c>
    </row>
    <row r="751" spans="13:14">
      <c r="M751">
        <v>0.63566800000000001</v>
      </c>
      <c r="N751">
        <v>74.5</v>
      </c>
    </row>
    <row r="752" spans="13:14">
      <c r="M752">
        <v>0.63566800000000001</v>
      </c>
      <c r="N752">
        <v>74.599999999999994</v>
      </c>
    </row>
    <row r="753" spans="13:14">
      <c r="M753">
        <v>0.63566800000000001</v>
      </c>
      <c r="N753">
        <v>74.7</v>
      </c>
    </row>
    <row r="754" spans="13:14">
      <c r="M754">
        <v>0.63566800000000001</v>
      </c>
      <c r="N754">
        <v>74.8</v>
      </c>
    </row>
    <row r="755" spans="13:14">
      <c r="M755">
        <v>0.63566800000000001</v>
      </c>
      <c r="N755">
        <v>74.900000000000006</v>
      </c>
    </row>
    <row r="756" spans="13:14">
      <c r="M756">
        <v>0.63566800000000001</v>
      </c>
      <c r="N756">
        <v>75</v>
      </c>
    </row>
    <row r="757" spans="13:14">
      <c r="M757">
        <v>0.63566800000000001</v>
      </c>
      <c r="N757">
        <v>75.099999999999994</v>
      </c>
    </row>
    <row r="758" spans="13:14">
      <c r="M758">
        <v>0.63566800000000001</v>
      </c>
      <c r="N758">
        <v>75.2</v>
      </c>
    </row>
    <row r="759" spans="13:14">
      <c r="M759">
        <v>0.63566800000000001</v>
      </c>
      <c r="N759">
        <v>75.3</v>
      </c>
    </row>
    <row r="760" spans="13:14">
      <c r="M760">
        <v>0.63566800000000001</v>
      </c>
      <c r="N760">
        <v>75.400000000000006</v>
      </c>
    </row>
    <row r="761" spans="13:14">
      <c r="M761">
        <v>0.63566800000000001</v>
      </c>
      <c r="N761">
        <v>75.5</v>
      </c>
    </row>
    <row r="762" spans="13:14">
      <c r="M762">
        <v>0.63566800000000001</v>
      </c>
      <c r="N762">
        <v>75.599999999999994</v>
      </c>
    </row>
    <row r="763" spans="13:14">
      <c r="M763">
        <v>0.63566800000000001</v>
      </c>
      <c r="N763">
        <v>75.7</v>
      </c>
    </row>
    <row r="764" spans="13:14">
      <c r="M764">
        <v>0.63566800000000001</v>
      </c>
      <c r="N764">
        <v>75.8</v>
      </c>
    </row>
    <row r="765" spans="13:14">
      <c r="M765">
        <v>0.63566800000000001</v>
      </c>
      <c r="N765">
        <v>75.900000000000006</v>
      </c>
    </row>
    <row r="766" spans="13:14">
      <c r="M766">
        <v>0.63566800000000001</v>
      </c>
      <c r="N766">
        <v>76</v>
      </c>
    </row>
    <row r="767" spans="13:14">
      <c r="M767">
        <v>0.63566800000000001</v>
      </c>
      <c r="N767">
        <v>76.099999999999994</v>
      </c>
    </row>
    <row r="768" spans="13:14">
      <c r="M768">
        <v>0.63566800000000001</v>
      </c>
      <c r="N768">
        <v>76.2</v>
      </c>
    </row>
    <row r="769" spans="13:14">
      <c r="M769">
        <v>0.63566800000000001</v>
      </c>
      <c r="N769">
        <v>76.3</v>
      </c>
    </row>
    <row r="770" spans="13:14">
      <c r="M770">
        <v>0.63566800000000001</v>
      </c>
      <c r="N770">
        <v>76.400000000000006</v>
      </c>
    </row>
    <row r="771" spans="13:14">
      <c r="M771">
        <v>0.63566800000000001</v>
      </c>
      <c r="N771">
        <v>76.5</v>
      </c>
    </row>
    <row r="772" spans="13:14">
      <c r="M772">
        <v>0.63566800000000001</v>
      </c>
      <c r="N772">
        <v>76.599999999999994</v>
      </c>
    </row>
    <row r="773" spans="13:14">
      <c r="M773">
        <v>0.63566800000000001</v>
      </c>
      <c r="N773">
        <v>76.7</v>
      </c>
    </row>
    <row r="774" spans="13:14">
      <c r="M774">
        <v>0.63566800000000001</v>
      </c>
      <c r="N774">
        <v>76.8</v>
      </c>
    </row>
    <row r="775" spans="13:14">
      <c r="M775">
        <v>0.63566800000000001</v>
      </c>
      <c r="N775">
        <v>76.900000000000006</v>
      </c>
    </row>
    <row r="776" spans="13:14">
      <c r="M776">
        <v>0.63566800000000001</v>
      </c>
      <c r="N776">
        <v>77</v>
      </c>
    </row>
    <row r="777" spans="13:14">
      <c r="M777">
        <v>0.63566800000000001</v>
      </c>
      <c r="N777">
        <v>77.099999999999994</v>
      </c>
    </row>
    <row r="778" spans="13:14">
      <c r="M778">
        <v>0.63566800000000001</v>
      </c>
      <c r="N778">
        <v>77.2</v>
      </c>
    </row>
    <row r="779" spans="13:14">
      <c r="M779">
        <v>0.63696001600000196</v>
      </c>
      <c r="N779">
        <v>77.3</v>
      </c>
    </row>
    <row r="780" spans="13:14">
      <c r="M780">
        <v>0.66861440800000105</v>
      </c>
      <c r="N780">
        <v>77.400000000000006</v>
      </c>
    </row>
    <row r="781" spans="13:14">
      <c r="M781">
        <v>0.70026880000000102</v>
      </c>
      <c r="N781">
        <v>77.5</v>
      </c>
    </row>
    <row r="782" spans="13:14">
      <c r="M782">
        <v>0.71641900000000003</v>
      </c>
      <c r="N782">
        <v>77.599999999999994</v>
      </c>
    </row>
    <row r="783" spans="13:14">
      <c r="M783">
        <v>0.71641900000000003</v>
      </c>
      <c r="N783">
        <v>77.7</v>
      </c>
    </row>
    <row r="784" spans="13:14">
      <c r="M784">
        <v>0.71641900000000003</v>
      </c>
      <c r="N784">
        <v>77.8</v>
      </c>
    </row>
    <row r="785" spans="13:14">
      <c r="M785">
        <v>0.71641900000000003</v>
      </c>
      <c r="N785">
        <v>77.900000000000006</v>
      </c>
    </row>
    <row r="786" spans="13:14">
      <c r="M786">
        <v>0.71641900000000003</v>
      </c>
      <c r="N786">
        <v>78</v>
      </c>
    </row>
    <row r="787" spans="13:14">
      <c r="M787">
        <v>0.72909655999999901</v>
      </c>
      <c r="N787">
        <v>78.099999999999994</v>
      </c>
    </row>
    <row r="788" spans="13:14">
      <c r="M788">
        <v>0.76179131999999905</v>
      </c>
      <c r="N788">
        <v>78.2</v>
      </c>
    </row>
    <row r="789" spans="13:14">
      <c r="M789">
        <v>0.79448608000000298</v>
      </c>
      <c r="N789">
        <v>78.3</v>
      </c>
    </row>
    <row r="790" spans="13:14">
      <c r="M790">
        <v>0.82777156800000296</v>
      </c>
      <c r="N790">
        <v>78.400000000000006</v>
      </c>
    </row>
    <row r="791" spans="13:14">
      <c r="M791">
        <v>0.86117232000000199</v>
      </c>
      <c r="N791">
        <v>78.5</v>
      </c>
    </row>
    <row r="792" spans="13:14">
      <c r="M792">
        <v>0.88502999999999998</v>
      </c>
      <c r="N792">
        <v>78.599999999999994</v>
      </c>
    </row>
    <row r="793" spans="13:14">
      <c r="M793">
        <v>0.88502999999999998</v>
      </c>
      <c r="N793">
        <v>78.7</v>
      </c>
    </row>
    <row r="794" spans="13:14">
      <c r="M794">
        <v>0.88502999999999998</v>
      </c>
      <c r="N794">
        <v>78.8</v>
      </c>
    </row>
    <row r="795" spans="13:14">
      <c r="M795">
        <v>0.88502999999999998</v>
      </c>
      <c r="N795">
        <v>78.900000000000006</v>
      </c>
    </row>
    <row r="796" spans="13:14">
      <c r="M796">
        <v>0.88502999999999998</v>
      </c>
      <c r="N796">
        <v>79</v>
      </c>
    </row>
    <row r="797" spans="13:14">
      <c r="M797">
        <v>0.88502999999999998</v>
      </c>
      <c r="N797">
        <v>79.099999999999994</v>
      </c>
    </row>
    <row r="798" spans="13:14">
      <c r="M798">
        <v>0.88502999999999998</v>
      </c>
      <c r="N798">
        <v>79.2</v>
      </c>
    </row>
    <row r="799" spans="13:14">
      <c r="M799">
        <v>0.88502999999999998</v>
      </c>
      <c r="N799">
        <v>79.3</v>
      </c>
    </row>
    <row r="800" spans="13:14">
      <c r="M800">
        <v>0.88502999999999998</v>
      </c>
      <c r="N800">
        <v>79.400000000000006</v>
      </c>
    </row>
    <row r="801" spans="13:14">
      <c r="M801">
        <v>0.88502999999999998</v>
      </c>
      <c r="N801">
        <v>79.5</v>
      </c>
    </row>
    <row r="802" spans="13:14">
      <c r="M802">
        <v>0.88502999999999998</v>
      </c>
      <c r="N802">
        <v>79.599999999999994</v>
      </c>
    </row>
    <row r="803" spans="13:14">
      <c r="M803">
        <v>0.88502999999999998</v>
      </c>
      <c r="N803">
        <v>79.7</v>
      </c>
    </row>
    <row r="804" spans="13:14">
      <c r="M804">
        <v>0.88502999999999998</v>
      </c>
      <c r="N804">
        <v>79.8</v>
      </c>
    </row>
    <row r="805" spans="13:14">
      <c r="M805">
        <v>0.88502999999999998</v>
      </c>
      <c r="N805">
        <v>79.900000000000006</v>
      </c>
    </row>
    <row r="806" spans="13:14">
      <c r="M806">
        <v>0.88502999999999998</v>
      </c>
      <c r="N806">
        <v>80</v>
      </c>
    </row>
    <row r="807" spans="13:14">
      <c r="M807">
        <v>0.88502999999999998</v>
      </c>
      <c r="N807">
        <v>80.099999999999994</v>
      </c>
    </row>
    <row r="808" spans="13:14">
      <c r="M808">
        <v>0.88502999999999998</v>
      </c>
      <c r="N808">
        <v>80.2</v>
      </c>
    </row>
    <row r="809" spans="13:14">
      <c r="M809">
        <v>0.88502999999999998</v>
      </c>
      <c r="N809">
        <v>80.3</v>
      </c>
    </row>
    <row r="810" spans="13:14">
      <c r="M810">
        <v>0.88502999999999998</v>
      </c>
      <c r="N810">
        <v>80.400000000000006</v>
      </c>
    </row>
    <row r="811" spans="13:14">
      <c r="M811">
        <v>0.88502999999999998</v>
      </c>
      <c r="N811">
        <v>80.5</v>
      </c>
    </row>
    <row r="812" spans="13:14">
      <c r="M812">
        <v>0.88502999999999998</v>
      </c>
      <c r="N812">
        <v>80.599999999999994</v>
      </c>
    </row>
    <row r="813" spans="13:14">
      <c r="M813">
        <v>0.88502999999999998</v>
      </c>
      <c r="N813">
        <v>80.7</v>
      </c>
    </row>
    <row r="814" spans="13:14">
      <c r="M814">
        <v>0.88502999999999998</v>
      </c>
      <c r="N814">
        <v>80.8</v>
      </c>
    </row>
    <row r="815" spans="13:14">
      <c r="M815">
        <v>0.88502999999999998</v>
      </c>
      <c r="N815">
        <v>80.900000000000006</v>
      </c>
    </row>
    <row r="816" spans="13:14">
      <c r="M816">
        <v>0.88502999999999998</v>
      </c>
      <c r="N816">
        <v>81</v>
      </c>
    </row>
    <row r="817" spans="13:14">
      <c r="M817">
        <v>0.88502999999999998</v>
      </c>
      <c r="N817">
        <v>81.099999999999994</v>
      </c>
    </row>
    <row r="818" spans="13:14">
      <c r="M818">
        <v>0.88502999999999998</v>
      </c>
      <c r="N818">
        <v>81.2</v>
      </c>
    </row>
    <row r="819" spans="13:14">
      <c r="M819">
        <v>0.88502999999999998</v>
      </c>
      <c r="N819">
        <v>81.3</v>
      </c>
    </row>
    <row r="820" spans="13:14">
      <c r="M820">
        <v>0.88502999999999998</v>
      </c>
      <c r="N820">
        <v>81.400000000000006</v>
      </c>
    </row>
    <row r="821" spans="13:14">
      <c r="M821">
        <v>0.88502999999999998</v>
      </c>
      <c r="N821">
        <v>81.5</v>
      </c>
    </row>
    <row r="822" spans="13:14">
      <c r="M822">
        <v>0.88502999999999998</v>
      </c>
      <c r="N822">
        <v>81.599999999999994</v>
      </c>
    </row>
    <row r="823" spans="13:14">
      <c r="M823">
        <v>0.88502999999999998</v>
      </c>
      <c r="N823">
        <v>81.7</v>
      </c>
    </row>
    <row r="824" spans="13:14">
      <c r="M824">
        <v>0.88502999999999998</v>
      </c>
      <c r="N824">
        <v>81.8</v>
      </c>
    </row>
    <row r="825" spans="13:14">
      <c r="M825">
        <v>0.88502999999999998</v>
      </c>
      <c r="N825">
        <v>81.900000000000006</v>
      </c>
    </row>
    <row r="826" spans="13:14">
      <c r="M826">
        <v>0.88502999999999998</v>
      </c>
      <c r="N826">
        <v>82</v>
      </c>
    </row>
    <row r="827" spans="13:14">
      <c r="M827">
        <v>0.88502999999999998</v>
      </c>
      <c r="N827">
        <v>82.1</v>
      </c>
    </row>
    <row r="828" spans="13:14">
      <c r="M828">
        <v>0.88502999999999998</v>
      </c>
      <c r="N828">
        <v>82.2</v>
      </c>
    </row>
    <row r="829" spans="13:14">
      <c r="M829">
        <v>0.88502999999999998</v>
      </c>
      <c r="N829">
        <v>82.3</v>
      </c>
    </row>
    <row r="830" spans="13:14">
      <c r="M830">
        <v>0.88502999999999998</v>
      </c>
      <c r="N830">
        <v>82.4</v>
      </c>
    </row>
    <row r="831" spans="13:14">
      <c r="M831">
        <v>0.88502999999999998</v>
      </c>
      <c r="N831">
        <v>82.5</v>
      </c>
    </row>
    <row r="832" spans="13:14">
      <c r="M832">
        <v>0.88502999999999998</v>
      </c>
      <c r="N832">
        <v>82.6</v>
      </c>
    </row>
    <row r="833" spans="13:14">
      <c r="M833">
        <v>0.88502999999999998</v>
      </c>
      <c r="N833">
        <v>82.7</v>
      </c>
    </row>
    <row r="834" spans="13:14">
      <c r="M834">
        <v>0.88502999999999998</v>
      </c>
      <c r="N834">
        <v>82.8</v>
      </c>
    </row>
    <row r="835" spans="13:14">
      <c r="M835">
        <v>0.88502999999999998</v>
      </c>
      <c r="N835">
        <v>82.9</v>
      </c>
    </row>
    <row r="836" spans="13:14">
      <c r="M836">
        <v>0.88502999999999998</v>
      </c>
      <c r="N836">
        <v>83</v>
      </c>
    </row>
    <row r="837" spans="13:14">
      <c r="M837">
        <v>0.88502999999999998</v>
      </c>
      <c r="N837">
        <v>83.1</v>
      </c>
    </row>
    <row r="838" spans="13:14">
      <c r="M838">
        <v>0.88502999999999998</v>
      </c>
      <c r="N838">
        <v>83.2</v>
      </c>
    </row>
    <row r="839" spans="13:14">
      <c r="M839">
        <v>0.88502999999999998</v>
      </c>
      <c r="N839">
        <v>83.3</v>
      </c>
    </row>
    <row r="840" spans="13:14">
      <c r="M840">
        <v>0.88502999999999998</v>
      </c>
      <c r="N840">
        <v>83.4</v>
      </c>
    </row>
    <row r="841" spans="13:14">
      <c r="M841">
        <v>0.88502999999999998</v>
      </c>
      <c r="N841">
        <v>83.5</v>
      </c>
    </row>
    <row r="842" spans="13:14">
      <c r="M842">
        <v>0.88502999999999998</v>
      </c>
      <c r="N842">
        <v>83.6</v>
      </c>
    </row>
    <row r="843" spans="13:14">
      <c r="M843">
        <v>0.88502999999999998</v>
      </c>
      <c r="N843">
        <v>83.7</v>
      </c>
    </row>
    <row r="844" spans="13:14">
      <c r="M844">
        <v>0.88502999999999998</v>
      </c>
      <c r="N844">
        <v>83.8</v>
      </c>
    </row>
    <row r="845" spans="13:14">
      <c r="M845">
        <v>0.88502999999999998</v>
      </c>
      <c r="N845">
        <v>83.9</v>
      </c>
    </row>
    <row r="846" spans="13:14">
      <c r="M846">
        <v>0.88502999999999998</v>
      </c>
      <c r="N846">
        <v>84</v>
      </c>
    </row>
    <row r="847" spans="13:14">
      <c r="M847">
        <v>0.88502999999999998</v>
      </c>
      <c r="N847">
        <v>84.1</v>
      </c>
    </row>
    <row r="848" spans="13:14">
      <c r="M848">
        <v>0.88502999999999998</v>
      </c>
      <c r="N848">
        <v>84.2</v>
      </c>
    </row>
    <row r="849" spans="13:14">
      <c r="M849">
        <v>0.88502999999999998</v>
      </c>
      <c r="N849">
        <v>84.3</v>
      </c>
    </row>
    <row r="850" spans="13:14">
      <c r="M850">
        <v>0.88502999999999998</v>
      </c>
      <c r="N850">
        <v>84.4</v>
      </c>
    </row>
    <row r="851" spans="13:14">
      <c r="M851">
        <v>0.88502999999999998</v>
      </c>
      <c r="N851">
        <v>84.5</v>
      </c>
    </row>
    <row r="852" spans="13:14">
      <c r="M852">
        <v>0.88502999999999998</v>
      </c>
      <c r="N852">
        <v>84.6</v>
      </c>
    </row>
    <row r="853" spans="13:14">
      <c r="M853">
        <v>0.88502999999999998</v>
      </c>
      <c r="N853">
        <v>84.7</v>
      </c>
    </row>
    <row r="854" spans="13:14">
      <c r="M854">
        <v>0.88502999999999998</v>
      </c>
      <c r="N854">
        <v>84.8</v>
      </c>
    </row>
    <row r="855" spans="13:14">
      <c r="M855">
        <v>0.88502999999999998</v>
      </c>
      <c r="N855">
        <v>84.9</v>
      </c>
    </row>
    <row r="856" spans="13:14">
      <c r="M856">
        <v>0.88502999999999998</v>
      </c>
      <c r="N856">
        <v>85</v>
      </c>
    </row>
    <row r="857" spans="13:14">
      <c r="M857">
        <v>0.88502999999999998</v>
      </c>
      <c r="N857">
        <v>85.1</v>
      </c>
    </row>
    <row r="858" spans="13:14">
      <c r="M858">
        <v>0.88502999999999998</v>
      </c>
      <c r="N858">
        <v>85.2</v>
      </c>
    </row>
    <row r="859" spans="13:14">
      <c r="M859">
        <v>0.88502999999999998</v>
      </c>
      <c r="N859">
        <v>85.3</v>
      </c>
    </row>
    <row r="860" spans="13:14">
      <c r="M860">
        <v>0.88502999999999998</v>
      </c>
      <c r="N860">
        <v>85.4</v>
      </c>
    </row>
    <row r="861" spans="13:14">
      <c r="M861">
        <v>0.88502999999999998</v>
      </c>
      <c r="N861">
        <v>85.5</v>
      </c>
    </row>
    <row r="862" spans="13:14">
      <c r="M862">
        <v>0.88502999999999998</v>
      </c>
      <c r="N862">
        <v>85.6</v>
      </c>
    </row>
    <row r="863" spans="13:14">
      <c r="M863">
        <v>0.88502999999999998</v>
      </c>
      <c r="N863">
        <v>85.7</v>
      </c>
    </row>
    <row r="864" spans="13:14">
      <c r="M864">
        <v>0.88502999999999998</v>
      </c>
      <c r="N864">
        <v>85.8</v>
      </c>
    </row>
    <row r="865" spans="13:14">
      <c r="M865">
        <v>0.88502999999999998</v>
      </c>
      <c r="N865">
        <v>85.9</v>
      </c>
    </row>
    <row r="866" spans="13:14">
      <c r="M866">
        <v>0.88502999999999998</v>
      </c>
      <c r="N866">
        <v>86</v>
      </c>
    </row>
    <row r="867" spans="13:14">
      <c r="M867">
        <v>0.88502999999999998</v>
      </c>
      <c r="N867">
        <v>86.1</v>
      </c>
    </row>
    <row r="868" spans="13:14">
      <c r="M868">
        <v>0.88502999999999998</v>
      </c>
      <c r="N868">
        <v>86.2</v>
      </c>
    </row>
    <row r="869" spans="13:14">
      <c r="M869">
        <v>0.88502999999999998</v>
      </c>
      <c r="N869">
        <v>86.3</v>
      </c>
    </row>
    <row r="870" spans="13:14">
      <c r="M870">
        <v>0.88502999999999998</v>
      </c>
      <c r="N870">
        <v>86.4</v>
      </c>
    </row>
    <row r="871" spans="13:14">
      <c r="M871">
        <v>0.88502999999999998</v>
      </c>
      <c r="N871">
        <v>86.5</v>
      </c>
    </row>
    <row r="872" spans="13:14">
      <c r="M872">
        <v>0.88502999999999998</v>
      </c>
      <c r="N872">
        <v>86.6</v>
      </c>
    </row>
    <row r="873" spans="13:14">
      <c r="M873">
        <v>0.88502999999999998</v>
      </c>
      <c r="N873">
        <v>86.7</v>
      </c>
    </row>
    <row r="874" spans="13:14">
      <c r="M874">
        <v>0.88502999999999998</v>
      </c>
      <c r="N874">
        <v>86.8</v>
      </c>
    </row>
    <row r="875" spans="13:14">
      <c r="M875">
        <v>0.88502999999999998</v>
      </c>
      <c r="N875">
        <v>86.9</v>
      </c>
    </row>
    <row r="876" spans="13:14">
      <c r="M876">
        <v>0.88502999999999998</v>
      </c>
      <c r="N876">
        <v>87</v>
      </c>
    </row>
    <row r="877" spans="13:14">
      <c r="M877">
        <v>0.88502999999999998</v>
      </c>
      <c r="N877">
        <v>87.1</v>
      </c>
    </row>
    <row r="878" spans="13:14">
      <c r="M878">
        <v>0.88502999999999998</v>
      </c>
      <c r="N878">
        <v>87.2</v>
      </c>
    </row>
    <row r="879" spans="13:14">
      <c r="M879">
        <v>0.88502999999999998</v>
      </c>
      <c r="N879">
        <v>87.3</v>
      </c>
    </row>
    <row r="880" spans="13:14">
      <c r="M880">
        <v>0.88502999999999998</v>
      </c>
      <c r="N880">
        <v>87.4</v>
      </c>
    </row>
    <row r="881" spans="13:14">
      <c r="M881">
        <v>0.88502999999999998</v>
      </c>
      <c r="N881">
        <v>87.5</v>
      </c>
    </row>
    <row r="882" spans="13:14">
      <c r="M882">
        <v>0.88502999999999998</v>
      </c>
      <c r="N882">
        <v>87.6</v>
      </c>
    </row>
    <row r="883" spans="13:14">
      <c r="M883">
        <v>0.88502999999999998</v>
      </c>
      <c r="N883">
        <v>87.7</v>
      </c>
    </row>
    <row r="884" spans="13:14">
      <c r="M884">
        <v>0.88502999999999998</v>
      </c>
      <c r="N884">
        <v>87.8</v>
      </c>
    </row>
    <row r="885" spans="13:14">
      <c r="M885">
        <v>0.88502999999999998</v>
      </c>
      <c r="N885">
        <v>87.9</v>
      </c>
    </row>
    <row r="886" spans="13:14">
      <c r="M886">
        <v>0.88502999999999998</v>
      </c>
      <c r="N886">
        <v>88</v>
      </c>
    </row>
    <row r="887" spans="13:14">
      <c r="M887">
        <v>0.88502999999999998</v>
      </c>
      <c r="N887">
        <v>88.1</v>
      </c>
    </row>
    <row r="888" spans="13:14">
      <c r="M888">
        <v>0.88502999999999998</v>
      </c>
      <c r="N888">
        <v>88.2</v>
      </c>
    </row>
    <row r="889" spans="13:14">
      <c r="M889">
        <v>0.90831660000000403</v>
      </c>
      <c r="N889">
        <v>88.3</v>
      </c>
    </row>
    <row r="890" spans="13:14">
      <c r="M890">
        <v>0.97543680000000299</v>
      </c>
      <c r="N890">
        <v>88.4</v>
      </c>
    </row>
    <row r="891" spans="13:14">
      <c r="M891">
        <v>1.042557</v>
      </c>
      <c r="N891">
        <v>88.5</v>
      </c>
    </row>
    <row r="892" spans="13:14">
      <c r="M892">
        <v>1.0822208879999999</v>
      </c>
      <c r="N892">
        <v>88.6</v>
      </c>
    </row>
    <row r="893" spans="13:14">
      <c r="M893">
        <v>1.114844696</v>
      </c>
      <c r="N893">
        <v>88.7</v>
      </c>
    </row>
    <row r="894" spans="13:14">
      <c r="M894">
        <v>1.154263576</v>
      </c>
      <c r="N894">
        <v>88.8</v>
      </c>
    </row>
    <row r="895" spans="13:14">
      <c r="M895">
        <v>1.214633928</v>
      </c>
      <c r="N895">
        <v>88.9</v>
      </c>
    </row>
    <row r="896" spans="13:14">
      <c r="M896">
        <v>1.2750042800000001</v>
      </c>
      <c r="N896">
        <v>89</v>
      </c>
    </row>
    <row r="897" spans="13:14">
      <c r="M897">
        <v>1.293485</v>
      </c>
      <c r="N897">
        <v>89.1</v>
      </c>
    </row>
    <row r="898" spans="13:14">
      <c r="M898">
        <v>1.293485</v>
      </c>
      <c r="N898">
        <v>89.2</v>
      </c>
    </row>
    <row r="899" spans="13:14">
      <c r="M899">
        <v>1.2972877359999999</v>
      </c>
      <c r="N899">
        <v>89.3</v>
      </c>
    </row>
    <row r="900" spans="13:14">
      <c r="M900">
        <v>1.323906888</v>
      </c>
      <c r="N900">
        <v>89.4</v>
      </c>
    </row>
    <row r="901" spans="13:14">
      <c r="M901">
        <v>1.3505260400000001</v>
      </c>
      <c r="N901">
        <v>89.5</v>
      </c>
    </row>
    <row r="902" spans="13:14">
      <c r="M902">
        <v>1.377867408</v>
      </c>
      <c r="N902">
        <v>89.6</v>
      </c>
    </row>
    <row r="903" spans="13:14">
      <c r="M903">
        <v>1.4057068559999999</v>
      </c>
      <c r="N903">
        <v>89.7</v>
      </c>
    </row>
    <row r="904" spans="13:14">
      <c r="M904">
        <v>1.43241</v>
      </c>
      <c r="N904">
        <v>89.8</v>
      </c>
    </row>
    <row r="905" spans="13:14">
      <c r="M905">
        <v>1.43241</v>
      </c>
      <c r="N905">
        <v>89.9</v>
      </c>
    </row>
    <row r="906" spans="13:14">
      <c r="M906">
        <v>1.43241</v>
      </c>
      <c r="N906">
        <v>90</v>
      </c>
    </row>
    <row r="907" spans="13:14">
      <c r="M907">
        <v>1.43241</v>
      </c>
      <c r="N907">
        <v>90.1</v>
      </c>
    </row>
    <row r="908" spans="13:14">
      <c r="M908">
        <v>1.43241</v>
      </c>
      <c r="N908">
        <v>90.2</v>
      </c>
    </row>
    <row r="909" spans="13:14">
      <c r="M909">
        <v>1.43241</v>
      </c>
      <c r="N909">
        <v>90.3</v>
      </c>
    </row>
    <row r="910" spans="13:14">
      <c r="M910">
        <v>1.43241</v>
      </c>
      <c r="N910">
        <v>90.4</v>
      </c>
    </row>
    <row r="911" spans="13:14">
      <c r="M911">
        <v>1.43241</v>
      </c>
      <c r="N911">
        <v>90.5</v>
      </c>
    </row>
    <row r="912" spans="13:14">
      <c r="M912">
        <v>1.43241</v>
      </c>
      <c r="N912">
        <v>90.6</v>
      </c>
    </row>
    <row r="913" spans="13:14">
      <c r="M913">
        <v>1.43241</v>
      </c>
      <c r="N913">
        <v>90.7</v>
      </c>
    </row>
    <row r="914" spans="13:14">
      <c r="M914">
        <v>1.43241</v>
      </c>
      <c r="N914">
        <v>90.8</v>
      </c>
    </row>
    <row r="915" spans="13:14">
      <c r="M915">
        <v>1.43241</v>
      </c>
      <c r="N915">
        <v>90.9</v>
      </c>
    </row>
    <row r="916" spans="13:14">
      <c r="M916">
        <v>1.43241</v>
      </c>
      <c r="N916">
        <v>91</v>
      </c>
    </row>
    <row r="917" spans="13:14">
      <c r="M917">
        <v>1.43241</v>
      </c>
      <c r="N917">
        <v>91.1</v>
      </c>
    </row>
    <row r="918" spans="13:14">
      <c r="M918">
        <v>1.43241</v>
      </c>
      <c r="N918">
        <v>91.2</v>
      </c>
    </row>
    <row r="919" spans="13:14">
      <c r="M919">
        <v>1.43241</v>
      </c>
      <c r="N919">
        <v>91.3</v>
      </c>
    </row>
    <row r="920" spans="13:14">
      <c r="M920">
        <v>1.43241</v>
      </c>
      <c r="N920">
        <v>91.4</v>
      </c>
    </row>
    <row r="921" spans="13:14">
      <c r="M921">
        <v>1.43241</v>
      </c>
      <c r="N921">
        <v>91.5</v>
      </c>
    </row>
    <row r="922" spans="13:14">
      <c r="M922">
        <v>1.43241</v>
      </c>
      <c r="N922">
        <v>91.6</v>
      </c>
    </row>
    <row r="923" spans="13:14">
      <c r="M923">
        <v>1.43241</v>
      </c>
      <c r="N923">
        <v>91.7</v>
      </c>
    </row>
    <row r="924" spans="13:14">
      <c r="M924">
        <v>1.43241</v>
      </c>
      <c r="N924">
        <v>91.8</v>
      </c>
    </row>
    <row r="925" spans="13:14">
      <c r="M925">
        <v>1.43241</v>
      </c>
      <c r="N925">
        <v>91.9</v>
      </c>
    </row>
    <row r="926" spans="13:14">
      <c r="M926">
        <v>1.43241</v>
      </c>
      <c r="N926">
        <v>92</v>
      </c>
    </row>
    <row r="927" spans="13:14">
      <c r="M927">
        <v>1.43241</v>
      </c>
      <c r="N927">
        <v>92.1</v>
      </c>
    </row>
    <row r="928" spans="13:14">
      <c r="M928">
        <v>1.43241</v>
      </c>
      <c r="N928">
        <v>92.2</v>
      </c>
    </row>
    <row r="929" spans="13:14">
      <c r="M929">
        <v>1.43241</v>
      </c>
      <c r="N929">
        <v>92.3</v>
      </c>
    </row>
    <row r="930" spans="13:14">
      <c r="M930">
        <v>1.43241</v>
      </c>
      <c r="N930">
        <v>92.4</v>
      </c>
    </row>
    <row r="931" spans="13:14">
      <c r="M931">
        <v>1.43241</v>
      </c>
      <c r="N931">
        <v>92.5</v>
      </c>
    </row>
    <row r="932" spans="13:14">
      <c r="M932">
        <v>1.43241</v>
      </c>
      <c r="N932">
        <v>92.6</v>
      </c>
    </row>
    <row r="933" spans="13:14">
      <c r="M933">
        <v>1.43241</v>
      </c>
      <c r="N933">
        <v>92.7</v>
      </c>
    </row>
    <row r="934" spans="13:14">
      <c r="M934">
        <v>1.43241</v>
      </c>
      <c r="N934">
        <v>92.8</v>
      </c>
    </row>
    <row r="935" spans="13:14">
      <c r="M935">
        <v>1.43241</v>
      </c>
      <c r="N935">
        <v>92.9</v>
      </c>
    </row>
    <row r="936" spans="13:14">
      <c r="M936">
        <v>1.43241</v>
      </c>
      <c r="N936">
        <v>93</v>
      </c>
    </row>
    <row r="937" spans="13:14">
      <c r="M937">
        <v>1.43241</v>
      </c>
      <c r="N937">
        <v>93.1</v>
      </c>
    </row>
    <row r="938" spans="13:14">
      <c r="M938">
        <v>1.43241</v>
      </c>
      <c r="N938">
        <v>93.2</v>
      </c>
    </row>
    <row r="939" spans="13:14">
      <c r="M939">
        <v>1.43241</v>
      </c>
      <c r="N939">
        <v>93.3</v>
      </c>
    </row>
    <row r="940" spans="13:14">
      <c r="M940">
        <v>1.43241</v>
      </c>
      <c r="N940">
        <v>93.4</v>
      </c>
    </row>
    <row r="941" spans="13:14">
      <c r="M941">
        <v>1.43241</v>
      </c>
      <c r="N941">
        <v>93.5</v>
      </c>
    </row>
    <row r="942" spans="13:14">
      <c r="M942">
        <v>1.43241</v>
      </c>
      <c r="N942">
        <v>93.6</v>
      </c>
    </row>
    <row r="943" spans="13:14">
      <c r="M943">
        <v>1.43241</v>
      </c>
      <c r="N943">
        <v>93.7</v>
      </c>
    </row>
    <row r="944" spans="13:14">
      <c r="M944">
        <v>1.43241</v>
      </c>
      <c r="N944">
        <v>93.8</v>
      </c>
    </row>
    <row r="945" spans="13:14">
      <c r="M945">
        <v>1.441699104</v>
      </c>
      <c r="N945">
        <v>93.9</v>
      </c>
    </row>
    <row r="946" spans="13:14">
      <c r="M946">
        <v>1.48307784</v>
      </c>
      <c r="N946">
        <v>94</v>
      </c>
    </row>
    <row r="947" spans="13:14">
      <c r="M947">
        <v>1.524456576</v>
      </c>
      <c r="N947">
        <v>94.1</v>
      </c>
    </row>
    <row r="948" spans="13:14">
      <c r="M948">
        <v>1.537968</v>
      </c>
      <c r="N948">
        <v>94.2</v>
      </c>
    </row>
    <row r="949" spans="13:14">
      <c r="M949">
        <v>1.537968</v>
      </c>
      <c r="N949">
        <v>94.3</v>
      </c>
    </row>
    <row r="950" spans="13:14">
      <c r="M950">
        <v>1.537968</v>
      </c>
      <c r="N950">
        <v>94.4</v>
      </c>
    </row>
    <row r="951" spans="13:14">
      <c r="M951">
        <v>1.537968</v>
      </c>
      <c r="N951">
        <v>94.5</v>
      </c>
    </row>
    <row r="952" spans="13:14">
      <c r="M952">
        <v>1.537968</v>
      </c>
      <c r="N952">
        <v>94.6</v>
      </c>
    </row>
    <row r="953" spans="13:14">
      <c r="M953">
        <v>1.537968</v>
      </c>
      <c r="N953">
        <v>94.7</v>
      </c>
    </row>
    <row r="954" spans="13:14">
      <c r="M954">
        <v>1.537968</v>
      </c>
      <c r="N954">
        <v>94.8</v>
      </c>
    </row>
    <row r="955" spans="13:14">
      <c r="M955">
        <v>1.5388460960000001</v>
      </c>
      <c r="N955">
        <v>94.9</v>
      </c>
    </row>
    <row r="956" spans="13:14">
      <c r="M956">
        <v>1.5818728</v>
      </c>
      <c r="N956">
        <v>95</v>
      </c>
    </row>
    <row r="957" spans="13:14">
      <c r="M957">
        <v>1.6248995040000001</v>
      </c>
      <c r="N957">
        <v>95.1</v>
      </c>
    </row>
    <row r="958" spans="13:14">
      <c r="M958">
        <v>1.6685678159999999</v>
      </c>
      <c r="N958">
        <v>95.2</v>
      </c>
    </row>
    <row r="959" spans="13:14">
      <c r="M959">
        <v>1.712961424</v>
      </c>
      <c r="N959">
        <v>95.3</v>
      </c>
    </row>
    <row r="960" spans="13:14">
      <c r="M960">
        <v>1.757355032</v>
      </c>
      <c r="N960">
        <v>95.4</v>
      </c>
    </row>
    <row r="961" spans="13:14">
      <c r="M961">
        <v>1.7609790000000001</v>
      </c>
      <c r="N961">
        <v>95.5</v>
      </c>
    </row>
    <row r="962" spans="13:14">
      <c r="M962">
        <v>1.7609790000000001</v>
      </c>
      <c r="N962">
        <v>95.6</v>
      </c>
    </row>
    <row r="963" spans="13:14">
      <c r="M963">
        <v>1.7609790000000001</v>
      </c>
      <c r="N963">
        <v>95.7</v>
      </c>
    </row>
    <row r="964" spans="13:14">
      <c r="M964">
        <v>1.7609790000000001</v>
      </c>
      <c r="N964">
        <v>95.8</v>
      </c>
    </row>
    <row r="965" spans="13:14">
      <c r="M965">
        <v>1.7609790000000001</v>
      </c>
      <c r="N965">
        <v>95.9</v>
      </c>
    </row>
    <row r="966" spans="13:14">
      <c r="M966">
        <v>1.7609790000000001</v>
      </c>
      <c r="N966">
        <v>96</v>
      </c>
    </row>
    <row r="967" spans="13:14">
      <c r="M967">
        <v>1.7609790000000001</v>
      </c>
      <c r="N967">
        <v>96.1</v>
      </c>
    </row>
    <row r="968" spans="13:14">
      <c r="M968">
        <v>1.7609790000000001</v>
      </c>
      <c r="N968">
        <v>96.2</v>
      </c>
    </row>
    <row r="969" spans="13:14">
      <c r="M969">
        <v>1.7609790000000001</v>
      </c>
      <c r="N969">
        <v>96.3</v>
      </c>
    </row>
    <row r="970" spans="13:14">
      <c r="M970">
        <v>1.7609790000000001</v>
      </c>
      <c r="N970">
        <v>96.4</v>
      </c>
    </row>
    <row r="971" spans="13:14">
      <c r="M971">
        <v>1.7609790000000001</v>
      </c>
      <c r="N971">
        <v>96.5</v>
      </c>
    </row>
    <row r="972" spans="13:14">
      <c r="M972">
        <v>1.7609790000000001</v>
      </c>
      <c r="N972">
        <v>96.6</v>
      </c>
    </row>
    <row r="973" spans="13:14">
      <c r="M973">
        <v>1.7758639279999899</v>
      </c>
      <c r="N973">
        <v>96.7</v>
      </c>
    </row>
    <row r="974" spans="13:14">
      <c r="M974">
        <v>1.867034112</v>
      </c>
      <c r="N974">
        <v>96.8</v>
      </c>
    </row>
    <row r="975" spans="13:14">
      <c r="M975">
        <v>1.9582042959999999</v>
      </c>
      <c r="N975">
        <v>96.9</v>
      </c>
    </row>
    <row r="976" spans="13:14">
      <c r="M976">
        <v>2.02146296</v>
      </c>
      <c r="N976">
        <v>97</v>
      </c>
    </row>
    <row r="977" spans="13:14">
      <c r="M977">
        <v>2.0670443280000002</v>
      </c>
      <c r="N977">
        <v>97.1</v>
      </c>
    </row>
    <row r="978" spans="13:14">
      <c r="M978">
        <v>2.1098349999999999</v>
      </c>
      <c r="N978">
        <v>97.2</v>
      </c>
    </row>
    <row r="979" spans="13:14">
      <c r="M979">
        <v>2.1098349999999999</v>
      </c>
      <c r="N979">
        <v>97.3</v>
      </c>
    </row>
    <row r="980" spans="13:14">
      <c r="M980">
        <v>2.1098349999999999</v>
      </c>
      <c r="N980">
        <v>97.4</v>
      </c>
    </row>
    <row r="981" spans="13:14">
      <c r="M981">
        <v>2.1098349999999999</v>
      </c>
      <c r="N981">
        <v>97.5</v>
      </c>
    </row>
    <row r="982" spans="13:14">
      <c r="M982">
        <v>2.1098349999999999</v>
      </c>
      <c r="N982">
        <v>97.6</v>
      </c>
    </row>
    <row r="983" spans="13:14">
      <c r="M983">
        <v>2.1098349999999999</v>
      </c>
      <c r="N983">
        <v>97.7</v>
      </c>
    </row>
    <row r="984" spans="13:14">
      <c r="M984">
        <v>2.1098349999999999</v>
      </c>
      <c r="N984">
        <v>97.8</v>
      </c>
    </row>
    <row r="985" spans="13:14">
      <c r="M985">
        <v>2.1098349999999999</v>
      </c>
      <c r="N985">
        <v>97.9</v>
      </c>
    </row>
    <row r="986" spans="13:14">
      <c r="M986">
        <v>2.1098349999999999</v>
      </c>
      <c r="N986">
        <v>98</v>
      </c>
    </row>
    <row r="987" spans="13:14">
      <c r="M987">
        <v>2.1098349999999999</v>
      </c>
      <c r="N987">
        <v>98.1</v>
      </c>
    </row>
    <row r="988" spans="13:14">
      <c r="M988">
        <v>2.1098349999999999</v>
      </c>
      <c r="N988">
        <v>98.2</v>
      </c>
    </row>
    <row r="989" spans="13:14">
      <c r="M989">
        <v>2.2242453520000001</v>
      </c>
      <c r="N989">
        <v>98.3</v>
      </c>
    </row>
    <row r="990" spans="13:14">
      <c r="M990">
        <v>2.3577240960000001</v>
      </c>
      <c r="N990">
        <v>98.4</v>
      </c>
    </row>
    <row r="991" spans="13:14">
      <c r="M991">
        <v>2.450342</v>
      </c>
      <c r="N991">
        <v>98.5</v>
      </c>
    </row>
    <row r="992" spans="13:14">
      <c r="M992">
        <v>2.450342</v>
      </c>
      <c r="N992">
        <v>98.6</v>
      </c>
    </row>
    <row r="993" spans="13:14">
      <c r="M993">
        <v>2.450342</v>
      </c>
      <c r="N993">
        <v>98.7</v>
      </c>
    </row>
    <row r="994" spans="13:14">
      <c r="M994">
        <v>2.450342</v>
      </c>
      <c r="N994">
        <v>98.8</v>
      </c>
    </row>
    <row r="995" spans="13:14">
      <c r="M995">
        <v>2.450342</v>
      </c>
      <c r="N995">
        <v>98.9</v>
      </c>
    </row>
    <row r="996" spans="13:14">
      <c r="M996">
        <v>2.450342</v>
      </c>
      <c r="N996">
        <v>99</v>
      </c>
    </row>
    <row r="997" spans="13:14">
      <c r="M997">
        <v>2.450342</v>
      </c>
      <c r="N997">
        <v>99.1</v>
      </c>
    </row>
    <row r="998" spans="13:14">
      <c r="M998">
        <v>2.450342</v>
      </c>
      <c r="N998">
        <v>99.2</v>
      </c>
    </row>
    <row r="999" spans="13:14">
      <c r="M999">
        <v>2.56194443199999</v>
      </c>
      <c r="N999">
        <v>99.3</v>
      </c>
    </row>
    <row r="1000" spans="13:14">
      <c r="M1000">
        <v>2.73283565600001</v>
      </c>
      <c r="N1000">
        <v>99.4</v>
      </c>
    </row>
    <row r="1001" spans="13:14">
      <c r="M1001">
        <v>2.8862890000000001</v>
      </c>
      <c r="N1001">
        <v>99.5</v>
      </c>
    </row>
    <row r="1002" spans="13:14">
      <c r="M1002">
        <v>2.8862890000000001</v>
      </c>
      <c r="N1002">
        <v>99.6</v>
      </c>
    </row>
    <row r="1003" spans="13:14">
      <c r="M1003">
        <v>2.8862890000000001</v>
      </c>
      <c r="N1003">
        <v>99.7</v>
      </c>
    </row>
    <row r="1004" spans="13:14">
      <c r="M1004">
        <v>3.0119977599999999</v>
      </c>
      <c r="N1004">
        <v>99.8</v>
      </c>
    </row>
    <row r="1005" spans="13:14">
      <c r="M1005">
        <v>3.24013588</v>
      </c>
      <c r="N1005">
        <v>99.9</v>
      </c>
    </row>
    <row r="1006" spans="13:14">
      <c r="M1006">
        <v>3.4682740000000001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Normal="100" workbookViewId="0">
      <selection activeCell="D18" sqref="D18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str">
        <f>SD_PERC_DigDir!A42</f>
        <v xml:space="preserve"> 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5.18793335249004</v>
      </c>
      <c r="I6" s="10" t="s">
        <v>36</v>
      </c>
      <c r="J6">
        <v>1.0649001635999999</v>
      </c>
      <c r="M6">
        <v>-2.315013</v>
      </c>
      <c r="N6">
        <v>0</v>
      </c>
    </row>
    <row r="7" spans="1:14">
      <c r="B7" t="s">
        <v>66</v>
      </c>
      <c r="C7">
        <v>6.0051097813901E-2</v>
      </c>
      <c r="M7">
        <v>-2.315013</v>
      </c>
      <c r="N7">
        <v>0.1</v>
      </c>
    </row>
    <row r="8" spans="1:14">
      <c r="I8" s="9"/>
      <c r="J8" s="9"/>
      <c r="M8">
        <v>-2.315013</v>
      </c>
      <c r="N8">
        <v>0.2</v>
      </c>
    </row>
    <row r="9" spans="1:14">
      <c r="H9" s="9" t="s">
        <v>34</v>
      </c>
      <c r="I9" s="56" t="s">
        <v>37</v>
      </c>
      <c r="J9" s="57"/>
      <c r="M9">
        <v>-2.294529416</v>
      </c>
      <c r="N9">
        <v>0.3</v>
      </c>
    </row>
    <row r="10" spans="1:14">
      <c r="B10" s="29"/>
      <c r="C10" s="30"/>
      <c r="I10" s="12" t="s">
        <v>3</v>
      </c>
      <c r="J10" s="13" t="s">
        <v>36</v>
      </c>
      <c r="M10">
        <v>-2.248906888</v>
      </c>
      <c r="N10">
        <v>0.4</v>
      </c>
    </row>
    <row r="11" spans="1:14">
      <c r="B11" s="29"/>
      <c r="C11" s="30"/>
      <c r="I11" s="14"/>
      <c r="J11" s="15"/>
      <c r="M11">
        <v>-2.2032843600000001</v>
      </c>
      <c r="N11">
        <v>0.5</v>
      </c>
    </row>
    <row r="12" spans="1:14">
      <c r="B12" s="29"/>
      <c r="C12" s="30"/>
      <c r="I12" s="14"/>
      <c r="J12" s="15"/>
      <c r="M12">
        <v>-2.1986289999999999</v>
      </c>
      <c r="N12">
        <v>0.6</v>
      </c>
    </row>
    <row r="13" spans="1:14">
      <c r="B13" s="29"/>
      <c r="C13" s="30"/>
      <c r="I13" s="14"/>
      <c r="J13" s="15"/>
      <c r="M13">
        <v>-2.1986289999999999</v>
      </c>
      <c r="N13">
        <v>0.7</v>
      </c>
    </row>
    <row r="14" spans="1:14">
      <c r="B14" s="29"/>
      <c r="C14" s="30"/>
      <c r="I14" s="14"/>
      <c r="J14" s="15"/>
      <c r="M14">
        <v>-2.1986289999999999</v>
      </c>
      <c r="N14">
        <v>0.8</v>
      </c>
    </row>
    <row r="15" spans="1:14">
      <c r="B15" s="29"/>
      <c r="C15" s="30"/>
      <c r="I15" s="14"/>
      <c r="J15" s="15"/>
      <c r="M15">
        <v>-2.1986289999999999</v>
      </c>
      <c r="N15">
        <v>0.9</v>
      </c>
    </row>
    <row r="16" spans="1:14">
      <c r="B16" s="29"/>
      <c r="C16" s="30"/>
      <c r="I16" s="14"/>
      <c r="J16" s="15"/>
      <c r="M16">
        <v>-2.1986289999999999</v>
      </c>
      <c r="N16">
        <v>1</v>
      </c>
    </row>
    <row r="17" spans="1:14">
      <c r="B17" s="29"/>
      <c r="C17" s="30"/>
      <c r="I17" s="14"/>
      <c r="J17" s="15"/>
      <c r="M17">
        <v>-2.180472784</v>
      </c>
      <c r="N17">
        <v>1.1000000000000001</v>
      </c>
    </row>
    <row r="18" spans="1:14">
      <c r="B18" s="29"/>
      <c r="C18" s="30"/>
      <c r="I18" s="14"/>
      <c r="J18" s="15"/>
      <c r="M18">
        <v>-2.157661128</v>
      </c>
      <c r="N18">
        <v>1.2</v>
      </c>
    </row>
    <row r="19" spans="1:14">
      <c r="B19" s="29"/>
      <c r="C19" s="30"/>
      <c r="I19" s="14"/>
      <c r="J19" s="15"/>
      <c r="M19">
        <v>-2.1404359999999998</v>
      </c>
      <c r="N19">
        <v>1.3</v>
      </c>
    </row>
    <row r="20" spans="1:14">
      <c r="B20" s="29"/>
      <c r="C20" s="30"/>
      <c r="I20" s="14"/>
      <c r="J20" s="15"/>
      <c r="M20">
        <v>-2.1404359999999998</v>
      </c>
      <c r="N20">
        <v>1.4</v>
      </c>
    </row>
    <row r="21" spans="1:14">
      <c r="B21" s="29"/>
      <c r="C21" s="30"/>
      <c r="I21" s="14"/>
      <c r="J21" s="15"/>
      <c r="M21">
        <v>-2.1404359999999998</v>
      </c>
      <c r="N21">
        <v>1.5</v>
      </c>
    </row>
    <row r="22" spans="1:14">
      <c r="B22" s="29"/>
      <c r="C22" s="30"/>
      <c r="I22" s="16"/>
      <c r="J22" s="17"/>
      <c r="M22">
        <v>-2.1246077759999999</v>
      </c>
      <c r="N22">
        <v>1.6</v>
      </c>
    </row>
    <row r="23" spans="1:14">
      <c r="B23" s="29"/>
      <c r="C23" s="30"/>
      <c r="M23">
        <v>-2.101796512</v>
      </c>
      <c r="N23">
        <v>1.7</v>
      </c>
    </row>
    <row r="24" spans="1:14">
      <c r="B24" s="31"/>
      <c r="C24" s="11"/>
      <c r="M24">
        <v>-2.0822440000000002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-2.0822440000000002</v>
      </c>
      <c r="N25">
        <v>1.9</v>
      </c>
    </row>
    <row r="26" spans="1:14">
      <c r="I26" t="s">
        <v>1</v>
      </c>
      <c r="J26" t="s">
        <v>17</v>
      </c>
      <c r="M26">
        <v>-2.0822440000000002</v>
      </c>
      <c r="N26">
        <v>2</v>
      </c>
    </row>
    <row r="27" spans="1:14">
      <c r="A27" s="34">
        <v>4</v>
      </c>
      <c r="B27" s="2" t="s">
        <v>2</v>
      </c>
      <c r="C27" s="32">
        <f>C6+(C7*('Normative data'!C8))</f>
        <v>5.9085465262568517</v>
      </c>
      <c r="M27">
        <v>-2.068743456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-2.045932192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-2.0240520000000002</v>
      </c>
      <c r="N29">
        <v>2.2999999999999998</v>
      </c>
    </row>
    <row r="30" spans="1:14">
      <c r="B30" s="2" t="s">
        <v>8</v>
      </c>
      <c r="M30">
        <v>-2.0240520000000002</v>
      </c>
      <c r="N30">
        <v>2.4</v>
      </c>
    </row>
    <row r="31" spans="1:14">
      <c r="I31" s="14"/>
      <c r="J31" s="15"/>
      <c r="M31">
        <v>-2.0240520000000002</v>
      </c>
      <c r="N31">
        <v>2.5</v>
      </c>
    </row>
    <row r="32" spans="1:14">
      <c r="I32" s="35"/>
      <c r="J32" s="17"/>
      <c r="M32">
        <v>-2.0240520000000002</v>
      </c>
      <c r="N32">
        <v>2.6</v>
      </c>
    </row>
    <row r="33" spans="2:14">
      <c r="B33" t="s">
        <v>9</v>
      </c>
      <c r="C33">
        <f>'Normative data'!C14-DigDir!C27</f>
        <v>-4.9085465262568517</v>
      </c>
      <c r="M33">
        <v>-2.0240520000000002</v>
      </c>
      <c r="N33">
        <v>2.7</v>
      </c>
    </row>
    <row r="34" spans="2:14">
      <c r="B34" t="s">
        <v>12</v>
      </c>
      <c r="C34">
        <f>C33/SD_PERC_DigDir!I38</f>
        <v>-4.756620080873744</v>
      </c>
      <c r="I34" t="s">
        <v>41</v>
      </c>
      <c r="J34">
        <f>SD_PERC_DigDir!I38</f>
        <v>1.0319400000000001</v>
      </c>
      <c r="M34">
        <v>-2.0240520000000002</v>
      </c>
      <c r="N34">
        <v>2.8</v>
      </c>
    </row>
    <row r="35" spans="2:14">
      <c r="M35">
        <v>-2.0026369759999998</v>
      </c>
      <c r="N35">
        <v>2.9</v>
      </c>
    </row>
    <row r="36" spans="2:14">
      <c r="M36">
        <v>-1.97982532</v>
      </c>
      <c r="N36">
        <v>3</v>
      </c>
    </row>
    <row r="37" spans="2:14">
      <c r="M37">
        <v>-1.9570138159999999</v>
      </c>
      <c r="N37">
        <v>3.1</v>
      </c>
    </row>
    <row r="38" spans="2:14">
      <c r="M38">
        <v>-1.9342025519999999</v>
      </c>
      <c r="N38">
        <v>3.2</v>
      </c>
    </row>
    <row r="39" spans="2:14">
      <c r="M39">
        <v>-1.9113912879999999</v>
      </c>
      <c r="N39">
        <v>3.3</v>
      </c>
    </row>
    <row r="40" spans="2:14">
      <c r="M40">
        <v>-1.8885800239999999</v>
      </c>
      <c r="N40">
        <v>3.4</v>
      </c>
    </row>
    <row r="41" spans="2:14">
      <c r="M41">
        <v>-1.8657687599999999</v>
      </c>
      <c r="N41">
        <v>3.5</v>
      </c>
    </row>
    <row r="42" spans="2:14">
      <c r="M42">
        <v>-1.849475</v>
      </c>
      <c r="N42">
        <v>3.6</v>
      </c>
    </row>
    <row r="43" spans="2:14">
      <c r="M43">
        <v>-1.849475</v>
      </c>
      <c r="N43">
        <v>3.7</v>
      </c>
    </row>
    <row r="44" spans="2:14">
      <c r="M44">
        <v>-1.849475</v>
      </c>
      <c r="N44">
        <v>3.8</v>
      </c>
    </row>
    <row r="45" spans="2:14">
      <c r="M45">
        <v>-1.849475</v>
      </c>
      <c r="N45">
        <v>3.9</v>
      </c>
    </row>
    <row r="46" spans="2:14">
      <c r="M46">
        <v>-1.849475</v>
      </c>
      <c r="N46">
        <v>4</v>
      </c>
    </row>
    <row r="47" spans="2:14">
      <c r="M47">
        <v>-1.849475</v>
      </c>
      <c r="N47">
        <v>4.0999999999999996</v>
      </c>
    </row>
    <row r="48" spans="2:14">
      <c r="M48">
        <v>-1.849475</v>
      </c>
      <c r="N48">
        <v>4.2</v>
      </c>
    </row>
    <row r="49" spans="13:14">
      <c r="M49">
        <v>-1.849475</v>
      </c>
      <c r="N49">
        <v>4.3</v>
      </c>
    </row>
    <row r="50" spans="13:14">
      <c r="M50">
        <v>-1.849475</v>
      </c>
      <c r="N50">
        <v>4.4000000000000004</v>
      </c>
    </row>
    <row r="51" spans="13:14">
      <c r="M51">
        <v>-1.849475</v>
      </c>
      <c r="N51">
        <v>4.5</v>
      </c>
    </row>
    <row r="52" spans="13:14">
      <c r="M52">
        <v>-1.849475</v>
      </c>
      <c r="N52">
        <v>4.5999999999999996</v>
      </c>
    </row>
    <row r="53" spans="13:14">
      <c r="M53">
        <v>-1.849475</v>
      </c>
      <c r="N53">
        <v>4.7</v>
      </c>
    </row>
    <row r="54" spans="13:14">
      <c r="M54">
        <v>-1.849475</v>
      </c>
      <c r="N54">
        <v>4.8</v>
      </c>
    </row>
    <row r="55" spans="13:14">
      <c r="M55">
        <v>-1.849475</v>
      </c>
      <c r="N55">
        <v>4.9000000000000004</v>
      </c>
    </row>
    <row r="56" spans="13:14">
      <c r="M56">
        <v>-1.849475</v>
      </c>
      <c r="N56">
        <v>5</v>
      </c>
    </row>
    <row r="57" spans="13:14">
      <c r="M57">
        <v>-1.849475</v>
      </c>
      <c r="N57">
        <v>5.0999999999999996</v>
      </c>
    </row>
    <row r="58" spans="13:14">
      <c r="M58">
        <v>-1.849475</v>
      </c>
      <c r="N58">
        <v>5.2</v>
      </c>
    </row>
    <row r="59" spans="13:14">
      <c r="M59">
        <v>-1.849475</v>
      </c>
      <c r="N59">
        <v>5.3</v>
      </c>
    </row>
    <row r="60" spans="13:14">
      <c r="M60">
        <v>-1.800593216</v>
      </c>
      <c r="N60">
        <v>5.4</v>
      </c>
    </row>
    <row r="61" spans="13:14">
      <c r="M61">
        <v>-1.68653572</v>
      </c>
      <c r="N61">
        <v>5.5</v>
      </c>
    </row>
    <row r="62" spans="13:14">
      <c r="M62">
        <v>-1.5724782239999999</v>
      </c>
      <c r="N62">
        <v>5.6</v>
      </c>
    </row>
    <row r="63" spans="13:14">
      <c r="M63">
        <v>-1.5585119999999999</v>
      </c>
      <c r="N63">
        <v>5.7</v>
      </c>
    </row>
    <row r="64" spans="13:14">
      <c r="M64">
        <v>-1.5585119999999999</v>
      </c>
      <c r="N64">
        <v>5.8</v>
      </c>
    </row>
    <row r="65" spans="13:14">
      <c r="M65">
        <v>-1.5510634240000001</v>
      </c>
      <c r="N65">
        <v>5.9</v>
      </c>
    </row>
    <row r="66" spans="13:14">
      <c r="M66">
        <v>-1.5282521600000001</v>
      </c>
      <c r="N66">
        <v>6</v>
      </c>
    </row>
    <row r="67" spans="13:14">
      <c r="M67">
        <v>-1.5054408960000001</v>
      </c>
      <c r="N67">
        <v>6.1</v>
      </c>
    </row>
    <row r="68" spans="13:14">
      <c r="M68">
        <v>-1.41801504</v>
      </c>
      <c r="N68">
        <v>6.2</v>
      </c>
    </row>
    <row r="69" spans="13:14">
      <c r="M69">
        <v>-1.31188496</v>
      </c>
      <c r="N69">
        <v>6.3</v>
      </c>
    </row>
    <row r="70" spans="13:14">
      <c r="M70">
        <v>-1.2295799999999999</v>
      </c>
      <c r="N70">
        <v>6.4</v>
      </c>
    </row>
    <row r="71" spans="13:14">
      <c r="M71">
        <v>-1.2295799999999999</v>
      </c>
      <c r="N71">
        <v>6.5</v>
      </c>
    </row>
    <row r="72" spans="13:14">
      <c r="M72">
        <v>-1.2295799999999999</v>
      </c>
      <c r="N72">
        <v>6.6</v>
      </c>
    </row>
    <row r="73" spans="13:14">
      <c r="M73">
        <v>-1.2295799999999999</v>
      </c>
      <c r="N73">
        <v>6.7</v>
      </c>
    </row>
    <row r="74" spans="13:14">
      <c r="M74">
        <v>-1.2295799999999999</v>
      </c>
      <c r="N74">
        <v>6.8</v>
      </c>
    </row>
    <row r="75" spans="13:14">
      <c r="M75">
        <v>-1.2295799999999999</v>
      </c>
      <c r="N75">
        <v>6.9</v>
      </c>
    </row>
    <row r="76" spans="13:14">
      <c r="M76">
        <v>-1.2295799999999999</v>
      </c>
      <c r="N76">
        <v>7</v>
      </c>
    </row>
    <row r="77" spans="13:14">
      <c r="M77">
        <v>-1.2295799999999999</v>
      </c>
      <c r="N77">
        <v>7.1</v>
      </c>
    </row>
    <row r="78" spans="13:14">
      <c r="M78">
        <v>-1.2295799999999999</v>
      </c>
      <c r="N78">
        <v>7.2</v>
      </c>
    </row>
    <row r="79" spans="13:14">
      <c r="M79">
        <v>-1.2295799999999999</v>
      </c>
      <c r="N79">
        <v>7.3</v>
      </c>
    </row>
    <row r="80" spans="13:14">
      <c r="M80">
        <v>-1.2295799999999999</v>
      </c>
      <c r="N80">
        <v>7.4</v>
      </c>
    </row>
    <row r="81" spans="13:14">
      <c r="M81">
        <v>-1.2295799999999999</v>
      </c>
      <c r="N81">
        <v>7.5</v>
      </c>
    </row>
    <row r="82" spans="13:14">
      <c r="M82">
        <v>-1.2295799999999999</v>
      </c>
      <c r="N82">
        <v>7.6</v>
      </c>
    </row>
    <row r="83" spans="13:14">
      <c r="M83">
        <v>-1.2295799999999999</v>
      </c>
      <c r="N83">
        <v>7.7</v>
      </c>
    </row>
    <row r="84" spans="13:14">
      <c r="M84">
        <v>-1.2295799999999999</v>
      </c>
      <c r="N84">
        <v>7.8</v>
      </c>
    </row>
    <row r="85" spans="13:14">
      <c r="M85">
        <v>-1.2295799999999999</v>
      </c>
      <c r="N85">
        <v>7.9</v>
      </c>
    </row>
    <row r="86" spans="13:14">
      <c r="M86">
        <v>-1.2295799999999999</v>
      </c>
      <c r="N86">
        <v>8</v>
      </c>
    </row>
    <row r="87" spans="13:14">
      <c r="M87">
        <v>-1.2295799999999999</v>
      </c>
      <c r="N87">
        <v>8.1</v>
      </c>
    </row>
    <row r="88" spans="13:14">
      <c r="M88">
        <v>-1.2295799999999999</v>
      </c>
      <c r="N88">
        <v>8.1999999999999993</v>
      </c>
    </row>
    <row r="89" spans="13:14">
      <c r="M89">
        <v>-1.2295799999999999</v>
      </c>
      <c r="N89">
        <v>8.3000000000000007</v>
      </c>
    </row>
    <row r="90" spans="13:14">
      <c r="M90">
        <v>-1.2295799999999999</v>
      </c>
      <c r="N90">
        <v>8.4</v>
      </c>
    </row>
    <row r="91" spans="13:14">
      <c r="M91">
        <v>-1.2295799999999999</v>
      </c>
      <c r="N91">
        <v>8.5</v>
      </c>
    </row>
    <row r="92" spans="13:14">
      <c r="M92">
        <v>-1.2295799999999999</v>
      </c>
      <c r="N92">
        <v>8.6</v>
      </c>
    </row>
    <row r="93" spans="13:14">
      <c r="M93">
        <v>-1.2295799999999999</v>
      </c>
      <c r="N93">
        <v>8.6999999999999993</v>
      </c>
    </row>
    <row r="94" spans="13:14">
      <c r="M94">
        <v>-1.2295799999999999</v>
      </c>
      <c r="N94">
        <v>8.8000000000000007</v>
      </c>
    </row>
    <row r="95" spans="13:14">
      <c r="M95">
        <v>-1.2295799999999999</v>
      </c>
      <c r="N95">
        <v>8.9</v>
      </c>
    </row>
    <row r="96" spans="13:14">
      <c r="M96">
        <v>-1.2295799999999999</v>
      </c>
      <c r="N96">
        <v>9</v>
      </c>
    </row>
    <row r="97" spans="13:14">
      <c r="M97">
        <v>-1.2295799999999999</v>
      </c>
      <c r="N97">
        <v>9.1</v>
      </c>
    </row>
    <row r="98" spans="13:14">
      <c r="M98">
        <v>-1.2295799999999999</v>
      </c>
      <c r="N98">
        <v>9.1999999999999993</v>
      </c>
    </row>
    <row r="99" spans="13:14">
      <c r="M99">
        <v>-1.2295799999999999</v>
      </c>
      <c r="N99">
        <v>9.3000000000000007</v>
      </c>
    </row>
    <row r="100" spans="13:14">
      <c r="M100">
        <v>-1.2295799999999999</v>
      </c>
      <c r="N100">
        <v>9.4</v>
      </c>
    </row>
    <row r="101" spans="13:14">
      <c r="M101">
        <v>-1.2295799999999999</v>
      </c>
      <c r="N101">
        <v>9.5</v>
      </c>
    </row>
    <row r="102" spans="13:14">
      <c r="M102">
        <v>-1.2295799999999999</v>
      </c>
      <c r="N102">
        <v>9.6</v>
      </c>
    </row>
    <row r="103" spans="13:14">
      <c r="M103">
        <v>-1.228183392</v>
      </c>
      <c r="N103">
        <v>9.6999999999999993</v>
      </c>
    </row>
    <row r="104" spans="13:14">
      <c r="M104">
        <v>-1.205372128</v>
      </c>
      <c r="N104">
        <v>9.8000000000000007</v>
      </c>
    </row>
    <row r="105" spans="13:14">
      <c r="M105">
        <v>-1.182560864</v>
      </c>
      <c r="N105">
        <v>9.9</v>
      </c>
    </row>
    <row r="106" spans="13:14">
      <c r="M106">
        <v>-1.1713880000000001</v>
      </c>
      <c r="N106">
        <v>10</v>
      </c>
    </row>
    <row r="107" spans="13:14">
      <c r="M107">
        <v>-1.1713880000000001</v>
      </c>
      <c r="N107">
        <v>10.1</v>
      </c>
    </row>
    <row r="108" spans="13:14">
      <c r="M108">
        <v>-1.1713880000000001</v>
      </c>
      <c r="N108">
        <v>10.199999999999999</v>
      </c>
    </row>
    <row r="109" spans="13:14">
      <c r="M109">
        <v>-1.1713880000000001</v>
      </c>
      <c r="N109">
        <v>10.3</v>
      </c>
    </row>
    <row r="110" spans="13:14">
      <c r="M110">
        <v>-1.1713880000000001</v>
      </c>
      <c r="N110">
        <v>10.4</v>
      </c>
    </row>
    <row r="111" spans="13:14">
      <c r="M111">
        <v>-1.1713880000000001</v>
      </c>
      <c r="N111">
        <v>10.5</v>
      </c>
    </row>
    <row r="112" spans="13:14">
      <c r="M112">
        <v>-1.1713880000000001</v>
      </c>
      <c r="N112">
        <v>10.6</v>
      </c>
    </row>
    <row r="113" spans="13:14">
      <c r="M113">
        <v>-1.1713880000000001</v>
      </c>
      <c r="N113">
        <v>10.7</v>
      </c>
    </row>
    <row r="114" spans="13:14">
      <c r="M114">
        <v>-1.1713880000000001</v>
      </c>
      <c r="N114">
        <v>10.8</v>
      </c>
    </row>
    <row r="115" spans="13:14">
      <c r="M115">
        <v>-1.1713880000000001</v>
      </c>
      <c r="N115">
        <v>10.9</v>
      </c>
    </row>
    <row r="116" spans="13:14">
      <c r="M116">
        <v>-1.1713880000000001</v>
      </c>
      <c r="N116">
        <v>11</v>
      </c>
    </row>
    <row r="117" spans="13:14">
      <c r="M117">
        <v>-1.1713880000000001</v>
      </c>
      <c r="N117">
        <v>11.1</v>
      </c>
    </row>
    <row r="118" spans="13:14">
      <c r="M118">
        <v>-1.1713880000000001</v>
      </c>
      <c r="N118">
        <v>11.2</v>
      </c>
    </row>
    <row r="119" spans="13:14">
      <c r="M119">
        <v>-1.1713880000000001</v>
      </c>
      <c r="N119">
        <v>11.3</v>
      </c>
    </row>
    <row r="120" spans="13:14">
      <c r="M120">
        <v>-1.1713880000000001</v>
      </c>
      <c r="N120">
        <v>11.4</v>
      </c>
    </row>
    <row r="121" spans="13:14">
      <c r="M121">
        <v>-1.1713880000000001</v>
      </c>
      <c r="N121">
        <v>11.5</v>
      </c>
    </row>
    <row r="122" spans="13:14">
      <c r="M122">
        <v>-1.1713880000000001</v>
      </c>
      <c r="N122">
        <v>11.6</v>
      </c>
    </row>
    <row r="123" spans="13:14">
      <c r="M123">
        <v>-1.1713880000000001</v>
      </c>
      <c r="N123">
        <v>11.7</v>
      </c>
    </row>
    <row r="124" spans="13:14">
      <c r="M124">
        <v>-1.156490848</v>
      </c>
      <c r="N124">
        <v>11.8</v>
      </c>
    </row>
    <row r="125" spans="13:14">
      <c r="M125">
        <v>-1.133679584</v>
      </c>
      <c r="N125">
        <v>11.9</v>
      </c>
    </row>
    <row r="126" spans="13:14">
      <c r="M126">
        <v>-1.1131960000000001</v>
      </c>
      <c r="N126">
        <v>12</v>
      </c>
    </row>
    <row r="127" spans="13:14">
      <c r="M127">
        <v>-1.1131960000000001</v>
      </c>
      <c r="N127">
        <v>12.1</v>
      </c>
    </row>
    <row r="128" spans="13:14">
      <c r="M128">
        <v>-1.1131960000000001</v>
      </c>
      <c r="N128">
        <v>12.2</v>
      </c>
    </row>
    <row r="129" spans="13:14">
      <c r="M129">
        <v>-1.1131960000000001</v>
      </c>
      <c r="N129">
        <v>12.3</v>
      </c>
    </row>
    <row r="130" spans="13:14">
      <c r="M130">
        <v>-1.1131960000000001</v>
      </c>
      <c r="N130">
        <v>12.4</v>
      </c>
    </row>
    <row r="131" spans="13:14">
      <c r="M131">
        <v>-1.1131960000000001</v>
      </c>
      <c r="N131">
        <v>12.5</v>
      </c>
    </row>
    <row r="132" spans="13:14">
      <c r="M132">
        <v>-1.1131960000000001</v>
      </c>
      <c r="N132">
        <v>12.6</v>
      </c>
    </row>
    <row r="133" spans="13:14">
      <c r="M133">
        <v>-1.1131960000000001</v>
      </c>
      <c r="N133">
        <v>12.7</v>
      </c>
    </row>
    <row r="134" spans="13:14">
      <c r="M134">
        <v>-1.1131960000000001</v>
      </c>
      <c r="N134">
        <v>12.8</v>
      </c>
    </row>
    <row r="135" spans="13:14">
      <c r="M135">
        <v>-1.1131960000000001</v>
      </c>
      <c r="N135">
        <v>12.9</v>
      </c>
    </row>
    <row r="136" spans="13:14">
      <c r="M136">
        <v>-1.1131960000000001</v>
      </c>
      <c r="N136">
        <v>13</v>
      </c>
    </row>
    <row r="137" spans="13:14">
      <c r="M137">
        <v>-1.1131960000000001</v>
      </c>
      <c r="N137">
        <v>13.1</v>
      </c>
    </row>
    <row r="138" spans="13:14">
      <c r="M138">
        <v>-1.1131960000000001</v>
      </c>
      <c r="N138">
        <v>13.2</v>
      </c>
    </row>
    <row r="139" spans="13:14">
      <c r="M139">
        <v>-1.1131960000000001</v>
      </c>
      <c r="N139">
        <v>13.3</v>
      </c>
    </row>
    <row r="140" spans="13:14">
      <c r="M140">
        <v>-1.1131960000000001</v>
      </c>
      <c r="N140">
        <v>13.4</v>
      </c>
    </row>
    <row r="141" spans="13:14">
      <c r="M141">
        <v>-1.1131960000000001</v>
      </c>
      <c r="N141">
        <v>13.5</v>
      </c>
    </row>
    <row r="142" spans="13:14">
      <c r="M142">
        <v>-1.1131960000000001</v>
      </c>
      <c r="N142">
        <v>13.6</v>
      </c>
    </row>
    <row r="143" spans="13:14">
      <c r="M143">
        <v>-1.1131960000000001</v>
      </c>
      <c r="N143">
        <v>13.7</v>
      </c>
    </row>
    <row r="144" spans="13:14">
      <c r="M144">
        <v>-1.107609472</v>
      </c>
      <c r="N144">
        <v>13.8</v>
      </c>
    </row>
    <row r="145" spans="13:14">
      <c r="M145">
        <v>-1.084797816</v>
      </c>
      <c r="N145">
        <v>13.9</v>
      </c>
    </row>
    <row r="146" spans="13:14">
      <c r="M146">
        <v>-1.06198616</v>
      </c>
      <c r="N146">
        <v>14</v>
      </c>
    </row>
    <row r="147" spans="13:14">
      <c r="M147">
        <v>-1.0550029999999999</v>
      </c>
      <c r="N147">
        <v>14.1</v>
      </c>
    </row>
    <row r="148" spans="13:14">
      <c r="M148">
        <v>-1.0550029999999999</v>
      </c>
      <c r="N148">
        <v>14.2</v>
      </c>
    </row>
    <row r="149" spans="13:14">
      <c r="M149">
        <v>-1.0550029999999999</v>
      </c>
      <c r="N149">
        <v>14.3</v>
      </c>
    </row>
    <row r="150" spans="13:14">
      <c r="M150">
        <v>-1.0550029999999999</v>
      </c>
      <c r="N150">
        <v>14.4</v>
      </c>
    </row>
    <row r="151" spans="13:14">
      <c r="M151">
        <v>-1.0550029999999999</v>
      </c>
      <c r="N151">
        <v>14.5</v>
      </c>
    </row>
    <row r="152" spans="13:14">
      <c r="M152">
        <v>-1.0550029999999999</v>
      </c>
      <c r="N152">
        <v>14.6</v>
      </c>
    </row>
    <row r="153" spans="13:14">
      <c r="M153">
        <v>-1.0550029999999999</v>
      </c>
      <c r="N153">
        <v>14.7</v>
      </c>
    </row>
    <row r="154" spans="13:14">
      <c r="M154">
        <v>-1.0550029999999999</v>
      </c>
      <c r="N154">
        <v>14.8</v>
      </c>
    </row>
    <row r="155" spans="13:14">
      <c r="M155">
        <v>-1.0550029999999999</v>
      </c>
      <c r="N155">
        <v>14.9</v>
      </c>
    </row>
    <row r="156" spans="13:14">
      <c r="M156">
        <v>-1.0550029999999999</v>
      </c>
      <c r="N156">
        <v>15</v>
      </c>
    </row>
    <row r="157" spans="13:14">
      <c r="M157">
        <v>-1.0550029999999999</v>
      </c>
      <c r="N157">
        <v>15.1</v>
      </c>
    </row>
    <row r="158" spans="13:14">
      <c r="M158">
        <v>-1.0550029999999999</v>
      </c>
      <c r="N158">
        <v>15.2</v>
      </c>
    </row>
    <row r="159" spans="13:14">
      <c r="M159">
        <v>-1.0550029999999999</v>
      </c>
      <c r="N159">
        <v>15.3</v>
      </c>
    </row>
    <row r="160" spans="13:14">
      <c r="M160">
        <v>-1.0550029999999999</v>
      </c>
      <c r="N160">
        <v>15.4</v>
      </c>
    </row>
    <row r="161" spans="13:14">
      <c r="M161">
        <v>-1.0550029999999999</v>
      </c>
      <c r="N161">
        <v>15.5</v>
      </c>
    </row>
    <row r="162" spans="13:14">
      <c r="M162">
        <v>-1.0550029999999999</v>
      </c>
      <c r="N162">
        <v>15.6</v>
      </c>
    </row>
    <row r="163" spans="13:14">
      <c r="M163">
        <v>-1.0550029999999999</v>
      </c>
      <c r="N163">
        <v>15.7</v>
      </c>
    </row>
    <row r="164" spans="13:14">
      <c r="M164">
        <v>-1.0550029999999999</v>
      </c>
      <c r="N164">
        <v>15.8</v>
      </c>
    </row>
    <row r="165" spans="13:14">
      <c r="M165">
        <v>-1.0550029999999999</v>
      </c>
      <c r="N165">
        <v>15.9</v>
      </c>
    </row>
    <row r="166" spans="13:14">
      <c r="M166">
        <v>-1.0550029999999999</v>
      </c>
      <c r="N166">
        <v>16</v>
      </c>
    </row>
    <row r="167" spans="13:14">
      <c r="M167">
        <v>-1.0550029999999999</v>
      </c>
      <c r="N167">
        <v>16.100000000000001</v>
      </c>
    </row>
    <row r="168" spans="13:14">
      <c r="M168">
        <v>-1.0550029999999999</v>
      </c>
      <c r="N168">
        <v>16.2</v>
      </c>
    </row>
    <row r="169" spans="13:14">
      <c r="M169">
        <v>-1.0550029999999999</v>
      </c>
      <c r="N169">
        <v>16.3</v>
      </c>
    </row>
    <row r="170" spans="13:14">
      <c r="M170">
        <v>-1.0550029999999999</v>
      </c>
      <c r="N170">
        <v>16.399999999999999</v>
      </c>
    </row>
    <row r="171" spans="13:14">
      <c r="M171">
        <v>-1.0550029999999999</v>
      </c>
      <c r="N171">
        <v>16.5</v>
      </c>
    </row>
    <row r="172" spans="13:14">
      <c r="M172">
        <v>-1.0550029999999999</v>
      </c>
      <c r="N172">
        <v>16.600000000000001</v>
      </c>
    </row>
    <row r="173" spans="13:14">
      <c r="M173">
        <v>-1.0550029999999999</v>
      </c>
      <c r="N173">
        <v>16.7</v>
      </c>
    </row>
    <row r="174" spans="13:14">
      <c r="M174">
        <v>-1.0550029999999999</v>
      </c>
      <c r="N174">
        <v>16.8</v>
      </c>
    </row>
    <row r="175" spans="13:14">
      <c r="M175">
        <v>-1.0550029999999999</v>
      </c>
      <c r="N175">
        <v>16.899999999999999</v>
      </c>
    </row>
    <row r="176" spans="13:14">
      <c r="M176">
        <v>-1.0550029999999999</v>
      </c>
      <c r="N176">
        <v>17</v>
      </c>
    </row>
    <row r="177" spans="13:14">
      <c r="M177">
        <v>-1.0550029999999999</v>
      </c>
      <c r="N177">
        <v>17.100000000000001</v>
      </c>
    </row>
    <row r="178" spans="13:14">
      <c r="M178">
        <v>-1.0550029999999999</v>
      </c>
      <c r="N178">
        <v>17.2</v>
      </c>
    </row>
    <row r="179" spans="13:14">
      <c r="M179">
        <v>-1.0550029999999999</v>
      </c>
      <c r="N179">
        <v>17.3</v>
      </c>
    </row>
    <row r="180" spans="13:14">
      <c r="M180">
        <v>-1.0550029999999999</v>
      </c>
      <c r="N180">
        <v>17.399999999999999</v>
      </c>
    </row>
    <row r="181" spans="13:14">
      <c r="M181">
        <v>-1.0550029999999999</v>
      </c>
      <c r="N181">
        <v>17.5</v>
      </c>
    </row>
    <row r="182" spans="13:14">
      <c r="M182">
        <v>-1.0550029999999999</v>
      </c>
      <c r="N182">
        <v>17.600000000000001</v>
      </c>
    </row>
    <row r="183" spans="13:14">
      <c r="M183">
        <v>-1.0550029999999999</v>
      </c>
      <c r="N183">
        <v>17.7</v>
      </c>
    </row>
    <row r="184" spans="13:14">
      <c r="M184">
        <v>-1.0550029999999999</v>
      </c>
      <c r="N184">
        <v>17.8</v>
      </c>
    </row>
    <row r="185" spans="13:14">
      <c r="M185">
        <v>-1.045226744</v>
      </c>
      <c r="N185">
        <v>17.899999999999999</v>
      </c>
    </row>
    <row r="186" spans="13:14">
      <c r="M186">
        <v>-1.02241548</v>
      </c>
      <c r="N186">
        <v>18</v>
      </c>
    </row>
    <row r="187" spans="13:14">
      <c r="M187">
        <v>-0.99960421600000005</v>
      </c>
      <c r="N187">
        <v>18.100000000000001</v>
      </c>
    </row>
    <row r="188" spans="13:14">
      <c r="M188">
        <v>-0.996811</v>
      </c>
      <c r="N188">
        <v>18.2</v>
      </c>
    </row>
    <row r="189" spans="13:14">
      <c r="M189">
        <v>-0.996811</v>
      </c>
      <c r="N189">
        <v>18.3</v>
      </c>
    </row>
    <row r="190" spans="13:14">
      <c r="M190">
        <v>-0.996811</v>
      </c>
      <c r="N190">
        <v>18.399999999999999</v>
      </c>
    </row>
    <row r="191" spans="13:14">
      <c r="M191">
        <v>-0.996811</v>
      </c>
      <c r="N191">
        <v>18.5</v>
      </c>
    </row>
    <row r="192" spans="13:14">
      <c r="M192">
        <v>-0.996811</v>
      </c>
      <c r="N192">
        <v>18.600000000000001</v>
      </c>
    </row>
    <row r="193" spans="13:14">
      <c r="M193">
        <v>-0.96142996000000003</v>
      </c>
      <c r="N193">
        <v>18.7</v>
      </c>
    </row>
    <row r="194" spans="13:14">
      <c r="M194">
        <v>-0.91580704000000002</v>
      </c>
      <c r="N194">
        <v>18.8</v>
      </c>
    </row>
    <row r="195" spans="13:14">
      <c r="M195">
        <v>-0.88042600000000004</v>
      </c>
      <c r="N195">
        <v>18.899999999999999</v>
      </c>
    </row>
    <row r="196" spans="13:14">
      <c r="M196">
        <v>-0.88042600000000004</v>
      </c>
      <c r="N196">
        <v>19</v>
      </c>
    </row>
    <row r="197" spans="13:14">
      <c r="M197">
        <v>-0.88042600000000004</v>
      </c>
      <c r="N197">
        <v>19.100000000000001</v>
      </c>
    </row>
    <row r="198" spans="13:14">
      <c r="M198">
        <v>-0.88042600000000004</v>
      </c>
      <c r="N198">
        <v>19.2</v>
      </c>
    </row>
    <row r="199" spans="13:14">
      <c r="M199">
        <v>-0.88042600000000004</v>
      </c>
      <c r="N199">
        <v>19.3</v>
      </c>
    </row>
    <row r="200" spans="13:14">
      <c r="M200">
        <v>-0.88042600000000004</v>
      </c>
      <c r="N200">
        <v>19.399999999999999</v>
      </c>
    </row>
    <row r="201" spans="13:14">
      <c r="M201">
        <v>-0.88042600000000004</v>
      </c>
      <c r="N201">
        <v>19.5</v>
      </c>
    </row>
    <row r="202" spans="13:14">
      <c r="M202">
        <v>-0.88042600000000004</v>
      </c>
      <c r="N202">
        <v>19.600000000000001</v>
      </c>
    </row>
    <row r="203" spans="13:14">
      <c r="M203">
        <v>-0.88042600000000004</v>
      </c>
      <c r="N203">
        <v>19.7</v>
      </c>
    </row>
    <row r="204" spans="13:14">
      <c r="M204">
        <v>-0.88042600000000004</v>
      </c>
      <c r="N204">
        <v>19.8</v>
      </c>
    </row>
    <row r="205" spans="13:14">
      <c r="M205">
        <v>-0.88042600000000004</v>
      </c>
      <c r="N205">
        <v>19.899999999999999</v>
      </c>
    </row>
    <row r="206" spans="13:14">
      <c r="M206">
        <v>-0.88042600000000004</v>
      </c>
      <c r="N206">
        <v>20</v>
      </c>
    </row>
    <row r="207" spans="13:14">
      <c r="M207">
        <v>-0.88042600000000004</v>
      </c>
      <c r="N207">
        <v>20.100000000000001</v>
      </c>
    </row>
    <row r="208" spans="13:14">
      <c r="M208">
        <v>-0.88042600000000004</v>
      </c>
      <c r="N208">
        <v>20.2</v>
      </c>
    </row>
    <row r="209" spans="13:14">
      <c r="M209">
        <v>-0.88042600000000004</v>
      </c>
      <c r="N209">
        <v>20.3</v>
      </c>
    </row>
    <row r="210" spans="13:14">
      <c r="M210">
        <v>-0.88042600000000004</v>
      </c>
      <c r="N210">
        <v>20.399999999999999</v>
      </c>
    </row>
    <row r="211" spans="13:14">
      <c r="M211">
        <v>-0.88042600000000004</v>
      </c>
      <c r="N211">
        <v>20.5</v>
      </c>
    </row>
    <row r="212" spans="13:14">
      <c r="M212">
        <v>-0.88042600000000004</v>
      </c>
      <c r="N212">
        <v>20.6</v>
      </c>
    </row>
    <row r="213" spans="13:14">
      <c r="M213">
        <v>-0.88042600000000004</v>
      </c>
      <c r="N213">
        <v>20.7</v>
      </c>
    </row>
    <row r="214" spans="13:14">
      <c r="M214">
        <v>-0.88042600000000004</v>
      </c>
      <c r="N214">
        <v>20.8</v>
      </c>
    </row>
    <row r="215" spans="13:14">
      <c r="M215">
        <v>-0.88042600000000004</v>
      </c>
      <c r="N215">
        <v>20.9</v>
      </c>
    </row>
    <row r="216" spans="13:14">
      <c r="M216">
        <v>-0.88042600000000004</v>
      </c>
      <c r="N216">
        <v>21</v>
      </c>
    </row>
    <row r="217" spans="13:14">
      <c r="M217">
        <v>-0.88042600000000004</v>
      </c>
      <c r="N217">
        <v>21.1</v>
      </c>
    </row>
    <row r="218" spans="13:14">
      <c r="M218">
        <v>-0.88042600000000004</v>
      </c>
      <c r="N218">
        <v>21.2</v>
      </c>
    </row>
    <row r="219" spans="13:14">
      <c r="M219">
        <v>-0.88042600000000004</v>
      </c>
      <c r="N219">
        <v>21.3</v>
      </c>
    </row>
    <row r="220" spans="13:14">
      <c r="M220">
        <v>-0.88042600000000004</v>
      </c>
      <c r="N220">
        <v>21.4</v>
      </c>
    </row>
    <row r="221" spans="13:14">
      <c r="M221">
        <v>-0.88042600000000004</v>
      </c>
      <c r="N221">
        <v>21.5</v>
      </c>
    </row>
    <row r="222" spans="13:14">
      <c r="M222">
        <v>-0.88042600000000004</v>
      </c>
      <c r="N222">
        <v>21.6</v>
      </c>
    </row>
    <row r="223" spans="13:14">
      <c r="M223">
        <v>-0.88042600000000004</v>
      </c>
      <c r="N223">
        <v>21.7</v>
      </c>
    </row>
    <row r="224" spans="13:14">
      <c r="M224">
        <v>-0.88042600000000004</v>
      </c>
      <c r="N224">
        <v>21.8</v>
      </c>
    </row>
    <row r="225" spans="13:14">
      <c r="M225">
        <v>-0.88042600000000004</v>
      </c>
      <c r="N225">
        <v>21.9</v>
      </c>
    </row>
    <row r="226" spans="13:14">
      <c r="M226">
        <v>-0.88042600000000004</v>
      </c>
      <c r="N226">
        <v>22</v>
      </c>
    </row>
    <row r="227" spans="13:14">
      <c r="M227">
        <v>-0.88042600000000004</v>
      </c>
      <c r="N227">
        <v>22.1</v>
      </c>
    </row>
    <row r="228" spans="13:14">
      <c r="M228">
        <v>-0.88042600000000004</v>
      </c>
      <c r="N228">
        <v>22.2</v>
      </c>
    </row>
    <row r="229" spans="13:14">
      <c r="M229">
        <v>-0.88042600000000004</v>
      </c>
      <c r="N229">
        <v>22.3</v>
      </c>
    </row>
    <row r="230" spans="13:14">
      <c r="M230">
        <v>-0.88042600000000004</v>
      </c>
      <c r="N230">
        <v>22.4</v>
      </c>
    </row>
    <row r="231" spans="13:14">
      <c r="M231">
        <v>-0.88042600000000004</v>
      </c>
      <c r="N231">
        <v>22.5</v>
      </c>
    </row>
    <row r="232" spans="13:14">
      <c r="M232">
        <v>-0.88042600000000004</v>
      </c>
      <c r="N232">
        <v>22.6</v>
      </c>
    </row>
    <row r="233" spans="13:14">
      <c r="M233">
        <v>-0.88042600000000004</v>
      </c>
      <c r="N233">
        <v>22.7</v>
      </c>
    </row>
    <row r="234" spans="13:14">
      <c r="M234">
        <v>-0.88042600000000004</v>
      </c>
      <c r="N234">
        <v>22.8</v>
      </c>
    </row>
    <row r="235" spans="13:14">
      <c r="M235">
        <v>-0.88042600000000004</v>
      </c>
      <c r="N235">
        <v>22.9</v>
      </c>
    </row>
    <row r="236" spans="13:14">
      <c r="M236">
        <v>-0.88042600000000004</v>
      </c>
      <c r="N236">
        <v>23</v>
      </c>
    </row>
    <row r="237" spans="13:14">
      <c r="M237">
        <v>-0.88042600000000004</v>
      </c>
      <c r="N237">
        <v>23.1</v>
      </c>
    </row>
    <row r="238" spans="13:14">
      <c r="M238">
        <v>-0.88042600000000004</v>
      </c>
      <c r="N238">
        <v>23.2</v>
      </c>
    </row>
    <row r="239" spans="13:14">
      <c r="M239">
        <v>-0.88042600000000004</v>
      </c>
      <c r="N239">
        <v>23.3</v>
      </c>
    </row>
    <row r="240" spans="13:14">
      <c r="M240">
        <v>-0.88042600000000004</v>
      </c>
      <c r="N240">
        <v>23.4</v>
      </c>
    </row>
    <row r="241" spans="13:14">
      <c r="M241">
        <v>-0.88042600000000004</v>
      </c>
      <c r="N241">
        <v>23.5</v>
      </c>
    </row>
    <row r="242" spans="13:14">
      <c r="M242">
        <v>-0.88042600000000004</v>
      </c>
      <c r="N242">
        <v>23.6</v>
      </c>
    </row>
    <row r="243" spans="13:14">
      <c r="M243">
        <v>-0.88042600000000004</v>
      </c>
      <c r="N243">
        <v>23.7</v>
      </c>
    </row>
    <row r="244" spans="13:14">
      <c r="M244">
        <v>-0.86320087199999995</v>
      </c>
      <c r="N244">
        <v>23.8</v>
      </c>
    </row>
    <row r="245" spans="13:14">
      <c r="M245">
        <v>-0.84038921600000005</v>
      </c>
      <c r="N245">
        <v>23.9</v>
      </c>
    </row>
    <row r="246" spans="13:14">
      <c r="M246">
        <v>-0.81757763999999999</v>
      </c>
      <c r="N246">
        <v>24</v>
      </c>
    </row>
    <row r="247" spans="13:14">
      <c r="M247">
        <v>-0.794766376</v>
      </c>
      <c r="N247">
        <v>24.1</v>
      </c>
    </row>
    <row r="248" spans="13:14">
      <c r="M248">
        <v>-0.771955112</v>
      </c>
      <c r="N248">
        <v>24.2</v>
      </c>
    </row>
    <row r="249" spans="13:14">
      <c r="M249">
        <v>-0.76404099999999997</v>
      </c>
      <c r="N249">
        <v>24.3</v>
      </c>
    </row>
    <row r="250" spans="13:14">
      <c r="M250">
        <v>-0.76404099999999997</v>
      </c>
      <c r="N250">
        <v>24.4</v>
      </c>
    </row>
    <row r="251" spans="13:14">
      <c r="M251">
        <v>-0.76171328000000005</v>
      </c>
      <c r="N251">
        <v>24.5</v>
      </c>
    </row>
    <row r="252" spans="13:14">
      <c r="M252">
        <v>-0.73890162400000003</v>
      </c>
      <c r="N252">
        <v>24.6</v>
      </c>
    </row>
    <row r="253" spans="13:14">
      <c r="M253">
        <v>-0.71608996800000002</v>
      </c>
      <c r="N253">
        <v>24.7</v>
      </c>
    </row>
    <row r="254" spans="13:14">
      <c r="M254">
        <v>-0.66813936800000095</v>
      </c>
      <c r="N254">
        <v>24.8</v>
      </c>
    </row>
    <row r="255" spans="13:14">
      <c r="M255">
        <v>-0.59970518399999895</v>
      </c>
      <c r="N255">
        <v>24.9</v>
      </c>
    </row>
    <row r="256" spans="13:14">
      <c r="M256">
        <v>-0.53127100000000005</v>
      </c>
      <c r="N256">
        <v>25</v>
      </c>
    </row>
    <row r="257" spans="13:14">
      <c r="M257">
        <v>-0.53127100000000005</v>
      </c>
      <c r="N257">
        <v>25.1</v>
      </c>
    </row>
    <row r="258" spans="13:14">
      <c r="M258">
        <v>-0.53127100000000005</v>
      </c>
      <c r="N258">
        <v>25.2</v>
      </c>
    </row>
    <row r="259" spans="13:14">
      <c r="M259">
        <v>-0.50410451999999994</v>
      </c>
      <c r="N259">
        <v>25.3</v>
      </c>
    </row>
    <row r="260" spans="13:14">
      <c r="M260">
        <v>-0.44359736</v>
      </c>
      <c r="N260">
        <v>25.4</v>
      </c>
    </row>
    <row r="261" spans="13:14">
      <c r="M261">
        <v>-0.38309019999999899</v>
      </c>
      <c r="N261">
        <v>25.5</v>
      </c>
    </row>
    <row r="262" spans="13:14">
      <c r="M262">
        <v>-0.37691599999999997</v>
      </c>
      <c r="N262">
        <v>25.6</v>
      </c>
    </row>
    <row r="263" spans="13:14">
      <c r="M263">
        <v>-0.37691599999999997</v>
      </c>
      <c r="N263">
        <v>25.7</v>
      </c>
    </row>
    <row r="264" spans="13:14">
      <c r="M264">
        <v>-0.36108777600000003</v>
      </c>
      <c r="N264">
        <v>25.8</v>
      </c>
    </row>
    <row r="265" spans="13:14">
      <c r="M265">
        <v>-0.31546524799999898</v>
      </c>
      <c r="N265">
        <v>25.9</v>
      </c>
    </row>
    <row r="266" spans="13:14">
      <c r="M266">
        <v>-0.26984271999999998</v>
      </c>
      <c r="N266">
        <v>26</v>
      </c>
    </row>
    <row r="267" spans="13:14">
      <c r="M267">
        <v>-0.26053199999999999</v>
      </c>
      <c r="N267">
        <v>26.1</v>
      </c>
    </row>
    <row r="268" spans="13:14">
      <c r="M268">
        <v>-0.26053199999999999</v>
      </c>
      <c r="N268">
        <v>26.2</v>
      </c>
    </row>
    <row r="269" spans="13:14">
      <c r="M269">
        <v>-0.26053199999999999</v>
      </c>
      <c r="N269">
        <v>26.3</v>
      </c>
    </row>
    <row r="270" spans="13:14">
      <c r="M270">
        <v>-0.26053199999999999</v>
      </c>
      <c r="N270">
        <v>26.4</v>
      </c>
    </row>
    <row r="271" spans="13:14">
      <c r="M271">
        <v>-0.26053199999999999</v>
      </c>
      <c r="N271">
        <v>26.5</v>
      </c>
    </row>
    <row r="272" spans="13:14">
      <c r="M272">
        <v>-0.26053199999999999</v>
      </c>
      <c r="N272">
        <v>26.6</v>
      </c>
    </row>
    <row r="273" spans="13:14">
      <c r="M273">
        <v>-0.26053199999999999</v>
      </c>
      <c r="N273">
        <v>26.7</v>
      </c>
    </row>
    <row r="274" spans="13:14">
      <c r="M274">
        <v>-0.26053199999999999</v>
      </c>
      <c r="N274">
        <v>26.8</v>
      </c>
    </row>
    <row r="275" spans="13:14">
      <c r="M275">
        <v>-0.26053199999999999</v>
      </c>
      <c r="N275">
        <v>26.9</v>
      </c>
    </row>
    <row r="276" spans="13:14">
      <c r="M276">
        <v>-0.26053199999999999</v>
      </c>
      <c r="N276">
        <v>27</v>
      </c>
    </row>
    <row r="277" spans="13:14">
      <c r="M277">
        <v>-0.26053199999999999</v>
      </c>
      <c r="N277">
        <v>27.1</v>
      </c>
    </row>
    <row r="278" spans="13:14">
      <c r="M278">
        <v>-0.26053199999999999</v>
      </c>
      <c r="N278">
        <v>27.2</v>
      </c>
    </row>
    <row r="279" spans="13:14">
      <c r="M279">
        <v>-0.26053199999999999</v>
      </c>
      <c r="N279">
        <v>27.3</v>
      </c>
    </row>
    <row r="280" spans="13:14">
      <c r="M280">
        <v>-0.26053199999999999</v>
      </c>
      <c r="N280">
        <v>27.4</v>
      </c>
    </row>
    <row r="281" spans="13:14">
      <c r="M281">
        <v>-0.26053199999999999</v>
      </c>
      <c r="N281">
        <v>27.5</v>
      </c>
    </row>
    <row r="282" spans="13:14">
      <c r="M282">
        <v>-0.26053199999999999</v>
      </c>
      <c r="N282">
        <v>27.6</v>
      </c>
    </row>
    <row r="283" spans="13:14">
      <c r="M283">
        <v>-0.26053199999999999</v>
      </c>
      <c r="N283">
        <v>27.7</v>
      </c>
    </row>
    <row r="284" spans="13:14">
      <c r="M284">
        <v>-0.26053199999999999</v>
      </c>
      <c r="N284">
        <v>27.8</v>
      </c>
    </row>
    <row r="285" spans="13:14">
      <c r="M285">
        <v>-0.26053199999999999</v>
      </c>
      <c r="N285">
        <v>27.9</v>
      </c>
    </row>
    <row r="286" spans="13:14">
      <c r="M286">
        <v>-0.26053199999999999</v>
      </c>
      <c r="N286">
        <v>28</v>
      </c>
    </row>
    <row r="287" spans="13:14">
      <c r="M287">
        <v>-0.26053199999999999</v>
      </c>
      <c r="N287">
        <v>28.1</v>
      </c>
    </row>
    <row r="288" spans="13:14">
      <c r="M288">
        <v>-0.26053199999999999</v>
      </c>
      <c r="N288">
        <v>28.2</v>
      </c>
    </row>
    <row r="289" spans="13:14">
      <c r="M289">
        <v>-0.26053199999999999</v>
      </c>
      <c r="N289">
        <v>28.3</v>
      </c>
    </row>
    <row r="290" spans="13:14">
      <c r="M290">
        <v>-0.26053199999999999</v>
      </c>
      <c r="N290">
        <v>28.4</v>
      </c>
    </row>
    <row r="291" spans="13:14">
      <c r="M291">
        <v>-0.26053199999999999</v>
      </c>
      <c r="N291">
        <v>28.5</v>
      </c>
    </row>
    <row r="292" spans="13:14">
      <c r="M292">
        <v>-0.26053199999999999</v>
      </c>
      <c r="N292">
        <v>28.6</v>
      </c>
    </row>
    <row r="293" spans="13:14">
      <c r="M293">
        <v>-0.26053199999999999</v>
      </c>
      <c r="N293">
        <v>28.7</v>
      </c>
    </row>
    <row r="294" spans="13:14">
      <c r="M294">
        <v>-0.26053199999999999</v>
      </c>
      <c r="N294">
        <v>28.8</v>
      </c>
    </row>
    <row r="295" spans="13:14">
      <c r="M295">
        <v>-0.26053199999999999</v>
      </c>
      <c r="N295">
        <v>28.9</v>
      </c>
    </row>
    <row r="296" spans="13:14">
      <c r="M296">
        <v>-0.26053199999999999</v>
      </c>
      <c r="N296">
        <v>29</v>
      </c>
    </row>
    <row r="297" spans="13:14">
      <c r="M297">
        <v>-0.26053199999999999</v>
      </c>
      <c r="N297">
        <v>29.1</v>
      </c>
    </row>
    <row r="298" spans="13:14">
      <c r="M298">
        <v>-0.26053199999999999</v>
      </c>
      <c r="N298">
        <v>29.2</v>
      </c>
    </row>
    <row r="299" spans="13:14">
      <c r="M299">
        <v>-0.26053199999999999</v>
      </c>
      <c r="N299">
        <v>29.3</v>
      </c>
    </row>
    <row r="300" spans="13:14">
      <c r="M300">
        <v>-0.26053199999999999</v>
      </c>
      <c r="N300">
        <v>29.4</v>
      </c>
    </row>
    <row r="301" spans="13:14">
      <c r="M301">
        <v>-0.26053199999999999</v>
      </c>
      <c r="N301">
        <v>29.5</v>
      </c>
    </row>
    <row r="302" spans="13:14">
      <c r="M302">
        <v>-0.26053199999999999</v>
      </c>
      <c r="N302">
        <v>29.6</v>
      </c>
    </row>
    <row r="303" spans="13:14">
      <c r="M303">
        <v>-0.26053199999999999</v>
      </c>
      <c r="N303">
        <v>29.7</v>
      </c>
    </row>
    <row r="304" spans="13:14">
      <c r="M304">
        <v>-0.26053199999999999</v>
      </c>
      <c r="N304">
        <v>29.8</v>
      </c>
    </row>
    <row r="305" spans="13:14">
      <c r="M305">
        <v>-0.26053199999999999</v>
      </c>
      <c r="N305">
        <v>29.9</v>
      </c>
    </row>
    <row r="306" spans="13:14">
      <c r="M306">
        <v>-0.26053199999999999</v>
      </c>
      <c r="N306">
        <v>30</v>
      </c>
    </row>
    <row r="307" spans="13:14">
      <c r="M307">
        <v>-0.26053199999999999</v>
      </c>
      <c r="N307">
        <v>30.1</v>
      </c>
    </row>
    <row r="308" spans="13:14">
      <c r="M308">
        <v>-0.26053199999999999</v>
      </c>
      <c r="N308">
        <v>30.2</v>
      </c>
    </row>
    <row r="309" spans="13:14">
      <c r="M309">
        <v>-0.26053199999999999</v>
      </c>
      <c r="N309">
        <v>30.3</v>
      </c>
    </row>
    <row r="310" spans="13:14">
      <c r="M310">
        <v>-0.26053199999999999</v>
      </c>
      <c r="N310">
        <v>30.4</v>
      </c>
    </row>
    <row r="311" spans="13:14">
      <c r="M311">
        <v>-0.26053199999999999</v>
      </c>
      <c r="N311">
        <v>30.5</v>
      </c>
    </row>
    <row r="312" spans="13:14">
      <c r="M312">
        <v>-0.26053199999999999</v>
      </c>
      <c r="N312">
        <v>30.6</v>
      </c>
    </row>
    <row r="313" spans="13:14">
      <c r="M313">
        <v>-0.26053199999999999</v>
      </c>
      <c r="N313">
        <v>30.7</v>
      </c>
    </row>
    <row r="314" spans="13:14">
      <c r="M314">
        <v>-0.26053199999999999</v>
      </c>
      <c r="N314">
        <v>30.8</v>
      </c>
    </row>
    <row r="315" spans="13:14">
      <c r="M315">
        <v>-0.26053199999999999</v>
      </c>
      <c r="N315">
        <v>30.9</v>
      </c>
    </row>
    <row r="316" spans="13:14">
      <c r="M316">
        <v>-0.26053199999999999</v>
      </c>
      <c r="N316">
        <v>31</v>
      </c>
    </row>
    <row r="317" spans="13:14">
      <c r="M317">
        <v>-0.26053199999999999</v>
      </c>
      <c r="N317">
        <v>31.1</v>
      </c>
    </row>
    <row r="318" spans="13:14">
      <c r="M318">
        <v>-0.26053199999999999</v>
      </c>
      <c r="N318">
        <v>31.2</v>
      </c>
    </row>
    <row r="319" spans="13:14">
      <c r="M319">
        <v>-0.26053199999999999</v>
      </c>
      <c r="N319">
        <v>31.3</v>
      </c>
    </row>
    <row r="320" spans="13:14">
      <c r="M320">
        <v>-0.26053199999999999</v>
      </c>
      <c r="N320">
        <v>31.4</v>
      </c>
    </row>
    <row r="321" spans="13:14">
      <c r="M321">
        <v>-0.26053199999999999</v>
      </c>
      <c r="N321">
        <v>31.5</v>
      </c>
    </row>
    <row r="322" spans="13:14">
      <c r="M322">
        <v>-0.26053199999999999</v>
      </c>
      <c r="N322">
        <v>31.6</v>
      </c>
    </row>
    <row r="323" spans="13:14">
      <c r="M323">
        <v>-0.26053199999999999</v>
      </c>
      <c r="N323">
        <v>31.7</v>
      </c>
    </row>
    <row r="324" spans="13:14">
      <c r="M324">
        <v>-0.26053199999999999</v>
      </c>
      <c r="N324">
        <v>31.8</v>
      </c>
    </row>
    <row r="325" spans="13:14">
      <c r="M325">
        <v>-0.26053199999999999</v>
      </c>
      <c r="N325">
        <v>31.9</v>
      </c>
    </row>
    <row r="326" spans="13:14">
      <c r="M326">
        <v>-0.26053199999999999</v>
      </c>
      <c r="N326">
        <v>32</v>
      </c>
    </row>
    <row r="327" spans="13:14">
      <c r="M327">
        <v>-0.26053199999999999</v>
      </c>
      <c r="N327">
        <v>32.1</v>
      </c>
    </row>
    <row r="328" spans="13:14">
      <c r="M328">
        <v>-0.26053199999999999</v>
      </c>
      <c r="N328">
        <v>32.200000000000003</v>
      </c>
    </row>
    <row r="329" spans="13:14">
      <c r="M329">
        <v>-0.26053199999999999</v>
      </c>
      <c r="N329">
        <v>32.299999999999997</v>
      </c>
    </row>
    <row r="330" spans="13:14">
      <c r="M330">
        <v>-0.26053199999999999</v>
      </c>
      <c r="N330">
        <v>32.4</v>
      </c>
    </row>
    <row r="331" spans="13:14">
      <c r="M331">
        <v>-0.26053199999999999</v>
      </c>
      <c r="N331">
        <v>32.5</v>
      </c>
    </row>
    <row r="332" spans="13:14">
      <c r="M332">
        <v>-0.26053199999999999</v>
      </c>
      <c r="N332">
        <v>32.6</v>
      </c>
    </row>
    <row r="333" spans="13:14">
      <c r="M333">
        <v>-0.26053199999999999</v>
      </c>
      <c r="N333">
        <v>32.700000000000003</v>
      </c>
    </row>
    <row r="334" spans="13:14">
      <c r="M334">
        <v>-0.26053199999999999</v>
      </c>
      <c r="N334">
        <v>32.799999999999997</v>
      </c>
    </row>
    <row r="335" spans="13:14">
      <c r="M335">
        <v>-0.26053199999999999</v>
      </c>
      <c r="N335">
        <v>32.9</v>
      </c>
    </row>
    <row r="336" spans="13:14">
      <c r="M336">
        <v>-0.26053199999999999</v>
      </c>
      <c r="N336">
        <v>33</v>
      </c>
    </row>
    <row r="337" spans="13:14">
      <c r="M337">
        <v>-0.26053199999999999</v>
      </c>
      <c r="N337">
        <v>33.1</v>
      </c>
    </row>
    <row r="338" spans="13:14">
      <c r="M338">
        <v>-0.26053199999999999</v>
      </c>
      <c r="N338">
        <v>33.200000000000003</v>
      </c>
    </row>
    <row r="339" spans="13:14">
      <c r="M339">
        <v>-0.26053199999999999</v>
      </c>
      <c r="N339">
        <v>33.299999999999997</v>
      </c>
    </row>
    <row r="340" spans="13:14">
      <c r="M340">
        <v>-0.26053199999999999</v>
      </c>
      <c r="N340">
        <v>33.4</v>
      </c>
    </row>
    <row r="341" spans="13:14">
      <c r="M341">
        <v>-0.26053199999999999</v>
      </c>
      <c r="N341">
        <v>33.5</v>
      </c>
    </row>
    <row r="342" spans="13:14">
      <c r="M342">
        <v>-0.26053199999999999</v>
      </c>
      <c r="N342">
        <v>33.6</v>
      </c>
    </row>
    <row r="343" spans="13:14">
      <c r="M343">
        <v>-0.26053199999999999</v>
      </c>
      <c r="N343">
        <v>33.700000000000003</v>
      </c>
    </row>
    <row r="344" spans="13:14">
      <c r="M344">
        <v>-0.26053199999999999</v>
      </c>
      <c r="N344">
        <v>33.799999999999997</v>
      </c>
    </row>
    <row r="345" spans="13:14">
      <c r="M345">
        <v>-0.26053199999999999</v>
      </c>
      <c r="N345">
        <v>33.9</v>
      </c>
    </row>
    <row r="346" spans="13:14">
      <c r="M346">
        <v>-0.26053199999999999</v>
      </c>
      <c r="N346">
        <v>34</v>
      </c>
    </row>
    <row r="347" spans="13:14">
      <c r="M347">
        <v>-0.26053199999999999</v>
      </c>
      <c r="N347">
        <v>34.1</v>
      </c>
    </row>
    <row r="348" spans="13:14">
      <c r="M348">
        <v>-0.26053199999999999</v>
      </c>
      <c r="N348">
        <v>34.200000000000003</v>
      </c>
    </row>
    <row r="349" spans="13:14">
      <c r="M349">
        <v>-0.26053199999999999</v>
      </c>
      <c r="N349">
        <v>34.299999999999997</v>
      </c>
    </row>
    <row r="350" spans="13:14">
      <c r="M350">
        <v>-0.26053199999999999</v>
      </c>
      <c r="N350">
        <v>34.4</v>
      </c>
    </row>
    <row r="351" spans="13:14">
      <c r="M351">
        <v>-0.26053199999999999</v>
      </c>
      <c r="N351">
        <v>34.5</v>
      </c>
    </row>
    <row r="352" spans="13:14">
      <c r="M352">
        <v>-0.26053199999999999</v>
      </c>
      <c r="N352">
        <v>34.6</v>
      </c>
    </row>
    <row r="353" spans="13:14">
      <c r="M353">
        <v>-0.26053199999999999</v>
      </c>
      <c r="N353">
        <v>34.700000000000003</v>
      </c>
    </row>
    <row r="354" spans="13:14">
      <c r="M354">
        <v>-0.26053199999999999</v>
      </c>
      <c r="N354">
        <v>34.799999999999997</v>
      </c>
    </row>
    <row r="355" spans="13:14">
      <c r="M355">
        <v>-0.26053199999999999</v>
      </c>
      <c r="N355">
        <v>34.9</v>
      </c>
    </row>
    <row r="356" spans="13:14">
      <c r="M356">
        <v>-0.26053199999999999</v>
      </c>
      <c r="N356">
        <v>35</v>
      </c>
    </row>
    <row r="357" spans="13:14">
      <c r="M357">
        <v>-0.26053199999999999</v>
      </c>
      <c r="N357">
        <v>35.1</v>
      </c>
    </row>
    <row r="358" spans="13:14">
      <c r="M358">
        <v>-0.26053199999999999</v>
      </c>
      <c r="N358">
        <v>35.200000000000003</v>
      </c>
    </row>
    <row r="359" spans="13:14">
      <c r="M359">
        <v>-0.26053199999999999</v>
      </c>
      <c r="N359">
        <v>35.299999999999997</v>
      </c>
    </row>
    <row r="360" spans="13:14">
      <c r="M360">
        <v>-0.26053199999999999</v>
      </c>
      <c r="N360">
        <v>35.4</v>
      </c>
    </row>
    <row r="361" spans="13:14">
      <c r="M361">
        <v>-0.26053199999999999</v>
      </c>
      <c r="N361">
        <v>35.5</v>
      </c>
    </row>
    <row r="362" spans="13:14">
      <c r="M362">
        <v>-0.26053199999999999</v>
      </c>
      <c r="N362">
        <v>35.6</v>
      </c>
    </row>
    <row r="363" spans="13:14">
      <c r="M363">
        <v>-0.26053199999999999</v>
      </c>
      <c r="N363">
        <v>35.700000000000003</v>
      </c>
    </row>
    <row r="364" spans="13:14">
      <c r="M364">
        <v>-0.26053199999999999</v>
      </c>
      <c r="N364">
        <v>35.799999999999997</v>
      </c>
    </row>
    <row r="365" spans="13:14">
      <c r="M365">
        <v>-0.26053199999999999</v>
      </c>
      <c r="N365">
        <v>35.9</v>
      </c>
    </row>
    <row r="366" spans="13:14">
      <c r="M366">
        <v>-0.26053199999999999</v>
      </c>
      <c r="N366">
        <v>36</v>
      </c>
    </row>
    <row r="367" spans="13:14">
      <c r="M367">
        <v>-0.26053199999999999</v>
      </c>
      <c r="N367">
        <v>36.1</v>
      </c>
    </row>
    <row r="368" spans="13:14">
      <c r="M368">
        <v>-0.26053199999999999</v>
      </c>
      <c r="N368">
        <v>36.200000000000003</v>
      </c>
    </row>
    <row r="369" spans="13:14">
      <c r="M369">
        <v>-0.26053199999999999</v>
      </c>
      <c r="N369">
        <v>36.299999999999997</v>
      </c>
    </row>
    <row r="370" spans="13:14">
      <c r="M370">
        <v>-0.26053199999999999</v>
      </c>
      <c r="N370">
        <v>36.4</v>
      </c>
    </row>
    <row r="371" spans="13:14">
      <c r="M371">
        <v>-0.26053199999999999</v>
      </c>
      <c r="N371">
        <v>36.5</v>
      </c>
    </row>
    <row r="372" spans="13:14">
      <c r="M372">
        <v>-0.26053199999999999</v>
      </c>
      <c r="N372">
        <v>36.6</v>
      </c>
    </row>
    <row r="373" spans="13:14">
      <c r="M373">
        <v>-0.26053199999999999</v>
      </c>
      <c r="N373">
        <v>36.700000000000003</v>
      </c>
    </row>
    <row r="374" spans="13:14">
      <c r="M374">
        <v>-0.26053199999999999</v>
      </c>
      <c r="N374">
        <v>36.799999999999997</v>
      </c>
    </row>
    <row r="375" spans="13:14">
      <c r="M375">
        <v>-0.26053199999999999</v>
      </c>
      <c r="N375">
        <v>36.9</v>
      </c>
    </row>
    <row r="376" spans="13:14">
      <c r="M376">
        <v>-0.26053199999999999</v>
      </c>
      <c r="N376">
        <v>37</v>
      </c>
    </row>
    <row r="377" spans="13:14">
      <c r="M377">
        <v>-0.26053199999999999</v>
      </c>
      <c r="N377">
        <v>37.1</v>
      </c>
    </row>
    <row r="378" spans="13:14">
      <c r="M378">
        <v>-0.26053199999999999</v>
      </c>
      <c r="N378">
        <v>37.200000000000003</v>
      </c>
    </row>
    <row r="379" spans="13:14">
      <c r="M379">
        <v>-0.26053199999999999</v>
      </c>
      <c r="N379">
        <v>37.299999999999997</v>
      </c>
    </row>
    <row r="380" spans="13:14">
      <c r="M380">
        <v>-0.26053199999999999</v>
      </c>
      <c r="N380">
        <v>37.4</v>
      </c>
    </row>
    <row r="381" spans="13:14">
      <c r="M381">
        <v>-0.26053199999999999</v>
      </c>
      <c r="N381">
        <v>37.5</v>
      </c>
    </row>
    <row r="382" spans="13:14">
      <c r="M382">
        <v>-0.26053199999999999</v>
      </c>
      <c r="N382">
        <v>37.6</v>
      </c>
    </row>
    <row r="383" spans="13:14">
      <c r="M383">
        <v>-0.26053199999999999</v>
      </c>
      <c r="N383">
        <v>37.700000000000003</v>
      </c>
    </row>
    <row r="384" spans="13:14">
      <c r="M384">
        <v>-0.26053199999999999</v>
      </c>
      <c r="N384">
        <v>37.799999999999997</v>
      </c>
    </row>
    <row r="385" spans="13:14">
      <c r="M385">
        <v>-0.26053199999999999</v>
      </c>
      <c r="N385">
        <v>37.9</v>
      </c>
    </row>
    <row r="386" spans="13:14">
      <c r="M386">
        <v>-0.26053199999999999</v>
      </c>
      <c r="N386">
        <v>38</v>
      </c>
    </row>
    <row r="387" spans="13:14">
      <c r="M387">
        <v>-0.24004806400000001</v>
      </c>
      <c r="N387">
        <v>38.1</v>
      </c>
    </row>
    <row r="388" spans="13:14">
      <c r="M388">
        <v>-0.21723640799999999</v>
      </c>
      <c r="N388">
        <v>38.200000000000003</v>
      </c>
    </row>
    <row r="389" spans="13:14">
      <c r="M389">
        <v>-0.20233899999999999</v>
      </c>
      <c r="N389">
        <v>38.299999999999997</v>
      </c>
    </row>
    <row r="390" spans="13:14">
      <c r="M390">
        <v>-0.20233899999999999</v>
      </c>
      <c r="N390">
        <v>38.4</v>
      </c>
    </row>
    <row r="391" spans="13:14">
      <c r="M391">
        <v>-0.20233899999999999</v>
      </c>
      <c r="N391">
        <v>38.5</v>
      </c>
    </row>
    <row r="392" spans="13:14">
      <c r="M392">
        <v>-0.20233899999999999</v>
      </c>
      <c r="N392">
        <v>38.6</v>
      </c>
    </row>
    <row r="393" spans="13:14">
      <c r="M393">
        <v>-0.20233899999999999</v>
      </c>
      <c r="N393">
        <v>38.700000000000003</v>
      </c>
    </row>
    <row r="394" spans="13:14">
      <c r="M394">
        <v>-0.20233899999999999</v>
      </c>
      <c r="N394">
        <v>38.799999999999997</v>
      </c>
    </row>
    <row r="395" spans="13:14">
      <c r="M395">
        <v>-0.20233899999999999</v>
      </c>
      <c r="N395">
        <v>38.9</v>
      </c>
    </row>
    <row r="396" spans="13:14">
      <c r="M396">
        <v>-0.20233899999999999</v>
      </c>
      <c r="N396">
        <v>39</v>
      </c>
    </row>
    <row r="397" spans="13:14">
      <c r="M397">
        <v>-0.20233899999999999</v>
      </c>
      <c r="N397">
        <v>39.1</v>
      </c>
    </row>
    <row r="398" spans="13:14">
      <c r="M398">
        <v>-0.20233899999999999</v>
      </c>
      <c r="N398">
        <v>39.200000000000003</v>
      </c>
    </row>
    <row r="399" spans="13:14">
      <c r="M399">
        <v>-0.20233899999999999</v>
      </c>
      <c r="N399">
        <v>39.299999999999997</v>
      </c>
    </row>
    <row r="400" spans="13:14">
      <c r="M400">
        <v>-0.20233899999999999</v>
      </c>
      <c r="N400">
        <v>39.4</v>
      </c>
    </row>
    <row r="401" spans="13:14">
      <c r="M401">
        <v>-0.20233899999999999</v>
      </c>
      <c r="N401">
        <v>39.5</v>
      </c>
    </row>
    <row r="402" spans="13:14">
      <c r="M402">
        <v>-0.20233899999999999</v>
      </c>
      <c r="N402">
        <v>39.6</v>
      </c>
    </row>
    <row r="403" spans="13:14">
      <c r="M403">
        <v>-0.20233899999999999</v>
      </c>
      <c r="N403">
        <v>39.700000000000003</v>
      </c>
    </row>
    <row r="404" spans="13:14">
      <c r="M404">
        <v>-0.20233899999999999</v>
      </c>
      <c r="N404">
        <v>39.799999999999997</v>
      </c>
    </row>
    <row r="405" spans="13:14">
      <c r="M405">
        <v>-0.20233899999999999</v>
      </c>
      <c r="N405">
        <v>39.9</v>
      </c>
    </row>
    <row r="406" spans="13:14">
      <c r="M406">
        <v>-0.20233899999999999</v>
      </c>
      <c r="N406">
        <v>40</v>
      </c>
    </row>
    <row r="407" spans="13:14">
      <c r="M407">
        <v>-0.20233899999999999</v>
      </c>
      <c r="N407">
        <v>40.1</v>
      </c>
    </row>
    <row r="408" spans="13:14">
      <c r="M408">
        <v>-0.20233899999999999</v>
      </c>
      <c r="N408">
        <v>40.200000000000003</v>
      </c>
    </row>
    <row r="409" spans="13:14">
      <c r="M409">
        <v>-0.20233899999999999</v>
      </c>
      <c r="N409">
        <v>40.299999999999997</v>
      </c>
    </row>
    <row r="410" spans="13:14">
      <c r="M410">
        <v>-0.20233899999999999</v>
      </c>
      <c r="N410">
        <v>40.4</v>
      </c>
    </row>
    <row r="411" spans="13:14">
      <c r="M411">
        <v>-0.20233899999999999</v>
      </c>
      <c r="N411">
        <v>40.5</v>
      </c>
    </row>
    <row r="412" spans="13:14">
      <c r="M412">
        <v>-0.20233899999999999</v>
      </c>
      <c r="N412">
        <v>40.6</v>
      </c>
    </row>
    <row r="413" spans="13:14">
      <c r="M413">
        <v>-0.20233899999999999</v>
      </c>
      <c r="N413">
        <v>40.700000000000003</v>
      </c>
    </row>
    <row r="414" spans="13:14">
      <c r="M414">
        <v>-0.20233899999999999</v>
      </c>
      <c r="N414">
        <v>40.799999999999997</v>
      </c>
    </row>
    <row r="415" spans="13:14">
      <c r="M415">
        <v>-0.20233899999999999</v>
      </c>
      <c r="N415">
        <v>40.9</v>
      </c>
    </row>
    <row r="416" spans="13:14">
      <c r="M416">
        <v>-0.20233899999999999</v>
      </c>
      <c r="N416">
        <v>41</v>
      </c>
    </row>
    <row r="417" spans="13:14">
      <c r="M417">
        <v>-0.20233899999999999</v>
      </c>
      <c r="N417">
        <v>41.1</v>
      </c>
    </row>
    <row r="418" spans="13:14">
      <c r="M418">
        <v>-0.20233899999999999</v>
      </c>
      <c r="N418">
        <v>41.2</v>
      </c>
    </row>
    <row r="419" spans="13:14">
      <c r="M419">
        <v>-0.20233899999999999</v>
      </c>
      <c r="N419">
        <v>41.3</v>
      </c>
    </row>
    <row r="420" spans="13:14">
      <c r="M420">
        <v>-0.20233899999999999</v>
      </c>
      <c r="N420">
        <v>41.4</v>
      </c>
    </row>
    <row r="421" spans="13:14">
      <c r="M421">
        <v>-0.20233899999999999</v>
      </c>
      <c r="N421">
        <v>41.5</v>
      </c>
    </row>
    <row r="422" spans="13:14">
      <c r="M422">
        <v>-0.20233899999999999</v>
      </c>
      <c r="N422">
        <v>41.6</v>
      </c>
    </row>
    <row r="423" spans="13:14">
      <c r="M423">
        <v>-0.20233899999999999</v>
      </c>
      <c r="N423">
        <v>41.7</v>
      </c>
    </row>
    <row r="424" spans="13:14">
      <c r="M424">
        <v>-0.20233899999999999</v>
      </c>
      <c r="N424">
        <v>41.8</v>
      </c>
    </row>
    <row r="425" spans="13:14">
      <c r="M425">
        <v>-0.20233899999999999</v>
      </c>
      <c r="N425">
        <v>41.9</v>
      </c>
    </row>
    <row r="426" spans="13:14">
      <c r="M426">
        <v>-0.20233899999999999</v>
      </c>
      <c r="N426">
        <v>42</v>
      </c>
    </row>
    <row r="427" spans="13:14">
      <c r="M427">
        <v>-0.20233899999999999</v>
      </c>
      <c r="N427">
        <v>42.1</v>
      </c>
    </row>
    <row r="428" spans="13:14">
      <c r="M428">
        <v>-0.20233899999999999</v>
      </c>
      <c r="N428">
        <v>42.2</v>
      </c>
    </row>
    <row r="429" spans="13:14">
      <c r="M429">
        <v>-0.20233899999999999</v>
      </c>
      <c r="N429">
        <v>42.3</v>
      </c>
    </row>
    <row r="430" spans="13:14">
      <c r="M430">
        <v>-0.20233899999999999</v>
      </c>
      <c r="N430">
        <v>42.4</v>
      </c>
    </row>
    <row r="431" spans="13:14">
      <c r="M431">
        <v>-0.20233899999999999</v>
      </c>
      <c r="N431">
        <v>42.5</v>
      </c>
    </row>
    <row r="432" spans="13:14">
      <c r="M432">
        <v>-0.20233899999999999</v>
      </c>
      <c r="N432">
        <v>42.6</v>
      </c>
    </row>
    <row r="433" spans="13:14">
      <c r="M433">
        <v>-0.20233899999999999</v>
      </c>
      <c r="N433">
        <v>42.7</v>
      </c>
    </row>
    <row r="434" spans="13:14">
      <c r="M434">
        <v>-0.20233899999999999</v>
      </c>
      <c r="N434">
        <v>42.8</v>
      </c>
    </row>
    <row r="435" spans="13:14">
      <c r="M435">
        <v>-0.20233899999999999</v>
      </c>
      <c r="N435">
        <v>42.9</v>
      </c>
    </row>
    <row r="436" spans="13:14">
      <c r="M436">
        <v>-0.20233899999999999</v>
      </c>
      <c r="N436">
        <v>43</v>
      </c>
    </row>
    <row r="437" spans="13:14">
      <c r="M437">
        <v>-0.20233899999999999</v>
      </c>
      <c r="N437">
        <v>43.1</v>
      </c>
    </row>
    <row r="438" spans="13:14">
      <c r="M438">
        <v>-0.20233899999999999</v>
      </c>
      <c r="N438">
        <v>43.2</v>
      </c>
    </row>
    <row r="439" spans="13:14">
      <c r="M439">
        <v>-0.20233899999999999</v>
      </c>
      <c r="N439">
        <v>43.3</v>
      </c>
    </row>
    <row r="440" spans="13:14">
      <c r="M440">
        <v>-0.20233899999999999</v>
      </c>
      <c r="N440">
        <v>43.4</v>
      </c>
    </row>
    <row r="441" spans="13:14">
      <c r="M441">
        <v>-0.20233899999999999</v>
      </c>
      <c r="N441">
        <v>43.5</v>
      </c>
    </row>
    <row r="442" spans="13:14">
      <c r="M442">
        <v>-0.20233899999999999</v>
      </c>
      <c r="N442">
        <v>43.6</v>
      </c>
    </row>
    <row r="443" spans="13:14">
      <c r="M443">
        <v>-0.20233899999999999</v>
      </c>
      <c r="N443">
        <v>43.7</v>
      </c>
    </row>
    <row r="444" spans="13:14">
      <c r="M444">
        <v>-0.20233899999999999</v>
      </c>
      <c r="N444">
        <v>43.8</v>
      </c>
    </row>
    <row r="445" spans="13:14">
      <c r="M445">
        <v>-0.20233899999999999</v>
      </c>
      <c r="N445">
        <v>43.9</v>
      </c>
    </row>
    <row r="446" spans="13:14">
      <c r="M446">
        <v>-0.20233899999999999</v>
      </c>
      <c r="N446">
        <v>44</v>
      </c>
    </row>
    <row r="447" spans="13:14">
      <c r="M447">
        <v>-0.20233899999999999</v>
      </c>
      <c r="N447">
        <v>44.1</v>
      </c>
    </row>
    <row r="448" spans="13:14">
      <c r="M448">
        <v>-0.20233899999999999</v>
      </c>
      <c r="N448">
        <v>44.2</v>
      </c>
    </row>
    <row r="449" spans="13:14">
      <c r="M449">
        <v>-0.20233899999999999</v>
      </c>
      <c r="N449">
        <v>44.3</v>
      </c>
    </row>
    <row r="450" spans="13:14">
      <c r="M450">
        <v>-0.20233899999999999</v>
      </c>
      <c r="N450">
        <v>44.4</v>
      </c>
    </row>
    <row r="451" spans="13:14">
      <c r="M451">
        <v>-0.20233899999999999</v>
      </c>
      <c r="N451">
        <v>44.5</v>
      </c>
    </row>
    <row r="452" spans="13:14">
      <c r="M452">
        <v>-0.20233899999999999</v>
      </c>
      <c r="N452">
        <v>44.6</v>
      </c>
    </row>
    <row r="453" spans="13:14">
      <c r="M453">
        <v>-0.20233899999999999</v>
      </c>
      <c r="N453">
        <v>44.7</v>
      </c>
    </row>
    <row r="454" spans="13:14">
      <c r="M454">
        <v>-0.20233899999999999</v>
      </c>
      <c r="N454">
        <v>44.8</v>
      </c>
    </row>
    <row r="455" spans="13:14">
      <c r="M455">
        <v>-0.201873463999999</v>
      </c>
      <c r="N455">
        <v>44.9</v>
      </c>
    </row>
    <row r="456" spans="13:14">
      <c r="M456">
        <v>-0.1790622</v>
      </c>
      <c r="N456">
        <v>45</v>
      </c>
    </row>
    <row r="457" spans="13:14">
      <c r="M457">
        <v>-0.15625093600000001</v>
      </c>
      <c r="N457">
        <v>45.1</v>
      </c>
    </row>
    <row r="458" spans="13:14">
      <c r="M458">
        <v>-0.144147</v>
      </c>
      <c r="N458">
        <v>45.2</v>
      </c>
    </row>
    <row r="459" spans="13:14">
      <c r="M459">
        <v>-0.144147</v>
      </c>
      <c r="N459">
        <v>45.3</v>
      </c>
    </row>
    <row r="460" spans="13:14">
      <c r="M460">
        <v>-0.144147</v>
      </c>
      <c r="N460">
        <v>45.4</v>
      </c>
    </row>
    <row r="461" spans="13:14">
      <c r="M461">
        <v>-0.144147</v>
      </c>
      <c r="N461">
        <v>45.5</v>
      </c>
    </row>
    <row r="462" spans="13:14">
      <c r="M462">
        <v>-0.144147</v>
      </c>
      <c r="N462">
        <v>45.6</v>
      </c>
    </row>
    <row r="463" spans="13:14">
      <c r="M463">
        <v>-0.144147</v>
      </c>
      <c r="N463">
        <v>45.7</v>
      </c>
    </row>
    <row r="464" spans="13:14">
      <c r="M464">
        <v>-0.144147</v>
      </c>
      <c r="N464">
        <v>45.8</v>
      </c>
    </row>
    <row r="465" spans="13:14">
      <c r="M465">
        <v>-0.144147</v>
      </c>
      <c r="N465">
        <v>45.9</v>
      </c>
    </row>
    <row r="466" spans="13:14">
      <c r="M466">
        <v>-0.144147</v>
      </c>
      <c r="N466">
        <v>46</v>
      </c>
    </row>
    <row r="467" spans="13:14">
      <c r="M467">
        <v>-0.144147</v>
      </c>
      <c r="N467">
        <v>46.1</v>
      </c>
    </row>
    <row r="468" spans="13:14">
      <c r="M468">
        <v>-0.144147</v>
      </c>
      <c r="N468">
        <v>46.2</v>
      </c>
    </row>
    <row r="469" spans="13:14">
      <c r="M469">
        <v>-0.144147</v>
      </c>
      <c r="N469">
        <v>46.3</v>
      </c>
    </row>
    <row r="470" spans="13:14">
      <c r="M470">
        <v>-0.144147</v>
      </c>
      <c r="N470">
        <v>46.4</v>
      </c>
    </row>
    <row r="471" spans="13:14">
      <c r="M471">
        <v>-0.144147</v>
      </c>
      <c r="N471">
        <v>46.5</v>
      </c>
    </row>
    <row r="472" spans="13:14">
      <c r="M472">
        <v>-0.144147</v>
      </c>
      <c r="N472">
        <v>46.6</v>
      </c>
    </row>
    <row r="473" spans="13:14">
      <c r="M473">
        <v>-0.144147</v>
      </c>
      <c r="N473">
        <v>46.7</v>
      </c>
    </row>
    <row r="474" spans="13:14">
      <c r="M474">
        <v>-0.144147</v>
      </c>
      <c r="N474">
        <v>46.8</v>
      </c>
    </row>
    <row r="475" spans="13:14">
      <c r="M475">
        <v>-0.144147</v>
      </c>
      <c r="N475">
        <v>46.9</v>
      </c>
    </row>
    <row r="476" spans="13:14">
      <c r="M476">
        <v>-0.144147</v>
      </c>
      <c r="N476">
        <v>47</v>
      </c>
    </row>
    <row r="477" spans="13:14">
      <c r="M477">
        <v>-0.144147</v>
      </c>
      <c r="N477">
        <v>47.1</v>
      </c>
    </row>
    <row r="478" spans="13:14">
      <c r="M478">
        <v>-0.144147</v>
      </c>
      <c r="N478">
        <v>47.2</v>
      </c>
    </row>
    <row r="479" spans="13:14">
      <c r="M479">
        <v>-0.144147</v>
      </c>
      <c r="N479">
        <v>47.3</v>
      </c>
    </row>
    <row r="480" spans="13:14">
      <c r="M480">
        <v>-0.144147</v>
      </c>
      <c r="N480">
        <v>47.4</v>
      </c>
    </row>
    <row r="481" spans="13:14">
      <c r="M481">
        <v>-0.132508599999999</v>
      </c>
      <c r="N481">
        <v>47.5</v>
      </c>
    </row>
    <row r="482" spans="13:14">
      <c r="M482">
        <v>-0.10969733599999899</v>
      </c>
      <c r="N482">
        <v>47.6</v>
      </c>
    </row>
    <row r="483" spans="13:14">
      <c r="M483">
        <v>-8.6886071999999495E-2</v>
      </c>
      <c r="N483">
        <v>47.7</v>
      </c>
    </row>
    <row r="484" spans="13:14">
      <c r="M484">
        <v>-8.5955000000000004E-2</v>
      </c>
      <c r="N484">
        <v>47.8</v>
      </c>
    </row>
    <row r="485" spans="13:14">
      <c r="M485">
        <v>-8.5955000000000004E-2</v>
      </c>
      <c r="N485">
        <v>47.9</v>
      </c>
    </row>
    <row r="486" spans="13:14">
      <c r="M486">
        <v>-8.5955000000000004E-2</v>
      </c>
      <c r="N486">
        <v>48</v>
      </c>
    </row>
    <row r="487" spans="13:14">
      <c r="M487">
        <v>-8.5955000000000004E-2</v>
      </c>
      <c r="N487">
        <v>48.1</v>
      </c>
    </row>
    <row r="488" spans="13:14">
      <c r="M488">
        <v>-8.5955000000000004E-2</v>
      </c>
      <c r="N488">
        <v>48.2</v>
      </c>
    </row>
    <row r="489" spans="13:14">
      <c r="M489">
        <v>-8.5955000000000004E-2</v>
      </c>
      <c r="N489">
        <v>48.3</v>
      </c>
    </row>
    <row r="490" spans="13:14">
      <c r="M490">
        <v>-8.5955000000000004E-2</v>
      </c>
      <c r="N490">
        <v>48.4</v>
      </c>
    </row>
    <row r="491" spans="13:14">
      <c r="M491">
        <v>-8.5955000000000004E-2</v>
      </c>
      <c r="N491">
        <v>48.5</v>
      </c>
    </row>
    <row r="492" spans="13:14">
      <c r="M492">
        <v>-8.5955000000000004E-2</v>
      </c>
      <c r="N492">
        <v>48.6</v>
      </c>
    </row>
    <row r="493" spans="13:14">
      <c r="M493">
        <v>-8.5955000000000004E-2</v>
      </c>
      <c r="N493">
        <v>48.7</v>
      </c>
    </row>
    <row r="494" spans="13:14">
      <c r="M494">
        <v>-8.5955000000000004E-2</v>
      </c>
      <c r="N494">
        <v>48.8</v>
      </c>
    </row>
    <row r="495" spans="13:14">
      <c r="M495">
        <v>-8.5955000000000004E-2</v>
      </c>
      <c r="N495">
        <v>48.9</v>
      </c>
    </row>
    <row r="496" spans="13:14">
      <c r="M496">
        <v>-8.5955000000000004E-2</v>
      </c>
      <c r="N496">
        <v>49</v>
      </c>
    </row>
    <row r="497" spans="13:14">
      <c r="M497">
        <v>-8.5955000000000004E-2</v>
      </c>
      <c r="N497">
        <v>49.1</v>
      </c>
    </row>
    <row r="498" spans="13:14">
      <c r="M498">
        <v>-8.5955000000000004E-2</v>
      </c>
      <c r="N498">
        <v>49.2</v>
      </c>
    </row>
    <row r="499" spans="13:14">
      <c r="M499">
        <v>-8.5955000000000004E-2</v>
      </c>
      <c r="N499">
        <v>49.3</v>
      </c>
    </row>
    <row r="500" spans="13:14">
      <c r="M500">
        <v>-8.5955000000000004E-2</v>
      </c>
      <c r="N500">
        <v>49.4</v>
      </c>
    </row>
    <row r="501" spans="13:14">
      <c r="M501">
        <v>-8.5955000000000004E-2</v>
      </c>
      <c r="N501">
        <v>49.5</v>
      </c>
    </row>
    <row r="502" spans="13:14">
      <c r="M502">
        <v>-8.5955000000000004E-2</v>
      </c>
      <c r="N502">
        <v>49.6</v>
      </c>
    </row>
    <row r="503" spans="13:14">
      <c r="M503">
        <v>-8.5955000000000004E-2</v>
      </c>
      <c r="N503">
        <v>49.7</v>
      </c>
    </row>
    <row r="504" spans="13:14">
      <c r="M504">
        <v>-8.5955000000000004E-2</v>
      </c>
      <c r="N504">
        <v>49.8</v>
      </c>
    </row>
    <row r="505" spans="13:14">
      <c r="M505">
        <v>-8.5955000000000004E-2</v>
      </c>
      <c r="N505">
        <v>49.9</v>
      </c>
    </row>
    <row r="506" spans="13:14">
      <c r="M506">
        <v>-8.5955000000000004E-2</v>
      </c>
      <c r="N506">
        <v>50</v>
      </c>
    </row>
    <row r="507" spans="13:14">
      <c r="M507">
        <v>-8.5955000000000004E-2</v>
      </c>
      <c r="N507">
        <v>50.1</v>
      </c>
    </row>
    <row r="508" spans="13:14">
      <c r="M508">
        <v>-8.5955000000000004E-2</v>
      </c>
      <c r="N508">
        <v>50.2</v>
      </c>
    </row>
    <row r="509" spans="13:14">
      <c r="M509">
        <v>-8.5955000000000004E-2</v>
      </c>
      <c r="N509">
        <v>50.3</v>
      </c>
    </row>
    <row r="510" spans="13:14">
      <c r="M510">
        <v>-8.5955000000000004E-2</v>
      </c>
      <c r="N510">
        <v>50.4</v>
      </c>
    </row>
    <row r="511" spans="13:14">
      <c r="M511">
        <v>-8.5955000000000004E-2</v>
      </c>
      <c r="N511">
        <v>50.5</v>
      </c>
    </row>
    <row r="512" spans="13:14">
      <c r="M512">
        <v>-8.5955000000000004E-2</v>
      </c>
      <c r="N512">
        <v>50.6</v>
      </c>
    </row>
    <row r="513" spans="13:14">
      <c r="M513">
        <v>-8.5955000000000004E-2</v>
      </c>
      <c r="N513">
        <v>50.7</v>
      </c>
    </row>
    <row r="514" spans="13:14">
      <c r="M514">
        <v>-8.5955000000000004E-2</v>
      </c>
      <c r="N514">
        <v>50.8</v>
      </c>
    </row>
    <row r="515" spans="13:14">
      <c r="M515">
        <v>-8.5955000000000004E-2</v>
      </c>
      <c r="N515">
        <v>50.9</v>
      </c>
    </row>
    <row r="516" spans="13:14">
      <c r="M516">
        <v>-8.5955000000000004E-2</v>
      </c>
      <c r="N516">
        <v>51</v>
      </c>
    </row>
    <row r="517" spans="13:14">
      <c r="M517">
        <v>-8.5955000000000004E-2</v>
      </c>
      <c r="N517">
        <v>51.1</v>
      </c>
    </row>
    <row r="518" spans="13:14">
      <c r="M518">
        <v>-8.5955000000000004E-2</v>
      </c>
      <c r="N518">
        <v>51.2</v>
      </c>
    </row>
    <row r="519" spans="13:14">
      <c r="M519">
        <v>-8.5955000000000004E-2</v>
      </c>
      <c r="N519">
        <v>51.3</v>
      </c>
    </row>
    <row r="520" spans="13:14">
      <c r="M520">
        <v>-8.5955000000000004E-2</v>
      </c>
      <c r="N520">
        <v>51.4</v>
      </c>
    </row>
    <row r="521" spans="13:14">
      <c r="M521">
        <v>-8.5955000000000004E-2</v>
      </c>
      <c r="N521">
        <v>51.5</v>
      </c>
    </row>
    <row r="522" spans="13:14">
      <c r="M522">
        <v>-8.5955000000000004E-2</v>
      </c>
      <c r="N522">
        <v>51.6</v>
      </c>
    </row>
    <row r="523" spans="13:14">
      <c r="M523">
        <v>-8.5955000000000004E-2</v>
      </c>
      <c r="N523">
        <v>51.7</v>
      </c>
    </row>
    <row r="524" spans="13:14">
      <c r="M524">
        <v>-8.5955000000000004E-2</v>
      </c>
      <c r="N524">
        <v>51.8</v>
      </c>
    </row>
    <row r="525" spans="13:14">
      <c r="M525">
        <v>-8.5955000000000004E-2</v>
      </c>
      <c r="N525">
        <v>51.9</v>
      </c>
    </row>
    <row r="526" spans="13:14">
      <c r="M526">
        <v>-8.5955000000000004E-2</v>
      </c>
      <c r="N526">
        <v>52</v>
      </c>
    </row>
    <row r="527" spans="13:14">
      <c r="M527">
        <v>-8.5955000000000004E-2</v>
      </c>
      <c r="N527">
        <v>52.1</v>
      </c>
    </row>
    <row r="528" spans="13:14">
      <c r="M528">
        <v>-8.5955000000000004E-2</v>
      </c>
      <c r="N528">
        <v>52.2</v>
      </c>
    </row>
    <row r="529" spans="13:14">
      <c r="M529">
        <v>-8.5955000000000004E-2</v>
      </c>
      <c r="N529">
        <v>52.3</v>
      </c>
    </row>
    <row r="530" spans="13:14">
      <c r="M530">
        <v>-8.5955000000000004E-2</v>
      </c>
      <c r="N530">
        <v>52.4</v>
      </c>
    </row>
    <row r="531" spans="13:14">
      <c r="M531">
        <v>-8.5955000000000004E-2</v>
      </c>
      <c r="N531">
        <v>52.5</v>
      </c>
    </row>
    <row r="532" spans="13:14">
      <c r="M532">
        <v>-8.5955000000000004E-2</v>
      </c>
      <c r="N532">
        <v>52.6</v>
      </c>
    </row>
    <row r="533" spans="13:14">
      <c r="M533">
        <v>-8.5955000000000004E-2</v>
      </c>
      <c r="N533">
        <v>52.7</v>
      </c>
    </row>
    <row r="534" spans="13:14">
      <c r="M534">
        <v>-8.5955000000000004E-2</v>
      </c>
      <c r="N534">
        <v>52.8</v>
      </c>
    </row>
    <row r="535" spans="13:14">
      <c r="M535">
        <v>-8.5955000000000004E-2</v>
      </c>
      <c r="N535">
        <v>52.9</v>
      </c>
    </row>
    <row r="536" spans="13:14">
      <c r="M536">
        <v>-8.5955000000000004E-2</v>
      </c>
      <c r="N536">
        <v>53</v>
      </c>
    </row>
    <row r="537" spans="13:14">
      <c r="M537">
        <v>-8.5955000000000004E-2</v>
      </c>
      <c r="N537">
        <v>53.1</v>
      </c>
    </row>
    <row r="538" spans="13:14">
      <c r="M538">
        <v>-8.5955000000000004E-2</v>
      </c>
      <c r="N538">
        <v>53.2</v>
      </c>
    </row>
    <row r="539" spans="13:14">
      <c r="M539">
        <v>-8.5955000000000004E-2</v>
      </c>
      <c r="N539">
        <v>53.3</v>
      </c>
    </row>
    <row r="540" spans="13:14">
      <c r="M540">
        <v>-8.5955000000000004E-2</v>
      </c>
      <c r="N540">
        <v>53.4</v>
      </c>
    </row>
    <row r="541" spans="13:14">
      <c r="M541">
        <v>-8.5955000000000004E-2</v>
      </c>
      <c r="N541">
        <v>53.5</v>
      </c>
    </row>
    <row r="542" spans="13:14">
      <c r="M542">
        <v>-8.5955000000000004E-2</v>
      </c>
      <c r="N542">
        <v>53.6</v>
      </c>
    </row>
    <row r="543" spans="13:14">
      <c r="M543">
        <v>-8.5955000000000004E-2</v>
      </c>
      <c r="N543">
        <v>53.7</v>
      </c>
    </row>
    <row r="544" spans="13:14">
      <c r="M544">
        <v>-8.5955000000000004E-2</v>
      </c>
      <c r="N544">
        <v>53.8</v>
      </c>
    </row>
    <row r="545" spans="13:14">
      <c r="M545">
        <v>-8.5955000000000004E-2</v>
      </c>
      <c r="N545">
        <v>53.9</v>
      </c>
    </row>
    <row r="546" spans="13:14">
      <c r="M546">
        <v>-8.5955000000000004E-2</v>
      </c>
      <c r="N546">
        <v>54</v>
      </c>
    </row>
    <row r="547" spans="13:14">
      <c r="M547">
        <v>-8.5955000000000004E-2</v>
      </c>
      <c r="N547">
        <v>54.1</v>
      </c>
    </row>
    <row r="548" spans="13:14">
      <c r="M548">
        <v>-8.5955000000000004E-2</v>
      </c>
      <c r="N548">
        <v>54.2</v>
      </c>
    </row>
    <row r="549" spans="13:14">
      <c r="M549">
        <v>-8.5955000000000004E-2</v>
      </c>
      <c r="N549">
        <v>54.3</v>
      </c>
    </row>
    <row r="550" spans="13:14">
      <c r="M550">
        <v>-8.5955000000000004E-2</v>
      </c>
      <c r="N550">
        <v>54.4</v>
      </c>
    </row>
    <row r="551" spans="13:14">
      <c r="M551">
        <v>-8.5955000000000004E-2</v>
      </c>
      <c r="N551">
        <v>54.5</v>
      </c>
    </row>
    <row r="552" spans="13:14">
      <c r="M552">
        <v>-8.5955000000000004E-2</v>
      </c>
      <c r="N552">
        <v>54.6</v>
      </c>
    </row>
    <row r="553" spans="13:14">
      <c r="M553">
        <v>-8.5955000000000004E-2</v>
      </c>
      <c r="N553">
        <v>54.7</v>
      </c>
    </row>
    <row r="554" spans="13:14">
      <c r="M554">
        <v>-8.5955000000000004E-2</v>
      </c>
      <c r="N554">
        <v>54.8</v>
      </c>
    </row>
    <row r="555" spans="13:14">
      <c r="M555">
        <v>-7.3850855999998397E-2</v>
      </c>
      <c r="N555">
        <v>54.9</v>
      </c>
    </row>
    <row r="556" spans="13:14">
      <c r="M556">
        <v>-5.1039199999998702E-2</v>
      </c>
      <c r="N556">
        <v>55</v>
      </c>
    </row>
    <row r="557" spans="13:14">
      <c r="M557">
        <v>-2.82275439999989E-2</v>
      </c>
      <c r="N557">
        <v>55.1</v>
      </c>
    </row>
    <row r="558" spans="13:14">
      <c r="M558">
        <v>-2.7761999999999998E-2</v>
      </c>
      <c r="N558">
        <v>55.2</v>
      </c>
    </row>
    <row r="559" spans="13:14">
      <c r="M559">
        <v>-2.7761999999999998E-2</v>
      </c>
      <c r="N559">
        <v>55.3</v>
      </c>
    </row>
    <row r="560" spans="13:14">
      <c r="M560">
        <v>-2.7761999999999998E-2</v>
      </c>
      <c r="N560">
        <v>55.4</v>
      </c>
    </row>
    <row r="561" spans="13:14">
      <c r="M561">
        <v>-2.7761999999999998E-2</v>
      </c>
      <c r="N561">
        <v>55.5</v>
      </c>
    </row>
    <row r="562" spans="13:14">
      <c r="M562">
        <v>-2.7761999999999998E-2</v>
      </c>
      <c r="N562">
        <v>55.6</v>
      </c>
    </row>
    <row r="563" spans="13:14">
      <c r="M563">
        <v>-2.7761999999999998E-2</v>
      </c>
      <c r="N563">
        <v>55.7</v>
      </c>
    </row>
    <row r="564" spans="13:14">
      <c r="M564">
        <v>-2.7761999999999998E-2</v>
      </c>
      <c r="N564">
        <v>55.8</v>
      </c>
    </row>
    <row r="565" spans="13:14">
      <c r="M565">
        <v>-2.7761999999999998E-2</v>
      </c>
      <c r="N565">
        <v>55.9</v>
      </c>
    </row>
    <row r="566" spans="13:14">
      <c r="M566">
        <v>-2.7761999999999998E-2</v>
      </c>
      <c r="N566">
        <v>56</v>
      </c>
    </row>
    <row r="567" spans="13:14">
      <c r="M567">
        <v>-2.7761999999999998E-2</v>
      </c>
      <c r="N567">
        <v>56.1</v>
      </c>
    </row>
    <row r="568" spans="13:14">
      <c r="M568">
        <v>-1.00716319999982E-2</v>
      </c>
      <c r="N568">
        <v>56.2</v>
      </c>
    </row>
    <row r="569" spans="13:14">
      <c r="M569">
        <v>1.27396320000015E-2</v>
      </c>
      <c r="N569">
        <v>56.3</v>
      </c>
    </row>
    <row r="570" spans="13:14">
      <c r="M570">
        <v>3.0429999999999999E-2</v>
      </c>
      <c r="N570">
        <v>56.4</v>
      </c>
    </row>
    <row r="571" spans="13:14">
      <c r="M571">
        <v>3.0429999999999999E-2</v>
      </c>
      <c r="N571">
        <v>56.5</v>
      </c>
    </row>
    <row r="572" spans="13:14">
      <c r="M572">
        <v>3.0429999999999999E-2</v>
      </c>
      <c r="N572">
        <v>56.6</v>
      </c>
    </row>
    <row r="573" spans="13:14">
      <c r="M573">
        <v>3.0429999999999999E-2</v>
      </c>
      <c r="N573">
        <v>56.7</v>
      </c>
    </row>
    <row r="574" spans="13:14">
      <c r="M574">
        <v>3.0429999999999999E-2</v>
      </c>
      <c r="N574">
        <v>56.8</v>
      </c>
    </row>
    <row r="575" spans="13:14">
      <c r="M575">
        <v>3.3223216000001797E-2</v>
      </c>
      <c r="N575">
        <v>56.9</v>
      </c>
    </row>
    <row r="576" spans="13:14">
      <c r="M576">
        <v>5.6034480000001503E-2</v>
      </c>
      <c r="N576">
        <v>57</v>
      </c>
    </row>
    <row r="577" spans="13:14">
      <c r="M577">
        <v>7.88457440000013E-2</v>
      </c>
      <c r="N577">
        <v>57.1</v>
      </c>
    </row>
    <row r="578" spans="13:14">
      <c r="M578">
        <v>8.8622000000000006E-2</v>
      </c>
      <c r="N578">
        <v>57.2</v>
      </c>
    </row>
    <row r="579" spans="13:14">
      <c r="M579">
        <v>8.8622000000000006E-2</v>
      </c>
      <c r="N579">
        <v>57.3</v>
      </c>
    </row>
    <row r="580" spans="13:14">
      <c r="M580">
        <v>8.8622000000000006E-2</v>
      </c>
      <c r="N580">
        <v>57.4</v>
      </c>
    </row>
    <row r="581" spans="13:14">
      <c r="M581">
        <v>8.8622000000000006E-2</v>
      </c>
      <c r="N581">
        <v>57.5</v>
      </c>
    </row>
    <row r="582" spans="13:14">
      <c r="M582">
        <v>8.8622000000000006E-2</v>
      </c>
      <c r="N582">
        <v>57.6</v>
      </c>
    </row>
    <row r="583" spans="13:14">
      <c r="M583">
        <v>8.8622000000000006E-2</v>
      </c>
      <c r="N583">
        <v>57.7</v>
      </c>
    </row>
    <row r="584" spans="13:14">
      <c r="M584">
        <v>8.8622000000000006E-2</v>
      </c>
      <c r="N584">
        <v>57.8</v>
      </c>
    </row>
    <row r="585" spans="13:14">
      <c r="M585">
        <v>8.8622000000000006E-2</v>
      </c>
      <c r="N585">
        <v>57.9</v>
      </c>
    </row>
    <row r="586" spans="13:14">
      <c r="M586">
        <v>8.8622000000000006E-2</v>
      </c>
      <c r="N586">
        <v>58</v>
      </c>
    </row>
    <row r="587" spans="13:14">
      <c r="M587">
        <v>8.8622000000000006E-2</v>
      </c>
      <c r="N587">
        <v>58.1</v>
      </c>
    </row>
    <row r="588" spans="13:14">
      <c r="M588">
        <v>8.8622000000000006E-2</v>
      </c>
      <c r="N588">
        <v>58.2</v>
      </c>
    </row>
    <row r="589" spans="13:14">
      <c r="M589">
        <v>8.8622000000000006E-2</v>
      </c>
      <c r="N589">
        <v>58.3</v>
      </c>
    </row>
    <row r="590" spans="13:14">
      <c r="M590">
        <v>8.8622000000000006E-2</v>
      </c>
      <c r="N590">
        <v>58.4</v>
      </c>
    </row>
    <row r="591" spans="13:14">
      <c r="M591">
        <v>8.8622000000000006E-2</v>
      </c>
      <c r="N591">
        <v>58.5</v>
      </c>
    </row>
    <row r="592" spans="13:14">
      <c r="M592">
        <v>8.8622000000000006E-2</v>
      </c>
      <c r="N592">
        <v>58.6</v>
      </c>
    </row>
    <row r="593" spans="13:14">
      <c r="M593">
        <v>8.8622000000000006E-2</v>
      </c>
      <c r="N593">
        <v>58.7</v>
      </c>
    </row>
    <row r="594" spans="13:14">
      <c r="M594">
        <v>8.8622000000000006E-2</v>
      </c>
      <c r="N594">
        <v>58.8</v>
      </c>
    </row>
    <row r="595" spans="13:14">
      <c r="M595">
        <v>8.8622000000000006E-2</v>
      </c>
      <c r="N595">
        <v>58.9</v>
      </c>
    </row>
    <row r="596" spans="13:14">
      <c r="M596">
        <v>8.8622000000000006E-2</v>
      </c>
      <c r="N596">
        <v>59</v>
      </c>
    </row>
    <row r="597" spans="13:14">
      <c r="M597">
        <v>8.8622000000000006E-2</v>
      </c>
      <c r="N597">
        <v>59.1</v>
      </c>
    </row>
    <row r="598" spans="13:14">
      <c r="M598">
        <v>8.8622000000000006E-2</v>
      </c>
      <c r="N598">
        <v>59.2</v>
      </c>
    </row>
    <row r="599" spans="13:14">
      <c r="M599">
        <v>8.8622000000000006E-2</v>
      </c>
      <c r="N599">
        <v>59.3</v>
      </c>
    </row>
    <row r="600" spans="13:14">
      <c r="M600">
        <v>8.8622000000000006E-2</v>
      </c>
      <c r="N600">
        <v>59.4</v>
      </c>
    </row>
    <row r="601" spans="13:14">
      <c r="M601">
        <v>8.8622000000000006E-2</v>
      </c>
      <c r="N601">
        <v>59.5</v>
      </c>
    </row>
    <row r="602" spans="13:14">
      <c r="M602">
        <v>8.8622000000000006E-2</v>
      </c>
      <c r="N602">
        <v>59.6</v>
      </c>
    </row>
    <row r="603" spans="13:14">
      <c r="M603">
        <v>8.8622000000000006E-2</v>
      </c>
      <c r="N603">
        <v>59.7</v>
      </c>
    </row>
    <row r="604" spans="13:14">
      <c r="M604">
        <v>8.8622000000000006E-2</v>
      </c>
      <c r="N604">
        <v>59.8</v>
      </c>
    </row>
    <row r="605" spans="13:14">
      <c r="M605">
        <v>8.8622000000000006E-2</v>
      </c>
      <c r="N605">
        <v>59.9</v>
      </c>
    </row>
    <row r="606" spans="13:14">
      <c r="M606">
        <v>8.8622000000000006E-2</v>
      </c>
      <c r="N606">
        <v>60</v>
      </c>
    </row>
    <row r="607" spans="13:14">
      <c r="M607">
        <v>8.8622000000000006E-2</v>
      </c>
      <c r="N607">
        <v>60.1</v>
      </c>
    </row>
    <row r="608" spans="13:14">
      <c r="M608">
        <v>8.8622000000000006E-2</v>
      </c>
      <c r="N608">
        <v>60.2</v>
      </c>
    </row>
    <row r="609" spans="13:14">
      <c r="M609">
        <v>8.8622000000000006E-2</v>
      </c>
      <c r="N609">
        <v>60.3</v>
      </c>
    </row>
    <row r="610" spans="13:14">
      <c r="M610">
        <v>8.8622000000000006E-2</v>
      </c>
      <c r="N610">
        <v>60.4</v>
      </c>
    </row>
    <row r="611" spans="13:14">
      <c r="M611">
        <v>8.8622000000000006E-2</v>
      </c>
      <c r="N611">
        <v>60.5</v>
      </c>
    </row>
    <row r="612" spans="13:14">
      <c r="M612">
        <v>8.8622000000000006E-2</v>
      </c>
      <c r="N612">
        <v>60.6</v>
      </c>
    </row>
    <row r="613" spans="13:14">
      <c r="M613">
        <v>8.8622000000000006E-2</v>
      </c>
      <c r="N613">
        <v>60.7</v>
      </c>
    </row>
    <row r="614" spans="13:14">
      <c r="M614">
        <v>8.8622000000000006E-2</v>
      </c>
      <c r="N614">
        <v>60.8</v>
      </c>
    </row>
    <row r="615" spans="13:14">
      <c r="M615">
        <v>8.8622000000000006E-2</v>
      </c>
      <c r="N615">
        <v>60.9</v>
      </c>
    </row>
    <row r="616" spans="13:14">
      <c r="M616">
        <v>8.8622000000000006E-2</v>
      </c>
      <c r="N616">
        <v>61</v>
      </c>
    </row>
    <row r="617" spans="13:14">
      <c r="M617">
        <v>8.8622000000000006E-2</v>
      </c>
      <c r="N617">
        <v>61.1</v>
      </c>
    </row>
    <row r="618" spans="13:14">
      <c r="M618">
        <v>8.8622000000000006E-2</v>
      </c>
      <c r="N618">
        <v>61.2</v>
      </c>
    </row>
    <row r="619" spans="13:14">
      <c r="M619">
        <v>8.8622000000000006E-2</v>
      </c>
      <c r="N619">
        <v>61.3</v>
      </c>
    </row>
    <row r="620" spans="13:14">
      <c r="M620">
        <v>8.8622000000000006E-2</v>
      </c>
      <c r="N620">
        <v>61.4</v>
      </c>
    </row>
    <row r="621" spans="13:14">
      <c r="M621">
        <v>8.8622000000000006E-2</v>
      </c>
      <c r="N621">
        <v>61.5</v>
      </c>
    </row>
    <row r="622" spans="13:14">
      <c r="M622">
        <v>8.8622000000000006E-2</v>
      </c>
      <c r="N622">
        <v>61.6</v>
      </c>
    </row>
    <row r="623" spans="13:14">
      <c r="M623">
        <v>8.8622000000000006E-2</v>
      </c>
      <c r="N623">
        <v>61.7</v>
      </c>
    </row>
    <row r="624" spans="13:14">
      <c r="M624">
        <v>8.8622000000000006E-2</v>
      </c>
      <c r="N624">
        <v>61.8</v>
      </c>
    </row>
    <row r="625" spans="13:14">
      <c r="M625">
        <v>8.8622000000000006E-2</v>
      </c>
      <c r="N625">
        <v>61.9</v>
      </c>
    </row>
    <row r="626" spans="13:14">
      <c r="M626">
        <v>8.8622000000000006E-2</v>
      </c>
      <c r="N626">
        <v>62</v>
      </c>
    </row>
    <row r="627" spans="13:14">
      <c r="M627">
        <v>8.8622000000000006E-2</v>
      </c>
      <c r="N627">
        <v>62.1</v>
      </c>
    </row>
    <row r="628" spans="13:14">
      <c r="M628">
        <v>8.8622000000000006E-2</v>
      </c>
      <c r="N628">
        <v>62.2</v>
      </c>
    </row>
    <row r="629" spans="13:14">
      <c r="M629">
        <v>8.8622000000000006E-2</v>
      </c>
      <c r="N629">
        <v>62.3</v>
      </c>
    </row>
    <row r="630" spans="13:14">
      <c r="M630">
        <v>8.8622000000000006E-2</v>
      </c>
      <c r="N630">
        <v>62.4</v>
      </c>
    </row>
    <row r="631" spans="13:14">
      <c r="M631">
        <v>8.8622000000000006E-2</v>
      </c>
      <c r="N631">
        <v>62.5</v>
      </c>
    </row>
    <row r="632" spans="13:14">
      <c r="M632">
        <v>8.8622000000000006E-2</v>
      </c>
      <c r="N632">
        <v>62.6</v>
      </c>
    </row>
    <row r="633" spans="13:14">
      <c r="M633">
        <v>8.8622000000000006E-2</v>
      </c>
      <c r="N633">
        <v>62.7</v>
      </c>
    </row>
    <row r="634" spans="13:14">
      <c r="M634">
        <v>8.8622000000000006E-2</v>
      </c>
      <c r="N634">
        <v>62.8</v>
      </c>
    </row>
    <row r="635" spans="13:14">
      <c r="M635">
        <v>8.8622000000000006E-2</v>
      </c>
      <c r="N635">
        <v>62.9</v>
      </c>
    </row>
    <row r="636" spans="13:14">
      <c r="M636">
        <v>8.8622000000000006E-2</v>
      </c>
      <c r="N636">
        <v>63</v>
      </c>
    </row>
    <row r="637" spans="13:14">
      <c r="M637">
        <v>8.8622000000000006E-2</v>
      </c>
      <c r="N637">
        <v>63.1</v>
      </c>
    </row>
    <row r="638" spans="13:14">
      <c r="M638">
        <v>8.8622000000000006E-2</v>
      </c>
      <c r="N638">
        <v>63.2</v>
      </c>
    </row>
    <row r="639" spans="13:14">
      <c r="M639">
        <v>8.8622000000000006E-2</v>
      </c>
      <c r="N639">
        <v>63.3</v>
      </c>
    </row>
    <row r="640" spans="13:14">
      <c r="M640">
        <v>8.8622000000000006E-2</v>
      </c>
      <c r="N640">
        <v>63.4</v>
      </c>
    </row>
    <row r="641" spans="13:14">
      <c r="M641">
        <v>8.8622000000000006E-2</v>
      </c>
      <c r="N641">
        <v>63.5</v>
      </c>
    </row>
    <row r="642" spans="13:14">
      <c r="M642">
        <v>8.8622000000000006E-2</v>
      </c>
      <c r="N642">
        <v>63.6</v>
      </c>
    </row>
    <row r="643" spans="13:14">
      <c r="M643">
        <v>8.8622000000000006E-2</v>
      </c>
      <c r="N643">
        <v>63.7</v>
      </c>
    </row>
    <row r="644" spans="13:14">
      <c r="M644">
        <v>8.8622000000000006E-2</v>
      </c>
      <c r="N644">
        <v>63.8</v>
      </c>
    </row>
    <row r="645" spans="13:14">
      <c r="M645">
        <v>8.8622000000000006E-2</v>
      </c>
      <c r="N645">
        <v>63.9</v>
      </c>
    </row>
    <row r="646" spans="13:14">
      <c r="M646">
        <v>8.8622000000000006E-2</v>
      </c>
      <c r="N646">
        <v>64</v>
      </c>
    </row>
    <row r="647" spans="13:14">
      <c r="M647">
        <v>8.8622000000000006E-2</v>
      </c>
      <c r="N647">
        <v>64.099999999999994</v>
      </c>
    </row>
    <row r="648" spans="13:14">
      <c r="M648">
        <v>8.8622000000000006E-2</v>
      </c>
      <c r="N648">
        <v>64.2</v>
      </c>
    </row>
    <row r="649" spans="13:14">
      <c r="M649">
        <v>8.8622000000000006E-2</v>
      </c>
      <c r="N649">
        <v>64.3</v>
      </c>
    </row>
    <row r="650" spans="13:14">
      <c r="M650">
        <v>8.8622000000000006E-2</v>
      </c>
      <c r="N650">
        <v>64.400000000000006</v>
      </c>
    </row>
    <row r="651" spans="13:14">
      <c r="M651">
        <v>8.8622000000000006E-2</v>
      </c>
      <c r="N651">
        <v>64.5</v>
      </c>
    </row>
    <row r="652" spans="13:14">
      <c r="M652">
        <v>8.8622000000000006E-2</v>
      </c>
      <c r="N652">
        <v>64.599999999999994</v>
      </c>
    </row>
    <row r="653" spans="13:14">
      <c r="M653">
        <v>8.8622000000000006E-2</v>
      </c>
      <c r="N653">
        <v>64.7</v>
      </c>
    </row>
    <row r="654" spans="13:14">
      <c r="M654">
        <v>8.8622000000000006E-2</v>
      </c>
      <c r="N654">
        <v>64.8</v>
      </c>
    </row>
    <row r="655" spans="13:14">
      <c r="M655">
        <v>8.8622000000000006E-2</v>
      </c>
      <c r="N655">
        <v>64.900000000000006</v>
      </c>
    </row>
    <row r="656" spans="13:14">
      <c r="M656">
        <v>8.8622000000000006E-2</v>
      </c>
      <c r="N656">
        <v>65</v>
      </c>
    </row>
    <row r="657" spans="13:14">
      <c r="M657">
        <v>8.8622000000000006E-2</v>
      </c>
      <c r="N657">
        <v>65.099999999999994</v>
      </c>
    </row>
    <row r="658" spans="13:14">
      <c r="M658">
        <v>8.8622000000000006E-2</v>
      </c>
      <c r="N658">
        <v>65.2</v>
      </c>
    </row>
    <row r="659" spans="13:14">
      <c r="M659">
        <v>8.8622000000000006E-2</v>
      </c>
      <c r="N659">
        <v>65.3</v>
      </c>
    </row>
    <row r="660" spans="13:14">
      <c r="M660">
        <v>8.8622000000000006E-2</v>
      </c>
      <c r="N660">
        <v>65.400000000000006</v>
      </c>
    </row>
    <row r="661" spans="13:14">
      <c r="M661">
        <v>8.8622000000000006E-2</v>
      </c>
      <c r="N661">
        <v>65.5</v>
      </c>
    </row>
    <row r="662" spans="13:14">
      <c r="M662">
        <v>8.8622000000000006E-2</v>
      </c>
      <c r="N662">
        <v>65.599999999999994</v>
      </c>
    </row>
    <row r="663" spans="13:14">
      <c r="M663">
        <v>8.8622000000000006E-2</v>
      </c>
      <c r="N663">
        <v>65.7</v>
      </c>
    </row>
    <row r="664" spans="13:14">
      <c r="M664">
        <v>8.8622000000000006E-2</v>
      </c>
      <c r="N664">
        <v>65.8</v>
      </c>
    </row>
    <row r="665" spans="13:14">
      <c r="M665">
        <v>8.8622000000000006E-2</v>
      </c>
      <c r="N665">
        <v>65.900000000000006</v>
      </c>
    </row>
    <row r="666" spans="13:14">
      <c r="M666">
        <v>8.8622000000000006E-2</v>
      </c>
      <c r="N666">
        <v>66</v>
      </c>
    </row>
    <row r="667" spans="13:14">
      <c r="M667">
        <v>8.8622000000000006E-2</v>
      </c>
      <c r="N667">
        <v>66.099999999999994</v>
      </c>
    </row>
    <row r="668" spans="13:14">
      <c r="M668">
        <v>8.8622000000000006E-2</v>
      </c>
      <c r="N668">
        <v>66.2</v>
      </c>
    </row>
    <row r="669" spans="13:14">
      <c r="M669">
        <v>8.8622000000000006E-2</v>
      </c>
      <c r="N669">
        <v>66.3</v>
      </c>
    </row>
    <row r="670" spans="13:14">
      <c r="M670">
        <v>8.8622000000000006E-2</v>
      </c>
      <c r="N670">
        <v>66.400000000000006</v>
      </c>
    </row>
    <row r="671" spans="13:14">
      <c r="M671">
        <v>8.8622000000000006E-2</v>
      </c>
      <c r="N671">
        <v>66.5</v>
      </c>
    </row>
    <row r="672" spans="13:14">
      <c r="M672">
        <v>8.8622000000000006E-2</v>
      </c>
      <c r="N672">
        <v>66.599999999999994</v>
      </c>
    </row>
    <row r="673" spans="13:14">
      <c r="M673">
        <v>8.8622000000000006E-2</v>
      </c>
      <c r="N673">
        <v>66.7</v>
      </c>
    </row>
    <row r="674" spans="13:14">
      <c r="M674">
        <v>8.8622000000000006E-2</v>
      </c>
      <c r="N674">
        <v>66.8</v>
      </c>
    </row>
    <row r="675" spans="13:14">
      <c r="M675">
        <v>8.8622000000000006E-2</v>
      </c>
      <c r="N675">
        <v>66.900000000000006</v>
      </c>
    </row>
    <row r="676" spans="13:14">
      <c r="M676">
        <v>8.8622000000000006E-2</v>
      </c>
      <c r="N676">
        <v>67</v>
      </c>
    </row>
    <row r="677" spans="13:14">
      <c r="M677">
        <v>8.8622000000000006E-2</v>
      </c>
      <c r="N677">
        <v>67.099999999999994</v>
      </c>
    </row>
    <row r="678" spans="13:14">
      <c r="M678">
        <v>8.8622000000000006E-2</v>
      </c>
      <c r="N678">
        <v>67.2</v>
      </c>
    </row>
    <row r="679" spans="13:14">
      <c r="M679">
        <v>8.8622000000000006E-2</v>
      </c>
      <c r="N679">
        <v>67.3</v>
      </c>
    </row>
    <row r="680" spans="13:14">
      <c r="M680">
        <v>0.100726352000002</v>
      </c>
      <c r="N680">
        <v>67.400000000000006</v>
      </c>
    </row>
    <row r="681" spans="13:14">
      <c r="M681">
        <v>0.12353840000000101</v>
      </c>
      <c r="N681">
        <v>67.5</v>
      </c>
    </row>
    <row r="682" spans="13:14">
      <c r="M682">
        <v>0.14635044800000099</v>
      </c>
      <c r="N682">
        <v>67.599999999999994</v>
      </c>
    </row>
    <row r="683" spans="13:14">
      <c r="M683">
        <v>0.16916172800000101</v>
      </c>
      <c r="N683">
        <v>67.7</v>
      </c>
    </row>
    <row r="684" spans="13:14">
      <c r="M684">
        <v>0.19197299200000101</v>
      </c>
      <c r="N684">
        <v>67.8</v>
      </c>
    </row>
    <row r="685" spans="13:14">
      <c r="M685">
        <v>0.205008</v>
      </c>
      <c r="N685">
        <v>67.900000000000006</v>
      </c>
    </row>
    <row r="686" spans="13:14">
      <c r="M686">
        <v>0.205008</v>
      </c>
      <c r="N686">
        <v>68</v>
      </c>
    </row>
    <row r="687" spans="13:14">
      <c r="M687">
        <v>0.205008</v>
      </c>
      <c r="N687">
        <v>68.099999999999994</v>
      </c>
    </row>
    <row r="688" spans="13:14">
      <c r="M688">
        <v>0.22502604800000001</v>
      </c>
      <c r="N688">
        <v>68.2</v>
      </c>
    </row>
    <row r="689" spans="13:14">
      <c r="M689">
        <v>0.247837312000003</v>
      </c>
      <c r="N689">
        <v>68.3</v>
      </c>
    </row>
    <row r="690" spans="13:14">
      <c r="M690">
        <v>0.27064870400000202</v>
      </c>
      <c r="N690">
        <v>68.400000000000006</v>
      </c>
    </row>
    <row r="691" spans="13:14">
      <c r="M691">
        <v>0.29346036000000197</v>
      </c>
      <c r="N691">
        <v>68.5</v>
      </c>
    </row>
    <row r="692" spans="13:14">
      <c r="M692">
        <v>0.31627201600000199</v>
      </c>
      <c r="N692">
        <v>68.599999999999994</v>
      </c>
    </row>
    <row r="693" spans="13:14">
      <c r="M693">
        <v>0.33908336800000199</v>
      </c>
      <c r="N693">
        <v>68.7</v>
      </c>
    </row>
    <row r="694" spans="13:14">
      <c r="M694">
        <v>0.36189463200000199</v>
      </c>
      <c r="N694">
        <v>68.8</v>
      </c>
    </row>
    <row r="695" spans="13:14">
      <c r="M695">
        <v>0.37958500000000001</v>
      </c>
      <c r="N695">
        <v>68.900000000000006</v>
      </c>
    </row>
    <row r="696" spans="13:14">
      <c r="M696">
        <v>0.37958500000000001</v>
      </c>
      <c r="N696">
        <v>69</v>
      </c>
    </row>
    <row r="697" spans="13:14">
      <c r="M697">
        <v>0.37958500000000001</v>
      </c>
      <c r="N697">
        <v>69.099999999999994</v>
      </c>
    </row>
    <row r="698" spans="13:14">
      <c r="M698">
        <v>0.39494768800000102</v>
      </c>
      <c r="N698">
        <v>69.2</v>
      </c>
    </row>
    <row r="699" spans="13:14">
      <c r="M699">
        <v>0.41775895200000002</v>
      </c>
      <c r="N699">
        <v>69.3</v>
      </c>
    </row>
    <row r="700" spans="13:14">
      <c r="M700">
        <v>0.43777700000000003</v>
      </c>
      <c r="N700">
        <v>69.400000000000006</v>
      </c>
    </row>
    <row r="701" spans="13:14">
      <c r="M701">
        <v>0.43777700000000003</v>
      </c>
      <c r="N701">
        <v>69.5</v>
      </c>
    </row>
    <row r="702" spans="13:14">
      <c r="M702">
        <v>0.43777700000000003</v>
      </c>
      <c r="N702">
        <v>69.599999999999994</v>
      </c>
    </row>
    <row r="703" spans="13:14">
      <c r="M703">
        <v>0.48538775200001</v>
      </c>
      <c r="N703">
        <v>69.7</v>
      </c>
    </row>
    <row r="704" spans="13:14">
      <c r="M704">
        <v>0.56870656800000896</v>
      </c>
      <c r="N704">
        <v>69.8</v>
      </c>
    </row>
    <row r="705" spans="13:14">
      <c r="M705">
        <v>0.65079053600000203</v>
      </c>
      <c r="N705">
        <v>69.900000000000006</v>
      </c>
    </row>
    <row r="706" spans="13:14">
      <c r="M706">
        <v>0.67360180000000203</v>
      </c>
      <c r="N706">
        <v>70</v>
      </c>
    </row>
    <row r="707" spans="13:14">
      <c r="M707">
        <v>0.69641306400000202</v>
      </c>
      <c r="N707">
        <v>70.099999999999994</v>
      </c>
    </row>
    <row r="708" spans="13:14">
      <c r="M708">
        <v>0.70851699999999995</v>
      </c>
      <c r="N708">
        <v>70.2</v>
      </c>
    </row>
    <row r="709" spans="13:14">
      <c r="M709">
        <v>0.70851699999999995</v>
      </c>
      <c r="N709">
        <v>70.3</v>
      </c>
    </row>
    <row r="710" spans="13:14">
      <c r="M710">
        <v>0.70851699999999995</v>
      </c>
      <c r="N710">
        <v>70.400000000000006</v>
      </c>
    </row>
    <row r="711" spans="13:14">
      <c r="M711">
        <v>0.70851699999999995</v>
      </c>
      <c r="N711">
        <v>70.5</v>
      </c>
    </row>
    <row r="712" spans="13:14">
      <c r="M712">
        <v>0.70851699999999995</v>
      </c>
      <c r="N712">
        <v>70.599999999999994</v>
      </c>
    </row>
    <row r="713" spans="13:14">
      <c r="M713">
        <v>0.70851699999999995</v>
      </c>
      <c r="N713">
        <v>70.7</v>
      </c>
    </row>
    <row r="714" spans="13:14">
      <c r="M714">
        <v>0.70851699999999995</v>
      </c>
      <c r="N714">
        <v>70.8</v>
      </c>
    </row>
    <row r="715" spans="13:14">
      <c r="M715">
        <v>0.70851699999999995</v>
      </c>
      <c r="N715">
        <v>70.900000000000006</v>
      </c>
    </row>
    <row r="716" spans="13:14">
      <c r="M716">
        <v>0.70851699999999995</v>
      </c>
      <c r="N716">
        <v>71</v>
      </c>
    </row>
    <row r="717" spans="13:14">
      <c r="M717">
        <v>0.70851699999999995</v>
      </c>
      <c r="N717">
        <v>71.099999999999994</v>
      </c>
    </row>
    <row r="718" spans="13:14">
      <c r="M718">
        <v>0.70851699999999995</v>
      </c>
      <c r="N718">
        <v>71.2</v>
      </c>
    </row>
    <row r="719" spans="13:14">
      <c r="M719">
        <v>0.70851699999999995</v>
      </c>
      <c r="N719">
        <v>71.3</v>
      </c>
    </row>
    <row r="720" spans="13:14">
      <c r="M720">
        <v>0.70851699999999995</v>
      </c>
      <c r="N720">
        <v>71.400000000000006</v>
      </c>
    </row>
    <row r="721" spans="13:14">
      <c r="M721">
        <v>0.70851699999999995</v>
      </c>
      <c r="N721">
        <v>71.5</v>
      </c>
    </row>
    <row r="722" spans="13:14">
      <c r="M722">
        <v>0.70851699999999995</v>
      </c>
      <c r="N722">
        <v>71.599999999999994</v>
      </c>
    </row>
    <row r="723" spans="13:14">
      <c r="M723">
        <v>0.70851699999999995</v>
      </c>
      <c r="N723">
        <v>71.7</v>
      </c>
    </row>
    <row r="724" spans="13:14">
      <c r="M724">
        <v>0.70851699999999995</v>
      </c>
      <c r="N724">
        <v>71.8</v>
      </c>
    </row>
    <row r="725" spans="13:14">
      <c r="M725">
        <v>0.70851699999999995</v>
      </c>
      <c r="N725">
        <v>71.900000000000006</v>
      </c>
    </row>
    <row r="726" spans="13:14">
      <c r="M726">
        <v>0.70851699999999995</v>
      </c>
      <c r="N726">
        <v>72</v>
      </c>
    </row>
    <row r="727" spans="13:14">
      <c r="M727">
        <v>0.70851699999999995</v>
      </c>
      <c r="N727">
        <v>72.099999999999994</v>
      </c>
    </row>
    <row r="728" spans="13:14">
      <c r="M728">
        <v>0.70851699999999995</v>
      </c>
      <c r="N728">
        <v>72.2</v>
      </c>
    </row>
    <row r="729" spans="13:14">
      <c r="M729">
        <v>0.70851699999999995</v>
      </c>
      <c r="N729">
        <v>72.3</v>
      </c>
    </row>
    <row r="730" spans="13:14">
      <c r="M730">
        <v>0.70851699999999995</v>
      </c>
      <c r="N730">
        <v>72.400000000000006</v>
      </c>
    </row>
    <row r="731" spans="13:14">
      <c r="M731">
        <v>0.70851699999999995</v>
      </c>
      <c r="N731">
        <v>72.5</v>
      </c>
    </row>
    <row r="732" spans="13:14">
      <c r="M732">
        <v>0.70851699999999995</v>
      </c>
      <c r="N732">
        <v>72.599999999999994</v>
      </c>
    </row>
    <row r="733" spans="13:14">
      <c r="M733">
        <v>0.70851699999999995</v>
      </c>
      <c r="N733">
        <v>72.7</v>
      </c>
    </row>
    <row r="734" spans="13:14">
      <c r="M734">
        <v>0.70851699999999995</v>
      </c>
      <c r="N734">
        <v>72.8</v>
      </c>
    </row>
    <row r="735" spans="13:14">
      <c r="M735">
        <v>0.70851699999999995</v>
      </c>
      <c r="N735">
        <v>72.900000000000006</v>
      </c>
    </row>
    <row r="736" spans="13:14">
      <c r="M736">
        <v>0.70851699999999995</v>
      </c>
      <c r="N736">
        <v>73</v>
      </c>
    </row>
    <row r="737" spans="13:14">
      <c r="M737">
        <v>0.70851699999999995</v>
      </c>
      <c r="N737">
        <v>73.099999999999994</v>
      </c>
    </row>
    <row r="738" spans="13:14">
      <c r="M738">
        <v>0.70851699999999995</v>
      </c>
      <c r="N738">
        <v>73.2</v>
      </c>
    </row>
    <row r="739" spans="13:14">
      <c r="M739">
        <v>0.70851699999999995</v>
      </c>
      <c r="N739">
        <v>73.3</v>
      </c>
    </row>
    <row r="740" spans="13:14">
      <c r="M740">
        <v>0.70851699999999995</v>
      </c>
      <c r="N740">
        <v>73.400000000000006</v>
      </c>
    </row>
    <row r="741" spans="13:14">
      <c r="M741">
        <v>0.70851699999999995</v>
      </c>
      <c r="N741">
        <v>73.5</v>
      </c>
    </row>
    <row r="742" spans="13:14">
      <c r="M742">
        <v>0.70851699999999995</v>
      </c>
      <c r="N742">
        <v>73.599999999999994</v>
      </c>
    </row>
    <row r="743" spans="13:14">
      <c r="M743">
        <v>0.70851699999999995</v>
      </c>
      <c r="N743">
        <v>73.7</v>
      </c>
    </row>
    <row r="744" spans="13:14">
      <c r="M744">
        <v>0.70851699999999995</v>
      </c>
      <c r="N744">
        <v>73.8</v>
      </c>
    </row>
    <row r="745" spans="13:14">
      <c r="M745">
        <v>0.70851699999999995</v>
      </c>
      <c r="N745">
        <v>73.900000000000006</v>
      </c>
    </row>
    <row r="746" spans="13:14">
      <c r="M746">
        <v>0.70851699999999995</v>
      </c>
      <c r="N746">
        <v>74</v>
      </c>
    </row>
    <row r="747" spans="13:14">
      <c r="M747">
        <v>0.70851699999999995</v>
      </c>
      <c r="N747">
        <v>74.099999999999994</v>
      </c>
    </row>
    <row r="748" spans="13:14">
      <c r="M748">
        <v>0.70851699999999995</v>
      </c>
      <c r="N748">
        <v>74.2</v>
      </c>
    </row>
    <row r="749" spans="13:14">
      <c r="M749">
        <v>0.70851699999999995</v>
      </c>
      <c r="N749">
        <v>74.3</v>
      </c>
    </row>
    <row r="750" spans="13:14">
      <c r="M750">
        <v>0.70851699999999995</v>
      </c>
      <c r="N750">
        <v>74.400000000000006</v>
      </c>
    </row>
    <row r="751" spans="13:14">
      <c r="M751">
        <v>0.70851699999999995</v>
      </c>
      <c r="N751">
        <v>74.5</v>
      </c>
    </row>
    <row r="752" spans="13:14">
      <c r="M752">
        <v>0.70851699999999995</v>
      </c>
      <c r="N752">
        <v>74.599999999999994</v>
      </c>
    </row>
    <row r="753" spans="13:14">
      <c r="M753">
        <v>0.70851699999999995</v>
      </c>
      <c r="N753">
        <v>74.7</v>
      </c>
    </row>
    <row r="754" spans="13:14">
      <c r="M754">
        <v>0.70851699999999995</v>
      </c>
      <c r="N754">
        <v>74.8</v>
      </c>
    </row>
    <row r="755" spans="13:14">
      <c r="M755">
        <v>0.70851699999999995</v>
      </c>
      <c r="N755">
        <v>74.900000000000006</v>
      </c>
    </row>
    <row r="756" spans="13:14">
      <c r="M756">
        <v>0.70851699999999995</v>
      </c>
      <c r="N756">
        <v>75</v>
      </c>
    </row>
    <row r="757" spans="13:14">
      <c r="M757">
        <v>0.70851699999999995</v>
      </c>
      <c r="N757">
        <v>75.099999999999994</v>
      </c>
    </row>
    <row r="758" spans="13:14">
      <c r="M758">
        <v>0.70851699999999995</v>
      </c>
      <c r="N758">
        <v>75.2</v>
      </c>
    </row>
    <row r="759" spans="13:14">
      <c r="M759">
        <v>0.70851699999999995</v>
      </c>
      <c r="N759">
        <v>75.3</v>
      </c>
    </row>
    <row r="760" spans="13:14">
      <c r="M760">
        <v>0.70851699999999995</v>
      </c>
      <c r="N760">
        <v>75.400000000000006</v>
      </c>
    </row>
    <row r="761" spans="13:14">
      <c r="M761">
        <v>0.70851699999999995</v>
      </c>
      <c r="N761">
        <v>75.5</v>
      </c>
    </row>
    <row r="762" spans="13:14">
      <c r="M762">
        <v>0.70851699999999995</v>
      </c>
      <c r="N762">
        <v>75.599999999999994</v>
      </c>
    </row>
    <row r="763" spans="13:14">
      <c r="M763">
        <v>0.70851699999999995</v>
      </c>
      <c r="N763">
        <v>75.7</v>
      </c>
    </row>
    <row r="764" spans="13:14">
      <c r="M764">
        <v>0.70851699999999995</v>
      </c>
      <c r="N764">
        <v>75.8</v>
      </c>
    </row>
    <row r="765" spans="13:14">
      <c r="M765">
        <v>0.70851699999999995</v>
      </c>
      <c r="N765">
        <v>75.900000000000006</v>
      </c>
    </row>
    <row r="766" spans="13:14">
      <c r="M766">
        <v>0.70851699999999995</v>
      </c>
      <c r="N766">
        <v>76</v>
      </c>
    </row>
    <row r="767" spans="13:14">
      <c r="M767">
        <v>0.72667290400000095</v>
      </c>
      <c r="N767">
        <v>76.099999999999994</v>
      </c>
    </row>
    <row r="768" spans="13:14">
      <c r="M768">
        <v>0.74948416799999995</v>
      </c>
      <c r="N768">
        <v>76.2</v>
      </c>
    </row>
    <row r="769" spans="13:14">
      <c r="M769">
        <v>0.76670899999999997</v>
      </c>
      <c r="N769">
        <v>76.3</v>
      </c>
    </row>
    <row r="770" spans="13:14">
      <c r="M770">
        <v>0.76670899999999997</v>
      </c>
      <c r="N770">
        <v>76.400000000000006</v>
      </c>
    </row>
    <row r="771" spans="13:14">
      <c r="M771">
        <v>0.76670899999999997</v>
      </c>
      <c r="N771">
        <v>76.5</v>
      </c>
    </row>
    <row r="772" spans="13:14">
      <c r="M772">
        <v>0.76670899999999997</v>
      </c>
      <c r="N772">
        <v>76.599999999999994</v>
      </c>
    </row>
    <row r="773" spans="13:14">
      <c r="M773">
        <v>0.76670899999999997</v>
      </c>
      <c r="N773">
        <v>76.7</v>
      </c>
    </row>
    <row r="774" spans="13:14">
      <c r="M774">
        <v>0.76670899999999997</v>
      </c>
      <c r="N774">
        <v>76.8</v>
      </c>
    </row>
    <row r="775" spans="13:14">
      <c r="M775">
        <v>0.76670899999999997</v>
      </c>
      <c r="N775">
        <v>76.900000000000006</v>
      </c>
    </row>
    <row r="776" spans="13:14">
      <c r="M776">
        <v>0.76670899999999997</v>
      </c>
      <c r="N776">
        <v>77</v>
      </c>
    </row>
    <row r="777" spans="13:14">
      <c r="M777">
        <v>0.76670899999999997</v>
      </c>
      <c r="N777">
        <v>77.099999999999994</v>
      </c>
    </row>
    <row r="778" spans="13:14">
      <c r="M778">
        <v>0.76670899999999997</v>
      </c>
      <c r="N778">
        <v>77.2</v>
      </c>
    </row>
    <row r="779" spans="13:14">
      <c r="M779">
        <v>0.76670899999999997</v>
      </c>
      <c r="N779">
        <v>77.3</v>
      </c>
    </row>
    <row r="780" spans="13:14">
      <c r="M780">
        <v>0.76670899999999997</v>
      </c>
      <c r="N780">
        <v>77.400000000000006</v>
      </c>
    </row>
    <row r="781" spans="13:14">
      <c r="M781">
        <v>0.76670899999999997</v>
      </c>
      <c r="N781">
        <v>77.5</v>
      </c>
    </row>
    <row r="782" spans="13:14">
      <c r="M782">
        <v>0.76670899999999997</v>
      </c>
      <c r="N782">
        <v>77.599999999999994</v>
      </c>
    </row>
    <row r="783" spans="13:14">
      <c r="M783">
        <v>0.76670899999999997</v>
      </c>
      <c r="N783">
        <v>77.7</v>
      </c>
    </row>
    <row r="784" spans="13:14">
      <c r="M784">
        <v>0.76670899999999997</v>
      </c>
      <c r="N784">
        <v>77.8</v>
      </c>
    </row>
    <row r="785" spans="13:14">
      <c r="M785">
        <v>0.76670899999999997</v>
      </c>
      <c r="N785">
        <v>77.900000000000006</v>
      </c>
    </row>
    <row r="786" spans="13:14">
      <c r="M786">
        <v>0.76670899999999997</v>
      </c>
      <c r="N786">
        <v>78</v>
      </c>
    </row>
    <row r="787" spans="13:14">
      <c r="M787">
        <v>0.76670899999999997</v>
      </c>
      <c r="N787">
        <v>78.099999999999994</v>
      </c>
    </row>
    <row r="788" spans="13:14">
      <c r="M788">
        <v>0.76670899999999997</v>
      </c>
      <c r="N788">
        <v>78.2</v>
      </c>
    </row>
    <row r="789" spans="13:14">
      <c r="M789">
        <v>0.76670899999999997</v>
      </c>
      <c r="N789">
        <v>78.3</v>
      </c>
    </row>
    <row r="790" spans="13:14">
      <c r="M790">
        <v>0.76670899999999997</v>
      </c>
      <c r="N790">
        <v>78.400000000000006</v>
      </c>
    </row>
    <row r="791" spans="13:14">
      <c r="M791">
        <v>0.76670899999999997</v>
      </c>
      <c r="N791">
        <v>78.5</v>
      </c>
    </row>
    <row r="792" spans="13:14">
      <c r="M792">
        <v>0.76670899999999997</v>
      </c>
      <c r="N792">
        <v>78.599999999999994</v>
      </c>
    </row>
    <row r="793" spans="13:14">
      <c r="M793">
        <v>0.76670899999999997</v>
      </c>
      <c r="N793">
        <v>78.7</v>
      </c>
    </row>
    <row r="794" spans="13:14">
      <c r="M794">
        <v>0.76670899999999997</v>
      </c>
      <c r="N794">
        <v>78.8</v>
      </c>
    </row>
    <row r="795" spans="13:14">
      <c r="M795">
        <v>0.76670899999999997</v>
      </c>
      <c r="N795">
        <v>78.900000000000006</v>
      </c>
    </row>
    <row r="796" spans="13:14">
      <c r="M796">
        <v>0.76670899999999997</v>
      </c>
      <c r="N796">
        <v>79</v>
      </c>
    </row>
    <row r="797" spans="13:14">
      <c r="M797">
        <v>0.76670899999999997</v>
      </c>
      <c r="N797">
        <v>79.099999999999994</v>
      </c>
    </row>
    <row r="798" spans="13:14">
      <c r="M798">
        <v>0.76670899999999997</v>
      </c>
      <c r="N798">
        <v>79.2</v>
      </c>
    </row>
    <row r="799" spans="13:14">
      <c r="M799">
        <v>0.76670899999999997</v>
      </c>
      <c r="N799">
        <v>79.3</v>
      </c>
    </row>
    <row r="800" spans="13:14">
      <c r="M800">
        <v>0.78114086399999905</v>
      </c>
      <c r="N800">
        <v>79.400000000000006</v>
      </c>
    </row>
    <row r="801" spans="13:14">
      <c r="M801">
        <v>0.80395252000000295</v>
      </c>
      <c r="N801">
        <v>79.5</v>
      </c>
    </row>
    <row r="802" spans="13:14">
      <c r="M802">
        <v>0.82490200000000002</v>
      </c>
      <c r="N802">
        <v>79.599999999999994</v>
      </c>
    </row>
    <row r="803" spans="13:14">
      <c r="M803">
        <v>0.82490200000000002</v>
      </c>
      <c r="N803">
        <v>79.7</v>
      </c>
    </row>
    <row r="804" spans="13:14">
      <c r="M804">
        <v>0.82490200000000002</v>
      </c>
      <c r="N804">
        <v>79.8</v>
      </c>
    </row>
    <row r="805" spans="13:14">
      <c r="M805">
        <v>0.82490200000000002</v>
      </c>
      <c r="N805">
        <v>79.900000000000006</v>
      </c>
    </row>
    <row r="806" spans="13:14">
      <c r="M806">
        <v>0.82490200000000002</v>
      </c>
      <c r="N806">
        <v>80</v>
      </c>
    </row>
    <row r="807" spans="13:14">
      <c r="M807">
        <v>0.82490200000000002</v>
      </c>
      <c r="N807">
        <v>80.099999999999994</v>
      </c>
    </row>
    <row r="808" spans="13:14">
      <c r="M808">
        <v>0.82490200000000002</v>
      </c>
      <c r="N808">
        <v>80.2</v>
      </c>
    </row>
    <row r="809" spans="13:14">
      <c r="M809">
        <v>0.82490200000000002</v>
      </c>
      <c r="N809">
        <v>80.3</v>
      </c>
    </row>
    <row r="810" spans="13:14">
      <c r="M810">
        <v>0.82490200000000002</v>
      </c>
      <c r="N810">
        <v>80.400000000000006</v>
      </c>
    </row>
    <row r="811" spans="13:14">
      <c r="M811">
        <v>0.82490200000000002</v>
      </c>
      <c r="N811">
        <v>80.5</v>
      </c>
    </row>
    <row r="812" spans="13:14">
      <c r="M812">
        <v>0.82490200000000002</v>
      </c>
      <c r="N812">
        <v>80.599999999999994</v>
      </c>
    </row>
    <row r="813" spans="13:14">
      <c r="M813">
        <v>0.84492004799999998</v>
      </c>
      <c r="N813">
        <v>80.7</v>
      </c>
    </row>
    <row r="814" spans="13:14">
      <c r="M814">
        <v>0.86773131200000297</v>
      </c>
      <c r="N814">
        <v>80.8</v>
      </c>
    </row>
    <row r="815" spans="13:14">
      <c r="M815">
        <v>0.88309400000000005</v>
      </c>
      <c r="N815">
        <v>80.900000000000006</v>
      </c>
    </row>
    <row r="816" spans="13:14">
      <c r="M816">
        <v>0.88309400000000005</v>
      </c>
      <c r="N816">
        <v>81</v>
      </c>
    </row>
    <row r="817" spans="13:14">
      <c r="M817">
        <v>0.88309400000000005</v>
      </c>
      <c r="N817">
        <v>81.099999999999994</v>
      </c>
    </row>
    <row r="818" spans="13:14">
      <c r="M818">
        <v>0.88309400000000005</v>
      </c>
      <c r="N818">
        <v>81.2</v>
      </c>
    </row>
    <row r="819" spans="13:14">
      <c r="M819">
        <v>0.88309400000000005</v>
      </c>
      <c r="N819">
        <v>81.3</v>
      </c>
    </row>
    <row r="820" spans="13:14">
      <c r="M820">
        <v>0.88309400000000005</v>
      </c>
      <c r="N820">
        <v>81.400000000000006</v>
      </c>
    </row>
    <row r="821" spans="13:14">
      <c r="M821">
        <v>0.88309400000000005</v>
      </c>
      <c r="N821">
        <v>81.5</v>
      </c>
    </row>
    <row r="822" spans="13:14">
      <c r="M822">
        <v>0.88309400000000005</v>
      </c>
      <c r="N822">
        <v>81.599999999999994</v>
      </c>
    </row>
    <row r="823" spans="13:14">
      <c r="M823">
        <v>0.88309400000000005</v>
      </c>
      <c r="N823">
        <v>81.7</v>
      </c>
    </row>
    <row r="824" spans="13:14">
      <c r="M824">
        <v>0.88309400000000005</v>
      </c>
      <c r="N824">
        <v>81.8</v>
      </c>
    </row>
    <row r="825" spans="13:14">
      <c r="M825">
        <v>0.88309400000000005</v>
      </c>
      <c r="N825">
        <v>81.900000000000006</v>
      </c>
    </row>
    <row r="826" spans="13:14">
      <c r="M826">
        <v>0.88309400000000005</v>
      </c>
      <c r="N826">
        <v>82</v>
      </c>
    </row>
    <row r="827" spans="13:14">
      <c r="M827">
        <v>0.88309400000000005</v>
      </c>
      <c r="N827">
        <v>82.1</v>
      </c>
    </row>
    <row r="828" spans="13:14">
      <c r="M828">
        <v>0.88309400000000005</v>
      </c>
      <c r="N828">
        <v>82.2</v>
      </c>
    </row>
    <row r="829" spans="13:14">
      <c r="M829">
        <v>0.88309400000000005</v>
      </c>
      <c r="N829">
        <v>82.3</v>
      </c>
    </row>
    <row r="830" spans="13:14">
      <c r="M830">
        <v>0.88309400000000005</v>
      </c>
      <c r="N830">
        <v>82.4</v>
      </c>
    </row>
    <row r="831" spans="13:14">
      <c r="M831">
        <v>0.88309400000000005</v>
      </c>
      <c r="N831">
        <v>82.5</v>
      </c>
    </row>
    <row r="832" spans="13:14">
      <c r="M832">
        <v>0.88309400000000005</v>
      </c>
      <c r="N832">
        <v>82.6</v>
      </c>
    </row>
    <row r="833" spans="13:14">
      <c r="M833">
        <v>0.88309400000000005</v>
      </c>
      <c r="N833">
        <v>82.7</v>
      </c>
    </row>
    <row r="834" spans="13:14">
      <c r="M834">
        <v>0.88309400000000005</v>
      </c>
      <c r="N834">
        <v>82.8</v>
      </c>
    </row>
    <row r="835" spans="13:14">
      <c r="M835">
        <v>0.88309400000000005</v>
      </c>
      <c r="N835">
        <v>82.9</v>
      </c>
    </row>
    <row r="836" spans="13:14">
      <c r="M836">
        <v>0.88309400000000005</v>
      </c>
      <c r="N836">
        <v>83</v>
      </c>
    </row>
    <row r="837" spans="13:14">
      <c r="M837">
        <v>0.88309400000000005</v>
      </c>
      <c r="N837">
        <v>83.1</v>
      </c>
    </row>
    <row r="838" spans="13:14">
      <c r="M838">
        <v>0.88309400000000005</v>
      </c>
      <c r="N838">
        <v>83.2</v>
      </c>
    </row>
    <row r="839" spans="13:14">
      <c r="M839">
        <v>0.88309400000000005</v>
      </c>
      <c r="N839">
        <v>83.3</v>
      </c>
    </row>
    <row r="840" spans="13:14">
      <c r="M840">
        <v>0.88309400000000005</v>
      </c>
      <c r="N840">
        <v>83.4</v>
      </c>
    </row>
    <row r="841" spans="13:14">
      <c r="M841">
        <v>0.88309400000000005</v>
      </c>
      <c r="N841">
        <v>83.5</v>
      </c>
    </row>
    <row r="842" spans="13:14">
      <c r="M842">
        <v>0.88309400000000005</v>
      </c>
      <c r="N842">
        <v>83.6</v>
      </c>
    </row>
    <row r="843" spans="13:14">
      <c r="M843">
        <v>0.88309400000000005</v>
      </c>
      <c r="N843">
        <v>83.7</v>
      </c>
    </row>
    <row r="844" spans="13:14">
      <c r="M844">
        <v>0.88309400000000005</v>
      </c>
      <c r="N844">
        <v>83.8</v>
      </c>
    </row>
    <row r="845" spans="13:14">
      <c r="M845">
        <v>0.88309400000000005</v>
      </c>
      <c r="N845">
        <v>83.9</v>
      </c>
    </row>
    <row r="846" spans="13:14">
      <c r="M846">
        <v>0.88309400000000005</v>
      </c>
      <c r="N846">
        <v>84</v>
      </c>
    </row>
    <row r="847" spans="13:14">
      <c r="M847">
        <v>0.88309400000000005</v>
      </c>
      <c r="N847">
        <v>84.1</v>
      </c>
    </row>
    <row r="848" spans="13:14">
      <c r="M848">
        <v>0.88309400000000005</v>
      </c>
      <c r="N848">
        <v>84.2</v>
      </c>
    </row>
    <row r="849" spans="13:14">
      <c r="M849">
        <v>0.88309400000000005</v>
      </c>
      <c r="N849">
        <v>84.3</v>
      </c>
    </row>
    <row r="850" spans="13:14">
      <c r="M850">
        <v>0.88309400000000005</v>
      </c>
      <c r="N850">
        <v>84.4</v>
      </c>
    </row>
    <row r="851" spans="13:14">
      <c r="M851">
        <v>0.89706008000000104</v>
      </c>
      <c r="N851">
        <v>84.5</v>
      </c>
    </row>
    <row r="852" spans="13:14">
      <c r="M852">
        <v>0.91987134400000004</v>
      </c>
      <c r="N852">
        <v>84.6</v>
      </c>
    </row>
    <row r="853" spans="13:14">
      <c r="M853">
        <v>0.94407923999999999</v>
      </c>
      <c r="N853">
        <v>84.7</v>
      </c>
    </row>
    <row r="854" spans="13:14">
      <c r="M854">
        <v>0.98970216</v>
      </c>
      <c r="N854">
        <v>84.8</v>
      </c>
    </row>
    <row r="855" spans="13:14">
      <c r="M855">
        <v>1.03532508</v>
      </c>
      <c r="N855">
        <v>84.9</v>
      </c>
    </row>
    <row r="856" spans="13:14">
      <c r="M856">
        <v>1.057671</v>
      </c>
      <c r="N856">
        <v>85</v>
      </c>
    </row>
    <row r="857" spans="13:14">
      <c r="M857">
        <v>1.057671</v>
      </c>
      <c r="N857">
        <v>85.1</v>
      </c>
    </row>
    <row r="858" spans="13:14">
      <c r="M858">
        <v>1.057671</v>
      </c>
      <c r="N858">
        <v>85.2</v>
      </c>
    </row>
    <row r="859" spans="13:14">
      <c r="M859">
        <v>1.057671</v>
      </c>
      <c r="N859">
        <v>85.3</v>
      </c>
    </row>
    <row r="860" spans="13:14">
      <c r="M860">
        <v>1.057671</v>
      </c>
      <c r="N860">
        <v>85.4</v>
      </c>
    </row>
    <row r="861" spans="13:14">
      <c r="M861">
        <v>1.057671</v>
      </c>
      <c r="N861">
        <v>85.5</v>
      </c>
    </row>
    <row r="862" spans="13:14">
      <c r="M862">
        <v>1.057671</v>
      </c>
      <c r="N862">
        <v>85.6</v>
      </c>
    </row>
    <row r="863" spans="13:14">
      <c r="M863">
        <v>1.057671</v>
      </c>
      <c r="N863">
        <v>85.7</v>
      </c>
    </row>
    <row r="864" spans="13:14">
      <c r="M864">
        <v>1.057671</v>
      </c>
      <c r="N864">
        <v>85.8</v>
      </c>
    </row>
    <row r="865" spans="13:14">
      <c r="M865">
        <v>1.057671</v>
      </c>
      <c r="N865">
        <v>85.9</v>
      </c>
    </row>
    <row r="866" spans="13:14">
      <c r="M866">
        <v>1.057671</v>
      </c>
      <c r="N866">
        <v>86</v>
      </c>
    </row>
    <row r="867" spans="13:14">
      <c r="M867">
        <v>1.057671</v>
      </c>
      <c r="N867">
        <v>86.1</v>
      </c>
    </row>
    <row r="868" spans="13:14">
      <c r="M868">
        <v>1.057671</v>
      </c>
      <c r="N868">
        <v>86.2</v>
      </c>
    </row>
    <row r="869" spans="13:14">
      <c r="M869">
        <v>1.057671</v>
      </c>
      <c r="N869">
        <v>86.3</v>
      </c>
    </row>
    <row r="870" spans="13:14">
      <c r="M870">
        <v>1.057671</v>
      </c>
      <c r="N870">
        <v>86.4</v>
      </c>
    </row>
    <row r="871" spans="13:14">
      <c r="M871">
        <v>1.057671</v>
      </c>
      <c r="N871">
        <v>86.5</v>
      </c>
    </row>
    <row r="872" spans="13:14">
      <c r="M872">
        <v>1.057671</v>
      </c>
      <c r="N872">
        <v>86.6</v>
      </c>
    </row>
    <row r="873" spans="13:14">
      <c r="M873">
        <v>1.057671</v>
      </c>
      <c r="N873">
        <v>86.7</v>
      </c>
    </row>
    <row r="874" spans="13:14">
      <c r="M874">
        <v>1.057671</v>
      </c>
      <c r="N874">
        <v>86.8</v>
      </c>
    </row>
    <row r="875" spans="13:14">
      <c r="M875">
        <v>1.057671</v>
      </c>
      <c r="N875">
        <v>86.9</v>
      </c>
    </row>
    <row r="876" spans="13:14">
      <c r="M876">
        <v>1.057671</v>
      </c>
      <c r="N876">
        <v>87</v>
      </c>
    </row>
    <row r="877" spans="13:14">
      <c r="M877">
        <v>1.057671</v>
      </c>
      <c r="N877">
        <v>87.1</v>
      </c>
    </row>
    <row r="878" spans="13:14">
      <c r="M878">
        <v>1.057671</v>
      </c>
      <c r="N878">
        <v>87.2</v>
      </c>
    </row>
    <row r="879" spans="13:14">
      <c r="M879">
        <v>1.057671</v>
      </c>
      <c r="N879">
        <v>87.3</v>
      </c>
    </row>
    <row r="880" spans="13:14">
      <c r="M880">
        <v>1.057671</v>
      </c>
      <c r="N880">
        <v>87.4</v>
      </c>
    </row>
    <row r="881" spans="13:14">
      <c r="M881">
        <v>1.057671</v>
      </c>
      <c r="N881">
        <v>87.5</v>
      </c>
    </row>
    <row r="882" spans="13:14">
      <c r="M882">
        <v>1.057671</v>
      </c>
      <c r="N882">
        <v>87.6</v>
      </c>
    </row>
    <row r="883" spans="13:14">
      <c r="M883">
        <v>1.057671</v>
      </c>
      <c r="N883">
        <v>87.7</v>
      </c>
    </row>
    <row r="884" spans="13:14">
      <c r="M884">
        <v>1.057671</v>
      </c>
      <c r="N884">
        <v>87.8</v>
      </c>
    </row>
    <row r="885" spans="13:14">
      <c r="M885">
        <v>1.057671</v>
      </c>
      <c r="N885">
        <v>87.9</v>
      </c>
    </row>
    <row r="886" spans="13:14">
      <c r="M886">
        <v>1.057671</v>
      </c>
      <c r="N886">
        <v>88</v>
      </c>
    </row>
    <row r="887" spans="13:14">
      <c r="M887">
        <v>1.057671</v>
      </c>
      <c r="N887">
        <v>88.1</v>
      </c>
    </row>
    <row r="888" spans="13:14">
      <c r="M888">
        <v>1.057671</v>
      </c>
      <c r="N888">
        <v>88.2</v>
      </c>
    </row>
    <row r="889" spans="13:14">
      <c r="M889">
        <v>1.057671</v>
      </c>
      <c r="N889">
        <v>88.3</v>
      </c>
    </row>
    <row r="890" spans="13:14">
      <c r="M890">
        <v>1.057671</v>
      </c>
      <c r="N890">
        <v>88.4</v>
      </c>
    </row>
    <row r="891" spans="13:14">
      <c r="M891">
        <v>1.057671</v>
      </c>
      <c r="N891">
        <v>88.5</v>
      </c>
    </row>
    <row r="892" spans="13:14">
      <c r="M892">
        <v>1.057671</v>
      </c>
      <c r="N892">
        <v>88.6</v>
      </c>
    </row>
    <row r="893" spans="13:14">
      <c r="M893">
        <v>1.057671</v>
      </c>
      <c r="N893">
        <v>88.7</v>
      </c>
    </row>
    <row r="894" spans="13:14">
      <c r="M894">
        <v>1.057671</v>
      </c>
      <c r="N894">
        <v>88.8</v>
      </c>
    </row>
    <row r="895" spans="13:14">
      <c r="M895">
        <v>1.057671</v>
      </c>
      <c r="N895">
        <v>88.9</v>
      </c>
    </row>
    <row r="896" spans="13:14">
      <c r="M896">
        <v>1.057671</v>
      </c>
      <c r="N896">
        <v>89</v>
      </c>
    </row>
    <row r="897" spans="13:14">
      <c r="M897">
        <v>1.057671</v>
      </c>
      <c r="N897">
        <v>89.1</v>
      </c>
    </row>
    <row r="898" spans="13:14">
      <c r="M898">
        <v>1.057671</v>
      </c>
      <c r="N898">
        <v>89.2</v>
      </c>
    </row>
    <row r="899" spans="13:14">
      <c r="M899">
        <v>1.060929808</v>
      </c>
      <c r="N899">
        <v>89.3</v>
      </c>
    </row>
    <row r="900" spans="13:14">
      <c r="M900">
        <v>1.083741464</v>
      </c>
      <c r="N900">
        <v>89.4</v>
      </c>
    </row>
    <row r="901" spans="13:14">
      <c r="M901">
        <v>1.1065531200000001</v>
      </c>
      <c r="N901">
        <v>89.5</v>
      </c>
    </row>
    <row r="902" spans="13:14">
      <c r="M902">
        <v>1.1293647760000001</v>
      </c>
      <c r="N902">
        <v>89.6</v>
      </c>
    </row>
    <row r="903" spans="13:14">
      <c r="M903">
        <v>1.1521764320000001</v>
      </c>
      <c r="N903">
        <v>89.7</v>
      </c>
    </row>
    <row r="904" spans="13:14">
      <c r="M904">
        <v>1.1749880720000001</v>
      </c>
      <c r="N904">
        <v>89.8</v>
      </c>
    </row>
    <row r="905" spans="13:14">
      <c r="M905">
        <v>1.1977993360000001</v>
      </c>
      <c r="N905">
        <v>89.9</v>
      </c>
    </row>
    <row r="906" spans="13:14">
      <c r="M906">
        <v>1.2206106000000001</v>
      </c>
      <c r="N906">
        <v>90</v>
      </c>
    </row>
    <row r="907" spans="13:14">
      <c r="M907">
        <v>1.2545949199999999</v>
      </c>
      <c r="N907">
        <v>90.1</v>
      </c>
    </row>
    <row r="908" spans="13:14">
      <c r="M908">
        <v>1.30021784</v>
      </c>
      <c r="N908">
        <v>90.2</v>
      </c>
    </row>
    <row r="909" spans="13:14">
      <c r="M909">
        <v>1.34584076</v>
      </c>
      <c r="N909">
        <v>90.3</v>
      </c>
    </row>
    <row r="910" spans="13:14">
      <c r="M910">
        <v>1.3486340000000001</v>
      </c>
      <c r="N910">
        <v>90.4</v>
      </c>
    </row>
    <row r="911" spans="13:14">
      <c r="M911">
        <v>1.3486340000000001</v>
      </c>
      <c r="N911">
        <v>90.5</v>
      </c>
    </row>
    <row r="912" spans="13:14">
      <c r="M912">
        <v>1.357479184</v>
      </c>
      <c r="N912">
        <v>90.6</v>
      </c>
    </row>
    <row r="913" spans="13:14">
      <c r="M913">
        <v>1.380290448</v>
      </c>
      <c r="N913">
        <v>90.7</v>
      </c>
    </row>
    <row r="914" spans="13:14">
      <c r="M914">
        <v>1.403101712</v>
      </c>
      <c r="N914">
        <v>90.8</v>
      </c>
    </row>
    <row r="915" spans="13:14">
      <c r="M915">
        <v>1.49562872000001</v>
      </c>
      <c r="N915">
        <v>90.9</v>
      </c>
    </row>
    <row r="916" spans="13:14">
      <c r="M916">
        <v>1.60175880000001</v>
      </c>
      <c r="N916">
        <v>91</v>
      </c>
    </row>
    <row r="917" spans="13:14">
      <c r="M917">
        <v>1.6775659999999999</v>
      </c>
      <c r="N917">
        <v>91.1</v>
      </c>
    </row>
    <row r="918" spans="13:14">
      <c r="M918">
        <v>1.6775659999999999</v>
      </c>
      <c r="N918">
        <v>91.2</v>
      </c>
    </row>
    <row r="919" spans="13:14">
      <c r="M919">
        <v>1.6775659999999999</v>
      </c>
      <c r="N919">
        <v>91.3</v>
      </c>
    </row>
    <row r="920" spans="13:14">
      <c r="M920">
        <v>1.6775659999999999</v>
      </c>
      <c r="N920">
        <v>91.4</v>
      </c>
    </row>
    <row r="921" spans="13:14">
      <c r="M921">
        <v>1.6775659999999999</v>
      </c>
      <c r="N921">
        <v>91.5</v>
      </c>
    </row>
    <row r="922" spans="13:14">
      <c r="M922">
        <v>1.6775659999999999</v>
      </c>
      <c r="N922">
        <v>91.6</v>
      </c>
    </row>
    <row r="923" spans="13:14">
      <c r="M923">
        <v>1.6775659999999999</v>
      </c>
      <c r="N923">
        <v>91.7</v>
      </c>
    </row>
    <row r="924" spans="13:14">
      <c r="M924">
        <v>1.6775659999999999</v>
      </c>
      <c r="N924">
        <v>91.8</v>
      </c>
    </row>
    <row r="925" spans="13:14">
      <c r="M925">
        <v>1.6775659999999999</v>
      </c>
      <c r="N925">
        <v>91.9</v>
      </c>
    </row>
    <row r="926" spans="13:14">
      <c r="M926">
        <v>1.6775659999999999</v>
      </c>
      <c r="N926">
        <v>92</v>
      </c>
    </row>
    <row r="927" spans="13:14">
      <c r="M927">
        <v>1.6775659999999999</v>
      </c>
      <c r="N927">
        <v>92.1</v>
      </c>
    </row>
    <row r="928" spans="13:14">
      <c r="M928">
        <v>1.6775659999999999</v>
      </c>
      <c r="N928">
        <v>92.2</v>
      </c>
    </row>
    <row r="929" spans="13:14">
      <c r="M929">
        <v>1.6775659999999999</v>
      </c>
      <c r="N929">
        <v>92.3</v>
      </c>
    </row>
    <row r="930" spans="13:14">
      <c r="M930">
        <v>1.6775659999999999</v>
      </c>
      <c r="N930">
        <v>92.4</v>
      </c>
    </row>
    <row r="931" spans="13:14">
      <c r="M931">
        <v>1.6775659999999999</v>
      </c>
      <c r="N931">
        <v>92.5</v>
      </c>
    </row>
    <row r="932" spans="13:14">
      <c r="M932">
        <v>1.6775659999999999</v>
      </c>
      <c r="N932">
        <v>92.6</v>
      </c>
    </row>
    <row r="933" spans="13:14">
      <c r="M933">
        <v>1.6775659999999999</v>
      </c>
      <c r="N933">
        <v>92.7</v>
      </c>
    </row>
    <row r="934" spans="13:14">
      <c r="M934">
        <v>1.6775659999999999</v>
      </c>
      <c r="N934">
        <v>92.8</v>
      </c>
    </row>
    <row r="935" spans="13:14">
      <c r="M935">
        <v>1.6775659999999999</v>
      </c>
      <c r="N935">
        <v>92.9</v>
      </c>
    </row>
    <row r="936" spans="13:14">
      <c r="M936">
        <v>1.6775659999999999</v>
      </c>
      <c r="N936">
        <v>93</v>
      </c>
    </row>
    <row r="937" spans="13:14">
      <c r="M937">
        <v>1.6775659999999999</v>
      </c>
      <c r="N937">
        <v>93.1</v>
      </c>
    </row>
    <row r="938" spans="13:14">
      <c r="M938">
        <v>1.6775659999999999</v>
      </c>
      <c r="N938">
        <v>93.2</v>
      </c>
    </row>
    <row r="939" spans="13:14">
      <c r="M939">
        <v>1.6775659999999999</v>
      </c>
      <c r="N939">
        <v>93.3</v>
      </c>
    </row>
    <row r="940" spans="13:14">
      <c r="M940">
        <v>1.6775659999999999</v>
      </c>
      <c r="N940">
        <v>93.4</v>
      </c>
    </row>
    <row r="941" spans="13:14">
      <c r="M941">
        <v>1.6775659999999999</v>
      </c>
      <c r="N941">
        <v>93.5</v>
      </c>
    </row>
    <row r="942" spans="13:14">
      <c r="M942">
        <v>1.6775659999999999</v>
      </c>
      <c r="N942">
        <v>93.6</v>
      </c>
    </row>
    <row r="943" spans="13:14">
      <c r="M943">
        <v>1.6775659999999999</v>
      </c>
      <c r="N943">
        <v>93.7</v>
      </c>
    </row>
    <row r="944" spans="13:14">
      <c r="M944">
        <v>1.6775659999999999</v>
      </c>
      <c r="N944">
        <v>93.8</v>
      </c>
    </row>
    <row r="945" spans="13:14">
      <c r="M945">
        <v>1.6775659999999999</v>
      </c>
      <c r="N945">
        <v>93.9</v>
      </c>
    </row>
    <row r="946" spans="13:14">
      <c r="M946">
        <v>1.6775659999999999</v>
      </c>
      <c r="N946">
        <v>94</v>
      </c>
    </row>
    <row r="947" spans="13:14">
      <c r="M947">
        <v>1.6775659999999999</v>
      </c>
      <c r="N947">
        <v>94.1</v>
      </c>
    </row>
    <row r="948" spans="13:14">
      <c r="M948">
        <v>1.6775659999999999</v>
      </c>
      <c r="N948">
        <v>94.2</v>
      </c>
    </row>
    <row r="949" spans="13:14">
      <c r="M949">
        <v>1.6775659999999999</v>
      </c>
      <c r="N949">
        <v>94.3</v>
      </c>
    </row>
    <row r="950" spans="13:14">
      <c r="M950">
        <v>1.6775659999999999</v>
      </c>
      <c r="N950">
        <v>94.4</v>
      </c>
    </row>
    <row r="951" spans="13:14">
      <c r="M951">
        <v>1.6775659999999999</v>
      </c>
      <c r="N951">
        <v>94.5</v>
      </c>
    </row>
    <row r="952" spans="13:14">
      <c r="M952">
        <v>1.6775659999999999</v>
      </c>
      <c r="N952">
        <v>94.6</v>
      </c>
    </row>
    <row r="953" spans="13:14">
      <c r="M953">
        <v>1.6775659999999999</v>
      </c>
      <c r="N953">
        <v>94.7</v>
      </c>
    </row>
    <row r="954" spans="13:14">
      <c r="M954">
        <v>1.6775659999999999</v>
      </c>
      <c r="N954">
        <v>94.8</v>
      </c>
    </row>
    <row r="955" spans="13:14">
      <c r="M955">
        <v>1.678031536</v>
      </c>
      <c r="N955">
        <v>94.9</v>
      </c>
    </row>
    <row r="956" spans="13:14">
      <c r="M956">
        <v>1.7008428</v>
      </c>
      <c r="N956">
        <v>95</v>
      </c>
    </row>
    <row r="957" spans="13:14">
      <c r="M957">
        <v>1.723654064</v>
      </c>
      <c r="N957">
        <v>95.1</v>
      </c>
    </row>
    <row r="958" spans="13:14">
      <c r="M958">
        <v>1.7357579999999999</v>
      </c>
      <c r="N958">
        <v>95.2</v>
      </c>
    </row>
    <row r="959" spans="13:14">
      <c r="M959">
        <v>1.7357579999999999</v>
      </c>
      <c r="N959">
        <v>95.3</v>
      </c>
    </row>
    <row r="960" spans="13:14">
      <c r="M960">
        <v>1.7357579999999999</v>
      </c>
      <c r="N960">
        <v>95.4</v>
      </c>
    </row>
    <row r="961" spans="13:14">
      <c r="M961">
        <v>1.7357579999999999</v>
      </c>
      <c r="N961">
        <v>95.5</v>
      </c>
    </row>
    <row r="962" spans="13:14">
      <c r="M962">
        <v>1.7357579999999999</v>
      </c>
      <c r="N962">
        <v>95.6</v>
      </c>
    </row>
    <row r="963" spans="13:14">
      <c r="M963">
        <v>1.7357579999999999</v>
      </c>
      <c r="N963">
        <v>95.7</v>
      </c>
    </row>
    <row r="964" spans="13:14">
      <c r="M964">
        <v>1.7357579999999999</v>
      </c>
      <c r="N964">
        <v>95.8</v>
      </c>
    </row>
    <row r="965" spans="13:14">
      <c r="M965">
        <v>1.7357579999999999</v>
      </c>
      <c r="N965">
        <v>95.9</v>
      </c>
    </row>
    <row r="966" spans="13:14">
      <c r="M966">
        <v>1.7730011999999999</v>
      </c>
      <c r="N966">
        <v>96</v>
      </c>
    </row>
    <row r="967" spans="13:14">
      <c r="M967">
        <v>1.81862412</v>
      </c>
      <c r="N967">
        <v>96.1</v>
      </c>
    </row>
    <row r="968" spans="13:14">
      <c r="M968">
        <v>1.8581949680000001</v>
      </c>
      <c r="N968">
        <v>96.2</v>
      </c>
    </row>
    <row r="969" spans="13:14">
      <c r="M969">
        <v>1.8810062320000001</v>
      </c>
      <c r="N969">
        <v>96.3</v>
      </c>
    </row>
    <row r="970" spans="13:14">
      <c r="M970">
        <v>1.9038174960000001</v>
      </c>
      <c r="N970">
        <v>96.4</v>
      </c>
    </row>
    <row r="971" spans="13:14">
      <c r="M971">
        <v>1.9266287600000001</v>
      </c>
      <c r="N971">
        <v>96.5</v>
      </c>
    </row>
    <row r="972" spans="13:14">
      <c r="M972">
        <v>1.949440024</v>
      </c>
      <c r="N972">
        <v>96.6</v>
      </c>
    </row>
    <row r="973" spans="13:14">
      <c r="M973">
        <v>1.972251352</v>
      </c>
      <c r="N973">
        <v>96.7</v>
      </c>
    </row>
    <row r="974" spans="13:14">
      <c r="M974">
        <v>1.995063008</v>
      </c>
      <c r="N974">
        <v>96.8</v>
      </c>
    </row>
    <row r="975" spans="13:14">
      <c r="M975">
        <v>2.0178746639999998</v>
      </c>
      <c r="N975">
        <v>96.9</v>
      </c>
    </row>
    <row r="976" spans="13:14">
      <c r="M976">
        <v>2.0267200000000001</v>
      </c>
      <c r="N976">
        <v>97</v>
      </c>
    </row>
    <row r="977" spans="13:14">
      <c r="M977">
        <v>2.0267200000000001</v>
      </c>
      <c r="N977">
        <v>97.1</v>
      </c>
    </row>
    <row r="978" spans="13:14">
      <c r="M978">
        <v>2.0267200000000001</v>
      </c>
      <c r="N978">
        <v>97.2</v>
      </c>
    </row>
    <row r="979" spans="13:14">
      <c r="M979">
        <v>2.0267200000000001</v>
      </c>
      <c r="N979">
        <v>97.3</v>
      </c>
    </row>
    <row r="980" spans="13:14">
      <c r="M980">
        <v>2.0267200000000001</v>
      </c>
      <c r="N980">
        <v>97.4</v>
      </c>
    </row>
    <row r="981" spans="13:14">
      <c r="M981">
        <v>2.0267200000000001</v>
      </c>
      <c r="N981">
        <v>97.5</v>
      </c>
    </row>
    <row r="982" spans="13:14">
      <c r="M982">
        <v>2.0267200000000001</v>
      </c>
      <c r="N982">
        <v>97.6</v>
      </c>
    </row>
    <row r="983" spans="13:14">
      <c r="M983">
        <v>2.0267200000000001</v>
      </c>
      <c r="N983">
        <v>97.7</v>
      </c>
    </row>
    <row r="984" spans="13:14">
      <c r="M984">
        <v>2.0267200000000001</v>
      </c>
      <c r="N984">
        <v>97.8</v>
      </c>
    </row>
    <row r="985" spans="13:14">
      <c r="M985">
        <v>2.0267200000000001</v>
      </c>
      <c r="N985">
        <v>97.9</v>
      </c>
    </row>
    <row r="986" spans="13:14">
      <c r="M986">
        <v>2.0267200000000001</v>
      </c>
      <c r="N986">
        <v>98</v>
      </c>
    </row>
    <row r="987" spans="13:14">
      <c r="M987">
        <v>2.0267200000000001</v>
      </c>
      <c r="N987">
        <v>98.1</v>
      </c>
    </row>
    <row r="988" spans="13:14">
      <c r="M988">
        <v>2.0267200000000001</v>
      </c>
      <c r="N988">
        <v>98.2</v>
      </c>
    </row>
    <row r="989" spans="13:14">
      <c r="M989">
        <v>2.0267200000000001</v>
      </c>
      <c r="N989">
        <v>98.3</v>
      </c>
    </row>
    <row r="990" spans="13:14">
      <c r="M990">
        <v>2.0267200000000001</v>
      </c>
      <c r="N990">
        <v>98.4</v>
      </c>
    </row>
    <row r="991" spans="13:14">
      <c r="M991">
        <v>2.1011072799999999</v>
      </c>
      <c r="N991">
        <v>98.5</v>
      </c>
    </row>
    <row r="992" spans="13:14">
      <c r="M992">
        <v>2.3441057280000002</v>
      </c>
      <c r="N992">
        <v>98.6</v>
      </c>
    </row>
    <row r="993" spans="13:14">
      <c r="M993">
        <v>2.587104176</v>
      </c>
      <c r="N993">
        <v>98.7</v>
      </c>
    </row>
    <row r="994" spans="13:14">
      <c r="M994">
        <v>2.646614</v>
      </c>
      <c r="N994">
        <v>98.8</v>
      </c>
    </row>
    <row r="995" spans="13:14">
      <c r="M995">
        <v>2.646614</v>
      </c>
      <c r="N995">
        <v>98.9</v>
      </c>
    </row>
    <row r="996" spans="13:14">
      <c r="M996">
        <v>2.646614</v>
      </c>
      <c r="N996">
        <v>99</v>
      </c>
    </row>
    <row r="997" spans="13:14">
      <c r="M997">
        <v>2.646614</v>
      </c>
      <c r="N997">
        <v>99.1</v>
      </c>
    </row>
    <row r="998" spans="13:14">
      <c r="M998">
        <v>2.646614</v>
      </c>
      <c r="N998">
        <v>99.2</v>
      </c>
    </row>
    <row r="999" spans="13:14">
      <c r="M999">
        <v>2.646614</v>
      </c>
      <c r="N999">
        <v>99.3</v>
      </c>
    </row>
    <row r="1000" spans="13:14">
      <c r="M1000">
        <v>2.646614</v>
      </c>
      <c r="N1000">
        <v>99.4</v>
      </c>
    </row>
    <row r="1001" spans="13:14">
      <c r="M1001">
        <v>2.6489416800000001</v>
      </c>
      <c r="N1001">
        <v>99.5</v>
      </c>
    </row>
    <row r="1002" spans="13:14">
      <c r="M1002">
        <v>2.6717529440000001</v>
      </c>
      <c r="N1002">
        <v>99.6</v>
      </c>
    </row>
    <row r="1003" spans="13:14">
      <c r="M1003">
        <v>2.6945642080000001</v>
      </c>
      <c r="N1003">
        <v>99.7</v>
      </c>
    </row>
    <row r="1004" spans="13:14">
      <c r="M1004">
        <v>2.7299451600000002</v>
      </c>
      <c r="N1004">
        <v>99.8</v>
      </c>
    </row>
    <row r="1005" spans="13:14">
      <c r="M1005">
        <v>2.7755680800000002</v>
      </c>
      <c r="N1005">
        <v>99.9</v>
      </c>
    </row>
    <row r="1006" spans="13:14">
      <c r="M1006">
        <v>2.8211909999999998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zoomScaleNormal="100" workbookViewId="0">
      <selection activeCell="B8" sqref="B8"/>
    </sheetView>
  </sheetViews>
  <sheetFormatPr baseColWidth="10" defaultRowHeight="15.5"/>
  <cols>
    <col min="1" max="1" width="24.1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SQRT(DigInv!J6)</f>
        <v>0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DigInv!M6</f>
        <v>-1.6227929999999999</v>
      </c>
      <c r="M5">
        <f>DigDir!N6</f>
        <v>0</v>
      </c>
      <c r="O5">
        <f>ABS(L5-DigInv!$C$34)</f>
        <v>2.391395427897594</v>
      </c>
      <c r="P5">
        <f>M5</f>
        <v>0</v>
      </c>
      <c r="R5" t="s">
        <v>15</v>
      </c>
      <c r="T5">
        <f>MIN(O5:O1006)</f>
        <v>2.391395427897594</v>
      </c>
    </row>
    <row r="6" spans="1:20">
      <c r="A6" s="2" t="s">
        <v>28</v>
      </c>
      <c r="J6" s="5"/>
      <c r="L6">
        <f>DigInv!M7</f>
        <v>-1.6227929999999999</v>
      </c>
      <c r="M6">
        <f>DigDir!N7</f>
        <v>0.1</v>
      </c>
      <c r="O6">
        <f>ABS(L6-DigInv!$C$34)</f>
        <v>2.391395427897594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J7" s="5"/>
      <c r="L7">
        <f>DigInv!M8</f>
        <v>-1.6227929999999999</v>
      </c>
      <c r="M7">
        <f>DigDir!N8</f>
        <v>0.2</v>
      </c>
      <c r="O7">
        <f>ABS(L7-DigInv!$C$34)</f>
        <v>2.391395427897594</v>
      </c>
      <c r="P7">
        <f t="shared" si="0"/>
        <v>0.2</v>
      </c>
    </row>
    <row r="8" spans="1:20">
      <c r="A8" t="s">
        <v>16</v>
      </c>
      <c r="B8">
        <f>DigInv!C27</f>
        <v>4.2774111036502411</v>
      </c>
      <c r="J8" s="5"/>
    </row>
    <row r="9" spans="1:20">
      <c r="J9" s="5"/>
      <c r="L9">
        <f>DigInv!M9</f>
        <v>-1.6227929999999999</v>
      </c>
      <c r="M9">
        <f>DigDir!N9</f>
        <v>0.3</v>
      </c>
      <c r="O9">
        <f>ABS(L9-DigInv!$C$34)</f>
        <v>2.391395427897594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DigInv!M10</f>
        <v>-1.6227929999999999</v>
      </c>
      <c r="M10">
        <f>DigDir!N10</f>
        <v>0.4</v>
      </c>
      <c r="O10">
        <f>ABS(L10-DigInv!$C$34)</f>
        <v>2.391395427897594</v>
      </c>
      <c r="P10">
        <f t="shared" si="0"/>
        <v>0.4</v>
      </c>
    </row>
    <row r="11" spans="1:20">
      <c r="B11">
        <f>DigInv!J11</f>
        <v>0</v>
      </c>
      <c r="C11">
        <f>DigInv!I11</f>
        <v>0</v>
      </c>
      <c r="J11" s="5"/>
      <c r="L11">
        <f>DigInv!M11</f>
        <v>-1.6227929999999999</v>
      </c>
      <c r="M11">
        <f>DigDir!N11</f>
        <v>0.5</v>
      </c>
      <c r="O11">
        <f>ABS(L11-DigInv!$C$34)</f>
        <v>2.391395427897594</v>
      </c>
      <c r="P11">
        <f t="shared" si="0"/>
        <v>0.5</v>
      </c>
    </row>
    <row r="12" spans="1:20">
      <c r="B12">
        <f>DigInv!J12</f>
        <v>0</v>
      </c>
      <c r="C12">
        <f>DigInv!I12</f>
        <v>0</v>
      </c>
      <c r="J12" s="5"/>
      <c r="L12">
        <f>DigInv!M12</f>
        <v>-1.6227929999999999</v>
      </c>
      <c r="M12">
        <f>DigDir!N12</f>
        <v>0.6</v>
      </c>
      <c r="O12">
        <f>ABS(L12-DigInv!$C$34)</f>
        <v>2.391395427897594</v>
      </c>
      <c r="P12">
        <f t="shared" si="0"/>
        <v>0.6</v>
      </c>
    </row>
    <row r="13" spans="1:20">
      <c r="B13">
        <f>DigInv!J13</f>
        <v>0</v>
      </c>
      <c r="C13">
        <f>DigInv!I13</f>
        <v>0</v>
      </c>
      <c r="J13" s="5"/>
      <c r="L13">
        <f>DigInv!M13</f>
        <v>-1.6227929999999999</v>
      </c>
      <c r="M13">
        <f>DigDir!N13</f>
        <v>0.7</v>
      </c>
      <c r="O13">
        <f>ABS(L13-DigInv!$C$34)</f>
        <v>2.391395427897594</v>
      </c>
      <c r="P13">
        <f t="shared" si="0"/>
        <v>0.7</v>
      </c>
    </row>
    <row r="14" spans="1:20">
      <c r="B14">
        <f>DigInv!J14</f>
        <v>0</v>
      </c>
      <c r="C14">
        <f>DigInv!I14</f>
        <v>0</v>
      </c>
      <c r="J14" s="5"/>
      <c r="L14">
        <f>DigInv!M14</f>
        <v>-1.6227929999999999</v>
      </c>
      <c r="M14">
        <f>DigDir!N14</f>
        <v>0.8</v>
      </c>
      <c r="O14">
        <f>ABS(L14-DigInv!$C$34)</f>
        <v>2.391395427897594</v>
      </c>
      <c r="P14">
        <f t="shared" si="0"/>
        <v>0.8</v>
      </c>
    </row>
    <row r="15" spans="1:20">
      <c r="B15">
        <f>DigInv!J15</f>
        <v>0</v>
      </c>
      <c r="C15">
        <f>DigInv!I15</f>
        <v>0</v>
      </c>
      <c r="J15" s="5"/>
      <c r="L15">
        <f>DigInv!M15</f>
        <v>-1.6227929999999999</v>
      </c>
      <c r="M15">
        <f>DigDir!N15</f>
        <v>0.9</v>
      </c>
      <c r="O15">
        <f>ABS(L15-DigInv!$C$34)</f>
        <v>2.391395427897594</v>
      </c>
      <c r="P15">
        <f t="shared" si="0"/>
        <v>0.9</v>
      </c>
    </row>
    <row r="16" spans="1:20">
      <c r="B16">
        <f>DigInv!J16</f>
        <v>0</v>
      </c>
      <c r="C16">
        <f>DigInv!I16</f>
        <v>0</v>
      </c>
      <c r="J16" s="5"/>
      <c r="L16">
        <f>DigInv!M16</f>
        <v>-1.6227929999999999</v>
      </c>
      <c r="M16">
        <f>DigDir!N16</f>
        <v>1</v>
      </c>
      <c r="O16">
        <f>ABS(L16-DigInv!$C$34)</f>
        <v>2.391395427897594</v>
      </c>
      <c r="P16">
        <f t="shared" si="0"/>
        <v>1</v>
      </c>
    </row>
    <row r="17" spans="1:16">
      <c r="B17">
        <f>DigInv!J17</f>
        <v>0</v>
      </c>
      <c r="C17">
        <f>DigInv!I17</f>
        <v>0</v>
      </c>
      <c r="J17" s="5"/>
      <c r="L17">
        <f>DigInv!M17</f>
        <v>-1.6227929999999999</v>
      </c>
      <c r="M17">
        <f>DigDir!N17</f>
        <v>1.1000000000000001</v>
      </c>
      <c r="O17">
        <f>ABS(L17-DigInv!$C$34)</f>
        <v>2.391395427897594</v>
      </c>
      <c r="P17">
        <f t="shared" si="0"/>
        <v>1.1000000000000001</v>
      </c>
    </row>
    <row r="18" spans="1:16">
      <c r="B18">
        <f>DigInv!J18</f>
        <v>0</v>
      </c>
      <c r="C18">
        <f>DigInv!I18</f>
        <v>0</v>
      </c>
      <c r="J18" s="5"/>
      <c r="L18">
        <f>DigInv!M18</f>
        <v>-1.6227929999999999</v>
      </c>
      <c r="M18">
        <f>DigDir!N18</f>
        <v>1.2</v>
      </c>
      <c r="O18">
        <f>ABS(L18-DigInv!$C$34)</f>
        <v>2.391395427897594</v>
      </c>
      <c r="P18">
        <f t="shared" si="0"/>
        <v>1.2</v>
      </c>
    </row>
    <row r="19" spans="1:16">
      <c r="B19">
        <f>DigInv!J19</f>
        <v>0</v>
      </c>
      <c r="C19">
        <f>DigInv!I19</f>
        <v>0</v>
      </c>
      <c r="J19" s="5"/>
      <c r="L19">
        <f>DigInv!M19</f>
        <v>-1.6227929999999999</v>
      </c>
      <c r="M19">
        <f>DigDir!N19</f>
        <v>1.3</v>
      </c>
      <c r="O19">
        <f>ABS(L19-DigInv!$C$34)</f>
        <v>2.391395427897594</v>
      </c>
      <c r="P19">
        <f t="shared" si="0"/>
        <v>1.3</v>
      </c>
    </row>
    <row r="20" spans="1:16">
      <c r="B20">
        <f>DigInv!J20</f>
        <v>0</v>
      </c>
      <c r="C20">
        <f>DigInv!I20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DigInv!M20</f>
        <v>-1.6227929999999999</v>
      </c>
      <c r="M20">
        <f>DigDir!N20</f>
        <v>1.4</v>
      </c>
      <c r="O20">
        <f>ABS(L20-DigInv!$C$34)</f>
        <v>2.391395427897594</v>
      </c>
      <c r="P20">
        <f t="shared" si="0"/>
        <v>1.4</v>
      </c>
    </row>
    <row r="21" spans="1:16">
      <c r="B21">
        <f>DigInv!J21</f>
        <v>0</v>
      </c>
      <c r="C21">
        <f>DigInv!I21</f>
        <v>0</v>
      </c>
      <c r="E21" t="s">
        <v>38</v>
      </c>
      <c r="G21" s="21">
        <f>SQRT(G20)</f>
        <v>0</v>
      </c>
      <c r="J21" s="5"/>
      <c r="L21">
        <f>DigInv!M21</f>
        <v>-1.6227929999999999</v>
      </c>
      <c r="M21">
        <f>DigDir!N21</f>
        <v>1.5</v>
      </c>
      <c r="O21">
        <f>ABS(L21-DigInv!$C$34)</f>
        <v>2.391395427897594</v>
      </c>
      <c r="P21">
        <f t="shared" si="0"/>
        <v>1.5</v>
      </c>
    </row>
    <row r="22" spans="1:16">
      <c r="B22">
        <f>DigInv!J22</f>
        <v>0</v>
      </c>
      <c r="C22">
        <f>DigInv!I22</f>
        <v>0</v>
      </c>
      <c r="J22" s="5"/>
      <c r="L22">
        <f>DigInv!M22</f>
        <v>-1.6227929999999999</v>
      </c>
      <c r="M22">
        <f>DigDir!N22</f>
        <v>1.6</v>
      </c>
      <c r="O22">
        <f>ABS(L22-DigInv!$C$34)</f>
        <v>2.391395427897594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DigInv!M23</f>
        <v>-1.6227929999999999</v>
      </c>
      <c r="M23">
        <f>DigDir!N23</f>
        <v>1.7</v>
      </c>
      <c r="O23">
        <f>ABS(L23-DigInv!$C$34)</f>
        <v>2.391395427897594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DigInv!M24</f>
        <v>-1.6227929999999999</v>
      </c>
      <c r="M24">
        <f>DigDir!N24</f>
        <v>1.8</v>
      </c>
      <c r="O24">
        <f>ABS(L24-DigInv!$C$34)</f>
        <v>2.391395427897594</v>
      </c>
      <c r="P24">
        <f t="shared" si="0"/>
        <v>1.8</v>
      </c>
    </row>
    <row r="25" spans="1:16">
      <c r="A25" s="2" t="s">
        <v>27</v>
      </c>
      <c r="J25" s="5"/>
      <c r="L25">
        <f>DigInv!M25</f>
        <v>-1.6227929999999999</v>
      </c>
      <c r="M25">
        <f>DigDir!N25</f>
        <v>1.9</v>
      </c>
      <c r="O25">
        <f>ABS(L25-DigInv!$C$34)</f>
        <v>2.391395427897594</v>
      </c>
      <c r="P25">
        <f t="shared" si="0"/>
        <v>1.9</v>
      </c>
    </row>
    <row r="26" spans="1:16">
      <c r="H26" s="1"/>
      <c r="J26" s="5"/>
      <c r="L26">
        <f>DigInv!M26</f>
        <v>-1.6227929999999999</v>
      </c>
      <c r="M26">
        <f>DigDir!N26</f>
        <v>2</v>
      </c>
      <c r="O26">
        <f>ABS(L26-DigInv!$C$34)</f>
        <v>2.391395427897594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DigInv!M27</f>
        <v>-1.622466808</v>
      </c>
      <c r="M27">
        <f>DigDir!N27</f>
        <v>2.1</v>
      </c>
      <c r="O27">
        <f>ABS(L27-DigInv!$C$34)</f>
        <v>2.3917216198975937</v>
      </c>
      <c r="P27">
        <f t="shared" si="0"/>
        <v>2.1</v>
      </c>
    </row>
    <row r="28" spans="1:16">
      <c r="A28" t="str">
        <f>DigInv!I27</f>
        <v>(Intercept)</v>
      </c>
      <c r="B28">
        <f>DigInv!J27</f>
        <v>20.969942223344599</v>
      </c>
      <c r="C28">
        <v>1</v>
      </c>
      <c r="D28">
        <f>B28*C28</f>
        <v>20.969942223344599</v>
      </c>
      <c r="J28" s="5"/>
      <c r="L28">
        <f>DigInv!M28</f>
        <v>-1.6219156560000001</v>
      </c>
      <c r="M28">
        <f>DigDir!N28</f>
        <v>2.2000000000000002</v>
      </c>
      <c r="O28">
        <f>ABS(L28-DigInv!$C$34)</f>
        <v>2.3922727718975936</v>
      </c>
      <c r="P28">
        <f t="shared" si="0"/>
        <v>2.2000000000000002</v>
      </c>
    </row>
    <row r="29" spans="1:16">
      <c r="A29" t="str">
        <f>DigInv!I28</f>
        <v>Pred.Y</v>
      </c>
      <c r="B29">
        <f>DigInv!J28</f>
        <v>-10.8813464188328</v>
      </c>
      <c r="C29">
        <f>B8</f>
        <v>4.2774111036502411</v>
      </c>
      <c r="D29">
        <f t="shared" ref="D29:D33" si="1">B29*C29</f>
        <v>-46.54399199458021</v>
      </c>
      <c r="J29" s="5"/>
      <c r="L29">
        <f>DigInv!M29</f>
        <v>-1.6213869999999999</v>
      </c>
      <c r="M29">
        <f>DigDir!N29</f>
        <v>2.2999999999999998</v>
      </c>
      <c r="O29">
        <f>ABS(L29-DigInv!$C$34)</f>
        <v>2.3928014278975938</v>
      </c>
      <c r="P29">
        <f t="shared" si="0"/>
        <v>2.2999999999999998</v>
      </c>
    </row>
    <row r="30" spans="1:16">
      <c r="A30" t="str">
        <f>DigInv!I29</f>
        <v>Pred.Y.2</v>
      </c>
      <c r="B30">
        <f>DigInv!J29</f>
        <v>1.6155189520445401</v>
      </c>
      <c r="C30">
        <f>B8^2</f>
        <v>18.296245749630373</v>
      </c>
      <c r="D30">
        <f t="shared" si="1"/>
        <v>29.557931759792229</v>
      </c>
      <c r="J30" s="5"/>
      <c r="L30">
        <f>DigInv!M30</f>
        <v>-1.6213869999999999</v>
      </c>
      <c r="M30">
        <f>DigDir!N30</f>
        <v>2.4</v>
      </c>
      <c r="O30">
        <f>ABS(L30-DigInv!$C$34)</f>
        <v>2.3928014278975938</v>
      </c>
      <c r="P30">
        <f t="shared" si="0"/>
        <v>2.4</v>
      </c>
    </row>
    <row r="31" spans="1:16">
      <c r="A31" t="str">
        <f>DigInv!I30</f>
        <v>Pred.Y.3</v>
      </c>
      <c r="B31">
        <f>DigInv!J30</f>
        <v>-4.2387637121602602E-2</v>
      </c>
      <c r="C31">
        <f>B8^3</f>
        <v>78.26056472458248</v>
      </c>
      <c r="D31">
        <f t="shared" si="1"/>
        <v>-3.3172804184772953</v>
      </c>
      <c r="J31" s="5"/>
      <c r="L31">
        <f>DigInv!M31</f>
        <v>-1.6213869999999999</v>
      </c>
      <c r="M31">
        <f>DigDir!N31</f>
        <v>2.5</v>
      </c>
      <c r="O31">
        <f>ABS(L31-DigInv!$C$34)</f>
        <v>2.3928014278975938</v>
      </c>
      <c r="P31">
        <f t="shared" si="0"/>
        <v>2.5</v>
      </c>
    </row>
    <row r="32" spans="1:16">
      <c r="A32">
        <f>DigInv!I31</f>
        <v>0</v>
      </c>
      <c r="B32">
        <f>DigInv!J31</f>
        <v>0</v>
      </c>
      <c r="C32">
        <f>B8^4</f>
        <v>334.75260853086746</v>
      </c>
      <c r="D32">
        <f t="shared" si="1"/>
        <v>0</v>
      </c>
      <c r="J32" s="5"/>
      <c r="L32">
        <f>DigInv!M32</f>
        <v>-1.6213869999999999</v>
      </c>
      <c r="M32">
        <f>DigDir!N32</f>
        <v>2.6</v>
      </c>
      <c r="O32">
        <f>ABS(L32-DigInv!$C$34)</f>
        <v>2.3928014278975938</v>
      </c>
      <c r="P32">
        <f t="shared" si="0"/>
        <v>2.6</v>
      </c>
    </row>
    <row r="33" spans="1:16">
      <c r="A33">
        <f>DigInv!I32</f>
        <v>0</v>
      </c>
      <c r="B33">
        <f>DigInv!J32</f>
        <v>0</v>
      </c>
      <c r="C33">
        <f>B8^5</f>
        <v>1431.874524705815</v>
      </c>
      <c r="D33">
        <f t="shared" si="1"/>
        <v>0</v>
      </c>
      <c r="J33" s="5"/>
      <c r="L33">
        <f>DigInv!M33</f>
        <v>-1.6213869999999999</v>
      </c>
      <c r="M33">
        <f>DigDir!N33</f>
        <v>2.7</v>
      </c>
      <c r="O33">
        <f>ABS(L33-DigInv!$C$34)</f>
        <v>2.3928014278975938</v>
      </c>
      <c r="P33">
        <f t="shared" si="0"/>
        <v>2.7</v>
      </c>
    </row>
    <row r="34" spans="1:16">
      <c r="G34" s="21">
        <f>SQRT(D35)</f>
        <v>0.81645671659881813</v>
      </c>
      <c r="J34" s="5"/>
      <c r="L34">
        <f>DigInv!M34</f>
        <v>-1.6213869999999999</v>
      </c>
      <c r="M34">
        <f>DigDir!N34</f>
        <v>2.8</v>
      </c>
      <c r="O34">
        <f>ABS(L34-DigInv!$C$34)</f>
        <v>2.3928014278975938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0.66660157007932286</v>
      </c>
      <c r="E35" s="18"/>
      <c r="F35" s="18"/>
      <c r="G35" s="18"/>
      <c r="H35" s="18"/>
      <c r="I35" s="18"/>
      <c r="J35" s="19"/>
      <c r="L35">
        <f>DigInv!M35</f>
        <v>-1.6213869999999999</v>
      </c>
      <c r="M35">
        <f>DigDir!N35</f>
        <v>2.9</v>
      </c>
      <c r="O35">
        <f>ABS(L35-DigInv!$C$34)</f>
        <v>2.3928014278975938</v>
      </c>
      <c r="P35">
        <f t="shared" si="0"/>
        <v>2.9</v>
      </c>
    </row>
    <row r="36" spans="1:16">
      <c r="J36" s="5"/>
      <c r="L36">
        <f>DigInv!M36</f>
        <v>-1.6213869999999999</v>
      </c>
      <c r="M36">
        <f>DigDir!N36</f>
        <v>3</v>
      </c>
      <c r="O36">
        <f>ABS(L36-DigInv!$C$34)</f>
        <v>2.3928014278975938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DigInv!M37</f>
        <v>-1.6213869999999999</v>
      </c>
      <c r="M37">
        <f>DigDir!N37</f>
        <v>3.1</v>
      </c>
      <c r="O37">
        <f>ABS(L37-DigInv!$C$34)</f>
        <v>2.3928014278975938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>
        <f>IF(D41=1, G3+G21+G34, )</f>
        <v>0.81645671659881813</v>
      </c>
      <c r="J38" s="5"/>
      <c r="L38">
        <f>DigInv!M38</f>
        <v>-1.6213869999999999</v>
      </c>
      <c r="M38">
        <f>DigDir!N38</f>
        <v>3.2</v>
      </c>
      <c r="O38">
        <f>ABS(L38-DigInv!$C$34)</f>
        <v>2.3928014278975938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DigInv!M39</f>
        <v>-1.6213869999999999</v>
      </c>
      <c r="M39">
        <f>DigDir!N39</f>
        <v>3.3</v>
      </c>
      <c r="O39">
        <f>ABS(L39-DigInv!$C$34)</f>
        <v>2.3928014278975938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1</v>
      </c>
      <c r="E40" s="24"/>
      <c r="F40" s="24"/>
      <c r="J40" s="5"/>
      <c r="L40">
        <f>DigInv!M40</f>
        <v>-1.6213869999999999</v>
      </c>
      <c r="M40">
        <f>DigDir!N40</f>
        <v>3.4</v>
      </c>
      <c r="O40">
        <f>ABS(L40-DigInv!$C$34)</f>
        <v>2.3928014278975938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DigInv!M41</f>
        <v>-1.6213869999999999</v>
      </c>
      <c r="M41">
        <f>DigDir!N41</f>
        <v>3.5</v>
      </c>
      <c r="O41">
        <f>ABS(L41-DigInv!$C$34)</f>
        <v>2.3928014278975938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DigInv!M42</f>
        <v>-1.6213869999999999</v>
      </c>
      <c r="M42">
        <f>DigDir!N42</f>
        <v>3.6</v>
      </c>
      <c r="O42">
        <f>ABS(L42-DigInv!$C$34)</f>
        <v>2.3928014278975938</v>
      </c>
      <c r="P42">
        <f t="shared" si="0"/>
        <v>3.6</v>
      </c>
    </row>
    <row r="43" spans="1:16">
      <c r="A43" s="22"/>
      <c r="J43" s="5"/>
      <c r="L43">
        <f>DigInv!M43</f>
        <v>-1.6213869999999999</v>
      </c>
      <c r="M43">
        <f>DigDir!N43</f>
        <v>3.7</v>
      </c>
      <c r="O43">
        <f>ABS(L43-DigInv!$C$34)</f>
        <v>2.3928014278975938</v>
      </c>
      <c r="P43">
        <f t="shared" si="0"/>
        <v>3.7</v>
      </c>
    </row>
    <row r="44" spans="1:16">
      <c r="J44" s="5"/>
      <c r="L44">
        <f>DigInv!M44</f>
        <v>-1.6213869999999999</v>
      </c>
      <c r="M44">
        <f>DigDir!N44</f>
        <v>3.8</v>
      </c>
      <c r="O44">
        <f>ABS(L44-DigInv!$C$34)</f>
        <v>2.3928014278975938</v>
      </c>
      <c r="P44">
        <f t="shared" si="0"/>
        <v>3.8</v>
      </c>
    </row>
    <row r="45" spans="1:16">
      <c r="J45" s="5"/>
      <c r="L45">
        <f>DigInv!M45</f>
        <v>-1.6213869999999999</v>
      </c>
      <c r="M45">
        <f>DigDir!N45</f>
        <v>3.9</v>
      </c>
      <c r="O45">
        <f>ABS(L45-DigInv!$C$34)</f>
        <v>2.3928014278975938</v>
      </c>
      <c r="P45">
        <f t="shared" si="0"/>
        <v>3.9</v>
      </c>
    </row>
    <row r="46" spans="1:16">
      <c r="J46" s="5"/>
      <c r="L46">
        <f>DigInv!M46</f>
        <v>-1.6213869999999999</v>
      </c>
      <c r="M46">
        <f>DigDir!N46</f>
        <v>4</v>
      </c>
      <c r="O46">
        <f>ABS(L46-DigInv!$C$34)</f>
        <v>2.3928014278975938</v>
      </c>
      <c r="P46">
        <f t="shared" si="0"/>
        <v>4</v>
      </c>
    </row>
    <row r="47" spans="1:16">
      <c r="J47" s="5"/>
      <c r="L47">
        <f>DigInv!M47</f>
        <v>-1.6213869999999999</v>
      </c>
      <c r="M47">
        <f>DigDir!N47</f>
        <v>4.0999999999999996</v>
      </c>
      <c r="O47">
        <f>ABS(L47-DigInv!$C$34)</f>
        <v>2.3928014278975938</v>
      </c>
      <c r="P47">
        <f t="shared" si="0"/>
        <v>4.0999999999999996</v>
      </c>
    </row>
    <row r="48" spans="1:16">
      <c r="J48" s="5"/>
      <c r="L48">
        <f>DigInv!M48</f>
        <v>-1.6213869999999999</v>
      </c>
      <c r="M48">
        <f>DigDir!N48</f>
        <v>4.2</v>
      </c>
      <c r="O48">
        <f>ABS(L48-DigInv!$C$34)</f>
        <v>2.3928014278975938</v>
      </c>
      <c r="P48">
        <f t="shared" si="0"/>
        <v>4.2</v>
      </c>
    </row>
    <row r="49" spans="10:16">
      <c r="J49" s="5"/>
      <c r="L49">
        <f>DigInv!M49</f>
        <v>-1.6213869999999999</v>
      </c>
      <c r="M49">
        <f>DigDir!N49</f>
        <v>4.3</v>
      </c>
      <c r="O49">
        <f>ABS(L49-DigInv!$C$34)</f>
        <v>2.3928014278975938</v>
      </c>
      <c r="P49">
        <f t="shared" si="0"/>
        <v>4.3</v>
      </c>
    </row>
    <row r="50" spans="10:16">
      <c r="J50" s="5"/>
      <c r="L50">
        <f>DigInv!M50</f>
        <v>-1.6213869999999999</v>
      </c>
      <c r="M50">
        <f>DigDir!N50</f>
        <v>4.4000000000000004</v>
      </c>
      <c r="O50">
        <f>ABS(L50-DigInv!$C$34)</f>
        <v>2.3928014278975938</v>
      </c>
      <c r="P50">
        <f t="shared" si="0"/>
        <v>4.4000000000000004</v>
      </c>
    </row>
    <row r="51" spans="10:16">
      <c r="J51" s="5"/>
      <c r="L51">
        <f>DigInv!M51</f>
        <v>-1.6213869999999999</v>
      </c>
      <c r="M51">
        <f>DigDir!N51</f>
        <v>4.5</v>
      </c>
      <c r="O51">
        <f>ABS(L51-DigInv!$C$34)</f>
        <v>2.3928014278975938</v>
      </c>
      <c r="P51">
        <f t="shared" si="0"/>
        <v>4.5</v>
      </c>
    </row>
    <row r="52" spans="10:16">
      <c r="J52" s="5"/>
      <c r="L52">
        <f>DigInv!M52</f>
        <v>-1.6213713199999999</v>
      </c>
      <c r="M52">
        <f>DigDir!N52</f>
        <v>4.5999999999999996</v>
      </c>
      <c r="O52">
        <f>ABS(L52-DigInv!$C$34)</f>
        <v>2.3928171078975939</v>
      </c>
      <c r="P52">
        <f t="shared" si="0"/>
        <v>4.5999999999999996</v>
      </c>
    </row>
    <row r="53" spans="10:16">
      <c r="J53" s="5"/>
      <c r="L53">
        <f>DigInv!M53</f>
        <v>-1.62117924</v>
      </c>
      <c r="M53">
        <f>DigDir!N53</f>
        <v>4.7</v>
      </c>
      <c r="O53">
        <f>ABS(L53-DigInv!$C$34)</f>
        <v>2.3930091878975936</v>
      </c>
      <c r="P53">
        <f t="shared" si="0"/>
        <v>4.7</v>
      </c>
    </row>
    <row r="54" spans="10:16">
      <c r="J54" s="5"/>
      <c r="L54">
        <f>DigInv!M54</f>
        <v>-1.6209871600000001</v>
      </c>
      <c r="M54">
        <f>DigDir!N54</f>
        <v>4.8</v>
      </c>
      <c r="O54">
        <f>ABS(L54-DigInv!$C$34)</f>
        <v>2.3932012678975934</v>
      </c>
      <c r="P54">
        <f t="shared" si="0"/>
        <v>4.8</v>
      </c>
    </row>
    <row r="55" spans="10:16">
      <c r="J55" s="5"/>
      <c r="L55">
        <f>DigInv!M55</f>
        <v>-1.620897</v>
      </c>
      <c r="M55">
        <f>DigDir!N55</f>
        <v>4.9000000000000004</v>
      </c>
      <c r="O55">
        <f>ABS(L55-DigInv!$C$34)</f>
        <v>2.3932914278975934</v>
      </c>
      <c r="P55">
        <f t="shared" si="0"/>
        <v>4.9000000000000004</v>
      </c>
    </row>
    <row r="56" spans="10:16">
      <c r="J56" s="5"/>
      <c r="L56">
        <f>DigInv!M56</f>
        <v>-1.620897</v>
      </c>
      <c r="M56">
        <f>DigDir!N56</f>
        <v>5</v>
      </c>
      <c r="O56">
        <f>ABS(L56-DigInv!$C$34)</f>
        <v>2.3932914278975934</v>
      </c>
      <c r="P56">
        <f t="shared" si="0"/>
        <v>5</v>
      </c>
    </row>
    <row r="57" spans="10:16">
      <c r="J57" s="5"/>
      <c r="L57">
        <f>DigInv!M57</f>
        <v>-1.620897</v>
      </c>
      <c r="M57">
        <f>DigDir!N57</f>
        <v>5.0999999999999996</v>
      </c>
      <c r="O57">
        <f>ABS(L57-DigInv!$C$34)</f>
        <v>2.3932914278975934</v>
      </c>
      <c r="P57">
        <f t="shared" si="0"/>
        <v>5.0999999999999996</v>
      </c>
    </row>
    <row r="58" spans="10:16">
      <c r="J58" s="5"/>
      <c r="L58">
        <f>DigInv!M58</f>
        <v>-1.620897</v>
      </c>
      <c r="M58">
        <f>DigDir!N58</f>
        <v>5.2</v>
      </c>
      <c r="O58">
        <f>ABS(L58-DigInv!$C$34)</f>
        <v>2.3932914278975934</v>
      </c>
      <c r="P58">
        <f t="shared" si="0"/>
        <v>5.2</v>
      </c>
    </row>
    <row r="59" spans="10:16">
      <c r="J59" s="5"/>
      <c r="L59">
        <f>DigInv!M59</f>
        <v>-1.620897</v>
      </c>
      <c r="M59">
        <f>DigDir!N59</f>
        <v>5.3</v>
      </c>
      <c r="O59">
        <f>ABS(L59-DigInv!$C$34)</f>
        <v>2.3932914278975934</v>
      </c>
      <c r="P59">
        <f t="shared" si="0"/>
        <v>5.3</v>
      </c>
    </row>
    <row r="60" spans="10:16">
      <c r="J60" s="5"/>
      <c r="L60">
        <f>DigInv!M60</f>
        <v>-1.620897</v>
      </c>
      <c r="M60">
        <f>DigDir!N60</f>
        <v>5.4</v>
      </c>
      <c r="O60">
        <f>ABS(L60-DigInv!$C$34)</f>
        <v>2.3932914278975934</v>
      </c>
      <c r="P60">
        <f t="shared" si="0"/>
        <v>5.4</v>
      </c>
    </row>
    <row r="61" spans="10:16">
      <c r="J61" s="5"/>
      <c r="L61">
        <f>DigInv!M61</f>
        <v>-1.620897</v>
      </c>
      <c r="M61">
        <f>DigDir!N61</f>
        <v>5.5</v>
      </c>
      <c r="O61">
        <f>ABS(L61-DigInv!$C$34)</f>
        <v>2.3932914278975934</v>
      </c>
      <c r="P61">
        <f t="shared" si="0"/>
        <v>5.5</v>
      </c>
    </row>
    <row r="62" spans="10:16">
      <c r="J62" s="5"/>
      <c r="L62">
        <f>DigInv!M62</f>
        <v>-1.620897</v>
      </c>
      <c r="M62">
        <f>DigDir!N62</f>
        <v>5.6</v>
      </c>
      <c r="O62">
        <f>ABS(L62-DigInv!$C$34)</f>
        <v>2.3932914278975934</v>
      </c>
      <c r="P62">
        <f t="shared" si="0"/>
        <v>5.6</v>
      </c>
    </row>
    <row r="63" spans="10:16">
      <c r="J63" s="5"/>
      <c r="L63">
        <f>DigInv!M63</f>
        <v>-1.6188526080000001</v>
      </c>
      <c r="M63">
        <f>DigDir!N63</f>
        <v>5.7</v>
      </c>
      <c r="O63">
        <f>ABS(L63-DigInv!$C$34)</f>
        <v>2.3953358198975936</v>
      </c>
      <c r="P63">
        <f t="shared" si="0"/>
        <v>5.7</v>
      </c>
    </row>
    <row r="64" spans="10:16">
      <c r="J64" s="5"/>
      <c r="L64">
        <f>DigInv!M64</f>
        <v>-1.616522952</v>
      </c>
      <c r="M64">
        <f>DigDir!N64</f>
        <v>5.8</v>
      </c>
      <c r="O64">
        <f>ABS(L64-DigInv!$C$34)</f>
        <v>2.3976654758975937</v>
      </c>
      <c r="P64">
        <f t="shared" si="0"/>
        <v>5.8</v>
      </c>
    </row>
    <row r="65" spans="10:16">
      <c r="J65" s="5"/>
      <c r="L65">
        <f>DigInv!M65</f>
        <v>-1.614954</v>
      </c>
      <c r="M65">
        <f>DigDir!N65</f>
        <v>5.9</v>
      </c>
      <c r="O65">
        <f>ABS(L65-DigInv!$C$34)</f>
        <v>2.3992344278975937</v>
      </c>
      <c r="P65">
        <f t="shared" si="0"/>
        <v>5.9</v>
      </c>
    </row>
    <row r="66" spans="10:16">
      <c r="J66" s="5"/>
      <c r="L66">
        <f>DigInv!M66</f>
        <v>-1.614954</v>
      </c>
      <c r="M66">
        <f>DigDir!N66</f>
        <v>6</v>
      </c>
      <c r="O66">
        <f>ABS(L66-DigInv!$C$34)</f>
        <v>2.3992344278975937</v>
      </c>
      <c r="P66">
        <f t="shared" si="0"/>
        <v>6</v>
      </c>
    </row>
    <row r="67" spans="10:16">
      <c r="J67" s="5"/>
      <c r="L67">
        <f>DigInv!M67</f>
        <v>-1.614954</v>
      </c>
      <c r="M67">
        <f>DigDir!N67</f>
        <v>6.1</v>
      </c>
      <c r="O67">
        <f>ABS(L67-DigInv!$C$34)</f>
        <v>2.3992344278975937</v>
      </c>
      <c r="P67">
        <f t="shared" si="0"/>
        <v>6.1</v>
      </c>
    </row>
    <row r="68" spans="10:16">
      <c r="J68" s="5"/>
      <c r="L68">
        <f>DigInv!M68</f>
        <v>-1.614954</v>
      </c>
      <c r="M68">
        <f>DigDir!N68</f>
        <v>6.2</v>
      </c>
      <c r="O68">
        <f>ABS(L68-DigInv!$C$34)</f>
        <v>2.3992344278975937</v>
      </c>
      <c r="P68">
        <f t="shared" si="0"/>
        <v>6.2</v>
      </c>
    </row>
    <row r="69" spans="10:16">
      <c r="J69" s="5"/>
      <c r="L69">
        <f>DigInv!M69</f>
        <v>-1.614954</v>
      </c>
      <c r="M69">
        <f>DigDir!N69</f>
        <v>6.3</v>
      </c>
      <c r="O69">
        <f>ABS(L69-DigInv!$C$34)</f>
        <v>2.3992344278975937</v>
      </c>
      <c r="P69">
        <f t="shared" si="0"/>
        <v>6.3</v>
      </c>
    </row>
    <row r="70" spans="10:16">
      <c r="J70" s="5"/>
      <c r="L70">
        <f>DigInv!M70</f>
        <v>-1.614954</v>
      </c>
      <c r="M70">
        <f>DigDir!N70</f>
        <v>6.4</v>
      </c>
      <c r="O70">
        <f>ABS(L70-DigInv!$C$34)</f>
        <v>2.3992344278975937</v>
      </c>
      <c r="P70">
        <f t="shared" si="0"/>
        <v>6.4</v>
      </c>
    </row>
    <row r="71" spans="10:16">
      <c r="J71" s="5"/>
      <c r="L71">
        <f>DigInv!M71</f>
        <v>-1.614954</v>
      </c>
      <c r="M71">
        <f>DigDir!N71</f>
        <v>6.5</v>
      </c>
      <c r="O71">
        <f>ABS(L71-DigInv!$C$34)</f>
        <v>2.3992344278975937</v>
      </c>
      <c r="P71">
        <f t="shared" ref="P71:P134" si="2">M71</f>
        <v>6.5</v>
      </c>
    </row>
    <row r="72" spans="10:16">
      <c r="J72" s="5"/>
      <c r="L72">
        <f>DigInv!M72</f>
        <v>-1.614954</v>
      </c>
      <c r="M72">
        <f>DigDir!N72</f>
        <v>6.6</v>
      </c>
      <c r="O72">
        <f>ABS(L72-DigInv!$C$34)</f>
        <v>2.3992344278975937</v>
      </c>
      <c r="P72">
        <f t="shared" si="2"/>
        <v>6.6</v>
      </c>
    </row>
    <row r="73" spans="10:16">
      <c r="J73" s="5"/>
      <c r="L73">
        <f>DigInv!M73</f>
        <v>-1.614954</v>
      </c>
      <c r="M73">
        <f>DigDir!N73</f>
        <v>6.7</v>
      </c>
      <c r="O73">
        <f>ABS(L73-DigInv!$C$34)</f>
        <v>2.3992344278975937</v>
      </c>
      <c r="P73">
        <f t="shared" si="2"/>
        <v>6.7</v>
      </c>
    </row>
    <row r="74" spans="10:16">
      <c r="J74" s="5"/>
      <c r="L74">
        <f>DigInv!M74</f>
        <v>-1.614954</v>
      </c>
      <c r="M74">
        <f>DigDir!N74</f>
        <v>6.8</v>
      </c>
      <c r="O74">
        <f>ABS(L74-DigInv!$C$34)</f>
        <v>2.3992344278975937</v>
      </c>
      <c r="P74">
        <f t="shared" si="2"/>
        <v>6.8</v>
      </c>
    </row>
    <row r="75" spans="10:16">
      <c r="J75" s="5"/>
      <c r="L75">
        <f>DigInv!M75</f>
        <v>-1.614954</v>
      </c>
      <c r="M75">
        <f>DigDir!N75</f>
        <v>6.9</v>
      </c>
      <c r="O75">
        <f>ABS(L75-DigInv!$C$34)</f>
        <v>2.3992344278975937</v>
      </c>
      <c r="P75">
        <f t="shared" si="2"/>
        <v>6.9</v>
      </c>
    </row>
    <row r="76" spans="10:16">
      <c r="J76" s="5"/>
      <c r="L76">
        <f>DigInv!M76</f>
        <v>-1.614954</v>
      </c>
      <c r="M76">
        <f>DigDir!N76</f>
        <v>7</v>
      </c>
      <c r="O76">
        <f>ABS(L76-DigInv!$C$34)</f>
        <v>2.3992344278975937</v>
      </c>
      <c r="P76">
        <f t="shared" si="2"/>
        <v>7</v>
      </c>
    </row>
    <row r="77" spans="10:16">
      <c r="J77" s="5"/>
      <c r="L77">
        <f>DigInv!M77</f>
        <v>-1.614954</v>
      </c>
      <c r="M77">
        <f>DigDir!N77</f>
        <v>7.1</v>
      </c>
      <c r="O77">
        <f>ABS(L77-DigInv!$C$34)</f>
        <v>2.3992344278975937</v>
      </c>
      <c r="P77">
        <f t="shared" si="2"/>
        <v>7.1</v>
      </c>
    </row>
    <row r="78" spans="10:16">
      <c r="J78" s="5"/>
      <c r="L78">
        <f>DigInv!M78</f>
        <v>-1.614954</v>
      </c>
      <c r="M78">
        <f>DigDir!N78</f>
        <v>7.2</v>
      </c>
      <c r="O78">
        <f>ABS(L78-DigInv!$C$34)</f>
        <v>2.3992344278975937</v>
      </c>
      <c r="P78">
        <f t="shared" si="2"/>
        <v>7.2</v>
      </c>
    </row>
    <row r="79" spans="10:16">
      <c r="J79" s="5"/>
      <c r="L79">
        <f>DigInv!M79</f>
        <v>-1.614954</v>
      </c>
      <c r="M79">
        <f>DigDir!N79</f>
        <v>7.3</v>
      </c>
      <c r="O79">
        <f>ABS(L79-DigInv!$C$34)</f>
        <v>2.3992344278975937</v>
      </c>
      <c r="P79">
        <f t="shared" si="2"/>
        <v>7.3</v>
      </c>
    </row>
    <row r="80" spans="10:16">
      <c r="J80" s="5"/>
      <c r="L80">
        <f>DigInv!M80</f>
        <v>-1.61492412</v>
      </c>
      <c r="M80">
        <f>DigDir!N80</f>
        <v>7.4</v>
      </c>
      <c r="O80">
        <f>ABS(L80-DigInv!$C$34)</f>
        <v>2.3992643078975937</v>
      </c>
      <c r="P80">
        <f t="shared" si="2"/>
        <v>7.4</v>
      </c>
    </row>
    <row r="81" spans="10:16">
      <c r="J81" s="5"/>
      <c r="L81">
        <f>DigInv!M81</f>
        <v>-1.6134599999999999</v>
      </c>
      <c r="M81">
        <f>DigDir!N81</f>
        <v>7.5</v>
      </c>
      <c r="O81">
        <f>ABS(L81-DigInv!$C$34)</f>
        <v>2.4007284278975938</v>
      </c>
      <c r="P81">
        <f t="shared" si="2"/>
        <v>7.5</v>
      </c>
    </row>
    <row r="82" spans="10:16">
      <c r="J82" s="5"/>
      <c r="L82">
        <f>DigInv!M82</f>
        <v>-1.61199588</v>
      </c>
      <c r="M82">
        <f>DigDir!N82</f>
        <v>7.6</v>
      </c>
      <c r="O82">
        <f>ABS(L82-DigInv!$C$34)</f>
        <v>2.4021925478975934</v>
      </c>
      <c r="P82">
        <f t="shared" si="2"/>
        <v>7.6</v>
      </c>
    </row>
    <row r="83" spans="10:16">
      <c r="J83" s="5"/>
      <c r="L83">
        <f>DigInv!M83</f>
        <v>-1.6099184879999999</v>
      </c>
      <c r="M83">
        <f>DigDir!N83</f>
        <v>7.7</v>
      </c>
      <c r="O83">
        <f>ABS(L83-DigInv!$C$34)</f>
        <v>2.4042699398975937</v>
      </c>
      <c r="P83">
        <f t="shared" si="2"/>
        <v>7.7</v>
      </c>
    </row>
    <row r="84" spans="10:16">
      <c r="J84" s="5"/>
      <c r="L84">
        <f>DigInv!M84</f>
        <v>-1.6071478320000001</v>
      </c>
      <c r="M84">
        <f>DigDir!N84</f>
        <v>7.8</v>
      </c>
      <c r="O84">
        <f>ABS(L84-DigInv!$C$34)</f>
        <v>2.4070405958975938</v>
      </c>
      <c r="P84">
        <f t="shared" si="2"/>
        <v>7.8</v>
      </c>
    </row>
    <row r="85" spans="10:16">
      <c r="J85" s="5"/>
      <c r="L85">
        <f>DigInv!M85</f>
        <v>-1.6043771760000001</v>
      </c>
      <c r="M85">
        <f>DigDir!N85</f>
        <v>7.9</v>
      </c>
      <c r="O85">
        <f>ABS(L85-DigInv!$C$34)</f>
        <v>2.4098112518975938</v>
      </c>
      <c r="P85">
        <f t="shared" si="2"/>
        <v>7.9</v>
      </c>
    </row>
    <row r="86" spans="10:16">
      <c r="J86" s="5"/>
      <c r="L86">
        <f>DigInv!M86</f>
        <v>-1.6041510000000001</v>
      </c>
      <c r="M86">
        <f>DigDir!N86</f>
        <v>8</v>
      </c>
      <c r="O86">
        <f>ABS(L86-DigInv!$C$34)</f>
        <v>2.4100374278975938</v>
      </c>
      <c r="P86">
        <f t="shared" si="2"/>
        <v>8</v>
      </c>
    </row>
    <row r="87" spans="10:16">
      <c r="J87" s="5"/>
      <c r="L87">
        <f>DigInv!M87</f>
        <v>-1.6041510000000001</v>
      </c>
      <c r="M87">
        <f>DigDir!N87</f>
        <v>8.1</v>
      </c>
      <c r="O87">
        <f>ABS(L87-DigInv!$C$34)</f>
        <v>2.4100374278975938</v>
      </c>
      <c r="P87">
        <f t="shared" si="2"/>
        <v>8.1</v>
      </c>
    </row>
    <row r="88" spans="10:16">
      <c r="J88" s="5"/>
      <c r="L88">
        <f>DigInv!M88</f>
        <v>-1.6041510000000001</v>
      </c>
      <c r="M88">
        <f>DigDir!N88</f>
        <v>8.1999999999999993</v>
      </c>
      <c r="O88">
        <f>ABS(L88-DigInv!$C$34)</f>
        <v>2.4100374278975938</v>
      </c>
      <c r="P88">
        <f t="shared" si="2"/>
        <v>8.1999999999999993</v>
      </c>
    </row>
    <row r="89" spans="10:16">
      <c r="J89" s="5"/>
      <c r="L89">
        <f>DigInv!M89</f>
        <v>-1.6041510000000001</v>
      </c>
      <c r="M89">
        <f>DigDir!N89</f>
        <v>8.3000000000000007</v>
      </c>
      <c r="O89">
        <f>ABS(L89-DigInv!$C$34)</f>
        <v>2.4100374278975938</v>
      </c>
      <c r="P89">
        <f t="shared" si="2"/>
        <v>8.3000000000000007</v>
      </c>
    </row>
    <row r="90" spans="10:16">
      <c r="J90" s="5"/>
      <c r="L90">
        <f>DigInv!M90</f>
        <v>-1.6041510000000001</v>
      </c>
      <c r="M90">
        <f>DigDir!N90</f>
        <v>8.4</v>
      </c>
      <c r="O90">
        <f>ABS(L90-DigInv!$C$34)</f>
        <v>2.4100374278975938</v>
      </c>
      <c r="P90">
        <f t="shared" si="2"/>
        <v>8.4</v>
      </c>
    </row>
    <row r="91" spans="10:16">
      <c r="J91" s="5"/>
      <c r="L91">
        <f>DigInv!M91</f>
        <v>-1.6041510000000001</v>
      </c>
      <c r="M91">
        <f>DigDir!N91</f>
        <v>8.5</v>
      </c>
      <c r="O91">
        <f>ABS(L91-DigInv!$C$34)</f>
        <v>2.4100374278975938</v>
      </c>
      <c r="P91">
        <f t="shared" si="2"/>
        <v>8.5</v>
      </c>
    </row>
    <row r="92" spans="10:16">
      <c r="J92" s="5"/>
      <c r="L92">
        <f>DigInv!M92</f>
        <v>-1.6041510000000001</v>
      </c>
      <c r="M92">
        <f>DigDir!N92</f>
        <v>8.6</v>
      </c>
      <c r="O92">
        <f>ABS(L92-DigInv!$C$34)</f>
        <v>2.4100374278975938</v>
      </c>
      <c r="P92">
        <f t="shared" si="2"/>
        <v>8.6</v>
      </c>
    </row>
    <row r="93" spans="10:16">
      <c r="J93" s="5"/>
      <c r="L93">
        <f>DigInv!M93</f>
        <v>-1.602433752</v>
      </c>
      <c r="M93">
        <f>DigDir!N93</f>
        <v>8.6999999999999993</v>
      </c>
      <c r="O93">
        <f>ABS(L93-DigInv!$C$34)</f>
        <v>2.4117546758975936</v>
      </c>
      <c r="P93">
        <f t="shared" si="2"/>
        <v>8.6999999999999993</v>
      </c>
    </row>
    <row r="94" spans="10:16">
      <c r="J94" s="5"/>
      <c r="L94">
        <f>DigInv!M94</f>
        <v>-1.5959610479999999</v>
      </c>
      <c r="M94">
        <f>DigDir!N94</f>
        <v>8.8000000000000007</v>
      </c>
      <c r="O94">
        <f>ABS(L94-DigInv!$C$34)</f>
        <v>2.4182273798975937</v>
      </c>
      <c r="P94">
        <f t="shared" si="2"/>
        <v>8.8000000000000007</v>
      </c>
    </row>
    <row r="95" spans="10:16">
      <c r="J95" s="5"/>
      <c r="L95">
        <f>DigInv!M95</f>
        <v>-1.5894883440000001</v>
      </c>
      <c r="M95">
        <f>DigDir!N95</f>
        <v>8.9</v>
      </c>
      <c r="O95">
        <f>ABS(L95-DigInv!$C$34)</f>
        <v>2.4247000838975934</v>
      </c>
      <c r="P95">
        <f t="shared" si="2"/>
        <v>8.9</v>
      </c>
    </row>
    <row r="96" spans="10:16">
      <c r="J96" s="5"/>
      <c r="L96">
        <f>DigInv!M96</f>
        <v>-1.587639</v>
      </c>
      <c r="M96">
        <f>DigDir!N96</f>
        <v>9</v>
      </c>
      <c r="O96">
        <f>ABS(L96-DigInv!$C$34)</f>
        <v>2.4265494278975934</v>
      </c>
      <c r="P96">
        <f t="shared" si="2"/>
        <v>9</v>
      </c>
    </row>
    <row r="97" spans="10:16">
      <c r="J97" s="5"/>
      <c r="L97">
        <f>DigInv!M97</f>
        <v>-1.587639</v>
      </c>
      <c r="M97">
        <f>DigDir!N97</f>
        <v>9.1</v>
      </c>
      <c r="O97">
        <f>ABS(L97-DigInv!$C$34)</f>
        <v>2.4265494278975934</v>
      </c>
      <c r="P97">
        <f t="shared" si="2"/>
        <v>9.1</v>
      </c>
    </row>
    <row r="98" spans="10:16">
      <c r="J98" s="5"/>
      <c r="L98">
        <f>DigInv!M98</f>
        <v>-1.5861631599999999</v>
      </c>
      <c r="M98">
        <f>DigDir!N98</f>
        <v>9.1999999999999993</v>
      </c>
      <c r="O98">
        <f>ABS(L98-DigInv!$C$34)</f>
        <v>2.4280252678975938</v>
      </c>
      <c r="P98">
        <f t="shared" si="2"/>
        <v>9.1999999999999993</v>
      </c>
    </row>
    <row r="99" spans="10:16">
      <c r="J99" s="5"/>
      <c r="L99">
        <f>DigInv!M99</f>
        <v>-1.5771236399999999</v>
      </c>
      <c r="M99">
        <f>DigDir!N99</f>
        <v>9.3000000000000007</v>
      </c>
      <c r="O99">
        <f>ABS(L99-DigInv!$C$34)</f>
        <v>2.4370647878975937</v>
      </c>
      <c r="P99">
        <f t="shared" si="2"/>
        <v>9.3000000000000007</v>
      </c>
    </row>
    <row r="100" spans="10:16">
      <c r="J100" s="5"/>
      <c r="L100">
        <f>DigInv!M100</f>
        <v>-1.56808412</v>
      </c>
      <c r="M100">
        <f>DigDir!N100</f>
        <v>9.4</v>
      </c>
      <c r="O100">
        <f>ABS(L100-DigInv!$C$34)</f>
        <v>2.4461043078975937</v>
      </c>
      <c r="P100">
        <f t="shared" si="2"/>
        <v>9.4</v>
      </c>
    </row>
    <row r="101" spans="10:16">
      <c r="J101" s="5"/>
      <c r="L101">
        <f>DigInv!M101</f>
        <v>-1.5645789999999999</v>
      </c>
      <c r="M101">
        <f>DigDir!N101</f>
        <v>9.5</v>
      </c>
      <c r="O101">
        <f>ABS(L101-DigInv!$C$34)</f>
        <v>2.4496094278975935</v>
      </c>
      <c r="P101">
        <f t="shared" si="2"/>
        <v>9.5</v>
      </c>
    </row>
    <row r="102" spans="10:16">
      <c r="J102" s="5"/>
      <c r="L102">
        <f>DigInv!M102</f>
        <v>-1.5645789999999999</v>
      </c>
      <c r="M102">
        <f>DigDir!N102</f>
        <v>9.6</v>
      </c>
      <c r="O102">
        <f>ABS(L102-DigInv!$C$34)</f>
        <v>2.4496094278975935</v>
      </c>
      <c r="P102">
        <f t="shared" si="2"/>
        <v>9.6</v>
      </c>
    </row>
    <row r="103" spans="10:16">
      <c r="J103" s="5"/>
      <c r="L103">
        <f>DigInv!M103</f>
        <v>-1.5645789999999999</v>
      </c>
      <c r="M103">
        <f>DigDir!N103</f>
        <v>9.6999999999999993</v>
      </c>
      <c r="O103">
        <f>ABS(L103-DigInv!$C$34)</f>
        <v>2.4496094278975935</v>
      </c>
      <c r="P103">
        <f t="shared" si="2"/>
        <v>9.6999999999999993</v>
      </c>
    </row>
    <row r="104" spans="10:16">
      <c r="J104" s="5"/>
      <c r="L104">
        <f>DigInv!M104</f>
        <v>-1.5645789999999999</v>
      </c>
      <c r="M104">
        <f>DigDir!N104</f>
        <v>9.8000000000000007</v>
      </c>
      <c r="O104">
        <f>ABS(L104-DigInv!$C$34)</f>
        <v>2.4496094278975935</v>
      </c>
      <c r="P104">
        <f t="shared" si="2"/>
        <v>9.8000000000000007</v>
      </c>
    </row>
    <row r="105" spans="10:16">
      <c r="J105" s="5"/>
      <c r="L105">
        <f>DigInv!M105</f>
        <v>-1.5645789999999999</v>
      </c>
      <c r="M105">
        <f>DigDir!N105</f>
        <v>9.9</v>
      </c>
      <c r="O105">
        <f>ABS(L105-DigInv!$C$34)</f>
        <v>2.4496094278975935</v>
      </c>
      <c r="P105">
        <f t="shared" si="2"/>
        <v>9.9</v>
      </c>
    </row>
    <row r="106" spans="10:16">
      <c r="J106" s="5"/>
      <c r="L106">
        <f>DigInv!M106</f>
        <v>-1.5645789999999999</v>
      </c>
      <c r="M106">
        <f>DigDir!N106</f>
        <v>10</v>
      </c>
      <c r="O106">
        <f>ABS(L106-DigInv!$C$34)</f>
        <v>2.4496094278975935</v>
      </c>
      <c r="P106">
        <f t="shared" si="2"/>
        <v>10</v>
      </c>
    </row>
    <row r="107" spans="10:16">
      <c r="J107" s="5"/>
      <c r="L107">
        <f>DigInv!M107</f>
        <v>-1.5645789999999999</v>
      </c>
      <c r="M107">
        <f>DigDir!N107</f>
        <v>10.1</v>
      </c>
      <c r="O107">
        <f>ABS(L107-DigInv!$C$34)</f>
        <v>2.4496094278975935</v>
      </c>
      <c r="P107">
        <f t="shared" si="2"/>
        <v>10.1</v>
      </c>
    </row>
    <row r="108" spans="10:16">
      <c r="J108" s="5"/>
      <c r="L108">
        <f>DigInv!M108</f>
        <v>-1.5645789999999999</v>
      </c>
      <c r="M108">
        <f>DigDir!N108</f>
        <v>10.199999999999999</v>
      </c>
      <c r="O108">
        <f>ABS(L108-DigInv!$C$34)</f>
        <v>2.4496094278975935</v>
      </c>
      <c r="P108">
        <f t="shared" si="2"/>
        <v>10.199999999999999</v>
      </c>
    </row>
    <row r="109" spans="10:16">
      <c r="J109" s="5"/>
      <c r="L109">
        <f>DigInv!M109</f>
        <v>-1.5645789999999999</v>
      </c>
      <c r="M109">
        <f>DigDir!N109</f>
        <v>10.3</v>
      </c>
      <c r="O109">
        <f>ABS(L109-DigInv!$C$34)</f>
        <v>2.4496094278975935</v>
      </c>
      <c r="P109">
        <f t="shared" si="2"/>
        <v>10.3</v>
      </c>
    </row>
    <row r="110" spans="10:16">
      <c r="J110" s="5"/>
      <c r="L110">
        <f>DigInv!M110</f>
        <v>-1.5645789999999999</v>
      </c>
      <c r="M110">
        <f>DigDir!N110</f>
        <v>10.4</v>
      </c>
      <c r="O110">
        <f>ABS(L110-DigInv!$C$34)</f>
        <v>2.4496094278975935</v>
      </c>
      <c r="P110">
        <f t="shared" si="2"/>
        <v>10.4</v>
      </c>
    </row>
    <row r="111" spans="10:16">
      <c r="J111" s="5"/>
      <c r="L111">
        <f>DigInv!M111</f>
        <v>-1.5645789999999999</v>
      </c>
      <c r="M111">
        <f>DigDir!N111</f>
        <v>10.5</v>
      </c>
      <c r="O111">
        <f>ABS(L111-DigInv!$C$34)</f>
        <v>2.4496094278975935</v>
      </c>
      <c r="P111">
        <f t="shared" si="2"/>
        <v>10.5</v>
      </c>
    </row>
    <row r="112" spans="10:16">
      <c r="J112" s="5"/>
      <c r="L112">
        <f>DigInv!M112</f>
        <v>-1.5645789999999999</v>
      </c>
      <c r="M112">
        <f>DigDir!N112</f>
        <v>10.6</v>
      </c>
      <c r="O112">
        <f>ABS(L112-DigInv!$C$34)</f>
        <v>2.4496094278975935</v>
      </c>
      <c r="P112">
        <f t="shared" si="2"/>
        <v>10.6</v>
      </c>
    </row>
    <row r="113" spans="10:16">
      <c r="J113" s="5"/>
      <c r="L113">
        <f>DigInv!M113</f>
        <v>-1.5645789999999999</v>
      </c>
      <c r="M113">
        <f>DigDir!N113</f>
        <v>10.7</v>
      </c>
      <c r="O113">
        <f>ABS(L113-DigInv!$C$34)</f>
        <v>2.4496094278975935</v>
      </c>
      <c r="P113">
        <f t="shared" si="2"/>
        <v>10.7</v>
      </c>
    </row>
    <row r="114" spans="10:16">
      <c r="J114" s="5"/>
      <c r="L114">
        <f>DigInv!M114</f>
        <v>-1.5645789999999999</v>
      </c>
      <c r="M114">
        <f>DigDir!N114</f>
        <v>10.8</v>
      </c>
      <c r="O114">
        <f>ABS(L114-DigInv!$C$34)</f>
        <v>2.4496094278975935</v>
      </c>
      <c r="P114">
        <f t="shared" si="2"/>
        <v>10.8</v>
      </c>
    </row>
    <row r="115" spans="10:16">
      <c r="J115" s="5"/>
      <c r="L115">
        <f>DigInv!M115</f>
        <v>-1.5645789999999999</v>
      </c>
      <c r="M115">
        <f>DigDir!N115</f>
        <v>10.9</v>
      </c>
      <c r="O115">
        <f>ABS(L115-DigInv!$C$34)</f>
        <v>2.4496094278975935</v>
      </c>
      <c r="P115">
        <f t="shared" si="2"/>
        <v>10.9</v>
      </c>
    </row>
    <row r="116" spans="10:16">
      <c r="J116" s="5"/>
      <c r="L116">
        <f>DigInv!M116</f>
        <v>-1.5645789999999999</v>
      </c>
      <c r="M116">
        <f>DigDir!N116</f>
        <v>11</v>
      </c>
      <c r="O116">
        <f>ABS(L116-DigInv!$C$34)</f>
        <v>2.4496094278975935</v>
      </c>
      <c r="P116">
        <f t="shared" si="2"/>
        <v>11</v>
      </c>
    </row>
    <row r="117" spans="10:16">
      <c r="J117" s="5"/>
      <c r="L117">
        <f>DigInv!M117</f>
        <v>-1.5645789999999999</v>
      </c>
      <c r="M117">
        <f>DigDir!N117</f>
        <v>11.1</v>
      </c>
      <c r="O117">
        <f>ABS(L117-DigInv!$C$34)</f>
        <v>2.4496094278975935</v>
      </c>
      <c r="P117">
        <f t="shared" si="2"/>
        <v>11.1</v>
      </c>
    </row>
    <row r="118" spans="10:16">
      <c r="J118" s="5"/>
      <c r="L118">
        <f>DigInv!M118</f>
        <v>-1.5645789999999999</v>
      </c>
      <c r="M118">
        <f>DigDir!N118</f>
        <v>11.2</v>
      </c>
      <c r="O118">
        <f>ABS(L118-DigInv!$C$34)</f>
        <v>2.4496094278975935</v>
      </c>
      <c r="P118">
        <f t="shared" si="2"/>
        <v>11.2</v>
      </c>
    </row>
    <row r="119" spans="10:16">
      <c r="J119" s="5"/>
      <c r="L119">
        <f>DigInv!M119</f>
        <v>-1.5645789999999999</v>
      </c>
      <c r="M119">
        <f>DigDir!N119</f>
        <v>11.3</v>
      </c>
      <c r="O119">
        <f>ABS(L119-DigInv!$C$34)</f>
        <v>2.4496094278975935</v>
      </c>
      <c r="P119">
        <f t="shared" si="2"/>
        <v>11.3</v>
      </c>
    </row>
    <row r="120" spans="10:16">
      <c r="J120" s="5"/>
      <c r="L120">
        <f>DigInv!M120</f>
        <v>-1.5645789999999999</v>
      </c>
      <c r="M120">
        <f>DigDir!N120</f>
        <v>11.4</v>
      </c>
      <c r="O120">
        <f>ABS(L120-DigInv!$C$34)</f>
        <v>2.4496094278975935</v>
      </c>
      <c r="P120">
        <f t="shared" si="2"/>
        <v>11.4</v>
      </c>
    </row>
    <row r="121" spans="10:16">
      <c r="J121" s="5"/>
      <c r="L121">
        <f>DigInv!M121</f>
        <v>-1.5645789999999999</v>
      </c>
      <c r="M121">
        <f>DigDir!N121</f>
        <v>11.5</v>
      </c>
      <c r="O121">
        <f>ABS(L121-DigInv!$C$34)</f>
        <v>2.4496094278975935</v>
      </c>
      <c r="P121">
        <f t="shared" si="2"/>
        <v>11.5</v>
      </c>
    </row>
    <row r="122" spans="10:16">
      <c r="J122" s="5"/>
      <c r="L122">
        <f>DigInv!M122</f>
        <v>-1.5645789999999999</v>
      </c>
      <c r="M122">
        <f>DigDir!N122</f>
        <v>11.6</v>
      </c>
      <c r="O122">
        <f>ABS(L122-DigInv!$C$34)</f>
        <v>2.4496094278975935</v>
      </c>
      <c r="P122">
        <f t="shared" si="2"/>
        <v>11.6</v>
      </c>
    </row>
    <row r="123" spans="10:16">
      <c r="J123" s="5"/>
      <c r="L123">
        <f>DigInv!M123</f>
        <v>-1.5645789999999999</v>
      </c>
      <c r="M123">
        <f>DigDir!N123</f>
        <v>11.7</v>
      </c>
      <c r="O123">
        <f>ABS(L123-DigInv!$C$34)</f>
        <v>2.4496094278975935</v>
      </c>
      <c r="P123">
        <f t="shared" si="2"/>
        <v>11.7</v>
      </c>
    </row>
    <row r="124" spans="10:16">
      <c r="J124" s="5"/>
      <c r="L124">
        <f>DigInv!M124</f>
        <v>-1.5645789999999999</v>
      </c>
      <c r="M124">
        <f>DigDir!N124</f>
        <v>11.8</v>
      </c>
      <c r="O124">
        <f>ABS(L124-DigInv!$C$34)</f>
        <v>2.4496094278975935</v>
      </c>
      <c r="P124">
        <f t="shared" si="2"/>
        <v>11.8</v>
      </c>
    </row>
    <row r="125" spans="10:16">
      <c r="J125" s="5"/>
      <c r="L125">
        <f>DigInv!M125</f>
        <v>-1.5645789999999999</v>
      </c>
      <c r="M125">
        <f>DigDir!N125</f>
        <v>11.9</v>
      </c>
      <c r="O125">
        <f>ABS(L125-DigInv!$C$34)</f>
        <v>2.4496094278975935</v>
      </c>
      <c r="P125">
        <f t="shared" si="2"/>
        <v>11.9</v>
      </c>
    </row>
    <row r="126" spans="10:16">
      <c r="J126" s="5"/>
      <c r="L126">
        <f>DigInv!M126</f>
        <v>-1.5645789999999999</v>
      </c>
      <c r="M126">
        <f>DigDir!N126</f>
        <v>12</v>
      </c>
      <c r="O126">
        <f>ABS(L126-DigInv!$C$34)</f>
        <v>2.4496094278975935</v>
      </c>
      <c r="P126">
        <f t="shared" si="2"/>
        <v>12</v>
      </c>
    </row>
    <row r="127" spans="10:16">
      <c r="J127" s="5"/>
      <c r="L127">
        <f>DigInv!M127</f>
        <v>-1.5645789999999999</v>
      </c>
      <c r="M127">
        <f>DigDir!N127</f>
        <v>12.1</v>
      </c>
      <c r="O127">
        <f>ABS(L127-DigInv!$C$34)</f>
        <v>2.4496094278975935</v>
      </c>
      <c r="P127">
        <f t="shared" si="2"/>
        <v>12.1</v>
      </c>
    </row>
    <row r="128" spans="10:16">
      <c r="J128" s="5"/>
      <c r="L128">
        <f>DigInv!M128</f>
        <v>-1.5645789999999999</v>
      </c>
      <c r="M128">
        <f>DigDir!N128</f>
        <v>12.2</v>
      </c>
      <c r="O128">
        <f>ABS(L128-DigInv!$C$34)</f>
        <v>2.4496094278975935</v>
      </c>
      <c r="P128">
        <f t="shared" si="2"/>
        <v>12.2</v>
      </c>
    </row>
    <row r="129" spans="10:16">
      <c r="J129" s="5"/>
      <c r="L129">
        <f>DigInv!M129</f>
        <v>-1.5645789999999999</v>
      </c>
      <c r="M129">
        <f>DigDir!N129</f>
        <v>12.3</v>
      </c>
      <c r="O129">
        <f>ABS(L129-DigInv!$C$34)</f>
        <v>2.4496094278975935</v>
      </c>
      <c r="P129">
        <f t="shared" si="2"/>
        <v>12.3</v>
      </c>
    </row>
    <row r="130" spans="10:16">
      <c r="J130" s="5"/>
      <c r="L130">
        <f>DigInv!M130</f>
        <v>-1.5645789999999999</v>
      </c>
      <c r="M130">
        <f>DigDir!N130</f>
        <v>12.4</v>
      </c>
      <c r="O130">
        <f>ABS(L130-DigInv!$C$34)</f>
        <v>2.4496094278975935</v>
      </c>
      <c r="P130">
        <f t="shared" si="2"/>
        <v>12.4</v>
      </c>
    </row>
    <row r="131" spans="10:16">
      <c r="J131" s="5"/>
      <c r="L131">
        <f>DigInv!M131</f>
        <v>-1.5645789999999999</v>
      </c>
      <c r="M131">
        <f>DigDir!N131</f>
        <v>12.5</v>
      </c>
      <c r="O131">
        <f>ABS(L131-DigInv!$C$34)</f>
        <v>2.4496094278975935</v>
      </c>
      <c r="P131">
        <f t="shared" si="2"/>
        <v>12.5</v>
      </c>
    </row>
    <row r="132" spans="10:16">
      <c r="J132" s="5"/>
      <c r="L132">
        <f>DigInv!M132</f>
        <v>-1.5645789999999999</v>
      </c>
      <c r="M132">
        <f>DigDir!N132</f>
        <v>12.6</v>
      </c>
      <c r="O132">
        <f>ABS(L132-DigInv!$C$34)</f>
        <v>2.4496094278975935</v>
      </c>
      <c r="P132">
        <f t="shared" si="2"/>
        <v>12.6</v>
      </c>
    </row>
    <row r="133" spans="10:16">
      <c r="J133" s="5"/>
      <c r="L133">
        <f>DigInv!M133</f>
        <v>-1.5645789999999999</v>
      </c>
      <c r="M133">
        <f>DigDir!N133</f>
        <v>12.7</v>
      </c>
      <c r="O133">
        <f>ABS(L133-DigInv!$C$34)</f>
        <v>2.4496094278975935</v>
      </c>
      <c r="P133">
        <f t="shared" si="2"/>
        <v>12.7</v>
      </c>
    </row>
    <row r="134" spans="10:16">
      <c r="J134" s="5"/>
      <c r="L134">
        <f>DigInv!M134</f>
        <v>-1.5645789999999999</v>
      </c>
      <c r="M134">
        <f>DigDir!N134</f>
        <v>12.8</v>
      </c>
      <c r="O134">
        <f>ABS(L134-DigInv!$C$34)</f>
        <v>2.4496094278975935</v>
      </c>
      <c r="P134">
        <f t="shared" si="2"/>
        <v>12.8</v>
      </c>
    </row>
    <row r="135" spans="10:16">
      <c r="J135" s="5"/>
      <c r="L135">
        <f>DigInv!M135</f>
        <v>-1.5645789999999999</v>
      </c>
      <c r="M135">
        <f>DigDir!N135</f>
        <v>12.9</v>
      </c>
      <c r="O135">
        <f>ABS(L135-DigInv!$C$34)</f>
        <v>2.4496094278975935</v>
      </c>
      <c r="P135">
        <f t="shared" ref="P135:P198" si="3">M135</f>
        <v>12.9</v>
      </c>
    </row>
    <row r="136" spans="10:16">
      <c r="J136" s="5"/>
      <c r="L136">
        <f>DigInv!M136</f>
        <v>-1.5645789999999999</v>
      </c>
      <c r="M136">
        <f>DigDir!N136</f>
        <v>13</v>
      </c>
      <c r="O136">
        <f>ABS(L136-DigInv!$C$34)</f>
        <v>2.4496094278975935</v>
      </c>
      <c r="P136">
        <f t="shared" si="3"/>
        <v>13</v>
      </c>
    </row>
    <row r="137" spans="10:16">
      <c r="J137" s="5"/>
      <c r="L137">
        <f>DigInv!M137</f>
        <v>-1.5645789999999999</v>
      </c>
      <c r="M137">
        <f>DigDir!N137</f>
        <v>13.1</v>
      </c>
      <c r="O137">
        <f>ABS(L137-DigInv!$C$34)</f>
        <v>2.4496094278975935</v>
      </c>
      <c r="P137">
        <f t="shared" si="3"/>
        <v>13.1</v>
      </c>
    </row>
    <row r="138" spans="10:16">
      <c r="J138" s="5"/>
      <c r="L138">
        <f>DigInv!M138</f>
        <v>-1.5645789999999999</v>
      </c>
      <c r="M138">
        <f>DigDir!N138</f>
        <v>13.2</v>
      </c>
      <c r="O138">
        <f>ABS(L138-DigInv!$C$34)</f>
        <v>2.4496094278975935</v>
      </c>
      <c r="P138">
        <f t="shared" si="3"/>
        <v>13.2</v>
      </c>
    </row>
    <row r="139" spans="10:16">
      <c r="J139" s="5"/>
      <c r="L139">
        <f>DigInv!M139</f>
        <v>-1.548911664</v>
      </c>
      <c r="M139">
        <f>DigDir!N139</f>
        <v>13.3</v>
      </c>
      <c r="O139">
        <f>ABS(L139-DigInv!$C$34)</f>
        <v>2.4652767638975934</v>
      </c>
      <c r="P139">
        <f t="shared" si="3"/>
        <v>13.3</v>
      </c>
    </row>
    <row r="140" spans="10:16">
      <c r="J140" s="5"/>
      <c r="L140">
        <f>DigInv!M140</f>
        <v>-1.503752872</v>
      </c>
      <c r="M140">
        <f>DigDir!N140</f>
        <v>13.4</v>
      </c>
      <c r="O140">
        <f>ABS(L140-DigInv!$C$34)</f>
        <v>2.5104355558975939</v>
      </c>
      <c r="P140">
        <f t="shared" si="3"/>
        <v>13.4</v>
      </c>
    </row>
    <row r="141" spans="10:16">
      <c r="J141" s="5"/>
      <c r="L141">
        <f>DigInv!M141</f>
        <v>-1.4585940799999999</v>
      </c>
      <c r="M141">
        <f>DigDir!N141</f>
        <v>13.5</v>
      </c>
      <c r="O141">
        <f>ABS(L141-DigInv!$C$34)</f>
        <v>2.5555943478975935</v>
      </c>
      <c r="P141">
        <f t="shared" si="3"/>
        <v>13.5</v>
      </c>
    </row>
    <row r="142" spans="10:16">
      <c r="J142" s="5"/>
      <c r="L142">
        <f>DigInv!M142</f>
        <v>-1.4126708880000001</v>
      </c>
      <c r="M142">
        <f>DigDir!N142</f>
        <v>13.6</v>
      </c>
      <c r="O142">
        <f>ABS(L142-DigInv!$C$34)</f>
        <v>2.6015175398975936</v>
      </c>
      <c r="P142">
        <f t="shared" si="3"/>
        <v>13.6</v>
      </c>
    </row>
    <row r="143" spans="10:16">
      <c r="J143" s="5"/>
      <c r="L143">
        <f>DigInv!M143</f>
        <v>-1.3665516959999999</v>
      </c>
      <c r="M143">
        <f>DigDir!N143</f>
        <v>13.7</v>
      </c>
      <c r="O143">
        <f>ABS(L143-DigInv!$C$34)</f>
        <v>2.6476367318975935</v>
      </c>
      <c r="P143">
        <f t="shared" si="3"/>
        <v>13.7</v>
      </c>
    </row>
    <row r="144" spans="10:16">
      <c r="J144" s="5"/>
      <c r="L144">
        <f>DigInv!M144</f>
        <v>-1.3317270000000001</v>
      </c>
      <c r="M144">
        <f>DigDir!N144</f>
        <v>13.8</v>
      </c>
      <c r="O144">
        <f>ABS(L144-DigInv!$C$34)</f>
        <v>2.6824614278975938</v>
      </c>
      <c r="P144">
        <f t="shared" si="3"/>
        <v>13.8</v>
      </c>
    </row>
    <row r="145" spans="10:16">
      <c r="J145" s="5"/>
      <c r="L145">
        <f>DigInv!M145</f>
        <v>-1.3317270000000001</v>
      </c>
      <c r="M145">
        <f>DigDir!N145</f>
        <v>13.9</v>
      </c>
      <c r="O145">
        <f>ABS(L145-DigInv!$C$34)</f>
        <v>2.6824614278975938</v>
      </c>
      <c r="P145">
        <f t="shared" si="3"/>
        <v>13.9</v>
      </c>
    </row>
    <row r="146" spans="10:16">
      <c r="J146" s="5"/>
      <c r="L146">
        <f>DigInv!M146</f>
        <v>-1.3317270000000001</v>
      </c>
      <c r="M146">
        <f>DigDir!N146</f>
        <v>14</v>
      </c>
      <c r="O146">
        <f>ABS(L146-DigInv!$C$34)</f>
        <v>2.6824614278975938</v>
      </c>
      <c r="P146">
        <f t="shared" si="3"/>
        <v>14</v>
      </c>
    </row>
    <row r="147" spans="10:16">
      <c r="J147" s="5"/>
      <c r="L147">
        <f>DigInv!M147</f>
        <v>-1.312681832</v>
      </c>
      <c r="M147">
        <f>DigDir!N147</f>
        <v>14.1</v>
      </c>
      <c r="O147">
        <f>ABS(L147-DigInv!$C$34)</f>
        <v>2.7015065958975937</v>
      </c>
      <c r="P147">
        <f t="shared" si="3"/>
        <v>14.1</v>
      </c>
    </row>
    <row r="148" spans="10:16">
      <c r="J148" s="5"/>
      <c r="L148">
        <f>DigInv!M148</f>
        <v>-1.285234384</v>
      </c>
      <c r="M148">
        <f>DigDir!N148</f>
        <v>14.2</v>
      </c>
      <c r="O148">
        <f>ABS(L148-DigInv!$C$34)</f>
        <v>2.7289540438975939</v>
      </c>
      <c r="P148">
        <f t="shared" si="3"/>
        <v>14.2</v>
      </c>
    </row>
    <row r="149" spans="10:16">
      <c r="J149" s="5"/>
      <c r="L149">
        <f>DigInv!M149</f>
        <v>-1.2617080000000001</v>
      </c>
      <c r="M149">
        <f>DigDir!N149</f>
        <v>14.3</v>
      </c>
      <c r="O149">
        <f>ABS(L149-DigInv!$C$34)</f>
        <v>2.7524804278975936</v>
      </c>
      <c r="P149">
        <f t="shared" si="3"/>
        <v>14.3</v>
      </c>
    </row>
    <row r="150" spans="10:16">
      <c r="J150" s="5"/>
      <c r="L150">
        <f>DigInv!M150</f>
        <v>-1.2617080000000001</v>
      </c>
      <c r="M150">
        <f>DigDir!N150</f>
        <v>14.4</v>
      </c>
      <c r="O150">
        <f>ABS(L150-DigInv!$C$34)</f>
        <v>2.7524804278975936</v>
      </c>
      <c r="P150">
        <f t="shared" si="3"/>
        <v>14.4</v>
      </c>
    </row>
    <row r="151" spans="10:16">
      <c r="J151" s="5"/>
      <c r="L151">
        <f>DigInv!M151</f>
        <v>-1.2617080000000001</v>
      </c>
      <c r="M151">
        <f>DigDir!N151</f>
        <v>14.5</v>
      </c>
      <c r="O151">
        <f>ABS(L151-DigInv!$C$34)</f>
        <v>2.7524804278975936</v>
      </c>
      <c r="P151">
        <f t="shared" si="3"/>
        <v>14.5</v>
      </c>
    </row>
    <row r="152" spans="10:16">
      <c r="J152" s="5"/>
      <c r="L152">
        <f>DigInv!M152</f>
        <v>-1.2617080000000001</v>
      </c>
      <c r="M152">
        <f>DigDir!N152</f>
        <v>14.6</v>
      </c>
      <c r="O152">
        <f>ABS(L152-DigInv!$C$34)</f>
        <v>2.7524804278975936</v>
      </c>
      <c r="P152">
        <f t="shared" si="3"/>
        <v>14.6</v>
      </c>
    </row>
    <row r="153" spans="10:16">
      <c r="J153" s="5"/>
      <c r="L153">
        <f>DigInv!M153</f>
        <v>-1.2617080000000001</v>
      </c>
      <c r="M153">
        <f>DigDir!N153</f>
        <v>14.7</v>
      </c>
      <c r="O153">
        <f>ABS(L153-DigInv!$C$34)</f>
        <v>2.7524804278975936</v>
      </c>
      <c r="P153">
        <f t="shared" si="3"/>
        <v>14.7</v>
      </c>
    </row>
    <row r="154" spans="10:16">
      <c r="J154" s="5"/>
      <c r="L154">
        <f>DigInv!M154</f>
        <v>-1.2521175520000001</v>
      </c>
      <c r="M154">
        <f>DigDir!N154</f>
        <v>14.8</v>
      </c>
      <c r="O154">
        <f>ABS(L154-DigInv!$C$34)</f>
        <v>2.7620708758975936</v>
      </c>
      <c r="P154">
        <f t="shared" si="3"/>
        <v>14.8</v>
      </c>
    </row>
    <row r="155" spans="10:16">
      <c r="J155" s="5"/>
      <c r="L155">
        <f>DigInv!M155</f>
        <v>-1.0171515760000001</v>
      </c>
      <c r="M155">
        <f>DigDir!N155</f>
        <v>14.9</v>
      </c>
      <c r="O155">
        <f>ABS(L155-DigInv!$C$34)</f>
        <v>2.9970368518975938</v>
      </c>
      <c r="P155">
        <f t="shared" si="3"/>
        <v>14.9</v>
      </c>
    </row>
    <row r="156" spans="10:16">
      <c r="J156" s="5"/>
      <c r="L156">
        <f>DigInv!M156</f>
        <v>-0.78218560000000203</v>
      </c>
      <c r="M156">
        <f>DigDir!N156</f>
        <v>15</v>
      </c>
      <c r="O156">
        <f>ABS(L156-DigInv!$C$34)</f>
        <v>3.2320028278975919</v>
      </c>
      <c r="P156">
        <f t="shared" si="3"/>
        <v>15</v>
      </c>
    </row>
    <row r="157" spans="10:16">
      <c r="J157" s="5"/>
      <c r="L157">
        <f>DigInv!M157</f>
        <v>-0.66230500000000003</v>
      </c>
      <c r="M157">
        <f>DigDir!N157</f>
        <v>15.1</v>
      </c>
      <c r="O157">
        <f>ABS(L157-DigInv!$C$34)</f>
        <v>3.3518834278975937</v>
      </c>
      <c r="P157">
        <f t="shared" si="3"/>
        <v>15.1</v>
      </c>
    </row>
    <row r="158" spans="10:16">
      <c r="J158" s="5"/>
      <c r="L158">
        <f>DigInv!M158</f>
        <v>-0.66230500000000003</v>
      </c>
      <c r="M158">
        <f>DigDir!N158</f>
        <v>15.2</v>
      </c>
      <c r="O158">
        <f>ABS(L158-DigInv!$C$34)</f>
        <v>3.3518834278975937</v>
      </c>
      <c r="P158">
        <f t="shared" si="3"/>
        <v>15.2</v>
      </c>
    </row>
    <row r="159" spans="10:16">
      <c r="J159" s="5"/>
      <c r="L159">
        <f>DigInv!M159</f>
        <v>-0.66230500000000003</v>
      </c>
      <c r="M159">
        <f>DigDir!N159</f>
        <v>15.3</v>
      </c>
      <c r="O159">
        <f>ABS(L159-DigInv!$C$34)</f>
        <v>3.3518834278975937</v>
      </c>
      <c r="P159">
        <f t="shared" si="3"/>
        <v>15.3</v>
      </c>
    </row>
    <row r="160" spans="10:16">
      <c r="J160" s="5"/>
      <c r="L160">
        <f>DigInv!M160</f>
        <v>-0.65203191199999999</v>
      </c>
      <c r="M160">
        <f>DigDir!N160</f>
        <v>15.4</v>
      </c>
      <c r="O160">
        <f>ABS(L160-DigInv!$C$34)</f>
        <v>3.3621565158975937</v>
      </c>
      <c r="P160">
        <f t="shared" si="3"/>
        <v>15.4</v>
      </c>
    </row>
    <row r="161" spans="10:16">
      <c r="J161" s="5"/>
      <c r="L161">
        <f>DigInv!M161</f>
        <v>-0.64108883999999999</v>
      </c>
      <c r="M161">
        <f>DigDir!N161</f>
        <v>15.5</v>
      </c>
      <c r="O161">
        <f>ABS(L161-DigInv!$C$34)</f>
        <v>3.3730995878975936</v>
      </c>
      <c r="P161">
        <f t="shared" si="3"/>
        <v>15.5</v>
      </c>
    </row>
    <row r="162" spans="10:16">
      <c r="J162" s="5"/>
      <c r="L162">
        <f>DigInv!M162</f>
        <v>-0.62968703199999998</v>
      </c>
      <c r="M162">
        <f>DigDir!N162</f>
        <v>15.6</v>
      </c>
      <c r="O162">
        <f>ABS(L162-DigInv!$C$34)</f>
        <v>3.3845013958975936</v>
      </c>
      <c r="P162">
        <f t="shared" si="3"/>
        <v>15.6</v>
      </c>
    </row>
    <row r="163" spans="10:16">
      <c r="J163" s="5"/>
      <c r="L163">
        <f>DigInv!M163</f>
        <v>-0.61756090399999997</v>
      </c>
      <c r="M163">
        <f>DigDir!N163</f>
        <v>15.7</v>
      </c>
      <c r="O163">
        <f>ABS(L163-DigInv!$C$34)</f>
        <v>3.3966275238975938</v>
      </c>
      <c r="P163">
        <f t="shared" si="3"/>
        <v>15.7</v>
      </c>
    </row>
    <row r="164" spans="10:16">
      <c r="J164" s="5"/>
      <c r="L164">
        <f>DigInv!M164</f>
        <v>-0.60543477599999995</v>
      </c>
      <c r="M164">
        <f>DigDir!N164</f>
        <v>15.8</v>
      </c>
      <c r="O164">
        <f>ABS(L164-DigInv!$C$34)</f>
        <v>3.4087536518975936</v>
      </c>
      <c r="P164">
        <f t="shared" si="3"/>
        <v>15.8</v>
      </c>
    </row>
    <row r="165" spans="10:16">
      <c r="J165" s="5"/>
      <c r="L165">
        <f>DigInv!M165</f>
        <v>-0.60345499999999996</v>
      </c>
      <c r="M165">
        <f>DigDir!N165</f>
        <v>15.9</v>
      </c>
      <c r="O165">
        <f>ABS(L165-DigInv!$C$34)</f>
        <v>3.4107334278975938</v>
      </c>
      <c r="P165">
        <f t="shared" si="3"/>
        <v>15.9</v>
      </c>
    </row>
    <row r="166" spans="10:16">
      <c r="J166" s="5"/>
      <c r="L166">
        <f>DigInv!M166</f>
        <v>-0.60345499999999996</v>
      </c>
      <c r="M166">
        <f>DigDir!N166</f>
        <v>16</v>
      </c>
      <c r="O166">
        <f>ABS(L166-DigInv!$C$34)</f>
        <v>3.4107334278975938</v>
      </c>
      <c r="P166">
        <f t="shared" si="3"/>
        <v>16</v>
      </c>
    </row>
    <row r="167" spans="10:16">
      <c r="J167" s="5"/>
      <c r="L167">
        <f>DigInv!M167</f>
        <v>-0.60345499999999996</v>
      </c>
      <c r="M167">
        <f>DigDir!N167</f>
        <v>16.100000000000001</v>
      </c>
      <c r="O167">
        <f>ABS(L167-DigInv!$C$34)</f>
        <v>3.4107334278975938</v>
      </c>
      <c r="P167">
        <f t="shared" si="3"/>
        <v>16.100000000000001</v>
      </c>
    </row>
    <row r="168" spans="10:16">
      <c r="J168" s="5"/>
      <c r="L168">
        <f>DigInv!M168</f>
        <v>-0.60345499999999996</v>
      </c>
      <c r="M168">
        <f>DigDir!N168</f>
        <v>16.2</v>
      </c>
      <c r="O168">
        <f>ABS(L168-DigInv!$C$34)</f>
        <v>3.4107334278975938</v>
      </c>
      <c r="P168">
        <f t="shared" si="3"/>
        <v>16.2</v>
      </c>
    </row>
    <row r="169" spans="10:16">
      <c r="J169" s="5"/>
      <c r="L169">
        <f>DigInv!M169</f>
        <v>-0.60345499999999996</v>
      </c>
      <c r="M169">
        <f>DigDir!N169</f>
        <v>16.3</v>
      </c>
      <c r="O169">
        <f>ABS(L169-DigInv!$C$34)</f>
        <v>3.4107334278975938</v>
      </c>
      <c r="P169">
        <f t="shared" si="3"/>
        <v>16.3</v>
      </c>
    </row>
    <row r="170" spans="10:16">
      <c r="J170" s="5"/>
      <c r="L170">
        <f>DigInv!M170</f>
        <v>-0.60345499999999996</v>
      </c>
      <c r="M170">
        <f>DigDir!N170</f>
        <v>16.399999999999999</v>
      </c>
      <c r="O170">
        <f>ABS(L170-DigInv!$C$34)</f>
        <v>3.4107334278975938</v>
      </c>
      <c r="P170">
        <f t="shared" si="3"/>
        <v>16.399999999999999</v>
      </c>
    </row>
    <row r="171" spans="10:16">
      <c r="J171" s="5"/>
      <c r="L171">
        <f>DigInv!M171</f>
        <v>-0.60345499999999996</v>
      </c>
      <c r="M171">
        <f>DigDir!N171</f>
        <v>16.5</v>
      </c>
      <c r="O171">
        <f>ABS(L171-DigInv!$C$34)</f>
        <v>3.4107334278975938</v>
      </c>
      <c r="P171">
        <f t="shared" si="3"/>
        <v>16.5</v>
      </c>
    </row>
    <row r="172" spans="10:16">
      <c r="J172" s="5"/>
      <c r="L172">
        <f>DigInv!M172</f>
        <v>-0.60345499999999996</v>
      </c>
      <c r="M172">
        <f>DigDir!N172</f>
        <v>16.600000000000001</v>
      </c>
      <c r="O172">
        <f>ABS(L172-DigInv!$C$34)</f>
        <v>3.4107334278975938</v>
      </c>
      <c r="P172">
        <f t="shared" si="3"/>
        <v>16.600000000000001</v>
      </c>
    </row>
    <row r="173" spans="10:16">
      <c r="J173" s="5"/>
      <c r="L173">
        <f>DigInv!M173</f>
        <v>-0.60345499999999996</v>
      </c>
      <c r="M173">
        <f>DigDir!N173</f>
        <v>16.7</v>
      </c>
      <c r="O173">
        <f>ABS(L173-DigInv!$C$34)</f>
        <v>3.4107334278975938</v>
      </c>
      <c r="P173">
        <f t="shared" si="3"/>
        <v>16.7</v>
      </c>
    </row>
    <row r="174" spans="10:16">
      <c r="J174" s="5"/>
      <c r="L174">
        <f>DigInv!M174</f>
        <v>-0.60345499999999996</v>
      </c>
      <c r="M174">
        <f>DigDir!N174</f>
        <v>16.8</v>
      </c>
      <c r="O174">
        <f>ABS(L174-DigInv!$C$34)</f>
        <v>3.4107334278975938</v>
      </c>
      <c r="P174">
        <f t="shared" si="3"/>
        <v>16.8</v>
      </c>
    </row>
    <row r="175" spans="10:16">
      <c r="J175" s="5"/>
      <c r="L175">
        <f>DigInv!M175</f>
        <v>-0.60345499999999996</v>
      </c>
      <c r="M175">
        <f>DigDir!N175</f>
        <v>16.899999999999999</v>
      </c>
      <c r="O175">
        <f>ABS(L175-DigInv!$C$34)</f>
        <v>3.4107334278975938</v>
      </c>
      <c r="P175">
        <f t="shared" si="3"/>
        <v>16.899999999999999</v>
      </c>
    </row>
    <row r="176" spans="10:16">
      <c r="J176" s="5"/>
      <c r="L176">
        <f>DigInv!M176</f>
        <v>-0.60345499999999996</v>
      </c>
      <c r="M176">
        <f>DigDir!N176</f>
        <v>17</v>
      </c>
      <c r="O176">
        <f>ABS(L176-DigInv!$C$34)</f>
        <v>3.4107334278975938</v>
      </c>
      <c r="P176">
        <f t="shared" si="3"/>
        <v>17</v>
      </c>
    </row>
    <row r="177" spans="10:16">
      <c r="J177" s="5"/>
      <c r="L177">
        <f>DigInv!M177</f>
        <v>-0.60345499999999996</v>
      </c>
      <c r="M177">
        <f>DigDir!N177</f>
        <v>17.100000000000001</v>
      </c>
      <c r="O177">
        <f>ABS(L177-DigInv!$C$34)</f>
        <v>3.4107334278975938</v>
      </c>
      <c r="P177">
        <f t="shared" si="3"/>
        <v>17.100000000000001</v>
      </c>
    </row>
    <row r="178" spans="10:16">
      <c r="J178" s="5"/>
      <c r="L178">
        <f>DigInv!M178</f>
        <v>-0.60345499999999996</v>
      </c>
      <c r="M178">
        <f>DigDir!N178</f>
        <v>17.2</v>
      </c>
      <c r="O178">
        <f>ABS(L178-DigInv!$C$34)</f>
        <v>3.4107334278975938</v>
      </c>
      <c r="P178">
        <f t="shared" si="3"/>
        <v>17.2</v>
      </c>
    </row>
    <row r="179" spans="10:16">
      <c r="J179" s="5"/>
      <c r="L179">
        <f>DigInv!M179</f>
        <v>-0.60345499999999996</v>
      </c>
      <c r="M179">
        <f>DigDir!N179</f>
        <v>17.3</v>
      </c>
      <c r="O179">
        <f>ABS(L179-DigInv!$C$34)</f>
        <v>3.4107334278975938</v>
      </c>
      <c r="P179">
        <f t="shared" si="3"/>
        <v>17.3</v>
      </c>
    </row>
    <row r="180" spans="10:16">
      <c r="J180" s="5"/>
      <c r="L180">
        <f>DigInv!M180</f>
        <v>-0.60345499999999996</v>
      </c>
      <c r="M180">
        <f>DigDir!N180</f>
        <v>17.399999999999999</v>
      </c>
      <c r="O180">
        <f>ABS(L180-DigInv!$C$34)</f>
        <v>3.4107334278975938</v>
      </c>
      <c r="P180">
        <f t="shared" si="3"/>
        <v>17.399999999999999</v>
      </c>
    </row>
    <row r="181" spans="10:16">
      <c r="J181" s="5"/>
      <c r="L181">
        <f>DigInv!M181</f>
        <v>-0.60345499999999996</v>
      </c>
      <c r="M181">
        <f>DigDir!N181</f>
        <v>17.5</v>
      </c>
      <c r="O181">
        <f>ABS(L181-DigInv!$C$34)</f>
        <v>3.4107334278975938</v>
      </c>
      <c r="P181">
        <f t="shared" si="3"/>
        <v>17.5</v>
      </c>
    </row>
    <row r="182" spans="10:16">
      <c r="J182" s="5"/>
      <c r="L182">
        <f>DigInv!M182</f>
        <v>-0.60345499999999996</v>
      </c>
      <c r="M182">
        <f>DigDir!N182</f>
        <v>17.600000000000001</v>
      </c>
      <c r="O182">
        <f>ABS(L182-DigInv!$C$34)</f>
        <v>3.4107334278975938</v>
      </c>
      <c r="P182">
        <f t="shared" si="3"/>
        <v>17.600000000000001</v>
      </c>
    </row>
    <row r="183" spans="10:16">
      <c r="J183" s="5"/>
      <c r="L183">
        <f>DigInv!M183</f>
        <v>-0.60345499999999996</v>
      </c>
      <c r="M183">
        <f>DigDir!N183</f>
        <v>17.7</v>
      </c>
      <c r="O183">
        <f>ABS(L183-DigInv!$C$34)</f>
        <v>3.4107334278975938</v>
      </c>
      <c r="P183">
        <f t="shared" si="3"/>
        <v>17.7</v>
      </c>
    </row>
    <row r="184" spans="10:16">
      <c r="J184" s="5"/>
      <c r="L184">
        <f>DigInv!M184</f>
        <v>-0.60345499999999996</v>
      </c>
      <c r="M184">
        <f>DigDir!N184</f>
        <v>17.8</v>
      </c>
      <c r="O184">
        <f>ABS(L184-DigInv!$C$34)</f>
        <v>3.4107334278975938</v>
      </c>
      <c r="P184">
        <f t="shared" si="3"/>
        <v>17.8</v>
      </c>
    </row>
    <row r="185" spans="10:16">
      <c r="J185" s="5"/>
      <c r="L185">
        <f>DigInv!M185</f>
        <v>-0.60345499999999996</v>
      </c>
      <c r="M185">
        <f>DigDir!N185</f>
        <v>17.899999999999999</v>
      </c>
      <c r="O185">
        <f>ABS(L185-DigInv!$C$34)</f>
        <v>3.4107334278975938</v>
      </c>
      <c r="P185">
        <f t="shared" si="3"/>
        <v>17.899999999999999</v>
      </c>
    </row>
    <row r="186" spans="10:16">
      <c r="J186" s="5"/>
      <c r="L186">
        <f>DigInv!M186</f>
        <v>-0.60345499999999996</v>
      </c>
      <c r="M186">
        <f>DigDir!N186</f>
        <v>18</v>
      </c>
      <c r="O186">
        <f>ABS(L186-DigInv!$C$34)</f>
        <v>3.4107334278975938</v>
      </c>
      <c r="P186">
        <f t="shared" si="3"/>
        <v>18</v>
      </c>
    </row>
    <row r="187" spans="10:16">
      <c r="J187" s="5"/>
      <c r="L187">
        <f>DigInv!M187</f>
        <v>-0.60345499999999996</v>
      </c>
      <c r="M187">
        <f>DigDir!N187</f>
        <v>18.100000000000001</v>
      </c>
      <c r="O187">
        <f>ABS(L187-DigInv!$C$34)</f>
        <v>3.4107334278975938</v>
      </c>
      <c r="P187">
        <f t="shared" si="3"/>
        <v>18.100000000000001</v>
      </c>
    </row>
    <row r="188" spans="10:16">
      <c r="J188" s="5"/>
      <c r="L188">
        <f>DigInv!M188</f>
        <v>-0.60345499999999996</v>
      </c>
      <c r="M188">
        <f>DigDir!N188</f>
        <v>18.2</v>
      </c>
      <c r="O188">
        <f>ABS(L188-DigInv!$C$34)</f>
        <v>3.4107334278975938</v>
      </c>
      <c r="P188">
        <f t="shared" si="3"/>
        <v>18.2</v>
      </c>
    </row>
    <row r="189" spans="10:16">
      <c r="J189" s="5"/>
      <c r="L189">
        <f>DigInv!M189</f>
        <v>-0.60345499999999996</v>
      </c>
      <c r="M189">
        <f>DigDir!N189</f>
        <v>18.3</v>
      </c>
      <c r="O189">
        <f>ABS(L189-DigInv!$C$34)</f>
        <v>3.4107334278975938</v>
      </c>
      <c r="P189">
        <f t="shared" si="3"/>
        <v>18.3</v>
      </c>
    </row>
    <row r="190" spans="10:16">
      <c r="J190" s="5"/>
      <c r="L190">
        <f>DigInv!M190</f>
        <v>-0.60345499999999996</v>
      </c>
      <c r="M190">
        <f>DigDir!N190</f>
        <v>18.399999999999999</v>
      </c>
      <c r="O190">
        <f>ABS(L190-DigInv!$C$34)</f>
        <v>3.4107334278975938</v>
      </c>
      <c r="P190">
        <f t="shared" si="3"/>
        <v>18.399999999999999</v>
      </c>
    </row>
    <row r="191" spans="10:16">
      <c r="J191" s="5"/>
      <c r="L191">
        <f>DigInv!M191</f>
        <v>-0.60345499999999996</v>
      </c>
      <c r="M191">
        <f>DigDir!N191</f>
        <v>18.5</v>
      </c>
      <c r="O191">
        <f>ABS(L191-DigInv!$C$34)</f>
        <v>3.4107334278975938</v>
      </c>
      <c r="P191">
        <f t="shared" si="3"/>
        <v>18.5</v>
      </c>
    </row>
    <row r="192" spans="10:16">
      <c r="J192" s="5"/>
      <c r="L192">
        <f>DigInv!M192</f>
        <v>-0.60345499999999996</v>
      </c>
      <c r="M192">
        <f>DigDir!N192</f>
        <v>18.600000000000001</v>
      </c>
      <c r="O192">
        <f>ABS(L192-DigInv!$C$34)</f>
        <v>3.4107334278975938</v>
      </c>
      <c r="P192">
        <f t="shared" si="3"/>
        <v>18.600000000000001</v>
      </c>
    </row>
    <row r="193" spans="10:16">
      <c r="J193" s="5"/>
      <c r="L193">
        <f>DigInv!M193</f>
        <v>-0.60345499999999996</v>
      </c>
      <c r="M193">
        <f>DigDir!N193</f>
        <v>18.7</v>
      </c>
      <c r="O193">
        <f>ABS(L193-DigInv!$C$34)</f>
        <v>3.4107334278975938</v>
      </c>
      <c r="P193">
        <f t="shared" si="3"/>
        <v>18.7</v>
      </c>
    </row>
    <row r="194" spans="10:16">
      <c r="J194" s="5"/>
      <c r="L194">
        <f>DigInv!M194</f>
        <v>-0.60345499999999996</v>
      </c>
      <c r="M194">
        <f>DigDir!N194</f>
        <v>18.8</v>
      </c>
      <c r="O194">
        <f>ABS(L194-DigInv!$C$34)</f>
        <v>3.4107334278975938</v>
      </c>
      <c r="P194">
        <f t="shared" si="3"/>
        <v>18.8</v>
      </c>
    </row>
    <row r="195" spans="10:16">
      <c r="J195" s="5"/>
      <c r="L195">
        <f>DigInv!M195</f>
        <v>-0.60345499999999996</v>
      </c>
      <c r="M195">
        <f>DigDir!N195</f>
        <v>18.899999999999999</v>
      </c>
      <c r="O195">
        <f>ABS(L195-DigInv!$C$34)</f>
        <v>3.4107334278975938</v>
      </c>
      <c r="P195">
        <f t="shared" si="3"/>
        <v>18.899999999999999</v>
      </c>
    </row>
    <row r="196" spans="10:16">
      <c r="J196" s="5"/>
      <c r="L196">
        <f>DigInv!M196</f>
        <v>-0.60345499999999996</v>
      </c>
      <c r="M196">
        <f>DigDir!N196</f>
        <v>19</v>
      </c>
      <c r="O196">
        <f>ABS(L196-DigInv!$C$34)</f>
        <v>3.4107334278975938</v>
      </c>
      <c r="P196">
        <f t="shared" si="3"/>
        <v>19</v>
      </c>
    </row>
    <row r="197" spans="10:16">
      <c r="J197" s="5"/>
      <c r="L197">
        <f>DigInv!M197</f>
        <v>-0.60345499999999996</v>
      </c>
      <c r="M197">
        <f>DigDir!N197</f>
        <v>19.100000000000001</v>
      </c>
      <c r="O197">
        <f>ABS(L197-DigInv!$C$34)</f>
        <v>3.4107334278975938</v>
      </c>
      <c r="P197">
        <f t="shared" si="3"/>
        <v>19.100000000000001</v>
      </c>
    </row>
    <row r="198" spans="10:16">
      <c r="J198" s="5"/>
      <c r="L198">
        <f>DigInv!M198</f>
        <v>-0.60345499999999996</v>
      </c>
      <c r="M198">
        <f>DigDir!N198</f>
        <v>19.2</v>
      </c>
      <c r="O198">
        <f>ABS(L198-DigInv!$C$34)</f>
        <v>3.4107334278975938</v>
      </c>
      <c r="P198">
        <f t="shared" si="3"/>
        <v>19.2</v>
      </c>
    </row>
    <row r="199" spans="10:16">
      <c r="J199" s="5"/>
      <c r="L199">
        <f>DigInv!M199</f>
        <v>-0.60345499999999996</v>
      </c>
      <c r="M199">
        <f>DigDir!N199</f>
        <v>19.3</v>
      </c>
      <c r="O199">
        <f>ABS(L199-DigInv!$C$34)</f>
        <v>3.4107334278975938</v>
      </c>
      <c r="P199">
        <f t="shared" ref="P199:P262" si="4">M199</f>
        <v>19.3</v>
      </c>
    </row>
    <row r="200" spans="10:16">
      <c r="J200" s="5"/>
      <c r="L200">
        <f>DigInv!M200</f>
        <v>-0.60345499999999996</v>
      </c>
      <c r="M200">
        <f>DigDir!N200</f>
        <v>19.399999999999999</v>
      </c>
      <c r="O200">
        <f>ABS(L200-DigInv!$C$34)</f>
        <v>3.4107334278975938</v>
      </c>
      <c r="P200">
        <f t="shared" si="4"/>
        <v>19.399999999999999</v>
      </c>
    </row>
    <row r="201" spans="10:16">
      <c r="J201" s="5"/>
      <c r="L201">
        <f>DigInv!M201</f>
        <v>-0.60345499999999996</v>
      </c>
      <c r="M201">
        <f>DigDir!N201</f>
        <v>19.5</v>
      </c>
      <c r="O201">
        <f>ABS(L201-DigInv!$C$34)</f>
        <v>3.4107334278975938</v>
      </c>
      <c r="P201">
        <f t="shared" si="4"/>
        <v>19.5</v>
      </c>
    </row>
    <row r="202" spans="10:16">
      <c r="J202" s="5"/>
      <c r="L202">
        <f>DigInv!M202</f>
        <v>-0.60345499999999996</v>
      </c>
      <c r="M202">
        <f>DigDir!N202</f>
        <v>19.600000000000001</v>
      </c>
      <c r="O202">
        <f>ABS(L202-DigInv!$C$34)</f>
        <v>3.4107334278975938</v>
      </c>
      <c r="P202">
        <f t="shared" si="4"/>
        <v>19.600000000000001</v>
      </c>
    </row>
    <row r="203" spans="10:16">
      <c r="J203" s="5"/>
      <c r="L203">
        <f>DigInv!M203</f>
        <v>-0.60345499999999996</v>
      </c>
      <c r="M203">
        <f>DigDir!N203</f>
        <v>19.7</v>
      </c>
      <c r="O203">
        <f>ABS(L203-DigInv!$C$34)</f>
        <v>3.4107334278975938</v>
      </c>
      <c r="P203">
        <f t="shared" si="4"/>
        <v>19.7</v>
      </c>
    </row>
    <row r="204" spans="10:16">
      <c r="J204" s="5"/>
      <c r="L204">
        <f>DigInv!M204</f>
        <v>-0.60345499999999996</v>
      </c>
      <c r="M204">
        <f>DigDir!N204</f>
        <v>19.8</v>
      </c>
      <c r="O204">
        <f>ABS(L204-DigInv!$C$34)</f>
        <v>3.4107334278975938</v>
      </c>
      <c r="P204">
        <f t="shared" si="4"/>
        <v>19.8</v>
      </c>
    </row>
    <row r="205" spans="10:16">
      <c r="J205" s="5"/>
      <c r="L205">
        <f>DigInv!M205</f>
        <v>-0.60345499999999996</v>
      </c>
      <c r="M205">
        <f>DigDir!N205</f>
        <v>19.899999999999999</v>
      </c>
      <c r="O205">
        <f>ABS(L205-DigInv!$C$34)</f>
        <v>3.4107334278975938</v>
      </c>
      <c r="P205">
        <f t="shared" si="4"/>
        <v>19.899999999999999</v>
      </c>
    </row>
    <row r="206" spans="10:16">
      <c r="J206" s="5"/>
      <c r="L206">
        <f>DigInv!M206</f>
        <v>-0.60345499999999996</v>
      </c>
      <c r="M206">
        <f>DigDir!N206</f>
        <v>20</v>
      </c>
      <c r="O206">
        <f>ABS(L206-DigInv!$C$34)</f>
        <v>3.4107334278975938</v>
      </c>
      <c r="P206">
        <f t="shared" si="4"/>
        <v>20</v>
      </c>
    </row>
    <row r="207" spans="10:16">
      <c r="J207" s="5"/>
      <c r="L207">
        <f>DigInv!M207</f>
        <v>-0.60345499999999996</v>
      </c>
      <c r="M207">
        <f>DigDir!N207</f>
        <v>20.100000000000001</v>
      </c>
      <c r="O207">
        <f>ABS(L207-DigInv!$C$34)</f>
        <v>3.4107334278975938</v>
      </c>
      <c r="P207">
        <f t="shared" si="4"/>
        <v>20.100000000000001</v>
      </c>
    </row>
    <row r="208" spans="10:16">
      <c r="J208" s="5"/>
      <c r="L208">
        <f>DigInv!M208</f>
        <v>-0.60345499999999996</v>
      </c>
      <c r="M208">
        <f>DigDir!N208</f>
        <v>20.2</v>
      </c>
      <c r="O208">
        <f>ABS(L208-DigInv!$C$34)</f>
        <v>3.4107334278975938</v>
      </c>
      <c r="P208">
        <f t="shared" si="4"/>
        <v>20.2</v>
      </c>
    </row>
    <row r="209" spans="10:16">
      <c r="J209" s="5"/>
      <c r="L209">
        <f>DigInv!M209</f>
        <v>-0.60345499999999996</v>
      </c>
      <c r="M209">
        <f>DigDir!N209</f>
        <v>20.3</v>
      </c>
      <c r="O209">
        <f>ABS(L209-DigInv!$C$34)</f>
        <v>3.4107334278975938</v>
      </c>
      <c r="P209">
        <f t="shared" si="4"/>
        <v>20.3</v>
      </c>
    </row>
    <row r="210" spans="10:16">
      <c r="J210" s="5"/>
      <c r="L210">
        <f>DigInv!M210</f>
        <v>-0.60345499999999996</v>
      </c>
      <c r="M210">
        <f>DigDir!N210</f>
        <v>20.399999999999999</v>
      </c>
      <c r="O210">
        <f>ABS(L210-DigInv!$C$34)</f>
        <v>3.4107334278975938</v>
      </c>
      <c r="P210">
        <f t="shared" si="4"/>
        <v>20.399999999999999</v>
      </c>
    </row>
    <row r="211" spans="10:16">
      <c r="J211" s="5"/>
      <c r="L211">
        <f>DigInv!M211</f>
        <v>-0.60345499999999996</v>
      </c>
      <c r="M211">
        <f>DigDir!N211</f>
        <v>20.5</v>
      </c>
      <c r="O211">
        <f>ABS(L211-DigInv!$C$34)</f>
        <v>3.4107334278975938</v>
      </c>
      <c r="P211">
        <f t="shared" si="4"/>
        <v>20.5</v>
      </c>
    </row>
    <row r="212" spans="10:16">
      <c r="J212" s="5"/>
      <c r="L212">
        <f>DigInv!M212</f>
        <v>-0.60345499999999996</v>
      </c>
      <c r="M212">
        <f>DigDir!N212</f>
        <v>20.6</v>
      </c>
      <c r="O212">
        <f>ABS(L212-DigInv!$C$34)</f>
        <v>3.4107334278975938</v>
      </c>
      <c r="P212">
        <f t="shared" si="4"/>
        <v>20.6</v>
      </c>
    </row>
    <row r="213" spans="10:16">
      <c r="J213" s="5"/>
      <c r="L213">
        <f>DigInv!M213</f>
        <v>-0.60345499999999996</v>
      </c>
      <c r="M213">
        <f>DigDir!N213</f>
        <v>20.7</v>
      </c>
      <c r="O213">
        <f>ABS(L213-DigInv!$C$34)</f>
        <v>3.4107334278975938</v>
      </c>
      <c r="P213">
        <f t="shared" si="4"/>
        <v>20.7</v>
      </c>
    </row>
    <row r="214" spans="10:16">
      <c r="J214" s="5"/>
      <c r="L214">
        <f>DigInv!M214</f>
        <v>-0.60345499999999996</v>
      </c>
      <c r="M214">
        <f>DigDir!N214</f>
        <v>20.8</v>
      </c>
      <c r="O214">
        <f>ABS(L214-DigInv!$C$34)</f>
        <v>3.4107334278975938</v>
      </c>
      <c r="P214">
        <f t="shared" si="4"/>
        <v>20.8</v>
      </c>
    </row>
    <row r="215" spans="10:16">
      <c r="J215" s="5"/>
      <c r="L215">
        <f>DigInv!M215</f>
        <v>-0.60345499999999996</v>
      </c>
      <c r="M215">
        <f>DigDir!N215</f>
        <v>20.9</v>
      </c>
      <c r="O215">
        <f>ABS(L215-DigInv!$C$34)</f>
        <v>3.4107334278975938</v>
      </c>
      <c r="P215">
        <f t="shared" si="4"/>
        <v>20.9</v>
      </c>
    </row>
    <row r="216" spans="10:16">
      <c r="J216" s="5"/>
      <c r="L216">
        <f>DigInv!M216</f>
        <v>-0.60345499999999996</v>
      </c>
      <c r="M216">
        <f>DigDir!N216</f>
        <v>21</v>
      </c>
      <c r="O216">
        <f>ABS(L216-DigInv!$C$34)</f>
        <v>3.4107334278975938</v>
      </c>
      <c r="P216">
        <f t="shared" si="4"/>
        <v>21</v>
      </c>
    </row>
    <row r="217" spans="10:16">
      <c r="J217" s="5"/>
      <c r="L217">
        <f>DigInv!M217</f>
        <v>-0.60345499999999996</v>
      </c>
      <c r="M217">
        <f>DigDir!N217</f>
        <v>21.1</v>
      </c>
      <c r="O217">
        <f>ABS(L217-DigInv!$C$34)</f>
        <v>3.4107334278975938</v>
      </c>
      <c r="P217">
        <f t="shared" si="4"/>
        <v>21.1</v>
      </c>
    </row>
    <row r="218" spans="10:16">
      <c r="J218" s="5"/>
      <c r="L218">
        <f>DigInv!M218</f>
        <v>-0.60345499999999996</v>
      </c>
      <c r="M218">
        <f>DigDir!N218</f>
        <v>21.2</v>
      </c>
      <c r="O218">
        <f>ABS(L218-DigInv!$C$34)</f>
        <v>3.4107334278975938</v>
      </c>
      <c r="P218">
        <f t="shared" si="4"/>
        <v>21.2</v>
      </c>
    </row>
    <row r="219" spans="10:16">
      <c r="J219" s="5"/>
      <c r="L219">
        <f>DigInv!M219</f>
        <v>-0.60345499999999996</v>
      </c>
      <c r="M219">
        <f>DigDir!N219</f>
        <v>21.3</v>
      </c>
      <c r="O219">
        <f>ABS(L219-DigInv!$C$34)</f>
        <v>3.4107334278975938</v>
      </c>
      <c r="P219">
        <f t="shared" si="4"/>
        <v>21.3</v>
      </c>
    </row>
    <row r="220" spans="10:16">
      <c r="J220" s="5"/>
      <c r="L220">
        <f>DigInv!M220</f>
        <v>-0.60345499999999996</v>
      </c>
      <c r="M220">
        <f>DigDir!N220</f>
        <v>21.4</v>
      </c>
      <c r="O220">
        <f>ABS(L220-DigInv!$C$34)</f>
        <v>3.4107334278975938</v>
      </c>
      <c r="P220">
        <f t="shared" si="4"/>
        <v>21.4</v>
      </c>
    </row>
    <row r="221" spans="10:16">
      <c r="J221" s="5"/>
      <c r="L221">
        <f>DigInv!M221</f>
        <v>-0.60345499999999996</v>
      </c>
      <c r="M221">
        <f>DigDir!N221</f>
        <v>21.5</v>
      </c>
      <c r="O221">
        <f>ABS(L221-DigInv!$C$34)</f>
        <v>3.4107334278975938</v>
      </c>
      <c r="P221">
        <f t="shared" si="4"/>
        <v>21.5</v>
      </c>
    </row>
    <row r="222" spans="10:16">
      <c r="J222" s="5"/>
      <c r="L222">
        <f>DigInv!M222</f>
        <v>-0.60345499999999996</v>
      </c>
      <c r="M222">
        <f>DigDir!N222</f>
        <v>21.6</v>
      </c>
      <c r="O222">
        <f>ABS(L222-DigInv!$C$34)</f>
        <v>3.4107334278975938</v>
      </c>
      <c r="P222">
        <f t="shared" si="4"/>
        <v>21.6</v>
      </c>
    </row>
    <row r="223" spans="10:16">
      <c r="J223" s="5"/>
      <c r="L223">
        <f>DigInv!M223</f>
        <v>-0.60345499999999996</v>
      </c>
      <c r="M223">
        <f>DigDir!N223</f>
        <v>21.7</v>
      </c>
      <c r="O223">
        <f>ABS(L223-DigInv!$C$34)</f>
        <v>3.4107334278975938</v>
      </c>
      <c r="P223">
        <f t="shared" si="4"/>
        <v>21.7</v>
      </c>
    </row>
    <row r="224" spans="10:16">
      <c r="J224" s="5"/>
      <c r="L224">
        <f>DigInv!M224</f>
        <v>-0.60345499999999996</v>
      </c>
      <c r="M224">
        <f>DigDir!N224</f>
        <v>21.8</v>
      </c>
      <c r="O224">
        <f>ABS(L224-DigInv!$C$34)</f>
        <v>3.4107334278975938</v>
      </c>
      <c r="P224">
        <f t="shared" si="4"/>
        <v>21.8</v>
      </c>
    </row>
    <row r="225" spans="10:16">
      <c r="J225" s="5"/>
      <c r="L225">
        <f>DigInv!M225</f>
        <v>-0.60345499999999996</v>
      </c>
      <c r="M225">
        <f>DigDir!N225</f>
        <v>21.9</v>
      </c>
      <c r="O225">
        <f>ABS(L225-DigInv!$C$34)</f>
        <v>3.4107334278975938</v>
      </c>
      <c r="P225">
        <f t="shared" si="4"/>
        <v>21.9</v>
      </c>
    </row>
    <row r="226" spans="10:16">
      <c r="J226" s="5"/>
      <c r="L226">
        <f>DigInv!M226</f>
        <v>-0.60345499999999996</v>
      </c>
      <c r="M226">
        <f>DigDir!N226</f>
        <v>22</v>
      </c>
      <c r="O226">
        <f>ABS(L226-DigInv!$C$34)</f>
        <v>3.4107334278975938</v>
      </c>
      <c r="P226">
        <f t="shared" si="4"/>
        <v>22</v>
      </c>
    </row>
    <row r="227" spans="10:16">
      <c r="J227" s="5"/>
      <c r="L227">
        <f>DigInv!M227</f>
        <v>-0.60345499999999996</v>
      </c>
      <c r="M227">
        <f>DigDir!N227</f>
        <v>22.1</v>
      </c>
      <c r="O227">
        <f>ABS(L227-DigInv!$C$34)</f>
        <v>3.4107334278975938</v>
      </c>
      <c r="P227">
        <f t="shared" si="4"/>
        <v>22.1</v>
      </c>
    </row>
    <row r="228" spans="10:16">
      <c r="J228" s="5"/>
      <c r="L228">
        <f>DigInv!M228</f>
        <v>-0.60345499999999996</v>
      </c>
      <c r="M228">
        <f>DigDir!N228</f>
        <v>22.2</v>
      </c>
      <c r="O228">
        <f>ABS(L228-DigInv!$C$34)</f>
        <v>3.4107334278975938</v>
      </c>
      <c r="P228">
        <f t="shared" si="4"/>
        <v>22.2</v>
      </c>
    </row>
    <row r="229" spans="10:16">
      <c r="J229" s="5"/>
      <c r="L229">
        <f>DigInv!M229</f>
        <v>-0.60345499999999996</v>
      </c>
      <c r="M229">
        <f>DigDir!N229</f>
        <v>22.3</v>
      </c>
      <c r="O229">
        <f>ABS(L229-DigInv!$C$34)</f>
        <v>3.4107334278975938</v>
      </c>
      <c r="P229">
        <f t="shared" si="4"/>
        <v>22.3</v>
      </c>
    </row>
    <row r="230" spans="10:16">
      <c r="J230" s="5"/>
      <c r="L230">
        <f>DigInv!M230</f>
        <v>-0.60345499999999996</v>
      </c>
      <c r="M230">
        <f>DigDir!N230</f>
        <v>22.4</v>
      </c>
      <c r="O230">
        <f>ABS(L230-DigInv!$C$34)</f>
        <v>3.4107334278975938</v>
      </c>
      <c r="P230">
        <f t="shared" si="4"/>
        <v>22.4</v>
      </c>
    </row>
    <row r="231" spans="10:16">
      <c r="J231" s="5"/>
      <c r="L231">
        <f>DigInv!M231</f>
        <v>-0.60345499999999996</v>
      </c>
      <c r="M231">
        <f>DigDir!N231</f>
        <v>22.5</v>
      </c>
      <c r="O231">
        <f>ABS(L231-DigInv!$C$34)</f>
        <v>3.4107334278975938</v>
      </c>
      <c r="P231">
        <f t="shared" si="4"/>
        <v>22.5</v>
      </c>
    </row>
    <row r="232" spans="10:16">
      <c r="J232" s="5"/>
      <c r="L232">
        <f>DigInv!M232</f>
        <v>-0.60345499999999996</v>
      </c>
      <c r="M232">
        <f>DigDir!N232</f>
        <v>22.6</v>
      </c>
      <c r="O232">
        <f>ABS(L232-DigInv!$C$34)</f>
        <v>3.4107334278975938</v>
      </c>
      <c r="P232">
        <f t="shared" si="4"/>
        <v>22.6</v>
      </c>
    </row>
    <row r="233" spans="10:16">
      <c r="J233" s="5"/>
      <c r="L233">
        <f>DigInv!M233</f>
        <v>-0.60345499999999996</v>
      </c>
      <c r="M233">
        <f>DigDir!N233</f>
        <v>22.7</v>
      </c>
      <c r="O233">
        <f>ABS(L233-DigInv!$C$34)</f>
        <v>3.4107334278975938</v>
      </c>
      <c r="P233">
        <f t="shared" si="4"/>
        <v>22.7</v>
      </c>
    </row>
    <row r="234" spans="10:16">
      <c r="J234" s="5"/>
      <c r="L234">
        <f>DigInv!M234</f>
        <v>-0.60345499999999996</v>
      </c>
      <c r="M234">
        <f>DigDir!N234</f>
        <v>22.8</v>
      </c>
      <c r="O234">
        <f>ABS(L234-DigInv!$C$34)</f>
        <v>3.4107334278975938</v>
      </c>
      <c r="P234">
        <f t="shared" si="4"/>
        <v>22.8</v>
      </c>
    </row>
    <row r="235" spans="10:16">
      <c r="J235" s="5"/>
      <c r="L235">
        <f>DigInv!M235</f>
        <v>-0.60345499999999996</v>
      </c>
      <c r="M235">
        <f>DigDir!N235</f>
        <v>22.9</v>
      </c>
      <c r="O235">
        <f>ABS(L235-DigInv!$C$34)</f>
        <v>3.4107334278975938</v>
      </c>
      <c r="P235">
        <f t="shared" si="4"/>
        <v>22.9</v>
      </c>
    </row>
    <row r="236" spans="10:16">
      <c r="J236" s="5"/>
      <c r="L236">
        <f>DigInv!M236</f>
        <v>-0.60345499999999996</v>
      </c>
      <c r="M236">
        <f>DigDir!N236</f>
        <v>23</v>
      </c>
      <c r="O236">
        <f>ABS(L236-DigInv!$C$34)</f>
        <v>3.4107334278975938</v>
      </c>
      <c r="P236">
        <f t="shared" si="4"/>
        <v>23</v>
      </c>
    </row>
    <row r="237" spans="10:16">
      <c r="J237" s="5"/>
      <c r="L237">
        <f>DigInv!M237</f>
        <v>-0.60345499999999996</v>
      </c>
      <c r="M237">
        <f>DigDir!N237</f>
        <v>23.1</v>
      </c>
      <c r="O237">
        <f>ABS(L237-DigInv!$C$34)</f>
        <v>3.4107334278975938</v>
      </c>
      <c r="P237">
        <f t="shared" si="4"/>
        <v>23.1</v>
      </c>
    </row>
    <row r="238" spans="10:16">
      <c r="J238" s="5"/>
      <c r="L238">
        <f>DigInv!M238</f>
        <v>-0.60345499999999996</v>
      </c>
      <c r="M238">
        <f>DigDir!N238</f>
        <v>23.2</v>
      </c>
      <c r="O238">
        <f>ABS(L238-DigInv!$C$34)</f>
        <v>3.4107334278975938</v>
      </c>
      <c r="P238">
        <f t="shared" si="4"/>
        <v>23.2</v>
      </c>
    </row>
    <row r="239" spans="10:16">
      <c r="J239" s="5"/>
      <c r="L239">
        <f>DigInv!M239</f>
        <v>-0.60345499999999996</v>
      </c>
      <c r="M239">
        <f>DigDir!N239</f>
        <v>23.3</v>
      </c>
      <c r="O239">
        <f>ABS(L239-DigInv!$C$34)</f>
        <v>3.4107334278975938</v>
      </c>
      <c r="P239">
        <f t="shared" si="4"/>
        <v>23.3</v>
      </c>
    </row>
    <row r="240" spans="10:16">
      <c r="J240" s="5"/>
      <c r="L240">
        <f>DigInv!M240</f>
        <v>-0.60345499999999996</v>
      </c>
      <c r="M240">
        <f>DigDir!N240</f>
        <v>23.4</v>
      </c>
      <c r="O240">
        <f>ABS(L240-DigInv!$C$34)</f>
        <v>3.4107334278975938</v>
      </c>
      <c r="P240">
        <f t="shared" si="4"/>
        <v>23.4</v>
      </c>
    </row>
    <row r="241" spans="10:16">
      <c r="J241" s="5"/>
      <c r="L241">
        <f>DigInv!M241</f>
        <v>-0.60345499999999996</v>
      </c>
      <c r="M241">
        <f>DigDir!N241</f>
        <v>23.5</v>
      </c>
      <c r="O241">
        <f>ABS(L241-DigInv!$C$34)</f>
        <v>3.4107334278975938</v>
      </c>
      <c r="P241">
        <f t="shared" si="4"/>
        <v>23.5</v>
      </c>
    </row>
    <row r="242" spans="10:16">
      <c r="J242" s="5"/>
      <c r="L242">
        <f>DigInv!M242</f>
        <v>-0.60345499999999996</v>
      </c>
      <c r="M242">
        <f>DigDir!N242</f>
        <v>23.6</v>
      </c>
      <c r="O242">
        <f>ABS(L242-DigInv!$C$34)</f>
        <v>3.4107334278975938</v>
      </c>
      <c r="P242">
        <f t="shared" si="4"/>
        <v>23.6</v>
      </c>
    </row>
    <row r="243" spans="10:16">
      <c r="J243" s="5"/>
      <c r="L243">
        <f>DigInv!M243</f>
        <v>-0.60345499999999996</v>
      </c>
      <c r="M243">
        <f>DigDir!N243</f>
        <v>23.7</v>
      </c>
      <c r="O243">
        <f>ABS(L243-DigInv!$C$34)</f>
        <v>3.4107334278975938</v>
      </c>
      <c r="P243">
        <f t="shared" si="4"/>
        <v>23.7</v>
      </c>
    </row>
    <row r="244" spans="10:16">
      <c r="J244" s="5"/>
      <c r="L244">
        <f>DigInv!M244</f>
        <v>-0.60345499999999996</v>
      </c>
      <c r="M244">
        <f>DigDir!N244</f>
        <v>23.8</v>
      </c>
      <c r="O244">
        <f>ABS(L244-DigInv!$C$34)</f>
        <v>3.4107334278975938</v>
      </c>
      <c r="P244">
        <f t="shared" si="4"/>
        <v>23.8</v>
      </c>
    </row>
    <row r="245" spans="10:16">
      <c r="J245" s="5"/>
      <c r="L245">
        <f>DigInv!M245</f>
        <v>-0.60345499999999996</v>
      </c>
      <c r="M245">
        <f>DigDir!N245</f>
        <v>23.9</v>
      </c>
      <c r="O245">
        <f>ABS(L245-DigInv!$C$34)</f>
        <v>3.4107334278975938</v>
      </c>
      <c r="P245">
        <f t="shared" si="4"/>
        <v>23.9</v>
      </c>
    </row>
    <row r="246" spans="10:16">
      <c r="J246" s="5"/>
      <c r="L246">
        <f>DigInv!M246</f>
        <v>-0.60345499999999996</v>
      </c>
      <c r="M246">
        <f>DigDir!N246</f>
        <v>24</v>
      </c>
      <c r="O246">
        <f>ABS(L246-DigInv!$C$34)</f>
        <v>3.4107334278975938</v>
      </c>
      <c r="P246">
        <f t="shared" si="4"/>
        <v>24</v>
      </c>
    </row>
    <row r="247" spans="10:16">
      <c r="J247" s="5"/>
      <c r="L247">
        <f>DigInv!M247</f>
        <v>-0.60345499999999996</v>
      </c>
      <c r="M247">
        <f>DigDir!N247</f>
        <v>24.1</v>
      </c>
      <c r="O247">
        <f>ABS(L247-DigInv!$C$34)</f>
        <v>3.4107334278975938</v>
      </c>
      <c r="P247">
        <f t="shared" si="4"/>
        <v>24.1</v>
      </c>
    </row>
    <row r="248" spans="10:16">
      <c r="J248" s="5"/>
      <c r="L248">
        <f>DigInv!M248</f>
        <v>-0.60345499999999996</v>
      </c>
      <c r="M248">
        <f>DigDir!N248</f>
        <v>24.2</v>
      </c>
      <c r="O248">
        <f>ABS(L248-DigInv!$C$34)</f>
        <v>3.4107334278975938</v>
      </c>
      <c r="P248">
        <f t="shared" si="4"/>
        <v>24.2</v>
      </c>
    </row>
    <row r="249" spans="10:16">
      <c r="J249" s="5"/>
      <c r="L249">
        <f>DigInv!M249</f>
        <v>-0.60345499999999996</v>
      </c>
      <c r="M249">
        <f>DigDir!N249</f>
        <v>24.3</v>
      </c>
      <c r="O249">
        <f>ABS(L249-DigInv!$C$34)</f>
        <v>3.4107334278975938</v>
      </c>
      <c r="P249">
        <f t="shared" si="4"/>
        <v>24.3</v>
      </c>
    </row>
    <row r="250" spans="10:16">
      <c r="J250" s="5"/>
      <c r="L250">
        <f>DigInv!M250</f>
        <v>-0.60345499999999996</v>
      </c>
      <c r="M250">
        <f>DigDir!N250</f>
        <v>24.4</v>
      </c>
      <c r="O250">
        <f>ABS(L250-DigInv!$C$34)</f>
        <v>3.4107334278975938</v>
      </c>
      <c r="P250">
        <f t="shared" si="4"/>
        <v>24.4</v>
      </c>
    </row>
    <row r="251" spans="10:16">
      <c r="J251" s="5"/>
      <c r="L251">
        <f>DigInv!M251</f>
        <v>-0.60345499999999996</v>
      </c>
      <c r="M251">
        <f>DigDir!N251</f>
        <v>24.5</v>
      </c>
      <c r="O251">
        <f>ABS(L251-DigInv!$C$34)</f>
        <v>3.4107334278975938</v>
      </c>
      <c r="P251">
        <f t="shared" si="4"/>
        <v>24.5</v>
      </c>
    </row>
    <row r="252" spans="10:16">
      <c r="J252" s="5"/>
      <c r="L252">
        <f>DigInv!M252</f>
        <v>-0.60345499999999996</v>
      </c>
      <c r="M252">
        <f>DigDir!N252</f>
        <v>24.6</v>
      </c>
      <c r="O252">
        <f>ABS(L252-DigInv!$C$34)</f>
        <v>3.4107334278975938</v>
      </c>
      <c r="P252">
        <f t="shared" si="4"/>
        <v>24.6</v>
      </c>
    </row>
    <row r="253" spans="10:16">
      <c r="J253" s="5"/>
      <c r="L253">
        <f>DigInv!M253</f>
        <v>-0.60345499999999996</v>
      </c>
      <c r="M253">
        <f>DigDir!N253</f>
        <v>24.7</v>
      </c>
      <c r="O253">
        <f>ABS(L253-DigInv!$C$34)</f>
        <v>3.4107334278975938</v>
      </c>
      <c r="P253">
        <f t="shared" si="4"/>
        <v>24.7</v>
      </c>
    </row>
    <row r="254" spans="10:16">
      <c r="J254" s="5"/>
      <c r="L254">
        <f>DigInv!M254</f>
        <v>-0.60345499999999996</v>
      </c>
      <c r="M254">
        <f>DigDir!N254</f>
        <v>24.8</v>
      </c>
      <c r="O254">
        <f>ABS(L254-DigInv!$C$34)</f>
        <v>3.4107334278975938</v>
      </c>
      <c r="P254">
        <f t="shared" si="4"/>
        <v>24.8</v>
      </c>
    </row>
    <row r="255" spans="10:16">
      <c r="J255" s="5"/>
      <c r="L255">
        <f>DigInv!M255</f>
        <v>-0.60345499999999996</v>
      </c>
      <c r="M255">
        <f>DigDir!N255</f>
        <v>24.9</v>
      </c>
      <c r="O255">
        <f>ABS(L255-DigInv!$C$34)</f>
        <v>3.4107334278975938</v>
      </c>
      <c r="P255">
        <f t="shared" si="4"/>
        <v>24.9</v>
      </c>
    </row>
    <row r="256" spans="10:16">
      <c r="J256" s="5"/>
      <c r="L256">
        <f>DigInv!M256</f>
        <v>-0.60345499999999996</v>
      </c>
      <c r="M256">
        <f>DigDir!N256</f>
        <v>25</v>
      </c>
      <c r="O256">
        <f>ABS(L256-DigInv!$C$34)</f>
        <v>3.4107334278975938</v>
      </c>
      <c r="P256">
        <f t="shared" si="4"/>
        <v>25</v>
      </c>
    </row>
    <row r="257" spans="10:16">
      <c r="J257" s="5"/>
      <c r="L257">
        <f>DigInv!M257</f>
        <v>-0.60345499999999996</v>
      </c>
      <c r="M257">
        <f>DigDir!N257</f>
        <v>25.1</v>
      </c>
      <c r="O257">
        <f>ABS(L257-DigInv!$C$34)</f>
        <v>3.4107334278975938</v>
      </c>
      <c r="P257">
        <f t="shared" si="4"/>
        <v>25.1</v>
      </c>
    </row>
    <row r="258" spans="10:16">
      <c r="J258" s="5"/>
      <c r="L258">
        <f>DigInv!M258</f>
        <v>-0.60345499999999996</v>
      </c>
      <c r="M258">
        <f>DigDir!N258</f>
        <v>25.2</v>
      </c>
      <c r="O258">
        <f>ABS(L258-DigInv!$C$34)</f>
        <v>3.4107334278975938</v>
      </c>
      <c r="P258">
        <f t="shared" si="4"/>
        <v>25.2</v>
      </c>
    </row>
    <row r="259" spans="10:16">
      <c r="J259" s="5"/>
      <c r="L259">
        <f>DigInv!M259</f>
        <v>-0.60345499999999996</v>
      </c>
      <c r="M259">
        <f>DigDir!N259</f>
        <v>25.3</v>
      </c>
      <c r="O259">
        <f>ABS(L259-DigInv!$C$34)</f>
        <v>3.4107334278975938</v>
      </c>
      <c r="P259">
        <f t="shared" si="4"/>
        <v>25.3</v>
      </c>
    </row>
    <row r="260" spans="10:16">
      <c r="J260" s="5"/>
      <c r="L260">
        <f>DigInv!M260</f>
        <v>-0.60345499999999996</v>
      </c>
      <c r="M260">
        <f>DigDir!N260</f>
        <v>25.4</v>
      </c>
      <c r="O260">
        <f>ABS(L260-DigInv!$C$34)</f>
        <v>3.4107334278975938</v>
      </c>
      <c r="P260">
        <f t="shared" si="4"/>
        <v>25.4</v>
      </c>
    </row>
    <row r="261" spans="10:16">
      <c r="J261" s="5"/>
      <c r="L261">
        <f>DigInv!M261</f>
        <v>-0.60345499999999996</v>
      </c>
      <c r="M261">
        <f>DigDir!N261</f>
        <v>25.5</v>
      </c>
      <c r="O261">
        <f>ABS(L261-DigInv!$C$34)</f>
        <v>3.4107334278975938</v>
      </c>
      <c r="P261">
        <f t="shared" si="4"/>
        <v>25.5</v>
      </c>
    </row>
    <row r="262" spans="10:16">
      <c r="J262" s="5"/>
      <c r="L262">
        <f>DigInv!M262</f>
        <v>-0.59139935200000004</v>
      </c>
      <c r="M262">
        <f>DigDir!N262</f>
        <v>25.6</v>
      </c>
      <c r="O262">
        <f>ABS(L262-DigInv!$C$34)</f>
        <v>3.4227890758975938</v>
      </c>
      <c r="P262">
        <f t="shared" si="4"/>
        <v>25.6</v>
      </c>
    </row>
    <row r="263" spans="10:16">
      <c r="J263" s="5"/>
      <c r="L263">
        <f>DigInv!M263</f>
        <v>-0.57797374400000001</v>
      </c>
      <c r="M263">
        <f>DigDir!N263</f>
        <v>25.7</v>
      </c>
      <c r="O263">
        <f>ABS(L263-DigInv!$C$34)</f>
        <v>3.4362146838975938</v>
      </c>
      <c r="P263">
        <f t="shared" ref="P263:P326" si="5">M263</f>
        <v>25.7</v>
      </c>
    </row>
    <row r="264" spans="10:16">
      <c r="J264" s="5"/>
      <c r="L264">
        <f>DigInv!M264</f>
        <v>-0.56920599999999999</v>
      </c>
      <c r="M264">
        <f>DigDir!N264</f>
        <v>25.8</v>
      </c>
      <c r="O264">
        <f>ABS(L264-DigInv!$C$34)</f>
        <v>3.4449824278975938</v>
      </c>
      <c r="P264">
        <f t="shared" si="5"/>
        <v>25.8</v>
      </c>
    </row>
    <row r="265" spans="10:16">
      <c r="J265" s="5"/>
      <c r="L265">
        <f>DigInv!M265</f>
        <v>-0.56920599999999999</v>
      </c>
      <c r="M265">
        <f>DigDir!N265</f>
        <v>25.9</v>
      </c>
      <c r="O265">
        <f>ABS(L265-DigInv!$C$34)</f>
        <v>3.4449824278975938</v>
      </c>
      <c r="P265">
        <f t="shared" si="5"/>
        <v>25.9</v>
      </c>
    </row>
    <row r="266" spans="10:16">
      <c r="J266" s="5"/>
      <c r="L266">
        <f>DigInv!M266</f>
        <v>-0.56920599999999999</v>
      </c>
      <c r="M266">
        <f>DigDir!N266</f>
        <v>26</v>
      </c>
      <c r="O266">
        <f>ABS(L266-DigInv!$C$34)</f>
        <v>3.4449824278975938</v>
      </c>
      <c r="P266">
        <f t="shared" si="5"/>
        <v>26</v>
      </c>
    </row>
    <row r="267" spans="10:16">
      <c r="J267" s="5"/>
      <c r="L267">
        <f>DigInv!M267</f>
        <v>-0.56920599999999999</v>
      </c>
      <c r="M267">
        <f>DigDir!N267</f>
        <v>26.1</v>
      </c>
      <c r="O267">
        <f>ABS(L267-DigInv!$C$34)</f>
        <v>3.4449824278975938</v>
      </c>
      <c r="P267">
        <f t="shared" si="5"/>
        <v>26.1</v>
      </c>
    </row>
    <row r="268" spans="10:16">
      <c r="J268" s="5"/>
      <c r="L268">
        <f>DigInv!M268</f>
        <v>-0.56920599999999999</v>
      </c>
      <c r="M268">
        <f>DigDir!N268</f>
        <v>26.2</v>
      </c>
      <c r="O268">
        <f>ABS(L268-DigInv!$C$34)</f>
        <v>3.4449824278975938</v>
      </c>
      <c r="P268">
        <f t="shared" si="5"/>
        <v>26.2</v>
      </c>
    </row>
    <row r="269" spans="10:16">
      <c r="J269" s="5"/>
      <c r="L269">
        <f>DigInv!M269</f>
        <v>-0.56920599999999999</v>
      </c>
      <c r="M269">
        <f>DigDir!N269</f>
        <v>26.3</v>
      </c>
      <c r="O269">
        <f>ABS(L269-DigInv!$C$34)</f>
        <v>3.4449824278975938</v>
      </c>
      <c r="P269">
        <f t="shared" si="5"/>
        <v>26.3</v>
      </c>
    </row>
    <row r="270" spans="10:16">
      <c r="J270" s="5"/>
      <c r="L270">
        <f>DigInv!M270</f>
        <v>-0.56920599999999999</v>
      </c>
      <c r="M270">
        <f>DigDir!N270</f>
        <v>26.4</v>
      </c>
      <c r="O270">
        <f>ABS(L270-DigInv!$C$34)</f>
        <v>3.4449824278975938</v>
      </c>
      <c r="P270">
        <f t="shared" si="5"/>
        <v>26.4</v>
      </c>
    </row>
    <row r="271" spans="10:16">
      <c r="J271" s="5"/>
      <c r="L271">
        <f>DigInv!M271</f>
        <v>-0.56920599999999999</v>
      </c>
      <c r="M271">
        <f>DigDir!N271</f>
        <v>26.5</v>
      </c>
      <c r="O271">
        <f>ABS(L271-DigInv!$C$34)</f>
        <v>3.4449824278975938</v>
      </c>
      <c r="P271">
        <f t="shared" si="5"/>
        <v>26.5</v>
      </c>
    </row>
    <row r="272" spans="10:16">
      <c r="J272" s="5"/>
      <c r="L272">
        <f>DigInv!M272</f>
        <v>-0.56920599999999999</v>
      </c>
      <c r="M272">
        <f>DigDir!N272</f>
        <v>26.6</v>
      </c>
      <c r="O272">
        <f>ABS(L272-DigInv!$C$34)</f>
        <v>3.4449824278975938</v>
      </c>
      <c r="P272">
        <f t="shared" si="5"/>
        <v>26.6</v>
      </c>
    </row>
    <row r="273" spans="10:16">
      <c r="J273" s="5"/>
      <c r="L273">
        <f>DigInv!M273</f>
        <v>-0.56920599999999999</v>
      </c>
      <c r="M273">
        <f>DigDir!N273</f>
        <v>26.7</v>
      </c>
      <c r="O273">
        <f>ABS(L273-DigInv!$C$34)</f>
        <v>3.4449824278975938</v>
      </c>
      <c r="P273">
        <f t="shared" si="5"/>
        <v>26.7</v>
      </c>
    </row>
    <row r="274" spans="10:16">
      <c r="J274" s="5"/>
      <c r="L274">
        <f>DigInv!M274</f>
        <v>-0.56920599999999999</v>
      </c>
      <c r="M274">
        <f>DigDir!N274</f>
        <v>26.8</v>
      </c>
      <c r="O274">
        <f>ABS(L274-DigInv!$C$34)</f>
        <v>3.4449824278975938</v>
      </c>
      <c r="P274">
        <f t="shared" si="5"/>
        <v>26.8</v>
      </c>
    </row>
    <row r="275" spans="10:16">
      <c r="J275" s="5"/>
      <c r="L275">
        <f>DigInv!M275</f>
        <v>-0.56920599999999999</v>
      </c>
      <c r="M275">
        <f>DigDir!N275</f>
        <v>26.9</v>
      </c>
      <c r="O275">
        <f>ABS(L275-DigInv!$C$34)</f>
        <v>3.4449824278975938</v>
      </c>
      <c r="P275">
        <f t="shared" si="5"/>
        <v>26.9</v>
      </c>
    </row>
    <row r="276" spans="10:16">
      <c r="J276" s="5"/>
      <c r="L276">
        <f>DigInv!M276</f>
        <v>-0.56920599999999999</v>
      </c>
      <c r="M276">
        <f>DigDir!N276</f>
        <v>27</v>
      </c>
      <c r="O276">
        <f>ABS(L276-DigInv!$C$34)</f>
        <v>3.4449824278975938</v>
      </c>
      <c r="P276">
        <f t="shared" si="5"/>
        <v>27</v>
      </c>
    </row>
    <row r="277" spans="10:16">
      <c r="J277" s="5"/>
      <c r="L277">
        <f>DigInv!M277</f>
        <v>-0.56920599999999999</v>
      </c>
      <c r="M277">
        <f>DigDir!N277</f>
        <v>27.1</v>
      </c>
      <c r="O277">
        <f>ABS(L277-DigInv!$C$34)</f>
        <v>3.4449824278975938</v>
      </c>
      <c r="P277">
        <f t="shared" si="5"/>
        <v>27.1</v>
      </c>
    </row>
    <row r="278" spans="10:16">
      <c r="J278" s="5"/>
      <c r="L278">
        <f>DigInv!M278</f>
        <v>-0.56920599999999999</v>
      </c>
      <c r="M278">
        <f>DigDir!N278</f>
        <v>27.2</v>
      </c>
      <c r="O278">
        <f>ABS(L278-DigInv!$C$34)</f>
        <v>3.4449824278975938</v>
      </c>
      <c r="P278">
        <f t="shared" si="5"/>
        <v>27.2</v>
      </c>
    </row>
    <row r="279" spans="10:16">
      <c r="J279" s="5"/>
      <c r="L279">
        <f>DigInv!M279</f>
        <v>-0.56920599999999999</v>
      </c>
      <c r="M279">
        <f>DigDir!N279</f>
        <v>27.3</v>
      </c>
      <c r="O279">
        <f>ABS(L279-DigInv!$C$34)</f>
        <v>3.4449824278975938</v>
      </c>
      <c r="P279">
        <f t="shared" si="5"/>
        <v>27.3</v>
      </c>
    </row>
    <row r="280" spans="10:16">
      <c r="J280" s="5"/>
      <c r="L280">
        <f>DigInv!M280</f>
        <v>-0.56920599999999999</v>
      </c>
      <c r="M280">
        <f>DigDir!N280</f>
        <v>27.4</v>
      </c>
      <c r="O280">
        <f>ABS(L280-DigInv!$C$34)</f>
        <v>3.4449824278975938</v>
      </c>
      <c r="P280">
        <f t="shared" si="5"/>
        <v>27.4</v>
      </c>
    </row>
    <row r="281" spans="10:16">
      <c r="J281" s="5"/>
      <c r="L281">
        <f>DigInv!M281</f>
        <v>-0.56920599999999999</v>
      </c>
      <c r="M281">
        <f>DigDir!N281</f>
        <v>27.5</v>
      </c>
      <c r="O281">
        <f>ABS(L281-DigInv!$C$34)</f>
        <v>3.4449824278975938</v>
      </c>
      <c r="P281">
        <f t="shared" si="5"/>
        <v>27.5</v>
      </c>
    </row>
    <row r="282" spans="10:16">
      <c r="J282" s="5"/>
      <c r="L282">
        <f>DigInv!M282</f>
        <v>-0.56920599999999999</v>
      </c>
      <c r="M282">
        <f>DigDir!N282</f>
        <v>27.6</v>
      </c>
      <c r="O282">
        <f>ABS(L282-DigInv!$C$34)</f>
        <v>3.4449824278975938</v>
      </c>
      <c r="P282">
        <f t="shared" si="5"/>
        <v>27.6</v>
      </c>
    </row>
    <row r="283" spans="10:16">
      <c r="J283" s="5"/>
      <c r="L283">
        <f>DigInv!M283</f>
        <v>-0.56920599999999999</v>
      </c>
      <c r="M283">
        <f>DigDir!N283</f>
        <v>27.7</v>
      </c>
      <c r="O283">
        <f>ABS(L283-DigInv!$C$34)</f>
        <v>3.4449824278975938</v>
      </c>
      <c r="P283">
        <f t="shared" si="5"/>
        <v>27.7</v>
      </c>
    </row>
    <row r="284" spans="10:16">
      <c r="J284" s="5"/>
      <c r="L284">
        <f>DigInv!M284</f>
        <v>-0.56920599999999999</v>
      </c>
      <c r="M284">
        <f>DigDir!N284</f>
        <v>27.8</v>
      </c>
      <c r="O284">
        <f>ABS(L284-DigInv!$C$34)</f>
        <v>3.4449824278975938</v>
      </c>
      <c r="P284">
        <f t="shared" si="5"/>
        <v>27.8</v>
      </c>
    </row>
    <row r="285" spans="10:16">
      <c r="J285" s="5"/>
      <c r="L285">
        <f>DigInv!M285</f>
        <v>-0.56920599999999999</v>
      </c>
      <c r="M285">
        <f>DigDir!N285</f>
        <v>27.9</v>
      </c>
      <c r="O285">
        <f>ABS(L285-DigInv!$C$34)</f>
        <v>3.4449824278975938</v>
      </c>
      <c r="P285">
        <f t="shared" si="5"/>
        <v>27.9</v>
      </c>
    </row>
    <row r="286" spans="10:16">
      <c r="J286" s="5"/>
      <c r="L286">
        <f>DigInv!M286</f>
        <v>-0.56920599999999999</v>
      </c>
      <c r="M286">
        <f>DigDir!N286</f>
        <v>28</v>
      </c>
      <c r="O286">
        <f>ABS(L286-DigInv!$C$34)</f>
        <v>3.4449824278975938</v>
      </c>
      <c r="P286">
        <f t="shared" si="5"/>
        <v>28</v>
      </c>
    </row>
    <row r="287" spans="10:16">
      <c r="J287" s="5"/>
      <c r="L287">
        <f>DigInv!M287</f>
        <v>-0.56920599999999999</v>
      </c>
      <c r="M287">
        <f>DigDir!N287</f>
        <v>28.1</v>
      </c>
      <c r="O287">
        <f>ABS(L287-DigInv!$C$34)</f>
        <v>3.4449824278975938</v>
      </c>
      <c r="P287">
        <f t="shared" si="5"/>
        <v>28.1</v>
      </c>
    </row>
    <row r="288" spans="10:16">
      <c r="J288" s="5"/>
      <c r="L288">
        <f>DigInv!M288</f>
        <v>-0.56920599999999999</v>
      </c>
      <c r="M288">
        <f>DigDir!N288</f>
        <v>28.2</v>
      </c>
      <c r="O288">
        <f>ABS(L288-DigInv!$C$34)</f>
        <v>3.4449824278975938</v>
      </c>
      <c r="P288">
        <f t="shared" si="5"/>
        <v>28.2</v>
      </c>
    </row>
    <row r="289" spans="10:16">
      <c r="J289" s="5"/>
      <c r="L289">
        <f>DigInv!M289</f>
        <v>-0.56920599999999999</v>
      </c>
      <c r="M289">
        <f>DigDir!N289</f>
        <v>28.3</v>
      </c>
      <c r="O289">
        <f>ABS(L289-DigInv!$C$34)</f>
        <v>3.4449824278975938</v>
      </c>
      <c r="P289">
        <f t="shared" si="5"/>
        <v>28.3</v>
      </c>
    </row>
    <row r="290" spans="10:16">
      <c r="J290" s="5"/>
      <c r="L290">
        <f>DigInv!M290</f>
        <v>-0.56920599999999999</v>
      </c>
      <c r="M290">
        <f>DigDir!N290</f>
        <v>28.4</v>
      </c>
      <c r="O290">
        <f>ABS(L290-DigInv!$C$34)</f>
        <v>3.4449824278975938</v>
      </c>
      <c r="P290">
        <f t="shared" si="5"/>
        <v>28.4</v>
      </c>
    </row>
    <row r="291" spans="10:16">
      <c r="J291" s="5"/>
      <c r="L291">
        <f>DigInv!M291</f>
        <v>-0.56920599999999999</v>
      </c>
      <c r="M291">
        <f>DigDir!N291</f>
        <v>28.5</v>
      </c>
      <c r="O291">
        <f>ABS(L291-DigInv!$C$34)</f>
        <v>3.4449824278975938</v>
      </c>
      <c r="P291">
        <f t="shared" si="5"/>
        <v>28.5</v>
      </c>
    </row>
    <row r="292" spans="10:16">
      <c r="J292" s="5"/>
      <c r="L292">
        <f>DigInv!M292</f>
        <v>-0.56920599999999999</v>
      </c>
      <c r="M292">
        <f>DigDir!N292</f>
        <v>28.6</v>
      </c>
      <c r="O292">
        <f>ABS(L292-DigInv!$C$34)</f>
        <v>3.4449824278975938</v>
      </c>
      <c r="P292">
        <f t="shared" si="5"/>
        <v>28.6</v>
      </c>
    </row>
    <row r="293" spans="10:16">
      <c r="J293" s="5"/>
      <c r="L293">
        <f>DigInv!M293</f>
        <v>-0.56920599999999999</v>
      </c>
      <c r="M293">
        <f>DigDir!N293</f>
        <v>28.7</v>
      </c>
      <c r="O293">
        <f>ABS(L293-DigInv!$C$34)</f>
        <v>3.4449824278975938</v>
      </c>
      <c r="P293">
        <f t="shared" si="5"/>
        <v>28.7</v>
      </c>
    </row>
    <row r="294" spans="10:16">
      <c r="J294" s="5"/>
      <c r="L294">
        <f>DigInv!M294</f>
        <v>-0.56920599999999999</v>
      </c>
      <c r="M294">
        <f>DigDir!N294</f>
        <v>28.8</v>
      </c>
      <c r="O294">
        <f>ABS(L294-DigInv!$C$34)</f>
        <v>3.4449824278975938</v>
      </c>
      <c r="P294">
        <f t="shared" si="5"/>
        <v>28.8</v>
      </c>
    </row>
    <row r="295" spans="10:16">
      <c r="J295" s="5"/>
      <c r="L295">
        <f>DigInv!M295</f>
        <v>-0.56920599999999999</v>
      </c>
      <c r="M295">
        <f>DigDir!N295</f>
        <v>28.9</v>
      </c>
      <c r="O295">
        <f>ABS(L295-DigInv!$C$34)</f>
        <v>3.4449824278975938</v>
      </c>
      <c r="P295">
        <f t="shared" si="5"/>
        <v>28.9</v>
      </c>
    </row>
    <row r="296" spans="10:16">
      <c r="J296" s="5"/>
      <c r="L296">
        <f>DigInv!M296</f>
        <v>-0.56920599999999999</v>
      </c>
      <c r="M296">
        <f>DigDir!N296</f>
        <v>29</v>
      </c>
      <c r="O296">
        <f>ABS(L296-DigInv!$C$34)</f>
        <v>3.4449824278975938</v>
      </c>
      <c r="P296">
        <f t="shared" si="5"/>
        <v>29</v>
      </c>
    </row>
    <row r="297" spans="10:16">
      <c r="J297" s="5"/>
      <c r="L297">
        <f>DigInv!M297</f>
        <v>-0.56920599999999999</v>
      </c>
      <c r="M297">
        <f>DigDir!N297</f>
        <v>29.1</v>
      </c>
      <c r="O297">
        <f>ABS(L297-DigInv!$C$34)</f>
        <v>3.4449824278975938</v>
      </c>
      <c r="P297">
        <f t="shared" si="5"/>
        <v>29.1</v>
      </c>
    </row>
    <row r="298" spans="10:16">
      <c r="J298" s="5"/>
      <c r="L298">
        <f>DigInv!M298</f>
        <v>-0.56920599999999999</v>
      </c>
      <c r="M298">
        <f>DigDir!N298</f>
        <v>29.2</v>
      </c>
      <c r="O298">
        <f>ABS(L298-DigInv!$C$34)</f>
        <v>3.4449824278975938</v>
      </c>
      <c r="P298">
        <f t="shared" si="5"/>
        <v>29.2</v>
      </c>
    </row>
    <row r="299" spans="10:16">
      <c r="J299" s="5"/>
      <c r="L299">
        <f>DigInv!M299</f>
        <v>-0.56920599999999999</v>
      </c>
      <c r="M299">
        <f>DigDir!N299</f>
        <v>29.3</v>
      </c>
      <c r="O299">
        <f>ABS(L299-DigInv!$C$34)</f>
        <v>3.4449824278975938</v>
      </c>
      <c r="P299">
        <f t="shared" si="5"/>
        <v>29.3</v>
      </c>
    </row>
    <row r="300" spans="10:16">
      <c r="J300" s="5"/>
      <c r="L300">
        <f>DigInv!M300</f>
        <v>-0.56920599999999999</v>
      </c>
      <c r="M300">
        <f>DigDir!N300</f>
        <v>29.4</v>
      </c>
      <c r="O300">
        <f>ABS(L300-DigInv!$C$34)</f>
        <v>3.4449824278975938</v>
      </c>
      <c r="P300">
        <f t="shared" si="5"/>
        <v>29.4</v>
      </c>
    </row>
    <row r="301" spans="10:16">
      <c r="J301" s="5"/>
      <c r="L301">
        <f>DigInv!M301</f>
        <v>-0.56920599999999999</v>
      </c>
      <c r="M301">
        <f>DigDir!N301</f>
        <v>29.5</v>
      </c>
      <c r="O301">
        <f>ABS(L301-DigInv!$C$34)</f>
        <v>3.4449824278975938</v>
      </c>
      <c r="P301">
        <f t="shared" si="5"/>
        <v>29.5</v>
      </c>
    </row>
    <row r="302" spans="10:16">
      <c r="J302" s="5"/>
      <c r="L302">
        <f>DigInv!M302</f>
        <v>-0.56920599999999999</v>
      </c>
      <c r="M302">
        <f>DigDir!N302</f>
        <v>29.6</v>
      </c>
      <c r="O302">
        <f>ABS(L302-DigInv!$C$34)</f>
        <v>3.4449824278975938</v>
      </c>
      <c r="P302">
        <f t="shared" si="5"/>
        <v>29.6</v>
      </c>
    </row>
    <row r="303" spans="10:16">
      <c r="J303" s="5"/>
      <c r="L303">
        <f>DigInv!M303</f>
        <v>-0.56920599999999999</v>
      </c>
      <c r="M303">
        <f>DigDir!N303</f>
        <v>29.7</v>
      </c>
      <c r="O303">
        <f>ABS(L303-DigInv!$C$34)</f>
        <v>3.4449824278975938</v>
      </c>
      <c r="P303">
        <f t="shared" si="5"/>
        <v>29.7</v>
      </c>
    </row>
    <row r="304" spans="10:16">
      <c r="J304" s="5"/>
      <c r="L304">
        <f>DigInv!M304</f>
        <v>-0.56920599999999999</v>
      </c>
      <c r="M304">
        <f>DigDir!N304</f>
        <v>29.8</v>
      </c>
      <c r="O304">
        <f>ABS(L304-DigInv!$C$34)</f>
        <v>3.4449824278975938</v>
      </c>
      <c r="P304">
        <f t="shared" si="5"/>
        <v>29.8</v>
      </c>
    </row>
    <row r="305" spans="10:16">
      <c r="J305" s="5"/>
      <c r="L305">
        <f>DigInv!M305</f>
        <v>-0.56920599999999999</v>
      </c>
      <c r="M305">
        <f>DigDir!N305</f>
        <v>29.9</v>
      </c>
      <c r="O305">
        <f>ABS(L305-DigInv!$C$34)</f>
        <v>3.4449824278975938</v>
      </c>
      <c r="P305">
        <f t="shared" si="5"/>
        <v>29.9</v>
      </c>
    </row>
    <row r="306" spans="10:16">
      <c r="J306" s="5"/>
      <c r="L306">
        <f>DigInv!M306</f>
        <v>-0.56920599999999999</v>
      </c>
      <c r="M306">
        <f>DigDir!N306</f>
        <v>30</v>
      </c>
      <c r="O306">
        <f>ABS(L306-DigInv!$C$34)</f>
        <v>3.4449824278975938</v>
      </c>
      <c r="P306">
        <f t="shared" si="5"/>
        <v>30</v>
      </c>
    </row>
    <row r="307" spans="10:16">
      <c r="J307" s="5"/>
      <c r="L307">
        <f>DigInv!M307</f>
        <v>-0.56920599999999999</v>
      </c>
      <c r="M307">
        <f>DigDir!N307</f>
        <v>30.1</v>
      </c>
      <c r="O307">
        <f>ABS(L307-DigInv!$C$34)</f>
        <v>3.4449824278975938</v>
      </c>
      <c r="P307">
        <f t="shared" si="5"/>
        <v>30.1</v>
      </c>
    </row>
    <row r="308" spans="10:16">
      <c r="J308" s="5"/>
      <c r="L308">
        <f>DigInv!M308</f>
        <v>-0.56920599999999999</v>
      </c>
      <c r="M308">
        <f>DigDir!N308</f>
        <v>30.2</v>
      </c>
      <c r="O308">
        <f>ABS(L308-DigInv!$C$34)</f>
        <v>3.4449824278975938</v>
      </c>
      <c r="P308">
        <f t="shared" si="5"/>
        <v>30.2</v>
      </c>
    </row>
    <row r="309" spans="10:16">
      <c r="J309" s="5"/>
      <c r="L309">
        <f>DigInv!M309</f>
        <v>-0.56920599999999999</v>
      </c>
      <c r="M309">
        <f>DigDir!N309</f>
        <v>30.3</v>
      </c>
      <c r="O309">
        <f>ABS(L309-DigInv!$C$34)</f>
        <v>3.4449824278975938</v>
      </c>
      <c r="P309">
        <f t="shared" si="5"/>
        <v>30.3</v>
      </c>
    </row>
    <row r="310" spans="10:16">
      <c r="J310" s="5"/>
      <c r="L310">
        <f>DigInv!M310</f>
        <v>-0.56920599999999999</v>
      </c>
      <c r="M310">
        <f>DigDir!N310</f>
        <v>30.4</v>
      </c>
      <c r="O310">
        <f>ABS(L310-DigInv!$C$34)</f>
        <v>3.4449824278975938</v>
      </c>
      <c r="P310">
        <f t="shared" si="5"/>
        <v>30.4</v>
      </c>
    </row>
    <row r="311" spans="10:16">
      <c r="J311" s="5"/>
      <c r="L311">
        <f>DigInv!M311</f>
        <v>-0.56920599999999999</v>
      </c>
      <c r="M311">
        <f>DigDir!N311</f>
        <v>30.5</v>
      </c>
      <c r="O311">
        <f>ABS(L311-DigInv!$C$34)</f>
        <v>3.4449824278975938</v>
      </c>
      <c r="P311">
        <f t="shared" si="5"/>
        <v>30.5</v>
      </c>
    </row>
    <row r="312" spans="10:16">
      <c r="J312" s="5"/>
      <c r="L312">
        <f>DigInv!M312</f>
        <v>-0.56920599999999999</v>
      </c>
      <c r="M312">
        <f>DigDir!N312</f>
        <v>30.6</v>
      </c>
      <c r="O312">
        <f>ABS(L312-DigInv!$C$34)</f>
        <v>3.4449824278975938</v>
      </c>
      <c r="P312">
        <f t="shared" si="5"/>
        <v>30.6</v>
      </c>
    </row>
    <row r="313" spans="10:16">
      <c r="J313" s="5"/>
      <c r="L313">
        <f>DigInv!M313</f>
        <v>-0.56920599999999999</v>
      </c>
      <c r="M313">
        <f>DigDir!N313</f>
        <v>30.7</v>
      </c>
      <c r="O313">
        <f>ABS(L313-DigInv!$C$34)</f>
        <v>3.4449824278975938</v>
      </c>
      <c r="P313">
        <f t="shared" si="5"/>
        <v>30.7</v>
      </c>
    </row>
    <row r="314" spans="10:16">
      <c r="J314" s="5"/>
      <c r="L314">
        <f>DigInv!M314</f>
        <v>-0.56920599999999999</v>
      </c>
      <c r="M314">
        <f>DigDir!N314</f>
        <v>30.8</v>
      </c>
      <c r="O314">
        <f>ABS(L314-DigInv!$C$34)</f>
        <v>3.4449824278975938</v>
      </c>
      <c r="P314">
        <f t="shared" si="5"/>
        <v>30.8</v>
      </c>
    </row>
    <row r="315" spans="10:16">
      <c r="J315" s="5"/>
      <c r="L315">
        <f>DigInv!M315</f>
        <v>-0.56920599999999999</v>
      </c>
      <c r="M315">
        <f>DigDir!N315</f>
        <v>30.9</v>
      </c>
      <c r="O315">
        <f>ABS(L315-DigInv!$C$34)</f>
        <v>3.4449824278975938</v>
      </c>
      <c r="P315">
        <f t="shared" si="5"/>
        <v>30.9</v>
      </c>
    </row>
    <row r="316" spans="10:16">
      <c r="J316" s="5"/>
      <c r="L316">
        <f>DigInv!M316</f>
        <v>-0.56920599999999999</v>
      </c>
      <c r="M316">
        <f>DigDir!N316</f>
        <v>31</v>
      </c>
      <c r="O316">
        <f>ABS(L316-DigInv!$C$34)</f>
        <v>3.4449824278975938</v>
      </c>
      <c r="P316">
        <f t="shared" si="5"/>
        <v>31</v>
      </c>
    </row>
    <row r="317" spans="10:16">
      <c r="J317" s="5"/>
      <c r="L317">
        <f>DigInv!M317</f>
        <v>-0.56920599999999999</v>
      </c>
      <c r="M317">
        <f>DigDir!N317</f>
        <v>31.1</v>
      </c>
      <c r="O317">
        <f>ABS(L317-DigInv!$C$34)</f>
        <v>3.4449824278975938</v>
      </c>
      <c r="P317">
        <f t="shared" si="5"/>
        <v>31.1</v>
      </c>
    </row>
    <row r="318" spans="10:16">
      <c r="J318" s="5"/>
      <c r="L318">
        <f>DigInv!M318</f>
        <v>-0.56920599999999999</v>
      </c>
      <c r="M318">
        <f>DigDir!N318</f>
        <v>31.2</v>
      </c>
      <c r="O318">
        <f>ABS(L318-DigInv!$C$34)</f>
        <v>3.4449824278975938</v>
      </c>
      <c r="P318">
        <f t="shared" si="5"/>
        <v>31.2</v>
      </c>
    </row>
    <row r="319" spans="10:16">
      <c r="J319" s="5"/>
      <c r="L319">
        <f>DigInv!M319</f>
        <v>-0.56920599999999999</v>
      </c>
      <c r="M319">
        <f>DigDir!N319</f>
        <v>31.3</v>
      </c>
      <c r="O319">
        <f>ABS(L319-DigInv!$C$34)</f>
        <v>3.4449824278975938</v>
      </c>
      <c r="P319">
        <f t="shared" si="5"/>
        <v>31.3</v>
      </c>
    </row>
    <row r="320" spans="10:16">
      <c r="J320" s="5"/>
      <c r="L320">
        <f>DigInv!M320</f>
        <v>-0.56920599999999999</v>
      </c>
      <c r="M320">
        <f>DigDir!N320</f>
        <v>31.4</v>
      </c>
      <c r="O320">
        <f>ABS(L320-DigInv!$C$34)</f>
        <v>3.4449824278975938</v>
      </c>
      <c r="P320">
        <f t="shared" si="5"/>
        <v>31.4</v>
      </c>
    </row>
    <row r="321" spans="10:16">
      <c r="J321" s="5"/>
      <c r="L321">
        <f>DigInv!M321</f>
        <v>-0.56920599999999999</v>
      </c>
      <c r="M321">
        <f>DigDir!N321</f>
        <v>31.5</v>
      </c>
      <c r="O321">
        <f>ABS(L321-DigInv!$C$34)</f>
        <v>3.4449824278975938</v>
      </c>
      <c r="P321">
        <f t="shared" si="5"/>
        <v>31.5</v>
      </c>
    </row>
    <row r="322" spans="10:16">
      <c r="J322" s="5"/>
      <c r="L322">
        <f>DigInv!M322</f>
        <v>-0.56920599999999999</v>
      </c>
      <c r="M322">
        <f>DigDir!N322</f>
        <v>31.6</v>
      </c>
      <c r="O322">
        <f>ABS(L322-DigInv!$C$34)</f>
        <v>3.4449824278975938</v>
      </c>
      <c r="P322">
        <f t="shared" si="5"/>
        <v>31.6</v>
      </c>
    </row>
    <row r="323" spans="10:16">
      <c r="J323" s="5"/>
      <c r="L323">
        <f>DigInv!M323</f>
        <v>-0.55921307200000003</v>
      </c>
      <c r="M323">
        <f>DigDir!N323</f>
        <v>31.7</v>
      </c>
      <c r="O323">
        <f>ABS(L323-DigInv!$C$34)</f>
        <v>3.4549753558975937</v>
      </c>
      <c r="P323">
        <f t="shared" si="5"/>
        <v>31.7</v>
      </c>
    </row>
    <row r="324" spans="10:16">
      <c r="J324" s="5"/>
      <c r="L324">
        <f>DigInv!M324</f>
        <v>-0.54437508800000001</v>
      </c>
      <c r="M324">
        <f>DigDir!N324</f>
        <v>31.8</v>
      </c>
      <c r="O324">
        <f>ABS(L324-DigInv!$C$34)</f>
        <v>3.4698133398975939</v>
      </c>
      <c r="P324">
        <f t="shared" si="5"/>
        <v>31.8</v>
      </c>
    </row>
    <row r="325" spans="10:16">
      <c r="J325" s="5"/>
      <c r="L325">
        <f>DigInv!M325</f>
        <v>-0.53135399999999999</v>
      </c>
      <c r="M325">
        <f>DigDir!N325</f>
        <v>31.9</v>
      </c>
      <c r="O325">
        <f>ABS(L325-DigInv!$C$34)</f>
        <v>3.4828344278975938</v>
      </c>
      <c r="P325">
        <f t="shared" si="5"/>
        <v>31.9</v>
      </c>
    </row>
    <row r="326" spans="10:16">
      <c r="J326" s="5"/>
      <c r="L326">
        <f>DigInv!M326</f>
        <v>-0.53135399999999999</v>
      </c>
      <c r="M326">
        <f>DigDir!N326</f>
        <v>32</v>
      </c>
      <c r="O326">
        <f>ABS(L326-DigInv!$C$34)</f>
        <v>3.4828344278975938</v>
      </c>
      <c r="P326">
        <f t="shared" si="5"/>
        <v>32</v>
      </c>
    </row>
    <row r="327" spans="10:16">
      <c r="J327" s="5"/>
      <c r="L327">
        <f>DigInv!M327</f>
        <v>-0.53135399999999999</v>
      </c>
      <c r="M327">
        <f>DigDir!N327</f>
        <v>32.1</v>
      </c>
      <c r="O327">
        <f>ABS(L327-DigInv!$C$34)</f>
        <v>3.4828344278975938</v>
      </c>
      <c r="P327">
        <f t="shared" ref="P327:P390" si="6">M327</f>
        <v>32.1</v>
      </c>
    </row>
    <row r="328" spans="10:16">
      <c r="J328" s="5"/>
      <c r="L328">
        <f>DigInv!M328</f>
        <v>-0.53135399999999999</v>
      </c>
      <c r="M328">
        <f>DigDir!N328</f>
        <v>32.200000000000003</v>
      </c>
      <c r="O328">
        <f>ABS(L328-DigInv!$C$34)</f>
        <v>3.4828344278975938</v>
      </c>
      <c r="P328">
        <f t="shared" si="6"/>
        <v>32.200000000000003</v>
      </c>
    </row>
    <row r="329" spans="10:16">
      <c r="J329" s="5"/>
      <c r="L329">
        <f>DigInv!M329</f>
        <v>-0.53135399999999999</v>
      </c>
      <c r="M329">
        <f>DigDir!N329</f>
        <v>32.299999999999997</v>
      </c>
      <c r="O329">
        <f>ABS(L329-DigInv!$C$34)</f>
        <v>3.4828344278975938</v>
      </c>
      <c r="P329">
        <f t="shared" si="6"/>
        <v>32.299999999999997</v>
      </c>
    </row>
    <row r="330" spans="10:16">
      <c r="J330" s="5"/>
      <c r="L330">
        <f>DigInv!M330</f>
        <v>-0.53135399999999999</v>
      </c>
      <c r="M330">
        <f>DigDir!N330</f>
        <v>32.4</v>
      </c>
      <c r="O330">
        <f>ABS(L330-DigInv!$C$34)</f>
        <v>3.4828344278975938</v>
      </c>
      <c r="P330">
        <f t="shared" si="6"/>
        <v>32.4</v>
      </c>
    </row>
    <row r="331" spans="10:16">
      <c r="J331" s="5"/>
      <c r="L331">
        <f>DigInv!M331</f>
        <v>-0.53135399999999999</v>
      </c>
      <c r="M331">
        <f>DigDir!N331</f>
        <v>32.5</v>
      </c>
      <c r="O331">
        <f>ABS(L331-DigInv!$C$34)</f>
        <v>3.4828344278975938</v>
      </c>
      <c r="P331">
        <f t="shared" si="6"/>
        <v>32.5</v>
      </c>
    </row>
    <row r="332" spans="10:16">
      <c r="J332" s="5"/>
      <c r="L332">
        <f>DigInv!M332</f>
        <v>-0.53135399999999999</v>
      </c>
      <c r="M332">
        <f>DigDir!N332</f>
        <v>32.6</v>
      </c>
      <c r="O332">
        <f>ABS(L332-DigInv!$C$34)</f>
        <v>3.4828344278975938</v>
      </c>
      <c r="P332">
        <f t="shared" si="6"/>
        <v>32.6</v>
      </c>
    </row>
    <row r="333" spans="10:16">
      <c r="J333" s="5"/>
      <c r="L333">
        <f>DigInv!M333</f>
        <v>-0.53135399999999999</v>
      </c>
      <c r="M333">
        <f>DigDir!N333</f>
        <v>32.700000000000003</v>
      </c>
      <c r="O333">
        <f>ABS(L333-DigInv!$C$34)</f>
        <v>3.4828344278975938</v>
      </c>
      <c r="P333">
        <f t="shared" si="6"/>
        <v>32.700000000000003</v>
      </c>
    </row>
    <row r="334" spans="10:16">
      <c r="J334" s="5"/>
      <c r="L334">
        <f>DigInv!M334</f>
        <v>-0.53135399999999999</v>
      </c>
      <c r="M334">
        <f>DigDir!N334</f>
        <v>32.799999999999997</v>
      </c>
      <c r="O334">
        <f>ABS(L334-DigInv!$C$34)</f>
        <v>3.4828344278975938</v>
      </c>
      <c r="P334">
        <f t="shared" si="6"/>
        <v>32.799999999999997</v>
      </c>
    </row>
    <row r="335" spans="10:16">
      <c r="J335" s="5"/>
      <c r="L335">
        <f>DigInv!M335</f>
        <v>-0.53135399999999999</v>
      </c>
      <c r="M335">
        <f>DigDir!N335</f>
        <v>32.9</v>
      </c>
      <c r="O335">
        <f>ABS(L335-DigInv!$C$34)</f>
        <v>3.4828344278975938</v>
      </c>
      <c r="P335">
        <f t="shared" si="6"/>
        <v>32.9</v>
      </c>
    </row>
    <row r="336" spans="10:16">
      <c r="J336" s="5"/>
      <c r="L336">
        <f>DigInv!M336</f>
        <v>-0.53135399999999999</v>
      </c>
      <c r="M336">
        <f>DigDir!N336</f>
        <v>33</v>
      </c>
      <c r="O336">
        <f>ABS(L336-DigInv!$C$34)</f>
        <v>3.4828344278975938</v>
      </c>
      <c r="P336">
        <f t="shared" si="6"/>
        <v>33</v>
      </c>
    </row>
    <row r="337" spans="10:16">
      <c r="J337" s="5"/>
      <c r="L337">
        <f>DigInv!M337</f>
        <v>-0.53135399999999999</v>
      </c>
      <c r="M337">
        <f>DigDir!N337</f>
        <v>33.1</v>
      </c>
      <c r="O337">
        <f>ABS(L337-DigInv!$C$34)</f>
        <v>3.4828344278975938</v>
      </c>
      <c r="P337">
        <f t="shared" si="6"/>
        <v>33.1</v>
      </c>
    </row>
    <row r="338" spans="10:16">
      <c r="J338" s="5"/>
      <c r="L338">
        <f>DigInv!M338</f>
        <v>-0.53135399999999999</v>
      </c>
      <c r="M338">
        <f>DigDir!N338</f>
        <v>33.200000000000003</v>
      </c>
      <c r="O338">
        <f>ABS(L338-DigInv!$C$34)</f>
        <v>3.4828344278975938</v>
      </c>
      <c r="P338">
        <f t="shared" si="6"/>
        <v>33.200000000000003</v>
      </c>
    </row>
    <row r="339" spans="10:16">
      <c r="J339" s="5"/>
      <c r="L339">
        <f>DigInv!M339</f>
        <v>-0.53135399999999999</v>
      </c>
      <c r="M339">
        <f>DigDir!N339</f>
        <v>33.299999999999997</v>
      </c>
      <c r="O339">
        <f>ABS(L339-DigInv!$C$34)</f>
        <v>3.4828344278975938</v>
      </c>
      <c r="P339">
        <f t="shared" si="6"/>
        <v>33.299999999999997</v>
      </c>
    </row>
    <row r="340" spans="10:16">
      <c r="J340" s="5"/>
      <c r="L340">
        <f>DigInv!M340</f>
        <v>-0.53135399999999999</v>
      </c>
      <c r="M340">
        <f>DigDir!N340</f>
        <v>33.4</v>
      </c>
      <c r="O340">
        <f>ABS(L340-DigInv!$C$34)</f>
        <v>3.4828344278975938</v>
      </c>
      <c r="P340">
        <f t="shared" si="6"/>
        <v>33.4</v>
      </c>
    </row>
    <row r="341" spans="10:16">
      <c r="J341" s="5"/>
      <c r="L341">
        <f>DigInv!M341</f>
        <v>-0.53135399999999999</v>
      </c>
      <c r="M341">
        <f>DigDir!N341</f>
        <v>33.5</v>
      </c>
      <c r="O341">
        <f>ABS(L341-DigInv!$C$34)</f>
        <v>3.4828344278975938</v>
      </c>
      <c r="P341">
        <f t="shared" si="6"/>
        <v>33.5</v>
      </c>
    </row>
    <row r="342" spans="10:16">
      <c r="J342" s="5"/>
      <c r="L342">
        <f>DigInv!M342</f>
        <v>-0.53135399999999999</v>
      </c>
      <c r="M342">
        <f>DigDir!N342</f>
        <v>33.6</v>
      </c>
      <c r="O342">
        <f>ABS(L342-DigInv!$C$34)</f>
        <v>3.4828344278975938</v>
      </c>
      <c r="P342">
        <f t="shared" si="6"/>
        <v>33.6</v>
      </c>
    </row>
    <row r="343" spans="10:16">
      <c r="J343" s="5"/>
      <c r="L343">
        <f>DigInv!M343</f>
        <v>-0.53135399999999999</v>
      </c>
      <c r="M343">
        <f>DigDir!N343</f>
        <v>33.700000000000003</v>
      </c>
      <c r="O343">
        <f>ABS(L343-DigInv!$C$34)</f>
        <v>3.4828344278975938</v>
      </c>
      <c r="P343">
        <f t="shared" si="6"/>
        <v>33.700000000000003</v>
      </c>
    </row>
    <row r="344" spans="10:16">
      <c r="J344" s="5"/>
      <c r="L344">
        <f>DigInv!M344</f>
        <v>-0.53135399999999999</v>
      </c>
      <c r="M344">
        <f>DigDir!N344</f>
        <v>33.799999999999997</v>
      </c>
      <c r="O344">
        <f>ABS(L344-DigInv!$C$34)</f>
        <v>3.4828344278975938</v>
      </c>
      <c r="P344">
        <f t="shared" si="6"/>
        <v>33.799999999999997</v>
      </c>
    </row>
    <row r="345" spans="10:16">
      <c r="J345" s="5"/>
      <c r="L345">
        <f>DigInv!M345</f>
        <v>-0.53135399999999999</v>
      </c>
      <c r="M345">
        <f>DigDir!N345</f>
        <v>33.9</v>
      </c>
      <c r="O345">
        <f>ABS(L345-DigInv!$C$34)</f>
        <v>3.4828344278975938</v>
      </c>
      <c r="P345">
        <f t="shared" si="6"/>
        <v>33.9</v>
      </c>
    </row>
    <row r="346" spans="10:16">
      <c r="J346" s="5"/>
      <c r="L346">
        <f>DigInv!M346</f>
        <v>-0.53135399999999999</v>
      </c>
      <c r="M346">
        <f>DigDir!N346</f>
        <v>34</v>
      </c>
      <c r="O346">
        <f>ABS(L346-DigInv!$C$34)</f>
        <v>3.4828344278975938</v>
      </c>
      <c r="P346">
        <f t="shared" si="6"/>
        <v>34</v>
      </c>
    </row>
    <row r="347" spans="10:16">
      <c r="J347" s="5"/>
      <c r="L347">
        <f>DigInv!M347</f>
        <v>-0.53135399999999999</v>
      </c>
      <c r="M347">
        <f>DigDir!N347</f>
        <v>34.1</v>
      </c>
      <c r="O347">
        <f>ABS(L347-DigInv!$C$34)</f>
        <v>3.4828344278975938</v>
      </c>
      <c r="P347">
        <f t="shared" si="6"/>
        <v>34.1</v>
      </c>
    </row>
    <row r="348" spans="10:16">
      <c r="J348" s="5"/>
      <c r="L348">
        <f>DigInv!M348</f>
        <v>-0.53135399999999999</v>
      </c>
      <c r="M348">
        <f>DigDir!N348</f>
        <v>34.200000000000003</v>
      </c>
      <c r="O348">
        <f>ABS(L348-DigInv!$C$34)</f>
        <v>3.4828344278975938</v>
      </c>
      <c r="P348">
        <f t="shared" si="6"/>
        <v>34.200000000000003</v>
      </c>
    </row>
    <row r="349" spans="10:16">
      <c r="J349" s="5"/>
      <c r="L349">
        <f>DigInv!M349</f>
        <v>-0.53135399999999999</v>
      </c>
      <c r="M349">
        <f>DigDir!N349</f>
        <v>34.299999999999997</v>
      </c>
      <c r="O349">
        <f>ABS(L349-DigInv!$C$34)</f>
        <v>3.4828344278975938</v>
      </c>
      <c r="P349">
        <f t="shared" si="6"/>
        <v>34.299999999999997</v>
      </c>
    </row>
    <row r="350" spans="10:16">
      <c r="J350" s="5"/>
      <c r="L350">
        <f>DigInv!M350</f>
        <v>-0.53135399999999999</v>
      </c>
      <c r="M350">
        <f>DigDir!N350</f>
        <v>34.4</v>
      </c>
      <c r="O350">
        <f>ABS(L350-DigInv!$C$34)</f>
        <v>3.4828344278975938</v>
      </c>
      <c r="P350">
        <f t="shared" si="6"/>
        <v>34.4</v>
      </c>
    </row>
    <row r="351" spans="10:16">
      <c r="J351" s="5"/>
      <c r="L351">
        <f>DigInv!M351</f>
        <v>-0.52134336000000003</v>
      </c>
      <c r="M351">
        <f>DigDir!N351</f>
        <v>34.5</v>
      </c>
      <c r="O351">
        <f>ABS(L351-DigInv!$C$34)</f>
        <v>3.4928450678975937</v>
      </c>
      <c r="P351">
        <f t="shared" si="6"/>
        <v>34.5</v>
      </c>
    </row>
    <row r="352" spans="10:16">
      <c r="J352" s="5"/>
      <c r="L352">
        <f>DigInv!M352</f>
        <v>-0.50499264799999999</v>
      </c>
      <c r="M352">
        <f>DigDir!N352</f>
        <v>34.6</v>
      </c>
      <c r="O352">
        <f>ABS(L352-DigInv!$C$34)</f>
        <v>3.5091957798975937</v>
      </c>
      <c r="P352">
        <f t="shared" si="6"/>
        <v>34.6</v>
      </c>
    </row>
    <row r="353" spans="10:16">
      <c r="J353" s="5"/>
      <c r="L353">
        <f>DigInv!M353</f>
        <v>-0.48964299999999999</v>
      </c>
      <c r="M353">
        <f>DigDir!N353</f>
        <v>34.700000000000003</v>
      </c>
      <c r="O353">
        <f>ABS(L353-DigInv!$C$34)</f>
        <v>3.5245454278975936</v>
      </c>
      <c r="P353">
        <f t="shared" si="6"/>
        <v>34.700000000000003</v>
      </c>
    </row>
    <row r="354" spans="10:16">
      <c r="J354" s="5"/>
      <c r="L354">
        <f>DigInv!M354</f>
        <v>-0.48964299999999999</v>
      </c>
      <c r="M354">
        <f>DigDir!N354</f>
        <v>34.799999999999997</v>
      </c>
      <c r="O354">
        <f>ABS(L354-DigInv!$C$34)</f>
        <v>3.5245454278975936</v>
      </c>
      <c r="P354">
        <f t="shared" si="6"/>
        <v>34.799999999999997</v>
      </c>
    </row>
    <row r="355" spans="10:16">
      <c r="J355" s="5"/>
      <c r="L355">
        <f>DigInv!M355</f>
        <v>-0.48964299999999999</v>
      </c>
      <c r="M355">
        <f>DigDir!N355</f>
        <v>34.9</v>
      </c>
      <c r="O355">
        <f>ABS(L355-DigInv!$C$34)</f>
        <v>3.5245454278975936</v>
      </c>
      <c r="P355">
        <f t="shared" si="6"/>
        <v>34.9</v>
      </c>
    </row>
    <row r="356" spans="10:16">
      <c r="J356" s="5"/>
      <c r="L356">
        <f>DigInv!M356</f>
        <v>-0.48964299999999999</v>
      </c>
      <c r="M356">
        <f>DigDir!N356</f>
        <v>35</v>
      </c>
      <c r="O356">
        <f>ABS(L356-DigInv!$C$34)</f>
        <v>3.5245454278975936</v>
      </c>
      <c r="P356">
        <f t="shared" si="6"/>
        <v>35</v>
      </c>
    </row>
    <row r="357" spans="10:16">
      <c r="J357" s="5"/>
      <c r="L357">
        <f>DigInv!M357</f>
        <v>-0.48964299999999999</v>
      </c>
      <c r="M357">
        <f>DigDir!N357</f>
        <v>35.1</v>
      </c>
      <c r="O357">
        <f>ABS(L357-DigInv!$C$34)</f>
        <v>3.5245454278975936</v>
      </c>
      <c r="P357">
        <f t="shared" si="6"/>
        <v>35.1</v>
      </c>
    </row>
    <row r="358" spans="10:16">
      <c r="J358" s="5"/>
      <c r="L358">
        <f>DigInv!M358</f>
        <v>-0.48964299999999999</v>
      </c>
      <c r="M358">
        <f>DigDir!N358</f>
        <v>35.200000000000003</v>
      </c>
      <c r="O358">
        <f>ABS(L358-DigInv!$C$34)</f>
        <v>3.5245454278975936</v>
      </c>
      <c r="P358">
        <f t="shared" si="6"/>
        <v>35.200000000000003</v>
      </c>
    </row>
    <row r="359" spans="10:16">
      <c r="J359" s="5"/>
      <c r="L359">
        <f>DigInv!M359</f>
        <v>-0.48964299999999999</v>
      </c>
      <c r="M359">
        <f>DigDir!N359</f>
        <v>35.299999999999997</v>
      </c>
      <c r="O359">
        <f>ABS(L359-DigInv!$C$34)</f>
        <v>3.5245454278975936</v>
      </c>
      <c r="P359">
        <f t="shared" si="6"/>
        <v>35.299999999999997</v>
      </c>
    </row>
    <row r="360" spans="10:16">
      <c r="J360" s="5"/>
      <c r="L360">
        <f>DigInv!M360</f>
        <v>-0.48964299999999999</v>
      </c>
      <c r="M360">
        <f>DigDir!N360</f>
        <v>35.4</v>
      </c>
      <c r="O360">
        <f>ABS(L360-DigInv!$C$34)</f>
        <v>3.5245454278975936</v>
      </c>
      <c r="P360">
        <f t="shared" si="6"/>
        <v>35.4</v>
      </c>
    </row>
    <row r="361" spans="10:16">
      <c r="J361" s="5"/>
      <c r="L361">
        <f>DigInv!M361</f>
        <v>-0.48964299999999999</v>
      </c>
      <c r="M361">
        <f>DigDir!N361</f>
        <v>35.5</v>
      </c>
      <c r="O361">
        <f>ABS(L361-DigInv!$C$34)</f>
        <v>3.5245454278975936</v>
      </c>
      <c r="P361">
        <f t="shared" si="6"/>
        <v>35.5</v>
      </c>
    </row>
    <row r="362" spans="10:16">
      <c r="J362" s="5"/>
      <c r="L362">
        <f>DigInv!M362</f>
        <v>-0.48964299999999999</v>
      </c>
      <c r="M362">
        <f>DigDir!N362</f>
        <v>35.6</v>
      </c>
      <c r="O362">
        <f>ABS(L362-DigInv!$C$34)</f>
        <v>3.5245454278975936</v>
      </c>
      <c r="P362">
        <f t="shared" si="6"/>
        <v>35.6</v>
      </c>
    </row>
    <row r="363" spans="10:16">
      <c r="J363" s="5"/>
      <c r="L363">
        <f>DigInv!M363</f>
        <v>-0.48964299999999999</v>
      </c>
      <c r="M363">
        <f>DigDir!N363</f>
        <v>35.700000000000003</v>
      </c>
      <c r="O363">
        <f>ABS(L363-DigInv!$C$34)</f>
        <v>3.5245454278975936</v>
      </c>
      <c r="P363">
        <f t="shared" si="6"/>
        <v>35.700000000000003</v>
      </c>
    </row>
    <row r="364" spans="10:16">
      <c r="J364" s="5"/>
      <c r="L364">
        <f>DigInv!M364</f>
        <v>-0.48964299999999999</v>
      </c>
      <c r="M364">
        <f>DigDir!N364</f>
        <v>35.799999999999997</v>
      </c>
      <c r="O364">
        <f>ABS(L364-DigInv!$C$34)</f>
        <v>3.5245454278975936</v>
      </c>
      <c r="P364">
        <f t="shared" si="6"/>
        <v>35.799999999999997</v>
      </c>
    </row>
    <row r="365" spans="10:16">
      <c r="J365" s="5"/>
      <c r="L365">
        <f>DigInv!M365</f>
        <v>-0.48964299999999999</v>
      </c>
      <c r="M365">
        <f>DigDir!N365</f>
        <v>35.9</v>
      </c>
      <c r="O365">
        <f>ABS(L365-DigInv!$C$34)</f>
        <v>3.5245454278975936</v>
      </c>
      <c r="P365">
        <f t="shared" si="6"/>
        <v>35.9</v>
      </c>
    </row>
    <row r="366" spans="10:16">
      <c r="J366" s="5"/>
      <c r="L366">
        <f>DigInv!M366</f>
        <v>-0.48964299999999999</v>
      </c>
      <c r="M366">
        <f>DigDir!N366</f>
        <v>36</v>
      </c>
      <c r="O366">
        <f>ABS(L366-DigInv!$C$34)</f>
        <v>3.5245454278975936</v>
      </c>
      <c r="P366">
        <f t="shared" si="6"/>
        <v>36</v>
      </c>
    </row>
    <row r="367" spans="10:16">
      <c r="J367" s="5"/>
      <c r="L367">
        <f>DigInv!M367</f>
        <v>-0.48964299999999999</v>
      </c>
      <c r="M367">
        <f>DigDir!N367</f>
        <v>36.1</v>
      </c>
      <c r="O367">
        <f>ABS(L367-DigInv!$C$34)</f>
        <v>3.5245454278975936</v>
      </c>
      <c r="P367">
        <f t="shared" si="6"/>
        <v>36.1</v>
      </c>
    </row>
    <row r="368" spans="10:16">
      <c r="J368" s="5"/>
      <c r="L368">
        <f>DigInv!M368</f>
        <v>-0.48964299999999999</v>
      </c>
      <c r="M368">
        <f>DigDir!N368</f>
        <v>36.200000000000003</v>
      </c>
      <c r="O368">
        <f>ABS(L368-DigInv!$C$34)</f>
        <v>3.5245454278975936</v>
      </c>
      <c r="P368">
        <f t="shared" si="6"/>
        <v>36.200000000000003</v>
      </c>
    </row>
    <row r="369" spans="10:16">
      <c r="J369" s="5"/>
      <c r="L369">
        <f>DigInv!M369</f>
        <v>-0.48964299999999999</v>
      </c>
      <c r="M369">
        <f>DigDir!N369</f>
        <v>36.299999999999997</v>
      </c>
      <c r="O369">
        <f>ABS(L369-DigInv!$C$34)</f>
        <v>3.5245454278975936</v>
      </c>
      <c r="P369">
        <f t="shared" si="6"/>
        <v>36.299999999999997</v>
      </c>
    </row>
    <row r="370" spans="10:16">
      <c r="J370" s="5"/>
      <c r="L370">
        <f>DigInv!M370</f>
        <v>-0.48964299999999999</v>
      </c>
      <c r="M370">
        <f>DigDir!N370</f>
        <v>36.4</v>
      </c>
      <c r="O370">
        <f>ABS(L370-DigInv!$C$34)</f>
        <v>3.5245454278975936</v>
      </c>
      <c r="P370">
        <f t="shared" si="6"/>
        <v>36.4</v>
      </c>
    </row>
    <row r="371" spans="10:16">
      <c r="J371" s="5"/>
      <c r="L371">
        <f>DigInv!M371</f>
        <v>-0.48964299999999999</v>
      </c>
      <c r="M371">
        <f>DigDir!N371</f>
        <v>36.5</v>
      </c>
      <c r="O371">
        <f>ABS(L371-DigInv!$C$34)</f>
        <v>3.5245454278975936</v>
      </c>
      <c r="P371">
        <f t="shared" si="6"/>
        <v>36.5</v>
      </c>
    </row>
    <row r="372" spans="10:16">
      <c r="J372" s="5"/>
      <c r="L372">
        <f>DigInv!M372</f>
        <v>-0.48964299999999999</v>
      </c>
      <c r="M372">
        <f>DigDir!N372</f>
        <v>36.6</v>
      </c>
      <c r="O372">
        <f>ABS(L372-DigInv!$C$34)</f>
        <v>3.5245454278975936</v>
      </c>
      <c r="P372">
        <f t="shared" si="6"/>
        <v>36.6</v>
      </c>
    </row>
    <row r="373" spans="10:16">
      <c r="J373" s="5"/>
      <c r="L373">
        <f>DigInv!M373</f>
        <v>-0.48964299999999999</v>
      </c>
      <c r="M373">
        <f>DigDir!N373</f>
        <v>36.700000000000003</v>
      </c>
      <c r="O373">
        <f>ABS(L373-DigInv!$C$34)</f>
        <v>3.5245454278975936</v>
      </c>
      <c r="P373">
        <f t="shared" si="6"/>
        <v>36.700000000000003</v>
      </c>
    </row>
    <row r="374" spans="10:16">
      <c r="J374" s="5"/>
      <c r="L374">
        <f>DigInv!M374</f>
        <v>-0.48964299999999999</v>
      </c>
      <c r="M374">
        <f>DigDir!N374</f>
        <v>36.799999999999997</v>
      </c>
      <c r="O374">
        <f>ABS(L374-DigInv!$C$34)</f>
        <v>3.5245454278975936</v>
      </c>
      <c r="P374">
        <f t="shared" si="6"/>
        <v>36.799999999999997</v>
      </c>
    </row>
    <row r="375" spans="10:16">
      <c r="J375" s="5"/>
      <c r="L375">
        <f>DigInv!M375</f>
        <v>-0.48964299999999999</v>
      </c>
      <c r="M375">
        <f>DigDir!N375</f>
        <v>36.9</v>
      </c>
      <c r="O375">
        <f>ABS(L375-DigInv!$C$34)</f>
        <v>3.5245454278975936</v>
      </c>
      <c r="P375">
        <f t="shared" si="6"/>
        <v>36.9</v>
      </c>
    </row>
    <row r="376" spans="10:16">
      <c r="J376" s="5"/>
      <c r="L376">
        <f>DigInv!M376</f>
        <v>-0.48964299999999999</v>
      </c>
      <c r="M376">
        <f>DigDir!N376</f>
        <v>37</v>
      </c>
      <c r="O376">
        <f>ABS(L376-DigInv!$C$34)</f>
        <v>3.5245454278975936</v>
      </c>
      <c r="P376">
        <f t="shared" si="6"/>
        <v>37</v>
      </c>
    </row>
    <row r="377" spans="10:16">
      <c r="J377" s="5"/>
      <c r="L377">
        <f>DigInv!M377</f>
        <v>-0.48964299999999999</v>
      </c>
      <c r="M377">
        <f>DigDir!N377</f>
        <v>37.1</v>
      </c>
      <c r="O377">
        <f>ABS(L377-DigInv!$C$34)</f>
        <v>3.5245454278975936</v>
      </c>
      <c r="P377">
        <f t="shared" si="6"/>
        <v>37.1</v>
      </c>
    </row>
    <row r="378" spans="10:16">
      <c r="J378" s="5"/>
      <c r="L378">
        <f>DigInv!M378</f>
        <v>-0.48964299999999999</v>
      </c>
      <c r="M378">
        <f>DigDir!N378</f>
        <v>37.200000000000003</v>
      </c>
      <c r="O378">
        <f>ABS(L378-DigInv!$C$34)</f>
        <v>3.5245454278975936</v>
      </c>
      <c r="P378">
        <f t="shared" si="6"/>
        <v>37.200000000000003</v>
      </c>
    </row>
    <row r="379" spans="10:16">
      <c r="J379" s="5"/>
      <c r="L379">
        <f>DigInv!M379</f>
        <v>-0.48964299999999999</v>
      </c>
      <c r="M379">
        <f>DigDir!N379</f>
        <v>37.299999999999997</v>
      </c>
      <c r="O379">
        <f>ABS(L379-DigInv!$C$34)</f>
        <v>3.5245454278975936</v>
      </c>
      <c r="P379">
        <f t="shared" si="6"/>
        <v>37.299999999999997</v>
      </c>
    </row>
    <row r="380" spans="10:16">
      <c r="J380" s="5"/>
      <c r="L380">
        <f>DigInv!M380</f>
        <v>-0.48964299999999999</v>
      </c>
      <c r="M380">
        <f>DigDir!N380</f>
        <v>37.4</v>
      </c>
      <c r="O380">
        <f>ABS(L380-DigInv!$C$34)</f>
        <v>3.5245454278975936</v>
      </c>
      <c r="P380">
        <f t="shared" si="6"/>
        <v>37.4</v>
      </c>
    </row>
    <row r="381" spans="10:16">
      <c r="J381" s="5"/>
      <c r="L381">
        <f>DigInv!M381</f>
        <v>-0.48964299999999999</v>
      </c>
      <c r="M381">
        <f>DigDir!N381</f>
        <v>37.5</v>
      </c>
      <c r="O381">
        <f>ABS(L381-DigInv!$C$34)</f>
        <v>3.5245454278975936</v>
      </c>
      <c r="P381">
        <f t="shared" si="6"/>
        <v>37.5</v>
      </c>
    </row>
    <row r="382" spans="10:16">
      <c r="J382" s="5"/>
      <c r="L382">
        <f>DigInv!M382</f>
        <v>-0.48964299999999999</v>
      </c>
      <c r="M382">
        <f>DigDir!N382</f>
        <v>37.6</v>
      </c>
      <c r="O382">
        <f>ABS(L382-DigInv!$C$34)</f>
        <v>3.5245454278975936</v>
      </c>
      <c r="P382">
        <f t="shared" si="6"/>
        <v>37.6</v>
      </c>
    </row>
    <row r="383" spans="10:16">
      <c r="J383" s="5"/>
      <c r="L383">
        <f>DigInv!M383</f>
        <v>-0.48964299999999999</v>
      </c>
      <c r="M383">
        <f>DigDir!N383</f>
        <v>37.700000000000003</v>
      </c>
      <c r="O383">
        <f>ABS(L383-DigInv!$C$34)</f>
        <v>3.5245454278975936</v>
      </c>
      <c r="P383">
        <f t="shared" si="6"/>
        <v>37.700000000000003</v>
      </c>
    </row>
    <row r="384" spans="10:16">
      <c r="J384" s="5"/>
      <c r="L384">
        <f>DigInv!M384</f>
        <v>-0.48964299999999999</v>
      </c>
      <c r="M384">
        <f>DigDir!N384</f>
        <v>37.799999999999997</v>
      </c>
      <c r="O384">
        <f>ABS(L384-DigInv!$C$34)</f>
        <v>3.5245454278975936</v>
      </c>
      <c r="P384">
        <f t="shared" si="6"/>
        <v>37.799999999999997</v>
      </c>
    </row>
    <row r="385" spans="10:16">
      <c r="J385" s="5"/>
      <c r="L385">
        <f>DigInv!M385</f>
        <v>-0.48964299999999999</v>
      </c>
      <c r="M385">
        <f>DigDir!N385</f>
        <v>37.9</v>
      </c>
      <c r="O385">
        <f>ABS(L385-DigInv!$C$34)</f>
        <v>3.5245454278975936</v>
      </c>
      <c r="P385">
        <f t="shared" si="6"/>
        <v>37.9</v>
      </c>
    </row>
    <row r="386" spans="10:16">
      <c r="J386" s="5"/>
      <c r="L386">
        <f>DigInv!M386</f>
        <v>-0.48964299999999999</v>
      </c>
      <c r="M386">
        <f>DigDir!N386</f>
        <v>38</v>
      </c>
      <c r="O386">
        <f>ABS(L386-DigInv!$C$34)</f>
        <v>3.5245454278975936</v>
      </c>
      <c r="P386">
        <f t="shared" si="6"/>
        <v>38</v>
      </c>
    </row>
    <row r="387" spans="10:16">
      <c r="J387" s="5"/>
      <c r="L387">
        <f>DigInv!M387</f>
        <v>-0.48964299999999999</v>
      </c>
      <c r="M387">
        <f>DigDir!N387</f>
        <v>38.1</v>
      </c>
      <c r="O387">
        <f>ABS(L387-DigInv!$C$34)</f>
        <v>3.5245454278975936</v>
      </c>
      <c r="P387">
        <f t="shared" si="6"/>
        <v>38.1</v>
      </c>
    </row>
    <row r="388" spans="10:16">
      <c r="J388" s="5"/>
      <c r="L388">
        <f>DigInv!M388</f>
        <v>-0.48964299999999999</v>
      </c>
      <c r="M388">
        <f>DigDir!N388</f>
        <v>38.200000000000003</v>
      </c>
      <c r="O388">
        <f>ABS(L388-DigInv!$C$34)</f>
        <v>3.5245454278975936</v>
      </c>
      <c r="P388">
        <f t="shared" si="6"/>
        <v>38.200000000000003</v>
      </c>
    </row>
    <row r="389" spans="10:16">
      <c r="J389" s="5"/>
      <c r="L389">
        <f>DigInv!M389</f>
        <v>-0.48964299999999999</v>
      </c>
      <c r="M389">
        <f>DigDir!N389</f>
        <v>38.299999999999997</v>
      </c>
      <c r="O389">
        <f>ABS(L389-DigInv!$C$34)</f>
        <v>3.5245454278975936</v>
      </c>
      <c r="P389">
        <f t="shared" si="6"/>
        <v>38.299999999999997</v>
      </c>
    </row>
    <row r="390" spans="10:16">
      <c r="J390" s="5"/>
      <c r="L390">
        <f>DigInv!M390</f>
        <v>-0.48964299999999999</v>
      </c>
      <c r="M390">
        <f>DigDir!N390</f>
        <v>38.4</v>
      </c>
      <c r="O390">
        <f>ABS(L390-DigInv!$C$34)</f>
        <v>3.5245454278975936</v>
      </c>
      <c r="P390">
        <f t="shared" si="6"/>
        <v>38.4</v>
      </c>
    </row>
    <row r="391" spans="10:16">
      <c r="J391" s="5"/>
      <c r="L391">
        <f>DigInv!M391</f>
        <v>-0.48964299999999999</v>
      </c>
      <c r="M391">
        <f>DigDir!N391</f>
        <v>38.5</v>
      </c>
      <c r="O391">
        <f>ABS(L391-DigInv!$C$34)</f>
        <v>3.5245454278975936</v>
      </c>
      <c r="P391">
        <f t="shared" ref="P391:P454" si="7">M391</f>
        <v>38.5</v>
      </c>
    </row>
    <row r="392" spans="10:16">
      <c r="J392" s="5"/>
      <c r="L392">
        <f>DigInv!M392</f>
        <v>-0.48964299999999999</v>
      </c>
      <c r="M392">
        <f>DigDir!N392</f>
        <v>38.6</v>
      </c>
      <c r="O392">
        <f>ABS(L392-DigInv!$C$34)</f>
        <v>3.5245454278975936</v>
      </c>
      <c r="P392">
        <f t="shared" si="7"/>
        <v>38.6</v>
      </c>
    </row>
    <row r="393" spans="10:16">
      <c r="J393" s="5"/>
      <c r="L393">
        <f>DigInv!M393</f>
        <v>-0.48964299999999999</v>
      </c>
      <c r="M393">
        <f>DigDir!N393</f>
        <v>38.700000000000003</v>
      </c>
      <c r="O393">
        <f>ABS(L393-DigInv!$C$34)</f>
        <v>3.5245454278975936</v>
      </c>
      <c r="P393">
        <f t="shared" si="7"/>
        <v>38.700000000000003</v>
      </c>
    </row>
    <row r="394" spans="10:16">
      <c r="J394" s="5"/>
      <c r="L394">
        <f>DigInv!M394</f>
        <v>-0.48964299999999999</v>
      </c>
      <c r="M394">
        <f>DigDir!N394</f>
        <v>38.799999999999997</v>
      </c>
      <c r="O394">
        <f>ABS(L394-DigInv!$C$34)</f>
        <v>3.5245454278975936</v>
      </c>
      <c r="P394">
        <f t="shared" si="7"/>
        <v>38.799999999999997</v>
      </c>
    </row>
    <row r="395" spans="10:16">
      <c r="J395" s="5"/>
      <c r="L395">
        <f>DigInv!M395</f>
        <v>-0.48964299999999999</v>
      </c>
      <c r="M395">
        <f>DigDir!N395</f>
        <v>38.9</v>
      </c>
      <c r="O395">
        <f>ABS(L395-DigInv!$C$34)</f>
        <v>3.5245454278975936</v>
      </c>
      <c r="P395">
        <f t="shared" si="7"/>
        <v>38.9</v>
      </c>
    </row>
    <row r="396" spans="10:16">
      <c r="J396" s="5"/>
      <c r="L396">
        <f>DigInv!M396</f>
        <v>-0.48964299999999999</v>
      </c>
      <c r="M396">
        <f>DigDir!N396</f>
        <v>39</v>
      </c>
      <c r="O396">
        <f>ABS(L396-DigInv!$C$34)</f>
        <v>3.5245454278975936</v>
      </c>
      <c r="P396">
        <f t="shared" si="7"/>
        <v>39</v>
      </c>
    </row>
    <row r="397" spans="10:16">
      <c r="J397" s="5"/>
      <c r="L397">
        <f>DigInv!M397</f>
        <v>-0.48964299999999999</v>
      </c>
      <c r="M397">
        <f>DigDir!N397</f>
        <v>39.1</v>
      </c>
      <c r="O397">
        <f>ABS(L397-DigInv!$C$34)</f>
        <v>3.5245454278975936</v>
      </c>
      <c r="P397">
        <f t="shared" si="7"/>
        <v>39.1</v>
      </c>
    </row>
    <row r="398" spans="10:16">
      <c r="J398" s="5"/>
      <c r="L398">
        <f>DigInv!M398</f>
        <v>-0.48964299999999999</v>
      </c>
      <c r="M398">
        <f>DigDir!N398</f>
        <v>39.200000000000003</v>
      </c>
      <c r="O398">
        <f>ABS(L398-DigInv!$C$34)</f>
        <v>3.5245454278975936</v>
      </c>
      <c r="P398">
        <f t="shared" si="7"/>
        <v>39.200000000000003</v>
      </c>
    </row>
    <row r="399" spans="10:16">
      <c r="J399" s="5"/>
      <c r="L399">
        <f>DigInv!M399</f>
        <v>-0.48964299999999999</v>
      </c>
      <c r="M399">
        <f>DigDir!N399</f>
        <v>39.299999999999997</v>
      </c>
      <c r="O399">
        <f>ABS(L399-DigInv!$C$34)</f>
        <v>3.5245454278975936</v>
      </c>
      <c r="P399">
        <f t="shared" si="7"/>
        <v>39.299999999999997</v>
      </c>
    </row>
    <row r="400" spans="10:16">
      <c r="J400" s="5"/>
      <c r="L400">
        <f>DigInv!M400</f>
        <v>-0.48964299999999999</v>
      </c>
      <c r="M400">
        <f>DigDir!N400</f>
        <v>39.4</v>
      </c>
      <c r="O400">
        <f>ABS(L400-DigInv!$C$34)</f>
        <v>3.5245454278975936</v>
      </c>
      <c r="P400">
        <f t="shared" si="7"/>
        <v>39.4</v>
      </c>
    </row>
    <row r="401" spans="10:16">
      <c r="J401" s="5"/>
      <c r="L401">
        <f>DigInv!M401</f>
        <v>-0.48964299999999999</v>
      </c>
      <c r="M401">
        <f>DigDir!N401</f>
        <v>39.5</v>
      </c>
      <c r="O401">
        <f>ABS(L401-DigInv!$C$34)</f>
        <v>3.5245454278975936</v>
      </c>
      <c r="P401">
        <f t="shared" si="7"/>
        <v>39.5</v>
      </c>
    </row>
    <row r="402" spans="10:16">
      <c r="J402" s="5"/>
      <c r="L402">
        <f>DigInv!M402</f>
        <v>-0.48964299999999999</v>
      </c>
      <c r="M402">
        <f>DigDir!N402</f>
        <v>39.6</v>
      </c>
      <c r="O402">
        <f>ABS(L402-DigInv!$C$34)</f>
        <v>3.5245454278975936</v>
      </c>
      <c r="P402">
        <f t="shared" si="7"/>
        <v>39.6</v>
      </c>
    </row>
    <row r="403" spans="10:16">
      <c r="J403" s="5"/>
      <c r="L403">
        <f>DigInv!M403</f>
        <v>-0.48964299999999999</v>
      </c>
      <c r="M403">
        <f>DigDir!N403</f>
        <v>39.700000000000003</v>
      </c>
      <c r="O403">
        <f>ABS(L403-DigInv!$C$34)</f>
        <v>3.5245454278975936</v>
      </c>
      <c r="P403">
        <f t="shared" si="7"/>
        <v>39.700000000000003</v>
      </c>
    </row>
    <row r="404" spans="10:16">
      <c r="J404" s="5"/>
      <c r="L404">
        <f>DigInv!M404</f>
        <v>-0.48964299999999999</v>
      </c>
      <c r="M404">
        <f>DigDir!N404</f>
        <v>39.799999999999997</v>
      </c>
      <c r="O404">
        <f>ABS(L404-DigInv!$C$34)</f>
        <v>3.5245454278975936</v>
      </c>
      <c r="P404">
        <f t="shared" si="7"/>
        <v>39.799999999999997</v>
      </c>
    </row>
    <row r="405" spans="10:16">
      <c r="J405" s="5"/>
      <c r="L405">
        <f>DigInv!M405</f>
        <v>-0.48964299999999999</v>
      </c>
      <c r="M405">
        <f>DigDir!N405</f>
        <v>39.9</v>
      </c>
      <c r="O405">
        <f>ABS(L405-DigInv!$C$34)</f>
        <v>3.5245454278975936</v>
      </c>
      <c r="P405">
        <f t="shared" si="7"/>
        <v>39.9</v>
      </c>
    </row>
    <row r="406" spans="10:16">
      <c r="J406" s="5"/>
      <c r="L406">
        <f>DigInv!M406</f>
        <v>-0.48964299999999999</v>
      </c>
      <c r="M406">
        <f>DigDir!N406</f>
        <v>40</v>
      </c>
      <c r="O406">
        <f>ABS(L406-DigInv!$C$34)</f>
        <v>3.5245454278975936</v>
      </c>
      <c r="P406">
        <f t="shared" si="7"/>
        <v>40</v>
      </c>
    </row>
    <row r="407" spans="10:16">
      <c r="J407" s="5"/>
      <c r="L407">
        <f>DigInv!M407</f>
        <v>-0.48964299999999999</v>
      </c>
      <c r="M407">
        <f>DigDir!N407</f>
        <v>40.1</v>
      </c>
      <c r="O407">
        <f>ABS(L407-DigInv!$C$34)</f>
        <v>3.5245454278975936</v>
      </c>
      <c r="P407">
        <f t="shared" si="7"/>
        <v>40.1</v>
      </c>
    </row>
    <row r="408" spans="10:16">
      <c r="J408" s="5"/>
      <c r="L408">
        <f>DigInv!M408</f>
        <v>-0.48964299999999999</v>
      </c>
      <c r="M408">
        <f>DigDir!N408</f>
        <v>40.200000000000003</v>
      </c>
      <c r="O408">
        <f>ABS(L408-DigInv!$C$34)</f>
        <v>3.5245454278975936</v>
      </c>
      <c r="P408">
        <f t="shared" si="7"/>
        <v>40.200000000000003</v>
      </c>
    </row>
    <row r="409" spans="10:16">
      <c r="J409" s="5"/>
      <c r="L409">
        <f>DigInv!M409</f>
        <v>-0.48964299999999999</v>
      </c>
      <c r="M409">
        <f>DigDir!N409</f>
        <v>40.299999999999997</v>
      </c>
      <c r="O409">
        <f>ABS(L409-DigInv!$C$34)</f>
        <v>3.5245454278975936</v>
      </c>
      <c r="P409">
        <f t="shared" si="7"/>
        <v>40.299999999999997</v>
      </c>
    </row>
    <row r="410" spans="10:16">
      <c r="J410" s="5"/>
      <c r="L410">
        <f>DigInv!M410</f>
        <v>-0.47279706399999899</v>
      </c>
      <c r="M410">
        <f>DigDir!N410</f>
        <v>40.4</v>
      </c>
      <c r="O410">
        <f>ABS(L410-DigInv!$C$34)</f>
        <v>3.5413913638975947</v>
      </c>
      <c r="P410">
        <f t="shared" si="7"/>
        <v>40.4</v>
      </c>
    </row>
    <row r="411" spans="10:16">
      <c r="J411" s="5"/>
      <c r="L411">
        <f>DigInv!M411</f>
        <v>-0.454852479999999</v>
      </c>
      <c r="M411">
        <f>DigDir!N411</f>
        <v>40.5</v>
      </c>
      <c r="O411">
        <f>ABS(L411-DigInv!$C$34)</f>
        <v>3.5593359478975946</v>
      </c>
      <c r="P411">
        <f t="shared" si="7"/>
        <v>40.5</v>
      </c>
    </row>
    <row r="412" spans="10:16">
      <c r="J412" s="5"/>
      <c r="L412">
        <f>DigInv!M412</f>
        <v>-0.44386599999999998</v>
      </c>
      <c r="M412">
        <f>DigDir!N412</f>
        <v>40.6</v>
      </c>
      <c r="O412">
        <f>ABS(L412-DigInv!$C$34)</f>
        <v>3.5703224278975938</v>
      </c>
      <c r="P412">
        <f t="shared" si="7"/>
        <v>40.6</v>
      </c>
    </row>
    <row r="413" spans="10:16">
      <c r="J413" s="5"/>
      <c r="L413">
        <f>DigInv!M413</f>
        <v>-0.44386599999999998</v>
      </c>
      <c r="M413">
        <f>DigDir!N413</f>
        <v>40.700000000000003</v>
      </c>
      <c r="O413">
        <f>ABS(L413-DigInv!$C$34)</f>
        <v>3.5703224278975938</v>
      </c>
      <c r="P413">
        <f t="shared" si="7"/>
        <v>40.700000000000003</v>
      </c>
    </row>
    <row r="414" spans="10:16">
      <c r="J414" s="5"/>
      <c r="L414">
        <f>DigInv!M414</f>
        <v>-0.44386599999999998</v>
      </c>
      <c r="M414">
        <f>DigDir!N414</f>
        <v>40.799999999999997</v>
      </c>
      <c r="O414">
        <f>ABS(L414-DigInv!$C$34)</f>
        <v>3.5703224278975938</v>
      </c>
      <c r="P414">
        <f t="shared" si="7"/>
        <v>40.799999999999997</v>
      </c>
    </row>
    <row r="415" spans="10:16">
      <c r="J415" s="5"/>
      <c r="L415">
        <f>DigInv!M415</f>
        <v>-0.44386599999999998</v>
      </c>
      <c r="M415">
        <f>DigDir!N415</f>
        <v>40.9</v>
      </c>
      <c r="O415">
        <f>ABS(L415-DigInv!$C$34)</f>
        <v>3.5703224278975938</v>
      </c>
      <c r="P415">
        <f t="shared" si="7"/>
        <v>40.9</v>
      </c>
    </row>
    <row r="416" spans="10:16">
      <c r="J416" s="5"/>
      <c r="L416">
        <f>DigInv!M416</f>
        <v>-0.44386599999999998</v>
      </c>
      <c r="M416">
        <f>DigDir!N416</f>
        <v>41</v>
      </c>
      <c r="O416">
        <f>ABS(L416-DigInv!$C$34)</f>
        <v>3.5703224278975938</v>
      </c>
      <c r="P416">
        <f t="shared" si="7"/>
        <v>41</v>
      </c>
    </row>
    <row r="417" spans="10:16">
      <c r="J417" s="5"/>
      <c r="L417">
        <f>DigInv!M417</f>
        <v>-0.44386599999999998</v>
      </c>
      <c r="M417">
        <f>DigDir!N417</f>
        <v>41.1</v>
      </c>
      <c r="O417">
        <f>ABS(L417-DigInv!$C$34)</f>
        <v>3.5703224278975938</v>
      </c>
      <c r="P417">
        <f t="shared" si="7"/>
        <v>41.1</v>
      </c>
    </row>
    <row r="418" spans="10:16">
      <c r="J418" s="5"/>
      <c r="L418">
        <f>DigInv!M418</f>
        <v>-0.44386599999999998</v>
      </c>
      <c r="M418">
        <f>DigDir!N418</f>
        <v>41.2</v>
      </c>
      <c r="O418">
        <f>ABS(L418-DigInv!$C$34)</f>
        <v>3.5703224278975938</v>
      </c>
      <c r="P418">
        <f t="shared" si="7"/>
        <v>41.2</v>
      </c>
    </row>
    <row r="419" spans="10:16">
      <c r="J419" s="5"/>
      <c r="L419">
        <f>DigInv!M419</f>
        <v>-0.44386599999999998</v>
      </c>
      <c r="M419">
        <f>DigDir!N419</f>
        <v>41.3</v>
      </c>
      <c r="O419">
        <f>ABS(L419-DigInv!$C$34)</f>
        <v>3.5703224278975938</v>
      </c>
      <c r="P419">
        <f t="shared" si="7"/>
        <v>41.3</v>
      </c>
    </row>
    <row r="420" spans="10:16">
      <c r="J420" s="5"/>
      <c r="L420">
        <f>DigInv!M420</f>
        <v>-0.42947809599999898</v>
      </c>
      <c r="M420">
        <f>DigDir!N420</f>
        <v>41.4</v>
      </c>
      <c r="O420">
        <f>ABS(L420-DigInv!$C$34)</f>
        <v>3.5847103318975946</v>
      </c>
      <c r="P420">
        <f t="shared" si="7"/>
        <v>41.4</v>
      </c>
    </row>
    <row r="421" spans="10:16">
      <c r="J421" s="5"/>
      <c r="L421">
        <f>DigInv!M421</f>
        <v>-0.40989456000000002</v>
      </c>
      <c r="M421">
        <f>DigDir!N421</f>
        <v>41.5</v>
      </c>
      <c r="O421">
        <f>ABS(L421-DigInv!$C$34)</f>
        <v>3.6042938678975935</v>
      </c>
      <c r="P421">
        <f t="shared" si="7"/>
        <v>41.5</v>
      </c>
    </row>
    <row r="422" spans="10:16">
      <c r="J422" s="5"/>
      <c r="L422">
        <f>DigInv!M422</f>
        <v>-0.390010352</v>
      </c>
      <c r="M422">
        <f>DigDir!N422</f>
        <v>41.6</v>
      </c>
      <c r="O422">
        <f>ABS(L422-DigInv!$C$34)</f>
        <v>3.6241780758975937</v>
      </c>
      <c r="P422">
        <f t="shared" si="7"/>
        <v>41.6</v>
      </c>
    </row>
    <row r="423" spans="10:16">
      <c r="J423" s="5"/>
      <c r="L423">
        <f>DigInv!M423</f>
        <v>-0.36878982399999999</v>
      </c>
      <c r="M423">
        <f>DigDir!N423</f>
        <v>41.7</v>
      </c>
      <c r="O423">
        <f>ABS(L423-DigInv!$C$34)</f>
        <v>3.6453986038975938</v>
      </c>
      <c r="P423">
        <f t="shared" si="7"/>
        <v>41.7</v>
      </c>
    </row>
    <row r="424" spans="10:16">
      <c r="J424" s="5"/>
      <c r="L424">
        <f>DigInv!M424</f>
        <v>-0.34756929600000003</v>
      </c>
      <c r="M424">
        <f>DigDir!N424</f>
        <v>41.8</v>
      </c>
      <c r="O424">
        <f>ABS(L424-DigInv!$C$34)</f>
        <v>3.6666191318975936</v>
      </c>
      <c r="P424">
        <f t="shared" si="7"/>
        <v>41.8</v>
      </c>
    </row>
    <row r="425" spans="10:16">
      <c r="J425" s="5"/>
      <c r="L425">
        <f>DigInv!M425</f>
        <v>-0.33977400000000002</v>
      </c>
      <c r="M425">
        <f>DigDir!N425</f>
        <v>41.9</v>
      </c>
      <c r="O425">
        <f>ABS(L425-DigInv!$C$34)</f>
        <v>3.6744144278975934</v>
      </c>
      <c r="P425">
        <f t="shared" si="7"/>
        <v>41.9</v>
      </c>
    </row>
    <row r="426" spans="10:16">
      <c r="J426" s="5"/>
      <c r="L426">
        <f>DigInv!M426</f>
        <v>-0.33977400000000002</v>
      </c>
      <c r="M426">
        <f>DigDir!N426</f>
        <v>42</v>
      </c>
      <c r="O426">
        <f>ABS(L426-DigInv!$C$34)</f>
        <v>3.6744144278975934</v>
      </c>
      <c r="P426">
        <f t="shared" si="7"/>
        <v>42</v>
      </c>
    </row>
    <row r="427" spans="10:16">
      <c r="J427" s="5"/>
      <c r="L427">
        <f>DigInv!M427</f>
        <v>-0.33977400000000002</v>
      </c>
      <c r="M427">
        <f>DigDir!N427</f>
        <v>42.1</v>
      </c>
      <c r="O427">
        <f>ABS(L427-DigInv!$C$34)</f>
        <v>3.6744144278975934</v>
      </c>
      <c r="P427">
        <f t="shared" si="7"/>
        <v>42.1</v>
      </c>
    </row>
    <row r="428" spans="10:16">
      <c r="J428" s="5"/>
      <c r="L428">
        <f>DigInv!M428</f>
        <v>-0.33977400000000002</v>
      </c>
      <c r="M428">
        <f>DigDir!N428</f>
        <v>42.2</v>
      </c>
      <c r="O428">
        <f>ABS(L428-DigInv!$C$34)</f>
        <v>3.6744144278975934</v>
      </c>
      <c r="P428">
        <f t="shared" si="7"/>
        <v>42.2</v>
      </c>
    </row>
    <row r="429" spans="10:16">
      <c r="J429" s="5"/>
      <c r="L429">
        <f>DigInv!M429</f>
        <v>-0.33977400000000002</v>
      </c>
      <c r="M429">
        <f>DigDir!N429</f>
        <v>42.3</v>
      </c>
      <c r="O429">
        <f>ABS(L429-DigInv!$C$34)</f>
        <v>3.6744144278975934</v>
      </c>
      <c r="P429">
        <f t="shared" si="7"/>
        <v>42.3</v>
      </c>
    </row>
    <row r="430" spans="10:16">
      <c r="J430" s="5"/>
      <c r="L430">
        <f>DigInv!M430</f>
        <v>-0.33977400000000002</v>
      </c>
      <c r="M430">
        <f>DigDir!N430</f>
        <v>42.4</v>
      </c>
      <c r="O430">
        <f>ABS(L430-DigInv!$C$34)</f>
        <v>3.6744144278975934</v>
      </c>
      <c r="P430">
        <f t="shared" si="7"/>
        <v>42.4</v>
      </c>
    </row>
    <row r="431" spans="10:16">
      <c r="J431" s="5"/>
      <c r="L431">
        <f>DigInv!M431</f>
        <v>-0.33977400000000002</v>
      </c>
      <c r="M431">
        <f>DigDir!N431</f>
        <v>42.5</v>
      </c>
      <c r="O431">
        <f>ABS(L431-DigInv!$C$34)</f>
        <v>3.6744144278975934</v>
      </c>
      <c r="P431">
        <f t="shared" si="7"/>
        <v>42.5</v>
      </c>
    </row>
    <row r="432" spans="10:16">
      <c r="J432" s="5"/>
      <c r="L432">
        <f>DigInv!M432</f>
        <v>-0.33977400000000002</v>
      </c>
      <c r="M432">
        <f>DigDir!N432</f>
        <v>42.6</v>
      </c>
      <c r="O432">
        <f>ABS(L432-DigInv!$C$34)</f>
        <v>3.6744144278975934</v>
      </c>
      <c r="P432">
        <f t="shared" si="7"/>
        <v>42.6</v>
      </c>
    </row>
    <row r="433" spans="10:16">
      <c r="J433" s="5"/>
      <c r="L433">
        <f>DigInv!M433</f>
        <v>-0.33977400000000002</v>
      </c>
      <c r="M433">
        <f>DigDir!N433</f>
        <v>42.7</v>
      </c>
      <c r="O433">
        <f>ABS(L433-DigInv!$C$34)</f>
        <v>3.6744144278975934</v>
      </c>
      <c r="P433">
        <f t="shared" si="7"/>
        <v>42.7</v>
      </c>
    </row>
    <row r="434" spans="10:16">
      <c r="J434" s="5"/>
      <c r="L434">
        <f>DigInv!M434</f>
        <v>-0.33977400000000002</v>
      </c>
      <c r="M434">
        <f>DigDir!N434</f>
        <v>42.8</v>
      </c>
      <c r="O434">
        <f>ABS(L434-DigInv!$C$34)</f>
        <v>3.6744144278975934</v>
      </c>
      <c r="P434">
        <f t="shared" si="7"/>
        <v>42.8</v>
      </c>
    </row>
    <row r="435" spans="10:16">
      <c r="J435" s="5"/>
      <c r="L435">
        <f>DigInv!M435</f>
        <v>-0.33977400000000002</v>
      </c>
      <c r="M435">
        <f>DigDir!N435</f>
        <v>42.9</v>
      </c>
      <c r="O435">
        <f>ABS(L435-DigInv!$C$34)</f>
        <v>3.6744144278975934</v>
      </c>
      <c r="P435">
        <f t="shared" si="7"/>
        <v>42.9</v>
      </c>
    </row>
    <row r="436" spans="10:16">
      <c r="J436" s="5"/>
      <c r="L436">
        <f>DigInv!M436</f>
        <v>-0.33977400000000002</v>
      </c>
      <c r="M436">
        <f>DigDir!N436</f>
        <v>43</v>
      </c>
      <c r="O436">
        <f>ABS(L436-DigInv!$C$34)</f>
        <v>3.6744144278975934</v>
      </c>
      <c r="P436">
        <f t="shared" si="7"/>
        <v>43</v>
      </c>
    </row>
    <row r="437" spans="10:16">
      <c r="J437" s="5"/>
      <c r="L437">
        <f>DigInv!M437</f>
        <v>-0.33977400000000002</v>
      </c>
      <c r="M437">
        <f>DigDir!N437</f>
        <v>43.1</v>
      </c>
      <c r="O437">
        <f>ABS(L437-DigInv!$C$34)</f>
        <v>3.6744144278975934</v>
      </c>
      <c r="P437">
        <f t="shared" si="7"/>
        <v>43.1</v>
      </c>
    </row>
    <row r="438" spans="10:16">
      <c r="J438" s="5"/>
      <c r="L438">
        <f>DigInv!M438</f>
        <v>-0.33977400000000002</v>
      </c>
      <c r="M438">
        <f>DigDir!N438</f>
        <v>43.2</v>
      </c>
      <c r="O438">
        <f>ABS(L438-DigInv!$C$34)</f>
        <v>3.6744144278975934</v>
      </c>
      <c r="P438">
        <f t="shared" si="7"/>
        <v>43.2</v>
      </c>
    </row>
    <row r="439" spans="10:16">
      <c r="J439" s="5"/>
      <c r="L439">
        <f>DigInv!M439</f>
        <v>-0.33977400000000002</v>
      </c>
      <c r="M439">
        <f>DigDir!N439</f>
        <v>43.3</v>
      </c>
      <c r="O439">
        <f>ABS(L439-DigInv!$C$34)</f>
        <v>3.6744144278975934</v>
      </c>
      <c r="P439">
        <f t="shared" si="7"/>
        <v>43.3</v>
      </c>
    </row>
    <row r="440" spans="10:16">
      <c r="J440" s="5"/>
      <c r="L440">
        <f>DigInv!M440</f>
        <v>-0.33977400000000002</v>
      </c>
      <c r="M440">
        <f>DigDir!N440</f>
        <v>43.4</v>
      </c>
      <c r="O440">
        <f>ABS(L440-DigInv!$C$34)</f>
        <v>3.6744144278975934</v>
      </c>
      <c r="P440">
        <f t="shared" si="7"/>
        <v>43.4</v>
      </c>
    </row>
    <row r="441" spans="10:16">
      <c r="J441" s="5"/>
      <c r="L441">
        <f>DigInv!M441</f>
        <v>-0.33977400000000002</v>
      </c>
      <c r="M441">
        <f>DigDir!N441</f>
        <v>43.5</v>
      </c>
      <c r="O441">
        <f>ABS(L441-DigInv!$C$34)</f>
        <v>3.6744144278975934</v>
      </c>
      <c r="P441">
        <f t="shared" si="7"/>
        <v>43.5</v>
      </c>
    </row>
    <row r="442" spans="10:16">
      <c r="J442" s="5"/>
      <c r="L442">
        <f>DigInv!M442</f>
        <v>-0.33977400000000002</v>
      </c>
      <c r="M442">
        <f>DigDir!N442</f>
        <v>43.6</v>
      </c>
      <c r="O442">
        <f>ABS(L442-DigInv!$C$34)</f>
        <v>3.6744144278975934</v>
      </c>
      <c r="P442">
        <f t="shared" si="7"/>
        <v>43.6</v>
      </c>
    </row>
    <row r="443" spans="10:16">
      <c r="J443" s="5"/>
      <c r="L443">
        <f>DigInv!M443</f>
        <v>-0.33977400000000002</v>
      </c>
      <c r="M443">
        <f>DigDir!N443</f>
        <v>43.7</v>
      </c>
      <c r="O443">
        <f>ABS(L443-DigInv!$C$34)</f>
        <v>3.6744144278975934</v>
      </c>
      <c r="P443">
        <f t="shared" si="7"/>
        <v>43.7</v>
      </c>
    </row>
    <row r="444" spans="10:16">
      <c r="J444" s="5"/>
      <c r="L444">
        <f>DigInv!M444</f>
        <v>-0.33977400000000002</v>
      </c>
      <c r="M444">
        <f>DigDir!N444</f>
        <v>43.8</v>
      </c>
      <c r="O444">
        <f>ABS(L444-DigInv!$C$34)</f>
        <v>3.6744144278975934</v>
      </c>
      <c r="P444">
        <f t="shared" si="7"/>
        <v>43.8</v>
      </c>
    </row>
    <row r="445" spans="10:16">
      <c r="J445" s="5"/>
      <c r="L445">
        <f>DigInv!M445</f>
        <v>-0.33977400000000002</v>
      </c>
      <c r="M445">
        <f>DigDir!N445</f>
        <v>43.9</v>
      </c>
      <c r="O445">
        <f>ABS(L445-DigInv!$C$34)</f>
        <v>3.6744144278975934</v>
      </c>
      <c r="P445">
        <f t="shared" si="7"/>
        <v>43.9</v>
      </c>
    </row>
    <row r="446" spans="10:16">
      <c r="J446" s="5"/>
      <c r="L446">
        <f>DigInv!M446</f>
        <v>-0.33977400000000002</v>
      </c>
      <c r="M446">
        <f>DigDir!N446</f>
        <v>44</v>
      </c>
      <c r="O446">
        <f>ABS(L446-DigInv!$C$34)</f>
        <v>3.6744144278975934</v>
      </c>
      <c r="P446">
        <f t="shared" si="7"/>
        <v>44</v>
      </c>
    </row>
    <row r="447" spans="10:16">
      <c r="J447" s="5"/>
      <c r="L447">
        <f>DigInv!M447</f>
        <v>-0.33977400000000002</v>
      </c>
      <c r="M447">
        <f>DigDir!N447</f>
        <v>44.1</v>
      </c>
      <c r="O447">
        <f>ABS(L447-DigInv!$C$34)</f>
        <v>3.6744144278975934</v>
      </c>
      <c r="P447">
        <f t="shared" si="7"/>
        <v>44.1</v>
      </c>
    </row>
    <row r="448" spans="10:16">
      <c r="J448" s="5"/>
      <c r="L448">
        <f>DigInv!M448</f>
        <v>-0.33977400000000002</v>
      </c>
      <c r="M448">
        <f>DigDir!N448</f>
        <v>44.2</v>
      </c>
      <c r="O448">
        <f>ABS(L448-DigInv!$C$34)</f>
        <v>3.6744144278975934</v>
      </c>
      <c r="P448">
        <f t="shared" si="7"/>
        <v>44.2</v>
      </c>
    </row>
    <row r="449" spans="10:16">
      <c r="J449" s="5"/>
      <c r="L449">
        <f>DigInv!M449</f>
        <v>-0.33977400000000002</v>
      </c>
      <c r="M449">
        <f>DigDir!N449</f>
        <v>44.3</v>
      </c>
      <c r="O449">
        <f>ABS(L449-DigInv!$C$34)</f>
        <v>3.6744144278975934</v>
      </c>
      <c r="P449">
        <f t="shared" si="7"/>
        <v>44.3</v>
      </c>
    </row>
    <row r="450" spans="10:16">
      <c r="J450" s="5"/>
      <c r="L450">
        <f>DigInv!M450</f>
        <v>-0.33977400000000002</v>
      </c>
      <c r="M450">
        <f>DigDir!N450</f>
        <v>44.4</v>
      </c>
      <c r="O450">
        <f>ABS(L450-DigInv!$C$34)</f>
        <v>3.6744144278975934</v>
      </c>
      <c r="P450">
        <f t="shared" si="7"/>
        <v>44.4</v>
      </c>
    </row>
    <row r="451" spans="10:16">
      <c r="J451" s="5"/>
      <c r="L451">
        <f>DigInv!M451</f>
        <v>-0.33977400000000002</v>
      </c>
      <c r="M451">
        <f>DigDir!N451</f>
        <v>44.5</v>
      </c>
      <c r="O451">
        <f>ABS(L451-DigInv!$C$34)</f>
        <v>3.6744144278975934</v>
      </c>
      <c r="P451">
        <f t="shared" si="7"/>
        <v>44.5</v>
      </c>
    </row>
    <row r="452" spans="10:16">
      <c r="J452" s="5"/>
      <c r="L452">
        <f>DigInv!M452</f>
        <v>-0.33977400000000002</v>
      </c>
      <c r="M452">
        <f>DigDir!N452</f>
        <v>44.6</v>
      </c>
      <c r="O452">
        <f>ABS(L452-DigInv!$C$34)</f>
        <v>3.6744144278975934</v>
      </c>
      <c r="P452">
        <f t="shared" si="7"/>
        <v>44.6</v>
      </c>
    </row>
    <row r="453" spans="10:16">
      <c r="J453" s="5"/>
      <c r="L453">
        <f>DigInv!M453</f>
        <v>-0.33977400000000002</v>
      </c>
      <c r="M453">
        <f>DigDir!N453</f>
        <v>44.7</v>
      </c>
      <c r="O453">
        <f>ABS(L453-DigInv!$C$34)</f>
        <v>3.6744144278975934</v>
      </c>
      <c r="P453">
        <f t="shared" si="7"/>
        <v>44.7</v>
      </c>
    </row>
    <row r="454" spans="10:16">
      <c r="J454" s="5"/>
      <c r="L454">
        <f>DigInv!M454</f>
        <v>-0.33977400000000002</v>
      </c>
      <c r="M454">
        <f>DigDir!N454</f>
        <v>44.8</v>
      </c>
      <c r="O454">
        <f>ABS(L454-DigInv!$C$34)</f>
        <v>3.6744144278975934</v>
      </c>
      <c r="P454">
        <f t="shared" si="7"/>
        <v>44.8</v>
      </c>
    </row>
    <row r="455" spans="10:16">
      <c r="J455" s="5"/>
      <c r="L455">
        <f>DigInv!M455</f>
        <v>-0.33977400000000002</v>
      </c>
      <c r="M455">
        <f>DigDir!N455</f>
        <v>44.9</v>
      </c>
      <c r="O455">
        <f>ABS(L455-DigInv!$C$34)</f>
        <v>3.6744144278975934</v>
      </c>
      <c r="P455">
        <f t="shared" ref="P455:P518" si="8">M455</f>
        <v>44.9</v>
      </c>
    </row>
    <row r="456" spans="10:16">
      <c r="J456" s="5"/>
      <c r="L456">
        <f>DigInv!M456</f>
        <v>-0.33977400000000002</v>
      </c>
      <c r="M456">
        <f>DigDir!N456</f>
        <v>45</v>
      </c>
      <c r="O456">
        <f>ABS(L456-DigInv!$C$34)</f>
        <v>3.6744144278975934</v>
      </c>
      <c r="P456">
        <f t="shared" si="8"/>
        <v>45</v>
      </c>
    </row>
    <row r="457" spans="10:16">
      <c r="J457" s="5"/>
      <c r="L457">
        <f>DigInv!M457</f>
        <v>-0.33977400000000002</v>
      </c>
      <c r="M457">
        <f>DigDir!N457</f>
        <v>45.1</v>
      </c>
      <c r="O457">
        <f>ABS(L457-DigInv!$C$34)</f>
        <v>3.6744144278975934</v>
      </c>
      <c r="P457">
        <f t="shared" si="8"/>
        <v>45.1</v>
      </c>
    </row>
    <row r="458" spans="10:16">
      <c r="J458" s="5"/>
      <c r="L458">
        <f>DigInv!M458</f>
        <v>-0.33977400000000002</v>
      </c>
      <c r="M458">
        <f>DigDir!N458</f>
        <v>45.2</v>
      </c>
      <c r="O458">
        <f>ABS(L458-DigInv!$C$34)</f>
        <v>3.6744144278975934</v>
      </c>
      <c r="P458">
        <f t="shared" si="8"/>
        <v>45.2</v>
      </c>
    </row>
    <row r="459" spans="10:16">
      <c r="J459" s="5"/>
      <c r="L459">
        <f>DigInv!M459</f>
        <v>-0.33977400000000002</v>
      </c>
      <c r="M459">
        <f>DigDir!N459</f>
        <v>45.3</v>
      </c>
      <c r="O459">
        <f>ABS(L459-DigInv!$C$34)</f>
        <v>3.6744144278975934</v>
      </c>
      <c r="P459">
        <f t="shared" si="8"/>
        <v>45.3</v>
      </c>
    </row>
    <row r="460" spans="10:16">
      <c r="J460" s="5"/>
      <c r="L460">
        <f>DigInv!M460</f>
        <v>-0.33977400000000002</v>
      </c>
      <c r="M460">
        <f>DigDir!N460</f>
        <v>45.4</v>
      </c>
      <c r="O460">
        <f>ABS(L460-DigInv!$C$34)</f>
        <v>3.6744144278975934</v>
      </c>
      <c r="P460">
        <f t="shared" si="8"/>
        <v>45.4</v>
      </c>
    </row>
    <row r="461" spans="10:16">
      <c r="J461" s="5"/>
      <c r="L461">
        <f>DigInv!M461</f>
        <v>-0.33977400000000002</v>
      </c>
      <c r="M461">
        <f>DigDir!N461</f>
        <v>45.5</v>
      </c>
      <c r="O461">
        <f>ABS(L461-DigInv!$C$34)</f>
        <v>3.6744144278975934</v>
      </c>
      <c r="P461">
        <f t="shared" si="8"/>
        <v>45.5</v>
      </c>
    </row>
    <row r="462" spans="10:16">
      <c r="J462" s="5"/>
      <c r="L462">
        <f>DigInv!M462</f>
        <v>-0.33977400000000002</v>
      </c>
      <c r="M462">
        <f>DigDir!N462</f>
        <v>45.6</v>
      </c>
      <c r="O462">
        <f>ABS(L462-DigInv!$C$34)</f>
        <v>3.6744144278975934</v>
      </c>
      <c r="P462">
        <f t="shared" si="8"/>
        <v>45.6</v>
      </c>
    </row>
    <row r="463" spans="10:16">
      <c r="J463" s="5"/>
      <c r="L463">
        <f>DigInv!M463</f>
        <v>-0.33977400000000002</v>
      </c>
      <c r="M463">
        <f>DigDir!N463</f>
        <v>45.7</v>
      </c>
      <c r="O463">
        <f>ABS(L463-DigInv!$C$34)</f>
        <v>3.6744144278975934</v>
      </c>
      <c r="P463">
        <f t="shared" si="8"/>
        <v>45.7</v>
      </c>
    </row>
    <row r="464" spans="10:16">
      <c r="J464" s="5"/>
      <c r="L464">
        <f>DigInv!M464</f>
        <v>-0.33977400000000002</v>
      </c>
      <c r="M464">
        <f>DigDir!N464</f>
        <v>45.8</v>
      </c>
      <c r="O464">
        <f>ABS(L464-DigInv!$C$34)</f>
        <v>3.6744144278975934</v>
      </c>
      <c r="P464">
        <f t="shared" si="8"/>
        <v>45.8</v>
      </c>
    </row>
    <row r="465" spans="10:16">
      <c r="J465" s="5"/>
      <c r="L465">
        <f>DigInv!M465</f>
        <v>-0.33977400000000002</v>
      </c>
      <c r="M465">
        <f>DigDir!N465</f>
        <v>45.9</v>
      </c>
      <c r="O465">
        <f>ABS(L465-DigInv!$C$34)</f>
        <v>3.6744144278975934</v>
      </c>
      <c r="P465">
        <f t="shared" si="8"/>
        <v>45.9</v>
      </c>
    </row>
    <row r="466" spans="10:16">
      <c r="J466" s="5"/>
      <c r="L466">
        <f>DigInv!M466</f>
        <v>-0.33977400000000002</v>
      </c>
      <c r="M466">
        <f>DigDir!N466</f>
        <v>46</v>
      </c>
      <c r="O466">
        <f>ABS(L466-DigInv!$C$34)</f>
        <v>3.6744144278975934</v>
      </c>
      <c r="P466">
        <f t="shared" si="8"/>
        <v>46</v>
      </c>
    </row>
    <row r="467" spans="10:16">
      <c r="J467" s="5"/>
      <c r="L467">
        <f>DigInv!M467</f>
        <v>-0.33977400000000002</v>
      </c>
      <c r="M467">
        <f>DigDir!N467</f>
        <v>46.1</v>
      </c>
      <c r="O467">
        <f>ABS(L467-DigInv!$C$34)</f>
        <v>3.6744144278975934</v>
      </c>
      <c r="P467">
        <f t="shared" si="8"/>
        <v>46.1</v>
      </c>
    </row>
    <row r="468" spans="10:16">
      <c r="J468" s="5"/>
      <c r="L468">
        <f>DigInv!M468</f>
        <v>-0.33977400000000002</v>
      </c>
      <c r="M468">
        <f>DigDir!N468</f>
        <v>46.2</v>
      </c>
      <c r="O468">
        <f>ABS(L468-DigInv!$C$34)</f>
        <v>3.6744144278975934</v>
      </c>
      <c r="P468">
        <f t="shared" si="8"/>
        <v>46.2</v>
      </c>
    </row>
    <row r="469" spans="10:16">
      <c r="J469" s="5"/>
      <c r="L469">
        <f>DigInv!M469</f>
        <v>-0.33977400000000002</v>
      </c>
      <c r="M469">
        <f>DigDir!N469</f>
        <v>46.3</v>
      </c>
      <c r="O469">
        <f>ABS(L469-DigInv!$C$34)</f>
        <v>3.6744144278975934</v>
      </c>
      <c r="P469">
        <f t="shared" si="8"/>
        <v>46.3</v>
      </c>
    </row>
    <row r="470" spans="10:16">
      <c r="J470" s="5"/>
      <c r="L470">
        <f>DigInv!M470</f>
        <v>-0.33977400000000002</v>
      </c>
      <c r="M470">
        <f>DigDir!N470</f>
        <v>46.4</v>
      </c>
      <c r="O470">
        <f>ABS(L470-DigInv!$C$34)</f>
        <v>3.6744144278975934</v>
      </c>
      <c r="P470">
        <f t="shared" si="8"/>
        <v>46.4</v>
      </c>
    </row>
    <row r="471" spans="10:16">
      <c r="J471" s="5"/>
      <c r="L471">
        <f>DigInv!M471</f>
        <v>-0.33977400000000002</v>
      </c>
      <c r="M471">
        <f>DigDir!N471</f>
        <v>46.5</v>
      </c>
      <c r="O471">
        <f>ABS(L471-DigInv!$C$34)</f>
        <v>3.6744144278975934</v>
      </c>
      <c r="P471">
        <f t="shared" si="8"/>
        <v>46.5</v>
      </c>
    </row>
    <row r="472" spans="10:16">
      <c r="J472" s="5"/>
      <c r="L472">
        <f>DigInv!M472</f>
        <v>-0.33977400000000002</v>
      </c>
      <c r="M472">
        <f>DigDir!N472</f>
        <v>46.6</v>
      </c>
      <c r="O472">
        <f>ABS(L472-DigInv!$C$34)</f>
        <v>3.6744144278975934</v>
      </c>
      <c r="P472">
        <f t="shared" si="8"/>
        <v>46.6</v>
      </c>
    </row>
    <row r="473" spans="10:16">
      <c r="J473" s="5"/>
      <c r="L473">
        <f>DigInv!M473</f>
        <v>-0.33977400000000002</v>
      </c>
      <c r="M473">
        <f>DigDir!N473</f>
        <v>46.7</v>
      </c>
      <c r="O473">
        <f>ABS(L473-DigInv!$C$34)</f>
        <v>3.6744144278975934</v>
      </c>
      <c r="P473">
        <f t="shared" si="8"/>
        <v>46.7</v>
      </c>
    </row>
    <row r="474" spans="10:16">
      <c r="J474" s="5"/>
      <c r="L474">
        <f>DigInv!M474</f>
        <v>-0.33977400000000002</v>
      </c>
      <c r="M474">
        <f>DigDir!N474</f>
        <v>46.8</v>
      </c>
      <c r="O474">
        <f>ABS(L474-DigInv!$C$34)</f>
        <v>3.6744144278975934</v>
      </c>
      <c r="P474">
        <f t="shared" si="8"/>
        <v>46.8</v>
      </c>
    </row>
    <row r="475" spans="10:16">
      <c r="J475" s="5"/>
      <c r="L475">
        <f>DigInv!M475</f>
        <v>-0.33977400000000002</v>
      </c>
      <c r="M475">
        <f>DigDir!N475</f>
        <v>46.9</v>
      </c>
      <c r="O475">
        <f>ABS(L475-DigInv!$C$34)</f>
        <v>3.6744144278975934</v>
      </c>
      <c r="P475">
        <f t="shared" si="8"/>
        <v>46.9</v>
      </c>
    </row>
    <row r="476" spans="10:16">
      <c r="J476" s="5"/>
      <c r="L476">
        <f>DigInv!M476</f>
        <v>-0.33977400000000002</v>
      </c>
      <c r="M476">
        <f>DigDir!N476</f>
        <v>47</v>
      </c>
      <c r="O476">
        <f>ABS(L476-DigInv!$C$34)</f>
        <v>3.6744144278975934</v>
      </c>
      <c r="P476">
        <f t="shared" si="8"/>
        <v>47</v>
      </c>
    </row>
    <row r="477" spans="10:16">
      <c r="J477" s="5"/>
      <c r="L477">
        <f>DigInv!M477</f>
        <v>-0.33977400000000002</v>
      </c>
      <c r="M477">
        <f>DigDir!N477</f>
        <v>47.1</v>
      </c>
      <c r="O477">
        <f>ABS(L477-DigInv!$C$34)</f>
        <v>3.6744144278975934</v>
      </c>
      <c r="P477">
        <f t="shared" si="8"/>
        <v>47.1</v>
      </c>
    </row>
    <row r="478" spans="10:16">
      <c r="J478" s="5"/>
      <c r="L478">
        <f>DigInv!M478</f>
        <v>-0.33977400000000002</v>
      </c>
      <c r="M478">
        <f>DigDir!N478</f>
        <v>47.2</v>
      </c>
      <c r="O478">
        <f>ABS(L478-DigInv!$C$34)</f>
        <v>3.6744144278975934</v>
      </c>
      <c r="P478">
        <f t="shared" si="8"/>
        <v>47.2</v>
      </c>
    </row>
    <row r="479" spans="10:16">
      <c r="J479" s="5"/>
      <c r="L479">
        <f>DigInv!M479</f>
        <v>-0.33977400000000002</v>
      </c>
      <c r="M479">
        <f>DigDir!N479</f>
        <v>47.3</v>
      </c>
      <c r="O479">
        <f>ABS(L479-DigInv!$C$34)</f>
        <v>3.6744144278975934</v>
      </c>
      <c r="P479">
        <f t="shared" si="8"/>
        <v>47.3</v>
      </c>
    </row>
    <row r="480" spans="10:16">
      <c r="J480" s="5"/>
      <c r="L480">
        <f>DigInv!M480</f>
        <v>-0.33977400000000002</v>
      </c>
      <c r="M480">
        <f>DigDir!N480</f>
        <v>47.4</v>
      </c>
      <c r="O480">
        <f>ABS(L480-DigInv!$C$34)</f>
        <v>3.6744144278975934</v>
      </c>
      <c r="P480">
        <f t="shared" si="8"/>
        <v>47.4</v>
      </c>
    </row>
    <row r="481" spans="10:16">
      <c r="J481" s="5"/>
      <c r="L481">
        <f>DigInv!M481</f>
        <v>-0.33977400000000002</v>
      </c>
      <c r="M481">
        <f>DigDir!N481</f>
        <v>47.5</v>
      </c>
      <c r="O481">
        <f>ABS(L481-DigInv!$C$34)</f>
        <v>3.6744144278975934</v>
      </c>
      <c r="P481">
        <f t="shared" si="8"/>
        <v>47.5</v>
      </c>
    </row>
    <row r="482" spans="10:16">
      <c r="J482" s="5"/>
      <c r="L482">
        <f>DigInv!M482</f>
        <v>-0.33977400000000002</v>
      </c>
      <c r="M482">
        <f>DigDir!N482</f>
        <v>47.6</v>
      </c>
      <c r="O482">
        <f>ABS(L482-DigInv!$C$34)</f>
        <v>3.6744144278975934</v>
      </c>
      <c r="P482">
        <f t="shared" si="8"/>
        <v>47.6</v>
      </c>
    </row>
    <row r="483" spans="10:16">
      <c r="J483" s="5"/>
      <c r="L483">
        <f>DigInv!M483</f>
        <v>-0.33977400000000002</v>
      </c>
      <c r="M483">
        <f>DigDir!N483</f>
        <v>47.7</v>
      </c>
      <c r="O483">
        <f>ABS(L483-DigInv!$C$34)</f>
        <v>3.6744144278975934</v>
      </c>
      <c r="P483">
        <f t="shared" si="8"/>
        <v>47.7</v>
      </c>
    </row>
    <row r="484" spans="10:16">
      <c r="J484" s="5"/>
      <c r="L484">
        <f>DigInv!M484</f>
        <v>-0.33977400000000002</v>
      </c>
      <c r="M484">
        <f>DigDir!N484</f>
        <v>47.8</v>
      </c>
      <c r="O484">
        <f>ABS(L484-DigInv!$C$34)</f>
        <v>3.6744144278975934</v>
      </c>
      <c r="P484">
        <f t="shared" si="8"/>
        <v>47.8</v>
      </c>
    </row>
    <row r="485" spans="10:16">
      <c r="J485" s="5"/>
      <c r="L485">
        <f>DigInv!M485</f>
        <v>-0.33977400000000002</v>
      </c>
      <c r="M485">
        <f>DigDir!N485</f>
        <v>47.9</v>
      </c>
      <c r="O485">
        <f>ABS(L485-DigInv!$C$34)</f>
        <v>3.6744144278975934</v>
      </c>
      <c r="P485">
        <f t="shared" si="8"/>
        <v>47.9</v>
      </c>
    </row>
    <row r="486" spans="10:16">
      <c r="J486" s="5"/>
      <c r="L486">
        <f>DigInv!M486</f>
        <v>-0.33977400000000002</v>
      </c>
      <c r="M486">
        <f>DigDir!N486</f>
        <v>48</v>
      </c>
      <c r="O486">
        <f>ABS(L486-DigInv!$C$34)</f>
        <v>3.6744144278975934</v>
      </c>
      <c r="P486">
        <f t="shared" si="8"/>
        <v>48</v>
      </c>
    </row>
    <row r="487" spans="10:16">
      <c r="J487" s="5"/>
      <c r="L487">
        <f>DigInv!M487</f>
        <v>-0.33977400000000002</v>
      </c>
      <c r="M487">
        <f>DigDir!N487</f>
        <v>48.1</v>
      </c>
      <c r="O487">
        <f>ABS(L487-DigInv!$C$34)</f>
        <v>3.6744144278975934</v>
      </c>
      <c r="P487">
        <f t="shared" si="8"/>
        <v>48.1</v>
      </c>
    </row>
    <row r="488" spans="10:16">
      <c r="J488" s="5"/>
      <c r="L488">
        <f>DigInv!M488</f>
        <v>-0.33977400000000002</v>
      </c>
      <c r="M488">
        <f>DigDir!N488</f>
        <v>48.2</v>
      </c>
      <c r="O488">
        <f>ABS(L488-DigInv!$C$34)</f>
        <v>3.6744144278975934</v>
      </c>
      <c r="P488">
        <f t="shared" si="8"/>
        <v>48.2</v>
      </c>
    </row>
    <row r="489" spans="10:16">
      <c r="J489" s="5"/>
      <c r="L489">
        <f>DigInv!M489</f>
        <v>-0.33977400000000002</v>
      </c>
      <c r="M489">
        <f>DigDir!N489</f>
        <v>48.3</v>
      </c>
      <c r="O489">
        <f>ABS(L489-DigInv!$C$34)</f>
        <v>3.6744144278975934</v>
      </c>
      <c r="P489">
        <f t="shared" si="8"/>
        <v>48.3</v>
      </c>
    </row>
    <row r="490" spans="10:16">
      <c r="J490" s="5"/>
      <c r="L490">
        <f>DigInv!M490</f>
        <v>-0.33977400000000002</v>
      </c>
      <c r="M490">
        <f>DigDir!N490</f>
        <v>48.4</v>
      </c>
      <c r="O490">
        <f>ABS(L490-DigInv!$C$34)</f>
        <v>3.6744144278975934</v>
      </c>
      <c r="P490">
        <f t="shared" si="8"/>
        <v>48.4</v>
      </c>
    </row>
    <row r="491" spans="10:16">
      <c r="J491" s="5"/>
      <c r="L491">
        <f>DigInv!M491</f>
        <v>-0.33977400000000002</v>
      </c>
      <c r="M491">
        <f>DigDir!N491</f>
        <v>48.5</v>
      </c>
      <c r="O491">
        <f>ABS(L491-DigInv!$C$34)</f>
        <v>3.6744144278975934</v>
      </c>
      <c r="P491">
        <f t="shared" si="8"/>
        <v>48.5</v>
      </c>
    </row>
    <row r="492" spans="10:16">
      <c r="J492" s="5"/>
      <c r="L492">
        <f>DigInv!M492</f>
        <v>-0.33977400000000002</v>
      </c>
      <c r="M492">
        <f>DigDir!N492</f>
        <v>48.6</v>
      </c>
      <c r="O492">
        <f>ABS(L492-DigInv!$C$34)</f>
        <v>3.6744144278975934</v>
      </c>
      <c r="P492">
        <f t="shared" si="8"/>
        <v>48.6</v>
      </c>
    </row>
    <row r="493" spans="10:16">
      <c r="J493" s="5"/>
      <c r="L493">
        <f>DigInv!M493</f>
        <v>-0.33977400000000002</v>
      </c>
      <c r="M493">
        <f>DigDir!N493</f>
        <v>48.7</v>
      </c>
      <c r="O493">
        <f>ABS(L493-DigInv!$C$34)</f>
        <v>3.6744144278975934</v>
      </c>
      <c r="P493">
        <f t="shared" si="8"/>
        <v>48.7</v>
      </c>
    </row>
    <row r="494" spans="10:16">
      <c r="J494" s="5"/>
      <c r="L494">
        <f>DigInv!M494</f>
        <v>-0.33977400000000002</v>
      </c>
      <c r="M494">
        <f>DigDir!N494</f>
        <v>48.8</v>
      </c>
      <c r="O494">
        <f>ABS(L494-DigInv!$C$34)</f>
        <v>3.6744144278975934</v>
      </c>
      <c r="P494">
        <f t="shared" si="8"/>
        <v>48.8</v>
      </c>
    </row>
    <row r="495" spans="10:16">
      <c r="J495" s="5"/>
      <c r="L495">
        <f>DigInv!M495</f>
        <v>-0.33977400000000002</v>
      </c>
      <c r="M495">
        <f>DigDir!N495</f>
        <v>48.9</v>
      </c>
      <c r="O495">
        <f>ABS(L495-DigInv!$C$34)</f>
        <v>3.6744144278975934</v>
      </c>
      <c r="P495">
        <f t="shared" si="8"/>
        <v>48.9</v>
      </c>
    </row>
    <row r="496" spans="10:16">
      <c r="J496" s="5"/>
      <c r="L496">
        <f>DigInv!M496</f>
        <v>-0.33977400000000002</v>
      </c>
      <c r="M496">
        <f>DigDir!N496</f>
        <v>49</v>
      </c>
      <c r="O496">
        <f>ABS(L496-DigInv!$C$34)</f>
        <v>3.6744144278975934</v>
      </c>
      <c r="P496">
        <f t="shared" si="8"/>
        <v>49</v>
      </c>
    </row>
    <row r="497" spans="10:16">
      <c r="J497" s="5"/>
      <c r="L497">
        <f>DigInv!M497</f>
        <v>-0.33977400000000002</v>
      </c>
      <c r="M497">
        <f>DigDir!N497</f>
        <v>49.1</v>
      </c>
      <c r="O497">
        <f>ABS(L497-DigInv!$C$34)</f>
        <v>3.6744144278975934</v>
      </c>
      <c r="P497">
        <f t="shared" si="8"/>
        <v>49.1</v>
      </c>
    </row>
    <row r="498" spans="10:16">
      <c r="J498" s="5"/>
      <c r="L498">
        <f>DigInv!M498</f>
        <v>-0.33977400000000002</v>
      </c>
      <c r="M498">
        <f>DigDir!N498</f>
        <v>49.2</v>
      </c>
      <c r="O498">
        <f>ABS(L498-DigInv!$C$34)</f>
        <v>3.6744144278975934</v>
      </c>
      <c r="P498">
        <f t="shared" si="8"/>
        <v>49.2</v>
      </c>
    </row>
    <row r="499" spans="10:16">
      <c r="J499" s="5"/>
      <c r="L499">
        <f>DigInv!M499</f>
        <v>-0.33977400000000002</v>
      </c>
      <c r="M499">
        <f>DigDir!N499</f>
        <v>49.3</v>
      </c>
      <c r="O499">
        <f>ABS(L499-DigInv!$C$34)</f>
        <v>3.6744144278975934</v>
      </c>
      <c r="P499">
        <f t="shared" si="8"/>
        <v>49.3</v>
      </c>
    </row>
    <row r="500" spans="10:16">
      <c r="J500" s="5"/>
      <c r="L500">
        <f>DigInv!M500</f>
        <v>-0.33977400000000002</v>
      </c>
      <c r="M500">
        <f>DigDir!N500</f>
        <v>49.4</v>
      </c>
      <c r="O500">
        <f>ABS(L500-DigInv!$C$34)</f>
        <v>3.6744144278975934</v>
      </c>
      <c r="P500">
        <f t="shared" si="8"/>
        <v>49.4</v>
      </c>
    </row>
    <row r="501" spans="10:16">
      <c r="J501" s="5"/>
      <c r="L501">
        <f>DigInv!M501</f>
        <v>-0.33977400000000002</v>
      </c>
      <c r="M501">
        <f>DigDir!N501</f>
        <v>49.5</v>
      </c>
      <c r="O501">
        <f>ABS(L501-DigInv!$C$34)</f>
        <v>3.6744144278975934</v>
      </c>
      <c r="P501">
        <f t="shared" si="8"/>
        <v>49.5</v>
      </c>
    </row>
    <row r="502" spans="10:16">
      <c r="J502" s="5"/>
      <c r="L502">
        <f>DigInv!M502</f>
        <v>-0.33977400000000002</v>
      </c>
      <c r="M502">
        <f>DigDir!N502</f>
        <v>49.6</v>
      </c>
      <c r="O502">
        <f>ABS(L502-DigInv!$C$34)</f>
        <v>3.6744144278975934</v>
      </c>
      <c r="P502">
        <f t="shared" si="8"/>
        <v>49.6</v>
      </c>
    </row>
    <row r="503" spans="10:16">
      <c r="J503" s="5"/>
      <c r="L503">
        <f>DigInv!M503</f>
        <v>-0.33977400000000002</v>
      </c>
      <c r="M503">
        <f>DigDir!N503</f>
        <v>49.7</v>
      </c>
      <c r="O503">
        <f>ABS(L503-DigInv!$C$34)</f>
        <v>3.6744144278975934</v>
      </c>
      <c r="P503">
        <f t="shared" si="8"/>
        <v>49.7</v>
      </c>
    </row>
    <row r="504" spans="10:16">
      <c r="J504" s="5"/>
      <c r="L504">
        <f>DigInv!M504</f>
        <v>-0.33977400000000002</v>
      </c>
      <c r="M504">
        <f>DigDir!N504</f>
        <v>49.8</v>
      </c>
      <c r="O504">
        <f>ABS(L504-DigInv!$C$34)</f>
        <v>3.6744144278975934</v>
      </c>
      <c r="P504">
        <f t="shared" si="8"/>
        <v>49.8</v>
      </c>
    </row>
    <row r="505" spans="10:16">
      <c r="J505" s="5"/>
      <c r="L505">
        <f>DigInv!M505</f>
        <v>-0.33977400000000002</v>
      </c>
      <c r="M505">
        <f>DigDir!N505</f>
        <v>49.9</v>
      </c>
      <c r="O505">
        <f>ABS(L505-DigInv!$C$34)</f>
        <v>3.6744144278975934</v>
      </c>
      <c r="P505">
        <f t="shared" si="8"/>
        <v>49.9</v>
      </c>
    </row>
    <row r="506" spans="10:16">
      <c r="J506" s="5"/>
      <c r="L506">
        <f>DigInv!M506</f>
        <v>-0.33977400000000002</v>
      </c>
      <c r="M506">
        <f>DigDir!N506</f>
        <v>50</v>
      </c>
      <c r="O506">
        <f>ABS(L506-DigInv!$C$34)</f>
        <v>3.6744144278975934</v>
      </c>
      <c r="P506">
        <f t="shared" si="8"/>
        <v>50</v>
      </c>
    </row>
    <row r="507" spans="10:16">
      <c r="J507" s="5"/>
      <c r="L507">
        <f>DigInv!M507</f>
        <v>-0.33977400000000002</v>
      </c>
      <c r="M507">
        <f>DigDir!N507</f>
        <v>50.1</v>
      </c>
      <c r="O507">
        <f>ABS(L507-DigInv!$C$34)</f>
        <v>3.6744144278975934</v>
      </c>
      <c r="P507">
        <f t="shared" si="8"/>
        <v>50.1</v>
      </c>
    </row>
    <row r="508" spans="10:16">
      <c r="J508" s="5"/>
      <c r="L508">
        <f>DigInv!M508</f>
        <v>-0.33977400000000002</v>
      </c>
      <c r="M508">
        <f>DigDir!N508</f>
        <v>50.2</v>
      </c>
      <c r="O508">
        <f>ABS(L508-DigInv!$C$34)</f>
        <v>3.6744144278975934</v>
      </c>
      <c r="P508">
        <f t="shared" si="8"/>
        <v>50.2</v>
      </c>
    </row>
    <row r="509" spans="10:16">
      <c r="J509" s="5"/>
      <c r="L509">
        <f>DigInv!M509</f>
        <v>-0.32954100800000102</v>
      </c>
      <c r="M509">
        <f>DigDir!N509</f>
        <v>50.3</v>
      </c>
      <c r="O509">
        <f>ABS(L509-DigInv!$C$34)</f>
        <v>3.6846474198975927</v>
      </c>
      <c r="P509">
        <f t="shared" si="8"/>
        <v>50.3</v>
      </c>
    </row>
    <row r="510" spans="10:16">
      <c r="J510" s="5"/>
      <c r="L510">
        <f>DigInv!M510</f>
        <v>-0.30674934399999898</v>
      </c>
      <c r="M510">
        <f>DigDir!N510</f>
        <v>50.4</v>
      </c>
      <c r="O510">
        <f>ABS(L510-DigInv!$C$34)</f>
        <v>3.7074390838975946</v>
      </c>
      <c r="P510">
        <f t="shared" si="8"/>
        <v>50.4</v>
      </c>
    </row>
    <row r="511" spans="10:16">
      <c r="J511" s="5"/>
      <c r="L511">
        <f>DigInv!M511</f>
        <v>-0.28395767999999999</v>
      </c>
      <c r="M511">
        <f>DigDir!N511</f>
        <v>50.5</v>
      </c>
      <c r="O511">
        <f>ABS(L511-DigInv!$C$34)</f>
        <v>3.7302307478975938</v>
      </c>
      <c r="P511">
        <f t="shared" si="8"/>
        <v>50.5</v>
      </c>
    </row>
    <row r="512" spans="10:16">
      <c r="J512" s="5"/>
      <c r="L512">
        <f>DigInv!M512</f>
        <v>-0.28163199999999999</v>
      </c>
      <c r="M512">
        <f>DigDir!N512</f>
        <v>50.6</v>
      </c>
      <c r="O512">
        <f>ABS(L512-DigInv!$C$34)</f>
        <v>3.7325564278975936</v>
      </c>
      <c r="P512">
        <f t="shared" si="8"/>
        <v>50.6</v>
      </c>
    </row>
    <row r="513" spans="10:16">
      <c r="J513" s="5"/>
      <c r="L513">
        <f>DigInv!M513</f>
        <v>-0.28163199999999999</v>
      </c>
      <c r="M513">
        <f>DigDir!N513</f>
        <v>50.7</v>
      </c>
      <c r="O513">
        <f>ABS(L513-DigInv!$C$34)</f>
        <v>3.7325564278975936</v>
      </c>
      <c r="P513">
        <f t="shared" si="8"/>
        <v>50.7</v>
      </c>
    </row>
    <row r="514" spans="10:16">
      <c r="J514" s="5"/>
      <c r="L514">
        <f>DigInv!M514</f>
        <v>-0.28163199999999999</v>
      </c>
      <c r="M514">
        <f>DigDir!N514</f>
        <v>50.8</v>
      </c>
      <c r="O514">
        <f>ABS(L514-DigInv!$C$34)</f>
        <v>3.7325564278975936</v>
      </c>
      <c r="P514">
        <f t="shared" si="8"/>
        <v>50.8</v>
      </c>
    </row>
    <row r="515" spans="10:16">
      <c r="J515" s="5"/>
      <c r="L515">
        <f>DigInv!M515</f>
        <v>-0.28163199999999999</v>
      </c>
      <c r="M515">
        <f>DigDir!N515</f>
        <v>50.9</v>
      </c>
      <c r="O515">
        <f>ABS(L515-DigInv!$C$34)</f>
        <v>3.7325564278975936</v>
      </c>
      <c r="P515">
        <f t="shared" si="8"/>
        <v>50.9</v>
      </c>
    </row>
    <row r="516" spans="10:16">
      <c r="J516" s="5"/>
      <c r="L516">
        <f>DigInv!M516</f>
        <v>-0.28163199999999999</v>
      </c>
      <c r="M516">
        <f>DigDir!N516</f>
        <v>51</v>
      </c>
      <c r="O516">
        <f>ABS(L516-DigInv!$C$34)</f>
        <v>3.7325564278975936</v>
      </c>
      <c r="P516">
        <f t="shared" si="8"/>
        <v>51</v>
      </c>
    </row>
    <row r="517" spans="10:16">
      <c r="J517" s="5"/>
      <c r="L517">
        <f>DigInv!M517</f>
        <v>-0.26235164799999899</v>
      </c>
      <c r="M517">
        <f>DigDir!N517</f>
        <v>51.1</v>
      </c>
      <c r="O517">
        <f>ABS(L517-DigInv!$C$34)</f>
        <v>3.7518367798975945</v>
      </c>
      <c r="P517">
        <f t="shared" si="8"/>
        <v>51.1</v>
      </c>
    </row>
    <row r="518" spans="10:16">
      <c r="J518" s="5"/>
      <c r="L518">
        <f>DigInv!M518</f>
        <v>-0.23812761599999999</v>
      </c>
      <c r="M518">
        <f>DigDir!N518</f>
        <v>51.2</v>
      </c>
      <c r="O518">
        <f>ABS(L518-DigInv!$C$34)</f>
        <v>3.7760608118975938</v>
      </c>
      <c r="P518">
        <f t="shared" si="8"/>
        <v>51.2</v>
      </c>
    </row>
    <row r="519" spans="10:16">
      <c r="J519" s="5"/>
      <c r="L519">
        <f>DigInv!M519</f>
        <v>-0.219836</v>
      </c>
      <c r="M519">
        <f>DigDir!N519</f>
        <v>51.3</v>
      </c>
      <c r="O519">
        <f>ABS(L519-DigInv!$C$34)</f>
        <v>3.7943524278975937</v>
      </c>
      <c r="P519">
        <f t="shared" ref="P519:P582" si="9">M519</f>
        <v>51.3</v>
      </c>
    </row>
    <row r="520" spans="10:16">
      <c r="J520" s="5"/>
      <c r="L520">
        <f>DigInv!M520</f>
        <v>-0.219836</v>
      </c>
      <c r="M520">
        <f>DigDir!N520</f>
        <v>51.4</v>
      </c>
      <c r="O520">
        <f>ABS(L520-DigInv!$C$34)</f>
        <v>3.7943524278975937</v>
      </c>
      <c r="P520">
        <f t="shared" si="9"/>
        <v>51.4</v>
      </c>
    </row>
    <row r="521" spans="10:16">
      <c r="J521" s="5"/>
      <c r="L521">
        <f>DigInv!M521</f>
        <v>-0.219836</v>
      </c>
      <c r="M521">
        <f>DigDir!N521</f>
        <v>51.5</v>
      </c>
      <c r="O521">
        <f>ABS(L521-DigInv!$C$34)</f>
        <v>3.7943524278975937</v>
      </c>
      <c r="P521">
        <f t="shared" si="9"/>
        <v>51.5</v>
      </c>
    </row>
    <row r="522" spans="10:16">
      <c r="J522" s="5"/>
      <c r="L522">
        <f>DigInv!M522</f>
        <v>-0.219836</v>
      </c>
      <c r="M522">
        <f>DigDir!N522</f>
        <v>51.6</v>
      </c>
      <c r="O522">
        <f>ABS(L522-DigInv!$C$34)</f>
        <v>3.7943524278975937</v>
      </c>
      <c r="P522">
        <f t="shared" si="9"/>
        <v>51.6</v>
      </c>
    </row>
    <row r="523" spans="10:16">
      <c r="J523" s="5"/>
      <c r="L523">
        <f>DigInv!M523</f>
        <v>-0.219836</v>
      </c>
      <c r="M523">
        <f>DigDir!N523</f>
        <v>51.7</v>
      </c>
      <c r="O523">
        <f>ABS(L523-DigInv!$C$34)</f>
        <v>3.7943524278975937</v>
      </c>
      <c r="P523">
        <f t="shared" si="9"/>
        <v>51.7</v>
      </c>
    </row>
    <row r="524" spans="10:16">
      <c r="J524" s="5"/>
      <c r="L524">
        <f>DigInv!M524</f>
        <v>-0.219836</v>
      </c>
      <c r="M524">
        <f>DigDir!N524</f>
        <v>51.8</v>
      </c>
      <c r="O524">
        <f>ABS(L524-DigInv!$C$34)</f>
        <v>3.7943524278975937</v>
      </c>
      <c r="P524">
        <f t="shared" si="9"/>
        <v>51.8</v>
      </c>
    </row>
    <row r="525" spans="10:16">
      <c r="J525" s="5"/>
      <c r="L525">
        <f>DigInv!M525</f>
        <v>-0.219836</v>
      </c>
      <c r="M525">
        <f>DigDir!N525</f>
        <v>51.9</v>
      </c>
      <c r="O525">
        <f>ABS(L525-DigInv!$C$34)</f>
        <v>3.7943524278975937</v>
      </c>
      <c r="P525">
        <f t="shared" si="9"/>
        <v>51.9</v>
      </c>
    </row>
    <row r="526" spans="10:16">
      <c r="J526" s="5"/>
      <c r="L526">
        <f>DigInv!M526</f>
        <v>-0.219836</v>
      </c>
      <c r="M526">
        <f>DigDir!N526</f>
        <v>52</v>
      </c>
      <c r="O526">
        <f>ABS(L526-DigInv!$C$34)</f>
        <v>3.7943524278975937</v>
      </c>
      <c r="P526">
        <f t="shared" si="9"/>
        <v>52</v>
      </c>
    </row>
    <row r="527" spans="10:16">
      <c r="J527" s="5"/>
      <c r="L527">
        <f>DigInv!M527</f>
        <v>-0.20478244800000001</v>
      </c>
      <c r="M527">
        <f>DigDir!N527</f>
        <v>52.1</v>
      </c>
      <c r="O527">
        <f>ABS(L527-DigInv!$C$34)</f>
        <v>3.8094059798975937</v>
      </c>
      <c r="P527">
        <f t="shared" si="9"/>
        <v>52.1</v>
      </c>
    </row>
    <row r="528" spans="10:16">
      <c r="J528" s="5"/>
      <c r="L528">
        <f>DigInv!M528</f>
        <v>-0.17934713599999999</v>
      </c>
      <c r="M528">
        <f>DigDir!N528</f>
        <v>52.2</v>
      </c>
      <c r="O528">
        <f>ABS(L528-DigInv!$C$34)</f>
        <v>3.8348412918975936</v>
      </c>
      <c r="P528">
        <f t="shared" si="9"/>
        <v>52.2</v>
      </c>
    </row>
    <row r="529" spans="10:16">
      <c r="J529" s="5"/>
      <c r="L529">
        <f>DigInv!M529</f>
        <v>-0.15387452799999901</v>
      </c>
      <c r="M529">
        <f>DigDir!N529</f>
        <v>52.3</v>
      </c>
      <c r="O529">
        <f>ABS(L529-DigInv!$C$34)</f>
        <v>3.8603138998975948</v>
      </c>
      <c r="P529">
        <f t="shared" si="9"/>
        <v>52.3</v>
      </c>
    </row>
    <row r="530" spans="10:16">
      <c r="J530" s="5"/>
      <c r="L530">
        <f>DigInv!M530</f>
        <v>-0.12752546399999901</v>
      </c>
      <c r="M530">
        <f>DigDir!N530</f>
        <v>52.4</v>
      </c>
      <c r="O530">
        <f>ABS(L530-DigInv!$C$34)</f>
        <v>3.8866629638975945</v>
      </c>
      <c r="P530">
        <f t="shared" si="9"/>
        <v>52.4</v>
      </c>
    </row>
    <row r="531" spans="10:16">
      <c r="J531" s="5"/>
      <c r="L531">
        <f>DigInv!M531</f>
        <v>-0.101176399999999</v>
      </c>
      <c r="M531">
        <f>DigDir!N531</f>
        <v>52.5</v>
      </c>
      <c r="O531">
        <f>ABS(L531-DigInv!$C$34)</f>
        <v>3.9130120278975946</v>
      </c>
      <c r="P531">
        <f t="shared" si="9"/>
        <v>52.5</v>
      </c>
    </row>
    <row r="532" spans="10:16">
      <c r="J532" s="5"/>
      <c r="L532">
        <f>DigInv!M532</f>
        <v>-7.4559495999999503E-2</v>
      </c>
      <c r="M532">
        <f>DigDir!N532</f>
        <v>52.6</v>
      </c>
      <c r="O532">
        <f>ABS(L532-DigInv!$C$34)</f>
        <v>3.9396289318975941</v>
      </c>
      <c r="P532">
        <f t="shared" si="9"/>
        <v>52.6</v>
      </c>
    </row>
    <row r="533" spans="10:16">
      <c r="J533" s="5"/>
      <c r="L533">
        <f>DigInv!M533</f>
        <v>-4.7663591999999803E-2</v>
      </c>
      <c r="M533">
        <f>DigDir!N533</f>
        <v>52.7</v>
      </c>
      <c r="O533">
        <f>ABS(L533-DigInv!$C$34)</f>
        <v>3.966524835897594</v>
      </c>
      <c r="P533">
        <f t="shared" si="9"/>
        <v>52.7</v>
      </c>
    </row>
    <row r="534" spans="10:16">
      <c r="J534" s="5"/>
      <c r="L534">
        <f>DigInv!M534</f>
        <v>-2.07676880000001E-2</v>
      </c>
      <c r="M534">
        <f>DigDir!N534</f>
        <v>52.8</v>
      </c>
      <c r="O534">
        <f>ABS(L534-DigInv!$C$34)</f>
        <v>3.9934207398975934</v>
      </c>
      <c r="P534">
        <f t="shared" si="9"/>
        <v>52.8</v>
      </c>
    </row>
    <row r="535" spans="10:16">
      <c r="J535" s="5"/>
      <c r="L535">
        <f>DigInv!M535</f>
        <v>-1.9120999999999999E-2</v>
      </c>
      <c r="M535">
        <f>DigDir!N535</f>
        <v>52.9</v>
      </c>
      <c r="O535">
        <f>ABS(L535-DigInv!$C$34)</f>
        <v>3.9950674278975935</v>
      </c>
      <c r="P535">
        <f t="shared" si="9"/>
        <v>52.9</v>
      </c>
    </row>
    <row r="536" spans="10:16">
      <c r="J536" s="5"/>
      <c r="L536">
        <f>DigInv!M536</f>
        <v>-1.9120999999999999E-2</v>
      </c>
      <c r="M536">
        <f>DigDir!N536</f>
        <v>53</v>
      </c>
      <c r="O536">
        <f>ABS(L536-DigInv!$C$34)</f>
        <v>3.9950674278975935</v>
      </c>
      <c r="P536">
        <f t="shared" si="9"/>
        <v>53</v>
      </c>
    </row>
    <row r="537" spans="10:16">
      <c r="J537" s="5"/>
      <c r="L537">
        <f>DigInv!M537</f>
        <v>-8.6386239999989498E-3</v>
      </c>
      <c r="M537">
        <f>DigDir!N537</f>
        <v>53.1</v>
      </c>
      <c r="O537">
        <f>ABS(L537-DigInv!$C$34)</f>
        <v>4.005549803897595</v>
      </c>
      <c r="P537">
        <f t="shared" si="9"/>
        <v>53.1</v>
      </c>
    </row>
    <row r="538" spans="10:16">
      <c r="J538" s="5"/>
      <c r="L538">
        <f>DigInv!M538</f>
        <v>1.8394872000000801E-2</v>
      </c>
      <c r="M538">
        <f>DigDir!N538</f>
        <v>53.2</v>
      </c>
      <c r="O538">
        <f>ABS(L538-DigInv!$C$34)</f>
        <v>4.0325832998975946</v>
      </c>
      <c r="P538">
        <f t="shared" si="9"/>
        <v>53.2</v>
      </c>
    </row>
    <row r="539" spans="10:16">
      <c r="J539" s="5"/>
      <c r="L539">
        <f>DigInv!M539</f>
        <v>4.5428368000000503E-2</v>
      </c>
      <c r="M539">
        <f>DigDir!N539</f>
        <v>53.3</v>
      </c>
      <c r="O539">
        <f>ABS(L539-DigInv!$C$34)</f>
        <v>4.0596167958975942</v>
      </c>
      <c r="P539">
        <f t="shared" si="9"/>
        <v>53.3</v>
      </c>
    </row>
    <row r="540" spans="10:16">
      <c r="J540" s="5"/>
      <c r="L540">
        <f>DigInv!M540</f>
        <v>4.9841999999999997E-2</v>
      </c>
      <c r="M540">
        <f>DigDir!N540</f>
        <v>53.4</v>
      </c>
      <c r="O540">
        <f>ABS(L540-DigInv!$C$34)</f>
        <v>4.0640304278975936</v>
      </c>
      <c r="P540">
        <f t="shared" si="9"/>
        <v>53.4</v>
      </c>
    </row>
    <row r="541" spans="10:16">
      <c r="J541" s="5"/>
      <c r="L541">
        <f>DigInv!M541</f>
        <v>4.9841999999999997E-2</v>
      </c>
      <c r="M541">
        <f>DigDir!N541</f>
        <v>53.5</v>
      </c>
      <c r="O541">
        <f>ABS(L541-DigInv!$C$34)</f>
        <v>4.0640304278975936</v>
      </c>
      <c r="P541">
        <f t="shared" si="9"/>
        <v>53.5</v>
      </c>
    </row>
    <row r="542" spans="10:16">
      <c r="J542" s="5"/>
      <c r="L542">
        <f>DigInv!M542</f>
        <v>7.6359792000005505E-2</v>
      </c>
      <c r="M542">
        <f>DigDir!N542</f>
        <v>53.6</v>
      </c>
      <c r="O542">
        <f>ABS(L542-DigInv!$C$34)</f>
        <v>4.0905482198975989</v>
      </c>
      <c r="P542">
        <f t="shared" si="9"/>
        <v>53.6</v>
      </c>
    </row>
    <row r="543" spans="10:16">
      <c r="J543" s="5"/>
      <c r="L543">
        <f>DigInv!M543</f>
        <v>0.16917206400000501</v>
      </c>
      <c r="M543">
        <f>DigDir!N543</f>
        <v>53.7</v>
      </c>
      <c r="O543">
        <f>ABS(L543-DigInv!$C$34)</f>
        <v>4.1833604918975986</v>
      </c>
      <c r="P543">
        <f t="shared" si="9"/>
        <v>53.7</v>
      </c>
    </row>
    <row r="544" spans="10:16">
      <c r="J544" s="5"/>
      <c r="L544">
        <f>DigInv!M544</f>
        <v>0.26198433600000398</v>
      </c>
      <c r="M544">
        <f>DigDir!N544</f>
        <v>53.8</v>
      </c>
      <c r="O544">
        <f>ABS(L544-DigInv!$C$34)</f>
        <v>4.2761727638975975</v>
      </c>
      <c r="P544">
        <f t="shared" si="9"/>
        <v>53.8</v>
      </c>
    </row>
    <row r="545" spans="10:16">
      <c r="J545" s="5"/>
      <c r="L545">
        <f>DigInv!M545</f>
        <v>0.32343456000000098</v>
      </c>
      <c r="M545">
        <f>DigDir!N545</f>
        <v>53.9</v>
      </c>
      <c r="O545">
        <f>ABS(L545-DigInv!$C$34)</f>
        <v>4.3376229878975945</v>
      </c>
      <c r="P545">
        <f t="shared" si="9"/>
        <v>53.9</v>
      </c>
    </row>
    <row r="546" spans="10:16">
      <c r="J546" s="5"/>
      <c r="L546">
        <f>DigInv!M546</f>
        <v>0.37355960000000099</v>
      </c>
      <c r="M546">
        <f>DigDir!N546</f>
        <v>54</v>
      </c>
      <c r="O546">
        <f>ABS(L546-DigInv!$C$34)</f>
        <v>4.3877480278975947</v>
      </c>
      <c r="P546">
        <f t="shared" si="9"/>
        <v>54</v>
      </c>
    </row>
    <row r="547" spans="10:16">
      <c r="J547" s="5"/>
      <c r="L547">
        <f>DigInv!M547</f>
        <v>0.41447800000000001</v>
      </c>
      <c r="M547">
        <f>DigDir!N547</f>
        <v>54.1</v>
      </c>
      <c r="O547">
        <f>ABS(L547-DigInv!$C$34)</f>
        <v>4.4286664278975936</v>
      </c>
      <c r="P547">
        <f t="shared" si="9"/>
        <v>54.1</v>
      </c>
    </row>
    <row r="548" spans="10:16">
      <c r="J548" s="5"/>
      <c r="L548">
        <f>DigInv!M548</f>
        <v>0.41447800000000001</v>
      </c>
      <c r="M548">
        <f>DigDir!N548</f>
        <v>54.2</v>
      </c>
      <c r="O548">
        <f>ABS(L548-DigInv!$C$34)</f>
        <v>4.4286664278975936</v>
      </c>
      <c r="P548">
        <f t="shared" si="9"/>
        <v>54.2</v>
      </c>
    </row>
    <row r="549" spans="10:16">
      <c r="J549" s="5"/>
      <c r="L549">
        <f>DigInv!M549</f>
        <v>0.41447800000000001</v>
      </c>
      <c r="M549">
        <f>DigDir!N549</f>
        <v>54.3</v>
      </c>
      <c r="O549">
        <f>ABS(L549-DigInv!$C$34)</f>
        <v>4.4286664278975936</v>
      </c>
      <c r="P549">
        <f t="shared" si="9"/>
        <v>54.3</v>
      </c>
    </row>
    <row r="550" spans="10:16">
      <c r="J550" s="5"/>
      <c r="L550">
        <f>DigInv!M550</f>
        <v>0.41447800000000001</v>
      </c>
      <c r="M550">
        <f>DigDir!N550</f>
        <v>54.4</v>
      </c>
      <c r="O550">
        <f>ABS(L550-DigInv!$C$34)</f>
        <v>4.4286664278975936</v>
      </c>
      <c r="P550">
        <f t="shared" si="9"/>
        <v>54.4</v>
      </c>
    </row>
    <row r="551" spans="10:16">
      <c r="J551" s="5"/>
      <c r="L551">
        <f>DigInv!M551</f>
        <v>0.41447800000000001</v>
      </c>
      <c r="M551">
        <f>DigDir!N551</f>
        <v>54.5</v>
      </c>
      <c r="O551">
        <f>ABS(L551-DigInv!$C$34)</f>
        <v>4.4286664278975936</v>
      </c>
      <c r="P551">
        <f t="shared" si="9"/>
        <v>54.5</v>
      </c>
    </row>
    <row r="552" spans="10:16">
      <c r="J552" s="5"/>
      <c r="L552">
        <f>DigInv!M552</f>
        <v>0.41447800000000001</v>
      </c>
      <c r="M552">
        <f>DigDir!N552</f>
        <v>54.6</v>
      </c>
      <c r="O552">
        <f>ABS(L552-DigInv!$C$34)</f>
        <v>4.4286664278975936</v>
      </c>
      <c r="P552">
        <f t="shared" si="9"/>
        <v>54.6</v>
      </c>
    </row>
    <row r="553" spans="10:16">
      <c r="J553" s="5"/>
      <c r="L553">
        <f>DigInv!M553</f>
        <v>0.41447800000000001</v>
      </c>
      <c r="M553">
        <f>DigDir!N553</f>
        <v>54.7</v>
      </c>
      <c r="O553">
        <f>ABS(L553-DigInv!$C$34)</f>
        <v>4.4286664278975936</v>
      </c>
      <c r="P553">
        <f t="shared" si="9"/>
        <v>54.7</v>
      </c>
    </row>
    <row r="554" spans="10:16">
      <c r="J554" s="5"/>
      <c r="L554">
        <f>DigInv!M554</f>
        <v>0.41447800000000001</v>
      </c>
      <c r="M554">
        <f>DigDir!N554</f>
        <v>54.8</v>
      </c>
      <c r="O554">
        <f>ABS(L554-DigInv!$C$34)</f>
        <v>4.4286664278975936</v>
      </c>
      <c r="P554">
        <f t="shared" si="9"/>
        <v>54.8</v>
      </c>
    </row>
    <row r="555" spans="10:16">
      <c r="J555" s="5"/>
      <c r="L555">
        <f>DigInv!M555</f>
        <v>0.41447800000000001</v>
      </c>
      <c r="M555">
        <f>DigDir!N555</f>
        <v>54.9</v>
      </c>
      <c r="O555">
        <f>ABS(L555-DigInv!$C$34)</f>
        <v>4.4286664278975936</v>
      </c>
      <c r="P555">
        <f t="shared" si="9"/>
        <v>54.9</v>
      </c>
    </row>
    <row r="556" spans="10:16">
      <c r="J556" s="5"/>
      <c r="L556">
        <f>DigInv!M556</f>
        <v>0.41447800000000001</v>
      </c>
      <c r="M556">
        <f>DigDir!N556</f>
        <v>55</v>
      </c>
      <c r="O556">
        <f>ABS(L556-DigInv!$C$34)</f>
        <v>4.4286664278975936</v>
      </c>
      <c r="P556">
        <f t="shared" si="9"/>
        <v>55</v>
      </c>
    </row>
    <row r="557" spans="10:16">
      <c r="J557" s="5"/>
      <c r="L557">
        <f>DigInv!M557</f>
        <v>0.41447800000000001</v>
      </c>
      <c r="M557">
        <f>DigDir!N557</f>
        <v>55.1</v>
      </c>
      <c r="O557">
        <f>ABS(L557-DigInv!$C$34)</f>
        <v>4.4286664278975936</v>
      </c>
      <c r="P557">
        <f t="shared" si="9"/>
        <v>55.1</v>
      </c>
    </row>
    <row r="558" spans="10:16">
      <c r="J558" s="5"/>
      <c r="L558">
        <f>DigInv!M558</f>
        <v>0.41447800000000001</v>
      </c>
      <c r="M558">
        <f>DigDir!N558</f>
        <v>55.2</v>
      </c>
      <c r="O558">
        <f>ABS(L558-DigInv!$C$34)</f>
        <v>4.4286664278975936</v>
      </c>
      <c r="P558">
        <f t="shared" si="9"/>
        <v>55.2</v>
      </c>
    </row>
    <row r="559" spans="10:16">
      <c r="J559" s="5"/>
      <c r="L559">
        <f>DigInv!M559</f>
        <v>0.41447800000000001</v>
      </c>
      <c r="M559">
        <f>DigDir!N559</f>
        <v>55.3</v>
      </c>
      <c r="O559">
        <f>ABS(L559-DigInv!$C$34)</f>
        <v>4.4286664278975936</v>
      </c>
      <c r="P559">
        <f t="shared" si="9"/>
        <v>55.3</v>
      </c>
    </row>
    <row r="560" spans="10:16">
      <c r="J560" s="5"/>
      <c r="L560">
        <f>DigInv!M560</f>
        <v>0.41447800000000001</v>
      </c>
      <c r="M560">
        <f>DigDir!N560</f>
        <v>55.4</v>
      </c>
      <c r="O560">
        <f>ABS(L560-DigInv!$C$34)</f>
        <v>4.4286664278975936</v>
      </c>
      <c r="P560">
        <f t="shared" si="9"/>
        <v>55.4</v>
      </c>
    </row>
    <row r="561" spans="10:16">
      <c r="J561" s="5"/>
      <c r="L561">
        <f>DigInv!M561</f>
        <v>0.41447800000000001</v>
      </c>
      <c r="M561">
        <f>DigDir!N561</f>
        <v>55.5</v>
      </c>
      <c r="O561">
        <f>ABS(L561-DigInv!$C$34)</f>
        <v>4.4286664278975936</v>
      </c>
      <c r="P561">
        <f t="shared" si="9"/>
        <v>55.5</v>
      </c>
    </row>
    <row r="562" spans="10:16">
      <c r="J562" s="5"/>
      <c r="L562">
        <f>DigInv!M562</f>
        <v>0.41447800000000001</v>
      </c>
      <c r="M562">
        <f>DigDir!N562</f>
        <v>55.6</v>
      </c>
      <c r="O562">
        <f>ABS(L562-DigInv!$C$34)</f>
        <v>4.4286664278975936</v>
      </c>
      <c r="P562">
        <f t="shared" si="9"/>
        <v>55.6</v>
      </c>
    </row>
    <row r="563" spans="10:16">
      <c r="J563" s="5"/>
      <c r="L563">
        <f>DigInv!M563</f>
        <v>0.41447800000000001</v>
      </c>
      <c r="M563">
        <f>DigDir!N563</f>
        <v>55.7</v>
      </c>
      <c r="O563">
        <f>ABS(L563-DigInv!$C$34)</f>
        <v>4.4286664278975936</v>
      </c>
      <c r="P563">
        <f t="shared" si="9"/>
        <v>55.7</v>
      </c>
    </row>
    <row r="564" spans="10:16">
      <c r="J564" s="5"/>
      <c r="L564">
        <f>DigInv!M564</f>
        <v>0.41447800000000001</v>
      </c>
      <c r="M564">
        <f>DigDir!N564</f>
        <v>55.8</v>
      </c>
      <c r="O564">
        <f>ABS(L564-DigInv!$C$34)</f>
        <v>4.4286664278975936</v>
      </c>
      <c r="P564">
        <f t="shared" si="9"/>
        <v>55.8</v>
      </c>
    </row>
    <row r="565" spans="10:16">
      <c r="J565" s="5"/>
      <c r="L565">
        <f>DigInv!M565</f>
        <v>0.41447800000000001</v>
      </c>
      <c r="M565">
        <f>DigDir!N565</f>
        <v>55.9</v>
      </c>
      <c r="O565">
        <f>ABS(L565-DigInv!$C$34)</f>
        <v>4.4286664278975936</v>
      </c>
      <c r="P565">
        <f t="shared" si="9"/>
        <v>55.9</v>
      </c>
    </row>
    <row r="566" spans="10:16">
      <c r="J566" s="5"/>
      <c r="L566">
        <f>DigInv!M566</f>
        <v>0.41447800000000001</v>
      </c>
      <c r="M566">
        <f>DigDir!N566</f>
        <v>56</v>
      </c>
      <c r="O566">
        <f>ABS(L566-DigInv!$C$34)</f>
        <v>4.4286664278975936</v>
      </c>
      <c r="P566">
        <f t="shared" si="9"/>
        <v>56</v>
      </c>
    </row>
    <row r="567" spans="10:16">
      <c r="J567" s="5"/>
      <c r="L567">
        <f>DigInv!M567</f>
        <v>0.41447800000000001</v>
      </c>
      <c r="M567">
        <f>DigDir!N567</f>
        <v>56.1</v>
      </c>
      <c r="O567">
        <f>ABS(L567-DigInv!$C$34)</f>
        <v>4.4286664278975936</v>
      </c>
      <c r="P567">
        <f t="shared" si="9"/>
        <v>56.1</v>
      </c>
    </row>
    <row r="568" spans="10:16">
      <c r="J568" s="5"/>
      <c r="L568">
        <f>DigInv!M568</f>
        <v>0.41447800000000001</v>
      </c>
      <c r="M568">
        <f>DigDir!N568</f>
        <v>56.2</v>
      </c>
      <c r="O568">
        <f>ABS(L568-DigInv!$C$34)</f>
        <v>4.4286664278975936</v>
      </c>
      <c r="P568">
        <f t="shared" si="9"/>
        <v>56.2</v>
      </c>
    </row>
    <row r="569" spans="10:16">
      <c r="J569" s="5"/>
      <c r="L569">
        <f>DigInv!M569</f>
        <v>0.41447800000000001</v>
      </c>
      <c r="M569">
        <f>DigDir!N569</f>
        <v>56.3</v>
      </c>
      <c r="O569">
        <f>ABS(L569-DigInv!$C$34)</f>
        <v>4.4286664278975936</v>
      </c>
      <c r="P569">
        <f t="shared" si="9"/>
        <v>56.3</v>
      </c>
    </row>
    <row r="570" spans="10:16">
      <c r="J570" s="5"/>
      <c r="L570">
        <f>DigInv!M570</f>
        <v>0.41447800000000001</v>
      </c>
      <c r="M570">
        <f>DigDir!N570</f>
        <v>56.4</v>
      </c>
      <c r="O570">
        <f>ABS(L570-DigInv!$C$34)</f>
        <v>4.4286664278975936</v>
      </c>
      <c r="P570">
        <f t="shared" si="9"/>
        <v>56.4</v>
      </c>
    </row>
    <row r="571" spans="10:16">
      <c r="J571" s="5"/>
      <c r="L571">
        <f>DigInv!M571</f>
        <v>0.41447800000000001</v>
      </c>
      <c r="M571">
        <f>DigDir!N571</f>
        <v>56.5</v>
      </c>
      <c r="O571">
        <f>ABS(L571-DigInv!$C$34)</f>
        <v>4.4286664278975936</v>
      </c>
      <c r="P571">
        <f t="shared" si="9"/>
        <v>56.5</v>
      </c>
    </row>
    <row r="572" spans="10:16">
      <c r="J572" s="5"/>
      <c r="L572">
        <f>DigInv!M572</f>
        <v>0.41447800000000001</v>
      </c>
      <c r="M572">
        <f>DigDir!N572</f>
        <v>56.6</v>
      </c>
      <c r="O572">
        <f>ABS(L572-DigInv!$C$34)</f>
        <v>4.4286664278975936</v>
      </c>
      <c r="P572">
        <f t="shared" si="9"/>
        <v>56.6</v>
      </c>
    </row>
    <row r="573" spans="10:16">
      <c r="J573" s="5"/>
      <c r="L573">
        <f>DigInv!M573</f>
        <v>0.41447800000000001</v>
      </c>
      <c r="M573">
        <f>DigDir!N573</f>
        <v>56.7</v>
      </c>
      <c r="O573">
        <f>ABS(L573-DigInv!$C$34)</f>
        <v>4.4286664278975936</v>
      </c>
      <c r="P573">
        <f t="shared" si="9"/>
        <v>56.7</v>
      </c>
    </row>
    <row r="574" spans="10:16">
      <c r="J574" s="5"/>
      <c r="L574">
        <f>DigInv!M574</f>
        <v>0.41447800000000001</v>
      </c>
      <c r="M574">
        <f>DigDir!N574</f>
        <v>56.8</v>
      </c>
      <c r="O574">
        <f>ABS(L574-DigInv!$C$34)</f>
        <v>4.4286664278975936</v>
      </c>
      <c r="P574">
        <f t="shared" si="9"/>
        <v>56.8</v>
      </c>
    </row>
    <row r="575" spans="10:16">
      <c r="J575" s="5"/>
      <c r="L575">
        <f>DigInv!M575</f>
        <v>0.41447800000000001</v>
      </c>
      <c r="M575">
        <f>DigDir!N575</f>
        <v>56.9</v>
      </c>
      <c r="O575">
        <f>ABS(L575-DigInv!$C$34)</f>
        <v>4.4286664278975936</v>
      </c>
      <c r="P575">
        <f t="shared" si="9"/>
        <v>56.9</v>
      </c>
    </row>
    <row r="576" spans="10:16">
      <c r="J576" s="5"/>
      <c r="L576">
        <f>DigInv!M576</f>
        <v>0.41447800000000001</v>
      </c>
      <c r="M576">
        <f>DigDir!N576</f>
        <v>57</v>
      </c>
      <c r="O576">
        <f>ABS(L576-DigInv!$C$34)</f>
        <v>4.4286664278975936</v>
      </c>
      <c r="P576">
        <f t="shared" si="9"/>
        <v>57</v>
      </c>
    </row>
    <row r="577" spans="10:16">
      <c r="J577" s="5"/>
      <c r="L577">
        <f>DigInv!M577</f>
        <v>0.41447800000000001</v>
      </c>
      <c r="M577">
        <f>DigDir!N577</f>
        <v>57.1</v>
      </c>
      <c r="O577">
        <f>ABS(L577-DigInv!$C$34)</f>
        <v>4.4286664278975936</v>
      </c>
      <c r="P577">
        <f t="shared" si="9"/>
        <v>57.1</v>
      </c>
    </row>
    <row r="578" spans="10:16">
      <c r="J578" s="5"/>
      <c r="L578">
        <f>DigInv!M578</f>
        <v>0.41447800000000001</v>
      </c>
      <c r="M578">
        <f>DigDir!N578</f>
        <v>57.2</v>
      </c>
      <c r="O578">
        <f>ABS(L578-DigInv!$C$34)</f>
        <v>4.4286664278975936</v>
      </c>
      <c r="P578">
        <f t="shared" si="9"/>
        <v>57.2</v>
      </c>
    </row>
    <row r="579" spans="10:16">
      <c r="J579" s="5"/>
      <c r="L579">
        <f>DigInv!M579</f>
        <v>0.41447800000000001</v>
      </c>
      <c r="M579">
        <f>DigDir!N579</f>
        <v>57.3</v>
      </c>
      <c r="O579">
        <f>ABS(L579-DigInv!$C$34)</f>
        <v>4.4286664278975936</v>
      </c>
      <c r="P579">
        <f t="shared" si="9"/>
        <v>57.3</v>
      </c>
    </row>
    <row r="580" spans="10:16">
      <c r="J580" s="5"/>
      <c r="L580">
        <f>DigInv!M580</f>
        <v>0.41447800000000001</v>
      </c>
      <c r="M580">
        <f>DigDir!N580</f>
        <v>57.4</v>
      </c>
      <c r="O580">
        <f>ABS(L580-DigInv!$C$34)</f>
        <v>4.4286664278975936</v>
      </c>
      <c r="P580">
        <f t="shared" si="9"/>
        <v>57.4</v>
      </c>
    </row>
    <row r="581" spans="10:16">
      <c r="J581" s="5"/>
      <c r="L581">
        <f>DigInv!M581</f>
        <v>0.41447800000000001</v>
      </c>
      <c r="M581">
        <f>DigDir!N581</f>
        <v>57.5</v>
      </c>
      <c r="O581">
        <f>ABS(L581-DigInv!$C$34)</f>
        <v>4.4286664278975936</v>
      </c>
      <c r="P581">
        <f t="shared" si="9"/>
        <v>57.5</v>
      </c>
    </row>
    <row r="582" spans="10:16">
      <c r="J582" s="5"/>
      <c r="L582">
        <f>DigInv!M582</f>
        <v>0.41447800000000001</v>
      </c>
      <c r="M582">
        <f>DigDir!N582</f>
        <v>57.6</v>
      </c>
      <c r="O582">
        <f>ABS(L582-DigInv!$C$34)</f>
        <v>4.4286664278975936</v>
      </c>
      <c r="P582">
        <f t="shared" si="9"/>
        <v>57.6</v>
      </c>
    </row>
    <row r="583" spans="10:16">
      <c r="J583" s="5"/>
      <c r="L583">
        <f>DigInv!M583</f>
        <v>0.41447800000000001</v>
      </c>
      <c r="M583">
        <f>DigDir!N583</f>
        <v>57.7</v>
      </c>
      <c r="O583">
        <f>ABS(L583-DigInv!$C$34)</f>
        <v>4.4286664278975936</v>
      </c>
      <c r="P583">
        <f t="shared" ref="P583:P646" si="10">M583</f>
        <v>57.7</v>
      </c>
    </row>
    <row r="584" spans="10:16">
      <c r="J584" s="5"/>
      <c r="L584">
        <f>DigInv!M584</f>
        <v>0.41447800000000001</v>
      </c>
      <c r="M584">
        <f>DigDir!N584</f>
        <v>57.8</v>
      </c>
      <c r="O584">
        <f>ABS(L584-DigInv!$C$34)</f>
        <v>4.4286664278975936</v>
      </c>
      <c r="P584">
        <f t="shared" si="10"/>
        <v>57.8</v>
      </c>
    </row>
    <row r="585" spans="10:16">
      <c r="J585" s="5"/>
      <c r="L585">
        <f>DigInv!M585</f>
        <v>0.41447800000000001</v>
      </c>
      <c r="M585">
        <f>DigDir!N585</f>
        <v>57.9</v>
      </c>
      <c r="O585">
        <f>ABS(L585-DigInv!$C$34)</f>
        <v>4.4286664278975936</v>
      </c>
      <c r="P585">
        <f t="shared" si="10"/>
        <v>57.9</v>
      </c>
    </row>
    <row r="586" spans="10:16">
      <c r="J586" s="5"/>
      <c r="L586">
        <f>DigInv!M586</f>
        <v>0.41447800000000001</v>
      </c>
      <c r="M586">
        <f>DigDir!N586</f>
        <v>58</v>
      </c>
      <c r="O586">
        <f>ABS(L586-DigInv!$C$34)</f>
        <v>4.4286664278975936</v>
      </c>
      <c r="P586">
        <f t="shared" si="10"/>
        <v>58</v>
      </c>
    </row>
    <row r="587" spans="10:16">
      <c r="J587" s="5"/>
      <c r="L587">
        <f>DigInv!M587</f>
        <v>0.41447800000000001</v>
      </c>
      <c r="M587">
        <f>DigDir!N587</f>
        <v>58.1</v>
      </c>
      <c r="O587">
        <f>ABS(L587-DigInv!$C$34)</f>
        <v>4.4286664278975936</v>
      </c>
      <c r="P587">
        <f t="shared" si="10"/>
        <v>58.1</v>
      </c>
    </row>
    <row r="588" spans="10:16">
      <c r="J588" s="5"/>
      <c r="L588">
        <f>DigInv!M588</f>
        <v>0.41447800000000001</v>
      </c>
      <c r="M588">
        <f>DigDir!N588</f>
        <v>58.2</v>
      </c>
      <c r="O588">
        <f>ABS(L588-DigInv!$C$34)</f>
        <v>4.4286664278975936</v>
      </c>
      <c r="P588">
        <f t="shared" si="10"/>
        <v>58.2</v>
      </c>
    </row>
    <row r="589" spans="10:16">
      <c r="J589" s="5"/>
      <c r="L589">
        <f>DigInv!M589</f>
        <v>0.41447800000000001</v>
      </c>
      <c r="M589">
        <f>DigDir!N589</f>
        <v>58.3</v>
      </c>
      <c r="O589">
        <f>ABS(L589-DigInv!$C$34)</f>
        <v>4.4286664278975936</v>
      </c>
      <c r="P589">
        <f t="shared" si="10"/>
        <v>58.3</v>
      </c>
    </row>
    <row r="590" spans="10:16">
      <c r="J590" s="5"/>
      <c r="L590">
        <f>DigInv!M590</f>
        <v>0.41447800000000001</v>
      </c>
      <c r="M590">
        <f>DigDir!N590</f>
        <v>58.4</v>
      </c>
      <c r="O590">
        <f>ABS(L590-DigInv!$C$34)</f>
        <v>4.4286664278975936</v>
      </c>
      <c r="P590">
        <f t="shared" si="10"/>
        <v>58.4</v>
      </c>
    </row>
    <row r="591" spans="10:16">
      <c r="J591" s="5"/>
      <c r="L591">
        <f>DigInv!M591</f>
        <v>0.41447800000000001</v>
      </c>
      <c r="M591">
        <f>DigDir!N591</f>
        <v>58.5</v>
      </c>
      <c r="O591">
        <f>ABS(L591-DigInv!$C$34)</f>
        <v>4.4286664278975936</v>
      </c>
      <c r="P591">
        <f t="shared" si="10"/>
        <v>58.5</v>
      </c>
    </row>
    <row r="592" spans="10:16">
      <c r="J592" s="5"/>
      <c r="L592">
        <f>DigInv!M592</f>
        <v>0.41447800000000001</v>
      </c>
      <c r="M592">
        <f>DigDir!N592</f>
        <v>58.6</v>
      </c>
      <c r="O592">
        <f>ABS(L592-DigInv!$C$34)</f>
        <v>4.4286664278975936</v>
      </c>
      <c r="P592">
        <f t="shared" si="10"/>
        <v>58.6</v>
      </c>
    </row>
    <row r="593" spans="10:16">
      <c r="J593" s="5"/>
      <c r="L593">
        <f>DigInv!M593</f>
        <v>0.41447800000000001</v>
      </c>
      <c r="M593">
        <f>DigDir!N593</f>
        <v>58.7</v>
      </c>
      <c r="O593">
        <f>ABS(L593-DigInv!$C$34)</f>
        <v>4.4286664278975936</v>
      </c>
      <c r="P593">
        <f t="shared" si="10"/>
        <v>58.7</v>
      </c>
    </row>
    <row r="594" spans="10:16">
      <c r="J594" s="5"/>
      <c r="L594">
        <f>DigInv!M594</f>
        <v>0.41447800000000001</v>
      </c>
      <c r="M594">
        <f>DigDir!N594</f>
        <v>58.8</v>
      </c>
      <c r="O594">
        <f>ABS(L594-DigInv!$C$34)</f>
        <v>4.4286664278975936</v>
      </c>
      <c r="P594">
        <f t="shared" si="10"/>
        <v>58.8</v>
      </c>
    </row>
    <row r="595" spans="10:16">
      <c r="J595" s="5"/>
      <c r="L595">
        <f>DigInv!M595</f>
        <v>0.41447800000000001</v>
      </c>
      <c r="M595">
        <f>DigDir!N595</f>
        <v>58.9</v>
      </c>
      <c r="O595">
        <f>ABS(L595-DigInv!$C$34)</f>
        <v>4.4286664278975936</v>
      </c>
      <c r="P595">
        <f t="shared" si="10"/>
        <v>58.9</v>
      </c>
    </row>
    <row r="596" spans="10:16">
      <c r="J596" s="5"/>
      <c r="L596">
        <f>DigInv!M596</f>
        <v>0.41447800000000001</v>
      </c>
      <c r="M596">
        <f>DigDir!N596</f>
        <v>59</v>
      </c>
      <c r="O596">
        <f>ABS(L596-DigInv!$C$34)</f>
        <v>4.4286664278975936</v>
      </c>
      <c r="P596">
        <f t="shared" si="10"/>
        <v>59</v>
      </c>
    </row>
    <row r="597" spans="10:16">
      <c r="J597" s="5"/>
      <c r="L597">
        <f>DigInv!M597</f>
        <v>0.41447800000000001</v>
      </c>
      <c r="M597">
        <f>DigDir!N597</f>
        <v>59.1</v>
      </c>
      <c r="O597">
        <f>ABS(L597-DigInv!$C$34)</f>
        <v>4.4286664278975936</v>
      </c>
      <c r="P597">
        <f t="shared" si="10"/>
        <v>59.1</v>
      </c>
    </row>
    <row r="598" spans="10:16">
      <c r="J598" s="5"/>
      <c r="L598">
        <f>DigInv!M598</f>
        <v>0.41447800000000001</v>
      </c>
      <c r="M598">
        <f>DigDir!N598</f>
        <v>59.2</v>
      </c>
      <c r="O598">
        <f>ABS(L598-DigInv!$C$34)</f>
        <v>4.4286664278975936</v>
      </c>
      <c r="P598">
        <f t="shared" si="10"/>
        <v>59.2</v>
      </c>
    </row>
    <row r="599" spans="10:16">
      <c r="J599" s="5"/>
      <c r="L599">
        <f>DigInv!M599</f>
        <v>0.41447800000000001</v>
      </c>
      <c r="M599">
        <f>DigDir!N599</f>
        <v>59.3</v>
      </c>
      <c r="O599">
        <f>ABS(L599-DigInv!$C$34)</f>
        <v>4.4286664278975936</v>
      </c>
      <c r="P599">
        <f t="shared" si="10"/>
        <v>59.3</v>
      </c>
    </row>
    <row r="600" spans="10:16">
      <c r="J600" s="5"/>
      <c r="L600">
        <f>DigInv!M600</f>
        <v>0.41447800000000001</v>
      </c>
      <c r="M600">
        <f>DigDir!N600</f>
        <v>59.4</v>
      </c>
      <c r="O600">
        <f>ABS(L600-DigInv!$C$34)</f>
        <v>4.4286664278975936</v>
      </c>
      <c r="P600">
        <f t="shared" si="10"/>
        <v>59.4</v>
      </c>
    </row>
    <row r="601" spans="10:16">
      <c r="J601" s="5"/>
      <c r="L601">
        <f>DigInv!M601</f>
        <v>0.41447800000000001</v>
      </c>
      <c r="M601">
        <f>DigDir!N601</f>
        <v>59.5</v>
      </c>
      <c r="O601">
        <f>ABS(L601-DigInv!$C$34)</f>
        <v>4.4286664278975936</v>
      </c>
      <c r="P601">
        <f t="shared" si="10"/>
        <v>59.5</v>
      </c>
    </row>
    <row r="602" spans="10:16">
      <c r="J602" s="5"/>
      <c r="L602">
        <f>DigInv!M602</f>
        <v>0.41447800000000001</v>
      </c>
      <c r="M602">
        <f>DigDir!N602</f>
        <v>59.6</v>
      </c>
      <c r="O602">
        <f>ABS(L602-DigInv!$C$34)</f>
        <v>4.4286664278975936</v>
      </c>
      <c r="P602">
        <f t="shared" si="10"/>
        <v>59.6</v>
      </c>
    </row>
    <row r="603" spans="10:16">
      <c r="J603" s="5"/>
      <c r="L603">
        <f>DigInv!M603</f>
        <v>0.41447800000000001</v>
      </c>
      <c r="M603">
        <f>DigDir!N603</f>
        <v>59.7</v>
      </c>
      <c r="O603">
        <f>ABS(L603-DigInv!$C$34)</f>
        <v>4.4286664278975936</v>
      </c>
      <c r="P603">
        <f t="shared" si="10"/>
        <v>59.7</v>
      </c>
    </row>
    <row r="604" spans="10:16">
      <c r="J604" s="5"/>
      <c r="L604">
        <f>DigInv!M604</f>
        <v>0.41447800000000001</v>
      </c>
      <c r="M604">
        <f>DigDir!N604</f>
        <v>59.8</v>
      </c>
      <c r="O604">
        <f>ABS(L604-DigInv!$C$34)</f>
        <v>4.4286664278975936</v>
      </c>
      <c r="P604">
        <f t="shared" si="10"/>
        <v>59.8</v>
      </c>
    </row>
    <row r="605" spans="10:16">
      <c r="J605" s="5"/>
      <c r="L605">
        <f>DigInv!M605</f>
        <v>0.41447800000000001</v>
      </c>
      <c r="M605">
        <f>DigDir!N605</f>
        <v>59.9</v>
      </c>
      <c r="O605">
        <f>ABS(L605-DigInv!$C$34)</f>
        <v>4.4286664278975936</v>
      </c>
      <c r="P605">
        <f t="shared" si="10"/>
        <v>59.9</v>
      </c>
    </row>
    <row r="606" spans="10:16">
      <c r="J606" s="5"/>
      <c r="L606">
        <f>DigInv!M606</f>
        <v>0.41447800000000001</v>
      </c>
      <c r="M606">
        <f>DigDir!N606</f>
        <v>60</v>
      </c>
      <c r="O606">
        <f>ABS(L606-DigInv!$C$34)</f>
        <v>4.4286664278975936</v>
      </c>
      <c r="P606">
        <f t="shared" si="10"/>
        <v>60</v>
      </c>
    </row>
    <row r="607" spans="10:16">
      <c r="J607" s="5"/>
      <c r="L607">
        <f>DigInv!M607</f>
        <v>0.41447800000000001</v>
      </c>
      <c r="M607">
        <f>DigDir!N607</f>
        <v>60.1</v>
      </c>
      <c r="O607">
        <f>ABS(L607-DigInv!$C$34)</f>
        <v>4.4286664278975936</v>
      </c>
      <c r="P607">
        <f t="shared" si="10"/>
        <v>60.1</v>
      </c>
    </row>
    <row r="608" spans="10:16">
      <c r="J608" s="5"/>
      <c r="L608">
        <f>DigInv!M608</f>
        <v>0.41447800000000001</v>
      </c>
      <c r="M608">
        <f>DigDir!N608</f>
        <v>60.2</v>
      </c>
      <c r="O608">
        <f>ABS(L608-DigInv!$C$34)</f>
        <v>4.4286664278975936</v>
      </c>
      <c r="P608">
        <f t="shared" si="10"/>
        <v>60.2</v>
      </c>
    </row>
    <row r="609" spans="10:16">
      <c r="J609" s="5"/>
      <c r="L609">
        <f>DigInv!M609</f>
        <v>0.41447800000000001</v>
      </c>
      <c r="M609">
        <f>DigDir!N609</f>
        <v>60.3</v>
      </c>
      <c r="O609">
        <f>ABS(L609-DigInv!$C$34)</f>
        <v>4.4286664278975936</v>
      </c>
      <c r="P609">
        <f t="shared" si="10"/>
        <v>60.3</v>
      </c>
    </row>
    <row r="610" spans="10:16">
      <c r="J610" s="5"/>
      <c r="L610">
        <f>DigInv!M610</f>
        <v>0.41447800000000001</v>
      </c>
      <c r="M610">
        <f>DigDir!N610</f>
        <v>60.4</v>
      </c>
      <c r="O610">
        <f>ABS(L610-DigInv!$C$34)</f>
        <v>4.4286664278975936</v>
      </c>
      <c r="P610">
        <f t="shared" si="10"/>
        <v>60.4</v>
      </c>
    </row>
    <row r="611" spans="10:16">
      <c r="J611" s="5"/>
      <c r="L611">
        <f>DigInv!M611</f>
        <v>0.41447800000000001</v>
      </c>
      <c r="M611">
        <f>DigDir!N611</f>
        <v>60.5</v>
      </c>
      <c r="O611">
        <f>ABS(L611-DigInv!$C$34)</f>
        <v>4.4286664278975936</v>
      </c>
      <c r="P611">
        <f t="shared" si="10"/>
        <v>60.5</v>
      </c>
    </row>
    <row r="612" spans="10:16">
      <c r="J612" s="5"/>
      <c r="L612">
        <f>DigInv!M612</f>
        <v>0.41447800000000001</v>
      </c>
      <c r="M612">
        <f>DigDir!N612</f>
        <v>60.6</v>
      </c>
      <c r="O612">
        <f>ABS(L612-DigInv!$C$34)</f>
        <v>4.4286664278975936</v>
      </c>
      <c r="P612">
        <f t="shared" si="10"/>
        <v>60.6</v>
      </c>
    </row>
    <row r="613" spans="10:16">
      <c r="J613" s="5"/>
      <c r="L613">
        <f>DigInv!M613</f>
        <v>0.41447800000000001</v>
      </c>
      <c r="M613">
        <f>DigDir!N613</f>
        <v>60.7</v>
      </c>
      <c r="O613">
        <f>ABS(L613-DigInv!$C$34)</f>
        <v>4.4286664278975936</v>
      </c>
      <c r="P613">
        <f t="shared" si="10"/>
        <v>60.7</v>
      </c>
    </row>
    <row r="614" spans="10:16">
      <c r="J614" s="5"/>
      <c r="L614">
        <f>DigInv!M614</f>
        <v>0.41447800000000001</v>
      </c>
      <c r="M614">
        <f>DigDir!N614</f>
        <v>60.8</v>
      </c>
      <c r="O614">
        <f>ABS(L614-DigInv!$C$34)</f>
        <v>4.4286664278975936</v>
      </c>
      <c r="P614">
        <f t="shared" si="10"/>
        <v>60.8</v>
      </c>
    </row>
    <row r="615" spans="10:16">
      <c r="J615" s="5"/>
      <c r="L615">
        <f>DigInv!M615</f>
        <v>0.41447800000000001</v>
      </c>
      <c r="M615">
        <f>DigDir!N615</f>
        <v>60.9</v>
      </c>
      <c r="O615">
        <f>ABS(L615-DigInv!$C$34)</f>
        <v>4.4286664278975936</v>
      </c>
      <c r="P615">
        <f t="shared" si="10"/>
        <v>60.9</v>
      </c>
    </row>
    <row r="616" spans="10:16">
      <c r="J616" s="5"/>
      <c r="L616">
        <f>DigInv!M616</f>
        <v>0.41447800000000001</v>
      </c>
      <c r="M616">
        <f>DigDir!N616</f>
        <v>61</v>
      </c>
      <c r="O616">
        <f>ABS(L616-DigInv!$C$34)</f>
        <v>4.4286664278975936</v>
      </c>
      <c r="P616">
        <f t="shared" si="10"/>
        <v>61</v>
      </c>
    </row>
    <row r="617" spans="10:16">
      <c r="J617" s="5"/>
      <c r="L617">
        <f>DigInv!M617</f>
        <v>0.41447800000000001</v>
      </c>
      <c r="M617">
        <f>DigDir!N617</f>
        <v>61.1</v>
      </c>
      <c r="O617">
        <f>ABS(L617-DigInv!$C$34)</f>
        <v>4.4286664278975936</v>
      </c>
      <c r="P617">
        <f t="shared" si="10"/>
        <v>61.1</v>
      </c>
    </row>
    <row r="618" spans="10:16">
      <c r="J618" s="5"/>
      <c r="L618">
        <f>DigInv!M618</f>
        <v>0.41447800000000001</v>
      </c>
      <c r="M618">
        <f>DigDir!N618</f>
        <v>61.2</v>
      </c>
      <c r="O618">
        <f>ABS(L618-DigInv!$C$34)</f>
        <v>4.4286664278975936</v>
      </c>
      <c r="P618">
        <f t="shared" si="10"/>
        <v>61.2</v>
      </c>
    </row>
    <row r="619" spans="10:16">
      <c r="J619" s="5"/>
      <c r="L619">
        <f>DigInv!M619</f>
        <v>0.41447800000000001</v>
      </c>
      <c r="M619">
        <f>DigDir!N619</f>
        <v>61.3</v>
      </c>
      <c r="O619">
        <f>ABS(L619-DigInv!$C$34)</f>
        <v>4.4286664278975936</v>
      </c>
      <c r="P619">
        <f t="shared" si="10"/>
        <v>61.3</v>
      </c>
    </row>
    <row r="620" spans="10:16">
      <c r="J620" s="5"/>
      <c r="L620">
        <f>DigInv!M620</f>
        <v>0.41447800000000001</v>
      </c>
      <c r="M620">
        <f>DigDir!N620</f>
        <v>61.4</v>
      </c>
      <c r="O620">
        <f>ABS(L620-DigInv!$C$34)</f>
        <v>4.4286664278975936</v>
      </c>
      <c r="P620">
        <f t="shared" si="10"/>
        <v>61.4</v>
      </c>
    </row>
    <row r="621" spans="10:16">
      <c r="J621" s="5"/>
      <c r="L621">
        <f>DigInv!M621</f>
        <v>0.41447800000000001</v>
      </c>
      <c r="M621">
        <f>DigDir!N621</f>
        <v>61.5</v>
      </c>
      <c r="O621">
        <f>ABS(L621-DigInv!$C$34)</f>
        <v>4.4286664278975936</v>
      </c>
      <c r="P621">
        <f t="shared" si="10"/>
        <v>61.5</v>
      </c>
    </row>
    <row r="622" spans="10:16">
      <c r="J622" s="5"/>
      <c r="L622">
        <f>DigInv!M622</f>
        <v>0.41447800000000001</v>
      </c>
      <c r="M622">
        <f>DigDir!N622</f>
        <v>61.6</v>
      </c>
      <c r="O622">
        <f>ABS(L622-DigInv!$C$34)</f>
        <v>4.4286664278975936</v>
      </c>
      <c r="P622">
        <f t="shared" si="10"/>
        <v>61.6</v>
      </c>
    </row>
    <row r="623" spans="10:16">
      <c r="J623" s="5"/>
      <c r="L623">
        <f>DigInv!M623</f>
        <v>0.41447800000000001</v>
      </c>
      <c r="M623">
        <f>DigDir!N623</f>
        <v>61.7</v>
      </c>
      <c r="O623">
        <f>ABS(L623-DigInv!$C$34)</f>
        <v>4.4286664278975936</v>
      </c>
      <c r="P623">
        <f t="shared" si="10"/>
        <v>61.7</v>
      </c>
    </row>
    <row r="624" spans="10:16">
      <c r="J624" s="5"/>
      <c r="L624">
        <f>DigInv!M624</f>
        <v>0.41447800000000001</v>
      </c>
      <c r="M624">
        <f>DigDir!N624</f>
        <v>61.8</v>
      </c>
      <c r="O624">
        <f>ABS(L624-DigInv!$C$34)</f>
        <v>4.4286664278975936</v>
      </c>
      <c r="P624">
        <f t="shared" si="10"/>
        <v>61.8</v>
      </c>
    </row>
    <row r="625" spans="10:16">
      <c r="J625" s="5"/>
      <c r="L625">
        <f>DigInv!M625</f>
        <v>0.41447800000000001</v>
      </c>
      <c r="M625">
        <f>DigDir!N625</f>
        <v>61.9</v>
      </c>
      <c r="O625">
        <f>ABS(L625-DigInv!$C$34)</f>
        <v>4.4286664278975936</v>
      </c>
      <c r="P625">
        <f t="shared" si="10"/>
        <v>61.9</v>
      </c>
    </row>
    <row r="626" spans="10:16">
      <c r="J626" s="5"/>
      <c r="L626">
        <f>DigInv!M626</f>
        <v>0.41447800000000001</v>
      </c>
      <c r="M626">
        <f>DigDir!N626</f>
        <v>62</v>
      </c>
      <c r="O626">
        <f>ABS(L626-DigInv!$C$34)</f>
        <v>4.4286664278975936</v>
      </c>
      <c r="P626">
        <f t="shared" si="10"/>
        <v>62</v>
      </c>
    </row>
    <row r="627" spans="10:16">
      <c r="J627" s="5"/>
      <c r="L627">
        <f>DigInv!M627</f>
        <v>0.41447800000000001</v>
      </c>
      <c r="M627">
        <f>DigDir!N627</f>
        <v>62.1</v>
      </c>
      <c r="O627">
        <f>ABS(L627-DigInv!$C$34)</f>
        <v>4.4286664278975936</v>
      </c>
      <c r="P627">
        <f t="shared" si="10"/>
        <v>62.1</v>
      </c>
    </row>
    <row r="628" spans="10:16">
      <c r="J628" s="5"/>
      <c r="L628">
        <f>DigInv!M628</f>
        <v>0.41447800000000001</v>
      </c>
      <c r="M628">
        <f>DigDir!N628</f>
        <v>62.2</v>
      </c>
      <c r="O628">
        <f>ABS(L628-DigInv!$C$34)</f>
        <v>4.4286664278975936</v>
      </c>
      <c r="P628">
        <f t="shared" si="10"/>
        <v>62.2</v>
      </c>
    </row>
    <row r="629" spans="10:16">
      <c r="J629" s="5"/>
      <c r="L629">
        <f>DigInv!M629</f>
        <v>0.41447800000000001</v>
      </c>
      <c r="M629">
        <f>DigDir!N629</f>
        <v>62.3</v>
      </c>
      <c r="O629">
        <f>ABS(L629-DigInv!$C$34)</f>
        <v>4.4286664278975936</v>
      </c>
      <c r="P629">
        <f t="shared" si="10"/>
        <v>62.3</v>
      </c>
    </row>
    <row r="630" spans="10:16">
      <c r="J630" s="5"/>
      <c r="L630">
        <f>DigInv!M630</f>
        <v>0.41447800000000001</v>
      </c>
      <c r="M630">
        <f>DigDir!N630</f>
        <v>62.4</v>
      </c>
      <c r="O630">
        <f>ABS(L630-DigInv!$C$34)</f>
        <v>4.4286664278975936</v>
      </c>
      <c r="P630">
        <f t="shared" si="10"/>
        <v>62.4</v>
      </c>
    </row>
    <row r="631" spans="10:16">
      <c r="J631" s="5"/>
      <c r="L631">
        <f>DigInv!M631</f>
        <v>0.41447800000000001</v>
      </c>
      <c r="M631">
        <f>DigDir!N631</f>
        <v>62.5</v>
      </c>
      <c r="O631">
        <f>ABS(L631-DigInv!$C$34)</f>
        <v>4.4286664278975936</v>
      </c>
      <c r="P631">
        <f t="shared" si="10"/>
        <v>62.5</v>
      </c>
    </row>
    <row r="632" spans="10:16">
      <c r="J632" s="5"/>
      <c r="L632">
        <f>DigInv!M632</f>
        <v>0.41447800000000001</v>
      </c>
      <c r="M632">
        <f>DigDir!N632</f>
        <v>62.6</v>
      </c>
      <c r="O632">
        <f>ABS(L632-DigInv!$C$34)</f>
        <v>4.4286664278975936</v>
      </c>
      <c r="P632">
        <f t="shared" si="10"/>
        <v>62.6</v>
      </c>
    </row>
    <row r="633" spans="10:16">
      <c r="J633" s="5"/>
      <c r="L633">
        <f>DigInv!M633</f>
        <v>0.41447800000000001</v>
      </c>
      <c r="M633">
        <f>DigDir!N633</f>
        <v>62.7</v>
      </c>
      <c r="O633">
        <f>ABS(L633-DigInv!$C$34)</f>
        <v>4.4286664278975936</v>
      </c>
      <c r="P633">
        <f t="shared" si="10"/>
        <v>62.7</v>
      </c>
    </row>
    <row r="634" spans="10:16">
      <c r="J634" s="5"/>
      <c r="L634">
        <f>DigInv!M634</f>
        <v>0.41447800000000001</v>
      </c>
      <c r="M634">
        <f>DigDir!N634</f>
        <v>62.8</v>
      </c>
      <c r="O634">
        <f>ABS(L634-DigInv!$C$34)</f>
        <v>4.4286664278975936</v>
      </c>
      <c r="P634">
        <f t="shared" si="10"/>
        <v>62.8</v>
      </c>
    </row>
    <row r="635" spans="10:16">
      <c r="J635" s="5"/>
      <c r="L635">
        <f>DigInv!M635</f>
        <v>0.41447800000000001</v>
      </c>
      <c r="M635">
        <f>DigDir!N635</f>
        <v>62.9</v>
      </c>
      <c r="O635">
        <f>ABS(L635-DigInv!$C$34)</f>
        <v>4.4286664278975936</v>
      </c>
      <c r="P635">
        <f t="shared" si="10"/>
        <v>62.9</v>
      </c>
    </row>
    <row r="636" spans="10:16">
      <c r="J636" s="5"/>
      <c r="L636">
        <f>DigInv!M636</f>
        <v>0.41447800000000001</v>
      </c>
      <c r="M636">
        <f>DigDir!N636</f>
        <v>63</v>
      </c>
      <c r="O636">
        <f>ABS(L636-DigInv!$C$34)</f>
        <v>4.4286664278975936</v>
      </c>
      <c r="P636">
        <f t="shared" si="10"/>
        <v>63</v>
      </c>
    </row>
    <row r="637" spans="10:16">
      <c r="J637" s="5"/>
      <c r="L637">
        <f>DigInv!M637</f>
        <v>0.41447800000000001</v>
      </c>
      <c r="M637">
        <f>DigDir!N637</f>
        <v>63.1</v>
      </c>
      <c r="O637">
        <f>ABS(L637-DigInv!$C$34)</f>
        <v>4.4286664278975936</v>
      </c>
      <c r="P637">
        <f t="shared" si="10"/>
        <v>63.1</v>
      </c>
    </row>
    <row r="638" spans="10:16">
      <c r="J638" s="5"/>
      <c r="L638">
        <f>DigInv!M638</f>
        <v>0.41447800000000001</v>
      </c>
      <c r="M638">
        <f>DigDir!N638</f>
        <v>63.2</v>
      </c>
      <c r="O638">
        <f>ABS(L638-DigInv!$C$34)</f>
        <v>4.4286664278975936</v>
      </c>
      <c r="P638">
        <f t="shared" si="10"/>
        <v>63.2</v>
      </c>
    </row>
    <row r="639" spans="10:16">
      <c r="J639" s="5"/>
      <c r="L639">
        <f>DigInv!M639</f>
        <v>0.41447800000000001</v>
      </c>
      <c r="M639">
        <f>DigDir!N639</f>
        <v>63.3</v>
      </c>
      <c r="O639">
        <f>ABS(L639-DigInv!$C$34)</f>
        <v>4.4286664278975936</v>
      </c>
      <c r="P639">
        <f t="shared" si="10"/>
        <v>63.3</v>
      </c>
    </row>
    <row r="640" spans="10:16">
      <c r="J640" s="5"/>
      <c r="L640">
        <f>DigInv!M640</f>
        <v>0.41447800000000001</v>
      </c>
      <c r="M640">
        <f>DigDir!N640</f>
        <v>63.4</v>
      </c>
      <c r="O640">
        <f>ABS(L640-DigInv!$C$34)</f>
        <v>4.4286664278975936</v>
      </c>
      <c r="P640">
        <f t="shared" si="10"/>
        <v>63.4</v>
      </c>
    </row>
    <row r="641" spans="10:16">
      <c r="J641" s="5"/>
      <c r="L641">
        <f>DigInv!M641</f>
        <v>0.41447800000000001</v>
      </c>
      <c r="M641">
        <f>DigDir!N641</f>
        <v>63.5</v>
      </c>
      <c r="O641">
        <f>ABS(L641-DigInv!$C$34)</f>
        <v>4.4286664278975936</v>
      </c>
      <c r="P641">
        <f t="shared" si="10"/>
        <v>63.5</v>
      </c>
    </row>
    <row r="642" spans="10:16">
      <c r="J642" s="5"/>
      <c r="L642">
        <f>DigInv!M642</f>
        <v>0.43628773600000098</v>
      </c>
      <c r="M642">
        <f>DigDir!N642</f>
        <v>63.6</v>
      </c>
      <c r="O642">
        <f>ABS(L642-DigInv!$C$34)</f>
        <v>4.4504761638975943</v>
      </c>
      <c r="P642">
        <f t="shared" si="10"/>
        <v>63.6</v>
      </c>
    </row>
    <row r="643" spans="10:16">
      <c r="J643" s="5"/>
      <c r="L643">
        <f>DigInv!M643</f>
        <v>0.46368971200000098</v>
      </c>
      <c r="M643">
        <f>DigDir!N643</f>
        <v>63.7</v>
      </c>
      <c r="O643">
        <f>ABS(L643-DigInv!$C$34)</f>
        <v>4.4778781398975944</v>
      </c>
      <c r="P643">
        <f t="shared" si="10"/>
        <v>63.7</v>
      </c>
    </row>
    <row r="644" spans="10:16">
      <c r="J644" s="5"/>
      <c r="L644">
        <f>DigInv!M644</f>
        <v>0.48438100000000001</v>
      </c>
      <c r="M644">
        <f>DigDir!N644</f>
        <v>63.8</v>
      </c>
      <c r="O644">
        <f>ABS(L644-DigInv!$C$34)</f>
        <v>4.4985694278975936</v>
      </c>
      <c r="P644">
        <f t="shared" si="10"/>
        <v>63.8</v>
      </c>
    </row>
    <row r="645" spans="10:16">
      <c r="J645" s="5"/>
      <c r="L645">
        <f>DigInv!M645</f>
        <v>0.48438100000000001</v>
      </c>
      <c r="M645">
        <f>DigDir!N645</f>
        <v>63.9</v>
      </c>
      <c r="O645">
        <f>ABS(L645-DigInv!$C$34)</f>
        <v>4.4985694278975936</v>
      </c>
      <c r="P645">
        <f t="shared" si="10"/>
        <v>63.9</v>
      </c>
    </row>
    <row r="646" spans="10:16">
      <c r="J646" s="5"/>
      <c r="L646">
        <f>DigInv!M646</f>
        <v>0.48438100000000001</v>
      </c>
      <c r="M646">
        <f>DigDir!N646</f>
        <v>64</v>
      </c>
      <c r="O646">
        <f>ABS(L646-DigInv!$C$34)</f>
        <v>4.4985694278975936</v>
      </c>
      <c r="P646">
        <f t="shared" si="10"/>
        <v>64</v>
      </c>
    </row>
    <row r="647" spans="10:16">
      <c r="J647" s="5"/>
      <c r="L647">
        <f>DigInv!M647</f>
        <v>0.48438100000000001</v>
      </c>
      <c r="M647">
        <f>DigDir!N647</f>
        <v>64.099999999999994</v>
      </c>
      <c r="O647">
        <f>ABS(L647-DigInv!$C$34)</f>
        <v>4.4985694278975936</v>
      </c>
      <c r="P647">
        <f t="shared" ref="P647:P710" si="11">M647</f>
        <v>64.099999999999994</v>
      </c>
    </row>
    <row r="648" spans="10:16">
      <c r="J648" s="5"/>
      <c r="L648">
        <f>DigInv!M648</f>
        <v>0.48438100000000001</v>
      </c>
      <c r="M648">
        <f>DigDir!N648</f>
        <v>64.2</v>
      </c>
      <c r="O648">
        <f>ABS(L648-DigInv!$C$34)</f>
        <v>4.4985694278975936</v>
      </c>
      <c r="P648">
        <f t="shared" si="11"/>
        <v>64.2</v>
      </c>
    </row>
    <row r="649" spans="10:16">
      <c r="J649" s="5"/>
      <c r="L649">
        <f>DigInv!M649</f>
        <v>0.48438100000000001</v>
      </c>
      <c r="M649">
        <f>DigDir!N649</f>
        <v>64.3</v>
      </c>
      <c r="O649">
        <f>ABS(L649-DigInv!$C$34)</f>
        <v>4.4985694278975936</v>
      </c>
      <c r="P649">
        <f t="shared" si="11"/>
        <v>64.3</v>
      </c>
    </row>
    <row r="650" spans="10:16">
      <c r="J650" s="5"/>
      <c r="L650">
        <f>DigInv!M650</f>
        <v>0.48438100000000001</v>
      </c>
      <c r="M650">
        <f>DigDir!N650</f>
        <v>64.400000000000006</v>
      </c>
      <c r="O650">
        <f>ABS(L650-DigInv!$C$34)</f>
        <v>4.4985694278975936</v>
      </c>
      <c r="P650">
        <f t="shared" si="11"/>
        <v>64.400000000000006</v>
      </c>
    </row>
    <row r="651" spans="10:16">
      <c r="J651" s="5"/>
      <c r="L651">
        <f>DigInv!M651</f>
        <v>0.48438100000000001</v>
      </c>
      <c r="M651">
        <f>DigDir!N651</f>
        <v>64.5</v>
      </c>
      <c r="O651">
        <f>ABS(L651-DigInv!$C$34)</f>
        <v>4.4985694278975936</v>
      </c>
      <c r="P651">
        <f t="shared" si="11"/>
        <v>64.5</v>
      </c>
    </row>
    <row r="652" spans="10:16">
      <c r="J652" s="5"/>
      <c r="L652">
        <f>DigInv!M652</f>
        <v>0.48438100000000001</v>
      </c>
      <c r="M652">
        <f>DigDir!N652</f>
        <v>64.599999999999994</v>
      </c>
      <c r="O652">
        <f>ABS(L652-DigInv!$C$34)</f>
        <v>4.4985694278975936</v>
      </c>
      <c r="P652">
        <f t="shared" si="11"/>
        <v>64.599999999999994</v>
      </c>
    </row>
    <row r="653" spans="10:16">
      <c r="J653" s="5"/>
      <c r="L653">
        <f>DigInv!M653</f>
        <v>0.48438100000000001</v>
      </c>
      <c r="M653">
        <f>DigDir!N653</f>
        <v>64.7</v>
      </c>
      <c r="O653">
        <f>ABS(L653-DigInv!$C$34)</f>
        <v>4.4985694278975936</v>
      </c>
      <c r="P653">
        <f t="shared" si="11"/>
        <v>64.7</v>
      </c>
    </row>
    <row r="654" spans="10:16">
      <c r="J654" s="5"/>
      <c r="L654">
        <f>DigInv!M654</f>
        <v>0.48438100000000001</v>
      </c>
      <c r="M654">
        <f>DigDir!N654</f>
        <v>64.8</v>
      </c>
      <c r="O654">
        <f>ABS(L654-DigInv!$C$34)</f>
        <v>4.4985694278975936</v>
      </c>
      <c r="P654">
        <f t="shared" si="11"/>
        <v>64.8</v>
      </c>
    </row>
    <row r="655" spans="10:16">
      <c r="J655" s="5"/>
      <c r="L655">
        <f>DigInv!M655</f>
        <v>0.48438100000000001</v>
      </c>
      <c r="M655">
        <f>DigDir!N655</f>
        <v>64.900000000000006</v>
      </c>
      <c r="O655">
        <f>ABS(L655-DigInv!$C$34)</f>
        <v>4.4985694278975936</v>
      </c>
      <c r="P655">
        <f t="shared" si="11"/>
        <v>64.900000000000006</v>
      </c>
    </row>
    <row r="656" spans="10:16">
      <c r="J656" s="5"/>
      <c r="L656">
        <f>DigInv!M656</f>
        <v>0.48438100000000001</v>
      </c>
      <c r="M656">
        <f>DigDir!N656</f>
        <v>65</v>
      </c>
      <c r="O656">
        <f>ABS(L656-DigInv!$C$34)</f>
        <v>4.4985694278975936</v>
      </c>
      <c r="P656">
        <f t="shared" si="11"/>
        <v>65</v>
      </c>
    </row>
    <row r="657" spans="10:16">
      <c r="J657" s="5"/>
      <c r="L657">
        <f>DigInv!M657</f>
        <v>0.48438100000000001</v>
      </c>
      <c r="M657">
        <f>DigDir!N657</f>
        <v>65.099999999999994</v>
      </c>
      <c r="O657">
        <f>ABS(L657-DigInv!$C$34)</f>
        <v>4.4985694278975936</v>
      </c>
      <c r="P657">
        <f t="shared" si="11"/>
        <v>65.099999999999994</v>
      </c>
    </row>
    <row r="658" spans="10:16">
      <c r="J658" s="5"/>
      <c r="L658">
        <f>DigInv!M658</f>
        <v>0.48438100000000001</v>
      </c>
      <c r="M658">
        <f>DigDir!N658</f>
        <v>65.2</v>
      </c>
      <c r="O658">
        <f>ABS(L658-DigInv!$C$34)</f>
        <v>4.4985694278975936</v>
      </c>
      <c r="P658">
        <f t="shared" si="11"/>
        <v>65.2</v>
      </c>
    </row>
    <row r="659" spans="10:16">
      <c r="J659" s="5"/>
      <c r="L659">
        <f>DigInv!M659</f>
        <v>0.48438100000000001</v>
      </c>
      <c r="M659">
        <f>DigDir!N659</f>
        <v>65.3</v>
      </c>
      <c r="O659">
        <f>ABS(L659-DigInv!$C$34)</f>
        <v>4.4985694278975936</v>
      </c>
      <c r="P659">
        <f t="shared" si="11"/>
        <v>65.3</v>
      </c>
    </row>
    <row r="660" spans="10:16">
      <c r="J660" s="5"/>
      <c r="L660">
        <f>DigInv!M660</f>
        <v>0.48438100000000001</v>
      </c>
      <c r="M660">
        <f>DigDir!N660</f>
        <v>65.400000000000006</v>
      </c>
      <c r="O660">
        <f>ABS(L660-DigInv!$C$34)</f>
        <v>4.4985694278975936</v>
      </c>
      <c r="P660">
        <f t="shared" si="11"/>
        <v>65.400000000000006</v>
      </c>
    </row>
    <row r="661" spans="10:16">
      <c r="J661" s="5"/>
      <c r="L661">
        <f>DigInv!M661</f>
        <v>0.48438100000000001</v>
      </c>
      <c r="M661">
        <f>DigDir!N661</f>
        <v>65.5</v>
      </c>
      <c r="O661">
        <f>ABS(L661-DigInv!$C$34)</f>
        <v>4.4985694278975936</v>
      </c>
      <c r="P661">
        <f t="shared" si="11"/>
        <v>65.5</v>
      </c>
    </row>
    <row r="662" spans="10:16">
      <c r="J662" s="5"/>
      <c r="L662">
        <f>DigInv!M662</f>
        <v>0.48438100000000001</v>
      </c>
      <c r="M662">
        <f>DigDir!N662</f>
        <v>65.599999999999994</v>
      </c>
      <c r="O662">
        <f>ABS(L662-DigInv!$C$34)</f>
        <v>4.4985694278975936</v>
      </c>
      <c r="P662">
        <f t="shared" si="11"/>
        <v>65.599999999999994</v>
      </c>
    </row>
    <row r="663" spans="10:16">
      <c r="J663" s="5"/>
      <c r="L663">
        <f>DigInv!M663</f>
        <v>0.48438100000000001</v>
      </c>
      <c r="M663">
        <f>DigDir!N663</f>
        <v>65.7</v>
      </c>
      <c r="O663">
        <f>ABS(L663-DigInv!$C$34)</f>
        <v>4.4985694278975936</v>
      </c>
      <c r="P663">
        <f t="shared" si="11"/>
        <v>65.7</v>
      </c>
    </row>
    <row r="664" spans="10:16">
      <c r="J664" s="5"/>
      <c r="L664">
        <f>DigInv!M664</f>
        <v>0.48438100000000001</v>
      </c>
      <c r="M664">
        <f>DigDir!N664</f>
        <v>65.8</v>
      </c>
      <c r="O664">
        <f>ABS(L664-DigInv!$C$34)</f>
        <v>4.4985694278975936</v>
      </c>
      <c r="P664">
        <f t="shared" si="11"/>
        <v>65.8</v>
      </c>
    </row>
    <row r="665" spans="10:16">
      <c r="J665" s="5"/>
      <c r="L665">
        <f>DigInv!M665</f>
        <v>0.48438100000000001</v>
      </c>
      <c r="M665">
        <f>DigDir!N665</f>
        <v>65.900000000000006</v>
      </c>
      <c r="O665">
        <f>ABS(L665-DigInv!$C$34)</f>
        <v>4.4985694278975936</v>
      </c>
      <c r="P665">
        <f t="shared" si="11"/>
        <v>65.900000000000006</v>
      </c>
    </row>
    <row r="666" spans="10:16">
      <c r="J666" s="5"/>
      <c r="L666">
        <f>DigInv!M666</f>
        <v>0.48438100000000001</v>
      </c>
      <c r="M666">
        <f>DigDir!N666</f>
        <v>66</v>
      </c>
      <c r="O666">
        <f>ABS(L666-DigInv!$C$34)</f>
        <v>4.4985694278975936</v>
      </c>
      <c r="P666">
        <f t="shared" si="11"/>
        <v>66</v>
      </c>
    </row>
    <row r="667" spans="10:16">
      <c r="J667" s="5"/>
      <c r="L667">
        <f>DigInv!M667</f>
        <v>0.48438100000000001</v>
      </c>
      <c r="M667">
        <f>DigDir!N667</f>
        <v>66.099999999999994</v>
      </c>
      <c r="O667">
        <f>ABS(L667-DigInv!$C$34)</f>
        <v>4.4985694278975936</v>
      </c>
      <c r="P667">
        <f t="shared" si="11"/>
        <v>66.099999999999994</v>
      </c>
    </row>
    <row r="668" spans="10:16">
      <c r="J668" s="5"/>
      <c r="L668">
        <f>DigInv!M668</f>
        <v>0.48438100000000001</v>
      </c>
      <c r="M668">
        <f>DigDir!N668</f>
        <v>66.2</v>
      </c>
      <c r="O668">
        <f>ABS(L668-DigInv!$C$34)</f>
        <v>4.4985694278975936</v>
      </c>
      <c r="P668">
        <f t="shared" si="11"/>
        <v>66.2</v>
      </c>
    </row>
    <row r="669" spans="10:16">
      <c r="J669" s="5"/>
      <c r="L669">
        <f>DigInv!M669</f>
        <v>0.48438100000000001</v>
      </c>
      <c r="M669">
        <f>DigDir!N669</f>
        <v>66.3</v>
      </c>
      <c r="O669">
        <f>ABS(L669-DigInv!$C$34)</f>
        <v>4.4985694278975936</v>
      </c>
      <c r="P669">
        <f t="shared" si="11"/>
        <v>66.3</v>
      </c>
    </row>
    <row r="670" spans="10:16">
      <c r="J670" s="5"/>
      <c r="L670">
        <f>DigInv!M670</f>
        <v>0.48438100000000001</v>
      </c>
      <c r="M670">
        <f>DigDir!N670</f>
        <v>66.400000000000006</v>
      </c>
      <c r="O670">
        <f>ABS(L670-DigInv!$C$34)</f>
        <v>4.4985694278975936</v>
      </c>
      <c r="P670">
        <f t="shared" si="11"/>
        <v>66.400000000000006</v>
      </c>
    </row>
    <row r="671" spans="10:16">
      <c r="J671" s="5"/>
      <c r="L671">
        <f>DigInv!M671</f>
        <v>0.48438100000000001</v>
      </c>
      <c r="M671">
        <f>DigDir!N671</f>
        <v>66.5</v>
      </c>
      <c r="O671">
        <f>ABS(L671-DigInv!$C$34)</f>
        <v>4.4985694278975936</v>
      </c>
      <c r="P671">
        <f t="shared" si="11"/>
        <v>66.5</v>
      </c>
    </row>
    <row r="672" spans="10:16">
      <c r="J672" s="5"/>
      <c r="L672">
        <f>DigInv!M672</f>
        <v>0.48438100000000001</v>
      </c>
      <c r="M672">
        <f>DigDir!N672</f>
        <v>66.599999999999994</v>
      </c>
      <c r="O672">
        <f>ABS(L672-DigInv!$C$34)</f>
        <v>4.4985694278975936</v>
      </c>
      <c r="P672">
        <f t="shared" si="11"/>
        <v>66.599999999999994</v>
      </c>
    </row>
    <row r="673" spans="10:16">
      <c r="J673" s="5"/>
      <c r="L673">
        <f>DigInv!M673</f>
        <v>0.48438100000000001</v>
      </c>
      <c r="M673">
        <f>DigDir!N673</f>
        <v>66.7</v>
      </c>
      <c r="O673">
        <f>ABS(L673-DigInv!$C$34)</f>
        <v>4.4985694278975936</v>
      </c>
      <c r="P673">
        <f t="shared" si="11"/>
        <v>66.7</v>
      </c>
    </row>
    <row r="674" spans="10:16">
      <c r="J674" s="5"/>
      <c r="L674">
        <f>DigInv!M674</f>
        <v>0.48438100000000001</v>
      </c>
      <c r="M674">
        <f>DigDir!N674</f>
        <v>66.8</v>
      </c>
      <c r="O674">
        <f>ABS(L674-DigInv!$C$34)</f>
        <v>4.4985694278975936</v>
      </c>
      <c r="P674">
        <f t="shared" si="11"/>
        <v>66.8</v>
      </c>
    </row>
    <row r="675" spans="10:16">
      <c r="J675" s="5"/>
      <c r="L675">
        <f>DigInv!M675</f>
        <v>0.48438100000000001</v>
      </c>
      <c r="M675">
        <f>DigDir!N675</f>
        <v>66.900000000000006</v>
      </c>
      <c r="O675">
        <f>ABS(L675-DigInv!$C$34)</f>
        <v>4.4985694278975936</v>
      </c>
      <c r="P675">
        <f t="shared" si="11"/>
        <v>66.900000000000006</v>
      </c>
    </row>
    <row r="676" spans="10:16">
      <c r="J676" s="5"/>
      <c r="L676">
        <f>DigInv!M676</f>
        <v>0.48438100000000001</v>
      </c>
      <c r="M676">
        <f>DigDir!N676</f>
        <v>67</v>
      </c>
      <c r="O676">
        <f>ABS(L676-DigInv!$C$34)</f>
        <v>4.4985694278975936</v>
      </c>
      <c r="P676">
        <f t="shared" si="11"/>
        <v>67</v>
      </c>
    </row>
    <row r="677" spans="10:16">
      <c r="J677" s="5"/>
      <c r="L677">
        <f>DigInv!M677</f>
        <v>0.48438100000000001</v>
      </c>
      <c r="M677">
        <f>DigDir!N677</f>
        <v>67.099999999999994</v>
      </c>
      <c r="O677">
        <f>ABS(L677-DigInv!$C$34)</f>
        <v>4.4985694278975936</v>
      </c>
      <c r="P677">
        <f t="shared" si="11"/>
        <v>67.099999999999994</v>
      </c>
    </row>
    <row r="678" spans="10:16">
      <c r="J678" s="5"/>
      <c r="L678">
        <f>DigInv!M678</f>
        <v>0.48438100000000001</v>
      </c>
      <c r="M678">
        <f>DigDir!N678</f>
        <v>67.2</v>
      </c>
      <c r="O678">
        <f>ABS(L678-DigInv!$C$34)</f>
        <v>4.4985694278975936</v>
      </c>
      <c r="P678">
        <f t="shared" si="11"/>
        <v>67.2</v>
      </c>
    </row>
    <row r="679" spans="10:16">
      <c r="J679" s="5"/>
      <c r="L679">
        <f>DigInv!M679</f>
        <v>0.48438100000000001</v>
      </c>
      <c r="M679">
        <f>DigDir!N679</f>
        <v>67.3</v>
      </c>
      <c r="O679">
        <f>ABS(L679-DigInv!$C$34)</f>
        <v>4.4985694278975936</v>
      </c>
      <c r="P679">
        <f t="shared" si="11"/>
        <v>67.3</v>
      </c>
    </row>
    <row r="680" spans="10:16">
      <c r="J680" s="5"/>
      <c r="L680">
        <f>DigInv!M680</f>
        <v>0.48438100000000001</v>
      </c>
      <c r="M680">
        <f>DigDir!N680</f>
        <v>67.400000000000006</v>
      </c>
      <c r="O680">
        <f>ABS(L680-DigInv!$C$34)</f>
        <v>4.4985694278975936</v>
      </c>
      <c r="P680">
        <f t="shared" si="11"/>
        <v>67.400000000000006</v>
      </c>
    </row>
    <row r="681" spans="10:16">
      <c r="J681" s="5"/>
      <c r="L681">
        <f>DigInv!M681</f>
        <v>0.48438100000000001</v>
      </c>
      <c r="M681">
        <f>DigDir!N681</f>
        <v>67.5</v>
      </c>
      <c r="O681">
        <f>ABS(L681-DigInv!$C$34)</f>
        <v>4.4985694278975936</v>
      </c>
      <c r="P681">
        <f t="shared" si="11"/>
        <v>67.5</v>
      </c>
    </row>
    <row r="682" spans="10:16">
      <c r="J682" s="5"/>
      <c r="L682">
        <f>DigInv!M682</f>
        <v>0.48438100000000001</v>
      </c>
      <c r="M682">
        <f>DigDir!N682</f>
        <v>67.599999999999994</v>
      </c>
      <c r="O682">
        <f>ABS(L682-DigInv!$C$34)</f>
        <v>4.4985694278975936</v>
      </c>
      <c r="P682">
        <f t="shared" si="11"/>
        <v>67.599999999999994</v>
      </c>
    </row>
    <row r="683" spans="10:16">
      <c r="J683" s="5"/>
      <c r="L683">
        <f>DigInv!M683</f>
        <v>0.48438100000000001</v>
      </c>
      <c r="M683">
        <f>DigDir!N683</f>
        <v>67.7</v>
      </c>
      <c r="O683">
        <f>ABS(L683-DigInv!$C$34)</f>
        <v>4.4985694278975936</v>
      </c>
      <c r="P683">
        <f t="shared" si="11"/>
        <v>67.7</v>
      </c>
    </row>
    <row r="684" spans="10:16">
      <c r="J684" s="5"/>
      <c r="L684">
        <f>DigInv!M684</f>
        <v>0.48438100000000001</v>
      </c>
      <c r="M684">
        <f>DigDir!N684</f>
        <v>67.8</v>
      </c>
      <c r="O684">
        <f>ABS(L684-DigInv!$C$34)</f>
        <v>4.4985694278975936</v>
      </c>
      <c r="P684">
        <f t="shared" si="11"/>
        <v>67.8</v>
      </c>
    </row>
    <row r="685" spans="10:16">
      <c r="J685" s="5"/>
      <c r="L685">
        <f>DigInv!M685</f>
        <v>0.48438100000000001</v>
      </c>
      <c r="M685">
        <f>DigDir!N685</f>
        <v>67.900000000000006</v>
      </c>
      <c r="O685">
        <f>ABS(L685-DigInv!$C$34)</f>
        <v>4.4985694278975936</v>
      </c>
      <c r="P685">
        <f t="shared" si="11"/>
        <v>67.900000000000006</v>
      </c>
    </row>
    <row r="686" spans="10:16">
      <c r="J686" s="5"/>
      <c r="L686">
        <f>DigInv!M686</f>
        <v>0.48438100000000001</v>
      </c>
      <c r="M686">
        <f>DigDir!N686</f>
        <v>68</v>
      </c>
      <c r="O686">
        <f>ABS(L686-DigInv!$C$34)</f>
        <v>4.4985694278975936</v>
      </c>
      <c r="P686">
        <f t="shared" si="11"/>
        <v>68</v>
      </c>
    </row>
    <row r="687" spans="10:16">
      <c r="J687" s="5"/>
      <c r="L687">
        <f>DigInv!M687</f>
        <v>0.48438100000000001</v>
      </c>
      <c r="M687">
        <f>DigDir!N687</f>
        <v>68.099999999999994</v>
      </c>
      <c r="O687">
        <f>ABS(L687-DigInv!$C$34)</f>
        <v>4.4985694278975936</v>
      </c>
      <c r="P687">
        <f t="shared" si="11"/>
        <v>68.099999999999994</v>
      </c>
    </row>
    <row r="688" spans="10:16">
      <c r="J688" s="5"/>
      <c r="L688">
        <f>DigInv!M688</f>
        <v>0.50977060799999996</v>
      </c>
      <c r="M688">
        <f>DigDir!N688</f>
        <v>68.2</v>
      </c>
      <c r="O688">
        <f>ABS(L688-DigInv!$C$34)</f>
        <v>4.5239590358975938</v>
      </c>
      <c r="P688">
        <f t="shared" si="11"/>
        <v>68.2</v>
      </c>
    </row>
    <row r="689" spans="10:16">
      <c r="J689" s="5"/>
      <c r="L689">
        <f>DigInv!M689</f>
        <v>0.53870295200000395</v>
      </c>
      <c r="M689">
        <f>DigDir!N689</f>
        <v>68.3</v>
      </c>
      <c r="O689">
        <f>ABS(L689-DigInv!$C$34)</f>
        <v>4.5528913798975976</v>
      </c>
      <c r="P689">
        <f t="shared" si="11"/>
        <v>68.3</v>
      </c>
    </row>
    <row r="690" spans="10:16">
      <c r="J690" s="5"/>
      <c r="L690">
        <f>DigInv!M690</f>
        <v>0.55818800000000002</v>
      </c>
      <c r="M690">
        <f>DigDir!N690</f>
        <v>68.400000000000006</v>
      </c>
      <c r="O690">
        <f>ABS(L690-DigInv!$C$34)</f>
        <v>4.572376427897594</v>
      </c>
      <c r="P690">
        <f t="shared" si="11"/>
        <v>68.400000000000006</v>
      </c>
    </row>
    <row r="691" spans="10:16">
      <c r="J691" s="5"/>
      <c r="L691">
        <f>DigInv!M691</f>
        <v>0.55818800000000002</v>
      </c>
      <c r="M691">
        <f>DigDir!N691</f>
        <v>68.5</v>
      </c>
      <c r="O691">
        <f>ABS(L691-DigInv!$C$34)</f>
        <v>4.572376427897594</v>
      </c>
      <c r="P691">
        <f t="shared" si="11"/>
        <v>68.5</v>
      </c>
    </row>
    <row r="692" spans="10:16">
      <c r="J692" s="5"/>
      <c r="L692">
        <f>DigInv!M692</f>
        <v>0.55818800000000002</v>
      </c>
      <c r="M692">
        <f>DigDir!N692</f>
        <v>68.599999999999994</v>
      </c>
      <c r="O692">
        <f>ABS(L692-DigInv!$C$34)</f>
        <v>4.572376427897594</v>
      </c>
      <c r="P692">
        <f t="shared" si="11"/>
        <v>68.599999999999994</v>
      </c>
    </row>
    <row r="693" spans="10:16">
      <c r="J693" s="5"/>
      <c r="L693">
        <f>DigInv!M693</f>
        <v>0.55818800000000002</v>
      </c>
      <c r="M693">
        <f>DigDir!N693</f>
        <v>68.7</v>
      </c>
      <c r="O693">
        <f>ABS(L693-DigInv!$C$34)</f>
        <v>4.572376427897594</v>
      </c>
      <c r="P693">
        <f t="shared" si="11"/>
        <v>68.7</v>
      </c>
    </row>
    <row r="694" spans="10:16">
      <c r="J694" s="5"/>
      <c r="L694">
        <f>DigInv!M694</f>
        <v>0.55818800000000002</v>
      </c>
      <c r="M694">
        <f>DigDir!N694</f>
        <v>68.8</v>
      </c>
      <c r="O694">
        <f>ABS(L694-DigInv!$C$34)</f>
        <v>4.572376427897594</v>
      </c>
      <c r="P694">
        <f t="shared" si="11"/>
        <v>68.8</v>
      </c>
    </row>
    <row r="695" spans="10:16">
      <c r="J695" s="5"/>
      <c r="L695">
        <f>DigInv!M695</f>
        <v>0.55818800000000002</v>
      </c>
      <c r="M695">
        <f>DigDir!N695</f>
        <v>68.900000000000006</v>
      </c>
      <c r="O695">
        <f>ABS(L695-DigInv!$C$34)</f>
        <v>4.572376427897594</v>
      </c>
      <c r="P695">
        <f t="shared" si="11"/>
        <v>68.900000000000006</v>
      </c>
    </row>
    <row r="696" spans="10:16">
      <c r="J696" s="5"/>
      <c r="L696">
        <f>DigInv!M696</f>
        <v>0.55818800000000002</v>
      </c>
      <c r="M696">
        <f>DigDir!N696</f>
        <v>69</v>
      </c>
      <c r="O696">
        <f>ABS(L696-DigInv!$C$34)</f>
        <v>4.572376427897594</v>
      </c>
      <c r="P696">
        <f t="shared" si="11"/>
        <v>69</v>
      </c>
    </row>
    <row r="697" spans="10:16">
      <c r="J697" s="5"/>
      <c r="L697">
        <f>DigInv!M697</f>
        <v>0.55818800000000002</v>
      </c>
      <c r="M697">
        <f>DigDir!N697</f>
        <v>69.099999999999994</v>
      </c>
      <c r="O697">
        <f>ABS(L697-DigInv!$C$34)</f>
        <v>4.572376427897594</v>
      </c>
      <c r="P697">
        <f t="shared" si="11"/>
        <v>69.099999999999994</v>
      </c>
    </row>
    <row r="698" spans="10:16">
      <c r="J698" s="5"/>
      <c r="L698">
        <f>DigInv!M698</f>
        <v>0.55818800000000002</v>
      </c>
      <c r="M698">
        <f>DigDir!N698</f>
        <v>69.2</v>
      </c>
      <c r="O698">
        <f>ABS(L698-DigInv!$C$34)</f>
        <v>4.572376427897594</v>
      </c>
      <c r="P698">
        <f t="shared" si="11"/>
        <v>69.2</v>
      </c>
    </row>
    <row r="699" spans="10:16">
      <c r="J699" s="5"/>
      <c r="L699">
        <f>DigInv!M699</f>
        <v>0.55818800000000002</v>
      </c>
      <c r="M699">
        <f>DigDir!N699</f>
        <v>69.3</v>
      </c>
      <c r="O699">
        <f>ABS(L699-DigInv!$C$34)</f>
        <v>4.572376427897594</v>
      </c>
      <c r="P699">
        <f t="shared" si="11"/>
        <v>69.3</v>
      </c>
    </row>
    <row r="700" spans="10:16">
      <c r="J700" s="5"/>
      <c r="L700">
        <f>DigInv!M700</f>
        <v>0.55818800000000002</v>
      </c>
      <c r="M700">
        <f>DigDir!N700</f>
        <v>69.400000000000006</v>
      </c>
      <c r="O700">
        <f>ABS(L700-DigInv!$C$34)</f>
        <v>4.572376427897594</v>
      </c>
      <c r="P700">
        <f t="shared" si="11"/>
        <v>69.400000000000006</v>
      </c>
    </row>
    <row r="701" spans="10:16">
      <c r="J701" s="5"/>
      <c r="L701">
        <f>DigInv!M701</f>
        <v>0.55818800000000002</v>
      </c>
      <c r="M701">
        <f>DigDir!N701</f>
        <v>69.5</v>
      </c>
      <c r="O701">
        <f>ABS(L701-DigInv!$C$34)</f>
        <v>4.572376427897594</v>
      </c>
      <c r="P701">
        <f t="shared" si="11"/>
        <v>69.5</v>
      </c>
    </row>
    <row r="702" spans="10:16">
      <c r="J702" s="5"/>
      <c r="L702">
        <f>DigInv!M702</f>
        <v>0.55818800000000002</v>
      </c>
      <c r="M702">
        <f>DigDir!N702</f>
        <v>69.599999999999994</v>
      </c>
      <c r="O702">
        <f>ABS(L702-DigInv!$C$34)</f>
        <v>4.572376427897594</v>
      </c>
      <c r="P702">
        <f t="shared" si="11"/>
        <v>69.599999999999994</v>
      </c>
    </row>
    <row r="703" spans="10:16">
      <c r="J703" s="5"/>
      <c r="L703">
        <f>DigInv!M703</f>
        <v>0.55818800000000002</v>
      </c>
      <c r="M703">
        <f>DigDir!N703</f>
        <v>69.7</v>
      </c>
      <c r="O703">
        <f>ABS(L703-DigInv!$C$34)</f>
        <v>4.572376427897594</v>
      </c>
      <c r="P703">
        <f t="shared" si="11"/>
        <v>69.7</v>
      </c>
    </row>
    <row r="704" spans="10:16">
      <c r="J704" s="5"/>
      <c r="L704">
        <f>DigInv!M704</f>
        <v>0.55818800000000002</v>
      </c>
      <c r="M704">
        <f>DigDir!N704</f>
        <v>69.8</v>
      </c>
      <c r="O704">
        <f>ABS(L704-DigInv!$C$34)</f>
        <v>4.572376427897594</v>
      </c>
      <c r="P704">
        <f t="shared" si="11"/>
        <v>69.8</v>
      </c>
    </row>
    <row r="705" spans="10:16">
      <c r="J705" s="5"/>
      <c r="L705">
        <f>DigInv!M705</f>
        <v>0.55818800000000002</v>
      </c>
      <c r="M705">
        <f>DigDir!N705</f>
        <v>69.900000000000006</v>
      </c>
      <c r="O705">
        <f>ABS(L705-DigInv!$C$34)</f>
        <v>4.572376427897594</v>
      </c>
      <c r="P705">
        <f t="shared" si="11"/>
        <v>69.900000000000006</v>
      </c>
    </row>
    <row r="706" spans="10:16">
      <c r="J706" s="5"/>
      <c r="L706">
        <f>DigInv!M706</f>
        <v>0.55818800000000002</v>
      </c>
      <c r="M706">
        <f>DigDir!N706</f>
        <v>70</v>
      </c>
      <c r="O706">
        <f>ABS(L706-DigInv!$C$34)</f>
        <v>4.572376427897594</v>
      </c>
      <c r="P706">
        <f t="shared" si="11"/>
        <v>70</v>
      </c>
    </row>
    <row r="707" spans="10:16">
      <c r="J707" s="5"/>
      <c r="L707">
        <f>DigInv!M707</f>
        <v>0.55818800000000002</v>
      </c>
      <c r="M707">
        <f>DigDir!N707</f>
        <v>70.099999999999994</v>
      </c>
      <c r="O707">
        <f>ABS(L707-DigInv!$C$34)</f>
        <v>4.572376427897594</v>
      </c>
      <c r="P707">
        <f t="shared" si="11"/>
        <v>70.099999999999994</v>
      </c>
    </row>
    <row r="708" spans="10:16">
      <c r="J708" s="5"/>
      <c r="L708">
        <f>DigInv!M708</f>
        <v>0.55818800000000002</v>
      </c>
      <c r="M708">
        <f>DigDir!N708</f>
        <v>70.2</v>
      </c>
      <c r="O708">
        <f>ABS(L708-DigInv!$C$34)</f>
        <v>4.572376427897594</v>
      </c>
      <c r="P708">
        <f t="shared" si="11"/>
        <v>70.2</v>
      </c>
    </row>
    <row r="709" spans="10:16">
      <c r="J709" s="5"/>
      <c r="L709">
        <f>DigInv!M709</f>
        <v>0.55818800000000002</v>
      </c>
      <c r="M709">
        <f>DigDir!N709</f>
        <v>70.3</v>
      </c>
      <c r="O709">
        <f>ABS(L709-DigInv!$C$34)</f>
        <v>4.572376427897594</v>
      </c>
      <c r="P709">
        <f t="shared" si="11"/>
        <v>70.3</v>
      </c>
    </row>
    <row r="710" spans="10:16">
      <c r="J710" s="5"/>
      <c r="L710">
        <f>DigInv!M710</f>
        <v>0.55818800000000002</v>
      </c>
      <c r="M710">
        <f>DigDir!N710</f>
        <v>70.400000000000006</v>
      </c>
      <c r="O710">
        <f>ABS(L710-DigInv!$C$34)</f>
        <v>4.572376427897594</v>
      </c>
      <c r="P710">
        <f t="shared" si="11"/>
        <v>70.400000000000006</v>
      </c>
    </row>
    <row r="711" spans="10:16">
      <c r="J711" s="5"/>
      <c r="L711">
        <f>DigInv!M711</f>
        <v>0.58608079999999696</v>
      </c>
      <c r="M711">
        <f>DigDir!N711</f>
        <v>70.5</v>
      </c>
      <c r="O711">
        <f>ABS(L711-DigInv!$C$34)</f>
        <v>4.6002692278975905</v>
      </c>
      <c r="P711">
        <f t="shared" ref="P711:P774" si="12">M711</f>
        <v>70.5</v>
      </c>
    </row>
    <row r="712" spans="10:16">
      <c r="J712" s="5"/>
      <c r="L712">
        <f>DigInv!M712</f>
        <v>0.61645296000000105</v>
      </c>
      <c r="M712">
        <f>DigDir!N712</f>
        <v>70.599999999999994</v>
      </c>
      <c r="O712">
        <f>ABS(L712-DigInv!$C$34)</f>
        <v>4.6306413878975947</v>
      </c>
      <c r="P712">
        <f t="shared" si="12"/>
        <v>70.599999999999994</v>
      </c>
    </row>
    <row r="713" spans="10:16">
      <c r="J713" s="5"/>
      <c r="L713">
        <f>DigInv!M713</f>
        <v>0.63566800000000001</v>
      </c>
      <c r="M713">
        <f>DigDir!N713</f>
        <v>70.7</v>
      </c>
      <c r="O713">
        <f>ABS(L713-DigInv!$C$34)</f>
        <v>4.6498564278975936</v>
      </c>
      <c r="P713">
        <f t="shared" si="12"/>
        <v>70.7</v>
      </c>
    </row>
    <row r="714" spans="10:16">
      <c r="J714" s="5"/>
      <c r="L714">
        <f>DigInv!M714</f>
        <v>0.63566800000000001</v>
      </c>
      <c r="M714">
        <f>DigDir!N714</f>
        <v>70.8</v>
      </c>
      <c r="O714">
        <f>ABS(L714-DigInv!$C$34)</f>
        <v>4.6498564278975936</v>
      </c>
      <c r="P714">
        <f t="shared" si="12"/>
        <v>70.8</v>
      </c>
    </row>
    <row r="715" spans="10:16">
      <c r="J715" s="5"/>
      <c r="L715">
        <f>DigInv!M715</f>
        <v>0.63566800000000001</v>
      </c>
      <c r="M715">
        <f>DigDir!N715</f>
        <v>70.900000000000006</v>
      </c>
      <c r="O715">
        <f>ABS(L715-DigInv!$C$34)</f>
        <v>4.6498564278975936</v>
      </c>
      <c r="P715">
        <f t="shared" si="12"/>
        <v>70.900000000000006</v>
      </c>
    </row>
    <row r="716" spans="10:16">
      <c r="J716" s="5"/>
      <c r="L716">
        <f>DigInv!M716</f>
        <v>0.63566800000000001</v>
      </c>
      <c r="M716">
        <f>DigDir!N716</f>
        <v>71</v>
      </c>
      <c r="O716">
        <f>ABS(L716-DigInv!$C$34)</f>
        <v>4.6498564278975936</v>
      </c>
      <c r="P716">
        <f t="shared" si="12"/>
        <v>71</v>
      </c>
    </row>
    <row r="717" spans="10:16">
      <c r="J717" s="5"/>
      <c r="L717">
        <f>DigInv!M717</f>
        <v>0.63566800000000001</v>
      </c>
      <c r="M717">
        <f>DigDir!N717</f>
        <v>71.099999999999994</v>
      </c>
      <c r="O717">
        <f>ABS(L717-DigInv!$C$34)</f>
        <v>4.6498564278975936</v>
      </c>
      <c r="P717">
        <f t="shared" si="12"/>
        <v>71.099999999999994</v>
      </c>
    </row>
    <row r="718" spans="10:16">
      <c r="J718" s="5"/>
      <c r="L718">
        <f>DigInv!M718</f>
        <v>0.63566800000000001</v>
      </c>
      <c r="M718">
        <f>DigDir!N718</f>
        <v>71.2</v>
      </c>
      <c r="O718">
        <f>ABS(L718-DigInv!$C$34)</f>
        <v>4.6498564278975936</v>
      </c>
      <c r="P718">
        <f t="shared" si="12"/>
        <v>71.2</v>
      </c>
    </row>
    <row r="719" spans="10:16">
      <c r="J719" s="5"/>
      <c r="L719">
        <f>DigInv!M719</f>
        <v>0.63566800000000001</v>
      </c>
      <c r="M719">
        <f>DigDir!N719</f>
        <v>71.3</v>
      </c>
      <c r="O719">
        <f>ABS(L719-DigInv!$C$34)</f>
        <v>4.6498564278975936</v>
      </c>
      <c r="P719">
        <f t="shared" si="12"/>
        <v>71.3</v>
      </c>
    </row>
    <row r="720" spans="10:16">
      <c r="J720" s="5"/>
      <c r="L720">
        <f>DigInv!M720</f>
        <v>0.63566800000000001</v>
      </c>
      <c r="M720">
        <f>DigDir!N720</f>
        <v>71.400000000000006</v>
      </c>
      <c r="O720">
        <f>ABS(L720-DigInv!$C$34)</f>
        <v>4.6498564278975936</v>
      </c>
      <c r="P720">
        <f t="shared" si="12"/>
        <v>71.400000000000006</v>
      </c>
    </row>
    <row r="721" spans="10:16">
      <c r="J721" s="5"/>
      <c r="L721">
        <f>DigInv!M721</f>
        <v>0.63566800000000001</v>
      </c>
      <c r="M721">
        <f>DigDir!N721</f>
        <v>71.5</v>
      </c>
      <c r="O721">
        <f>ABS(L721-DigInv!$C$34)</f>
        <v>4.6498564278975936</v>
      </c>
      <c r="P721">
        <f t="shared" si="12"/>
        <v>71.5</v>
      </c>
    </row>
    <row r="722" spans="10:16">
      <c r="J722" s="5"/>
      <c r="L722">
        <f>DigInv!M722</f>
        <v>0.63566800000000001</v>
      </c>
      <c r="M722">
        <f>DigDir!N722</f>
        <v>71.599999999999994</v>
      </c>
      <c r="O722">
        <f>ABS(L722-DigInv!$C$34)</f>
        <v>4.6498564278975936</v>
      </c>
      <c r="P722">
        <f t="shared" si="12"/>
        <v>71.599999999999994</v>
      </c>
    </row>
    <row r="723" spans="10:16">
      <c r="J723" s="5"/>
      <c r="L723">
        <f>DigInv!M723</f>
        <v>0.63566800000000001</v>
      </c>
      <c r="M723">
        <f>DigDir!N723</f>
        <v>71.7</v>
      </c>
      <c r="O723">
        <f>ABS(L723-DigInv!$C$34)</f>
        <v>4.6498564278975936</v>
      </c>
      <c r="P723">
        <f t="shared" si="12"/>
        <v>71.7</v>
      </c>
    </row>
    <row r="724" spans="10:16">
      <c r="J724" s="5"/>
      <c r="L724">
        <f>DigInv!M724</f>
        <v>0.63566800000000001</v>
      </c>
      <c r="M724">
        <f>DigDir!N724</f>
        <v>71.8</v>
      </c>
      <c r="O724">
        <f>ABS(L724-DigInv!$C$34)</f>
        <v>4.6498564278975936</v>
      </c>
      <c r="P724">
        <f t="shared" si="12"/>
        <v>71.8</v>
      </c>
    </row>
    <row r="725" spans="10:16">
      <c r="J725" s="5"/>
      <c r="L725">
        <f>DigInv!M725</f>
        <v>0.63566800000000001</v>
      </c>
      <c r="M725">
        <f>DigDir!N725</f>
        <v>71.900000000000006</v>
      </c>
      <c r="O725">
        <f>ABS(L725-DigInv!$C$34)</f>
        <v>4.6498564278975936</v>
      </c>
      <c r="P725">
        <f t="shared" si="12"/>
        <v>71.900000000000006</v>
      </c>
    </row>
    <row r="726" spans="10:16">
      <c r="J726" s="5"/>
      <c r="L726">
        <f>DigInv!M726</f>
        <v>0.63566800000000001</v>
      </c>
      <c r="M726">
        <f>DigDir!N726</f>
        <v>72</v>
      </c>
      <c r="O726">
        <f>ABS(L726-DigInv!$C$34)</f>
        <v>4.6498564278975936</v>
      </c>
      <c r="P726">
        <f t="shared" si="12"/>
        <v>72</v>
      </c>
    </row>
    <row r="727" spans="10:16">
      <c r="J727" s="5"/>
      <c r="L727">
        <f>DigInv!M727</f>
        <v>0.63566800000000001</v>
      </c>
      <c r="M727">
        <f>DigDir!N727</f>
        <v>72.099999999999994</v>
      </c>
      <c r="O727">
        <f>ABS(L727-DigInv!$C$34)</f>
        <v>4.6498564278975936</v>
      </c>
      <c r="P727">
        <f t="shared" si="12"/>
        <v>72.099999999999994</v>
      </c>
    </row>
    <row r="728" spans="10:16">
      <c r="J728" s="5"/>
      <c r="L728">
        <f>DigInv!M728</f>
        <v>0.63566800000000001</v>
      </c>
      <c r="M728">
        <f>DigDir!N728</f>
        <v>72.2</v>
      </c>
      <c r="O728">
        <f>ABS(L728-DigInv!$C$34)</f>
        <v>4.6498564278975936</v>
      </c>
      <c r="P728">
        <f t="shared" si="12"/>
        <v>72.2</v>
      </c>
    </row>
    <row r="729" spans="10:16">
      <c r="J729" s="5"/>
      <c r="L729">
        <f>DigInv!M729</f>
        <v>0.63566800000000001</v>
      </c>
      <c r="M729">
        <f>DigDir!N729</f>
        <v>72.3</v>
      </c>
      <c r="O729">
        <f>ABS(L729-DigInv!$C$34)</f>
        <v>4.6498564278975936</v>
      </c>
      <c r="P729">
        <f t="shared" si="12"/>
        <v>72.3</v>
      </c>
    </row>
    <row r="730" spans="10:16">
      <c r="J730" s="5"/>
      <c r="L730">
        <f>DigInv!M730</f>
        <v>0.63566800000000001</v>
      </c>
      <c r="M730">
        <f>DigDir!N730</f>
        <v>72.400000000000006</v>
      </c>
      <c r="O730">
        <f>ABS(L730-DigInv!$C$34)</f>
        <v>4.6498564278975936</v>
      </c>
      <c r="P730">
        <f t="shared" si="12"/>
        <v>72.400000000000006</v>
      </c>
    </row>
    <row r="731" spans="10:16">
      <c r="J731" s="5"/>
      <c r="L731">
        <f>DigInv!M731</f>
        <v>0.63566800000000001</v>
      </c>
      <c r="M731">
        <f>DigDir!N731</f>
        <v>72.5</v>
      </c>
      <c r="O731">
        <f>ABS(L731-DigInv!$C$34)</f>
        <v>4.6498564278975936</v>
      </c>
      <c r="P731">
        <f t="shared" si="12"/>
        <v>72.5</v>
      </c>
    </row>
    <row r="732" spans="10:16">
      <c r="J732" s="5"/>
      <c r="L732">
        <f>DigInv!M732</f>
        <v>0.63566800000000001</v>
      </c>
      <c r="M732">
        <f>DigDir!N732</f>
        <v>72.599999999999994</v>
      </c>
      <c r="O732">
        <f>ABS(L732-DigInv!$C$34)</f>
        <v>4.6498564278975936</v>
      </c>
      <c r="P732">
        <f t="shared" si="12"/>
        <v>72.599999999999994</v>
      </c>
    </row>
    <row r="733" spans="10:16">
      <c r="J733" s="5"/>
      <c r="L733">
        <f>DigInv!M733</f>
        <v>0.63566800000000001</v>
      </c>
      <c r="M733">
        <f>DigDir!N733</f>
        <v>72.7</v>
      </c>
      <c r="O733">
        <f>ABS(L733-DigInv!$C$34)</f>
        <v>4.6498564278975936</v>
      </c>
      <c r="P733">
        <f t="shared" si="12"/>
        <v>72.7</v>
      </c>
    </row>
    <row r="734" spans="10:16">
      <c r="J734" s="5"/>
      <c r="L734">
        <f>DigInv!M734</f>
        <v>0.63566800000000001</v>
      </c>
      <c r="M734">
        <f>DigDir!N734</f>
        <v>72.8</v>
      </c>
      <c r="O734">
        <f>ABS(L734-DigInv!$C$34)</f>
        <v>4.6498564278975936</v>
      </c>
      <c r="P734">
        <f t="shared" si="12"/>
        <v>72.8</v>
      </c>
    </row>
    <row r="735" spans="10:16">
      <c r="J735" s="5"/>
      <c r="L735">
        <f>DigInv!M735</f>
        <v>0.63566800000000001</v>
      </c>
      <c r="M735">
        <f>DigDir!N735</f>
        <v>72.900000000000006</v>
      </c>
      <c r="O735">
        <f>ABS(L735-DigInv!$C$34)</f>
        <v>4.6498564278975936</v>
      </c>
      <c r="P735">
        <f t="shared" si="12"/>
        <v>72.900000000000006</v>
      </c>
    </row>
    <row r="736" spans="10:16">
      <c r="J736" s="5"/>
      <c r="L736">
        <f>DigInv!M736</f>
        <v>0.63566800000000001</v>
      </c>
      <c r="M736">
        <f>DigDir!N736</f>
        <v>73</v>
      </c>
      <c r="O736">
        <f>ABS(L736-DigInv!$C$34)</f>
        <v>4.6498564278975936</v>
      </c>
      <c r="P736">
        <f t="shared" si="12"/>
        <v>73</v>
      </c>
    </row>
    <row r="737" spans="10:16">
      <c r="J737" s="5"/>
      <c r="L737">
        <f>DigInv!M737</f>
        <v>0.63566800000000001</v>
      </c>
      <c r="M737">
        <f>DigDir!N737</f>
        <v>73.099999999999994</v>
      </c>
      <c r="O737">
        <f>ABS(L737-DigInv!$C$34)</f>
        <v>4.6498564278975936</v>
      </c>
      <c r="P737">
        <f t="shared" si="12"/>
        <v>73.099999999999994</v>
      </c>
    </row>
    <row r="738" spans="10:16">
      <c r="J738" s="5"/>
      <c r="L738">
        <f>DigInv!M738</f>
        <v>0.63566800000000001</v>
      </c>
      <c r="M738">
        <f>DigDir!N738</f>
        <v>73.2</v>
      </c>
      <c r="O738">
        <f>ABS(L738-DigInv!$C$34)</f>
        <v>4.6498564278975936</v>
      </c>
      <c r="P738">
        <f t="shared" si="12"/>
        <v>73.2</v>
      </c>
    </row>
    <row r="739" spans="10:16">
      <c r="J739" s="5"/>
      <c r="L739">
        <f>DigInv!M739</f>
        <v>0.63566800000000001</v>
      </c>
      <c r="M739">
        <f>DigDir!N739</f>
        <v>73.3</v>
      </c>
      <c r="O739">
        <f>ABS(L739-DigInv!$C$34)</f>
        <v>4.6498564278975936</v>
      </c>
      <c r="P739">
        <f t="shared" si="12"/>
        <v>73.3</v>
      </c>
    </row>
    <row r="740" spans="10:16">
      <c r="J740" s="5"/>
      <c r="L740">
        <f>DigInv!M740</f>
        <v>0.63566800000000001</v>
      </c>
      <c r="M740">
        <f>DigDir!N740</f>
        <v>73.400000000000006</v>
      </c>
      <c r="O740">
        <f>ABS(L740-DigInv!$C$34)</f>
        <v>4.6498564278975936</v>
      </c>
      <c r="P740">
        <f t="shared" si="12"/>
        <v>73.400000000000006</v>
      </c>
    </row>
    <row r="741" spans="10:16">
      <c r="J741" s="5"/>
      <c r="L741">
        <f>DigInv!M741</f>
        <v>0.63566800000000001</v>
      </c>
      <c r="M741">
        <f>DigDir!N741</f>
        <v>73.5</v>
      </c>
      <c r="O741">
        <f>ABS(L741-DigInv!$C$34)</f>
        <v>4.6498564278975936</v>
      </c>
      <c r="P741">
        <f t="shared" si="12"/>
        <v>73.5</v>
      </c>
    </row>
    <row r="742" spans="10:16">
      <c r="J742" s="5"/>
      <c r="L742">
        <f>DigInv!M742</f>
        <v>0.63566800000000001</v>
      </c>
      <c r="M742">
        <f>DigDir!N742</f>
        <v>73.599999999999994</v>
      </c>
      <c r="O742">
        <f>ABS(L742-DigInv!$C$34)</f>
        <v>4.6498564278975936</v>
      </c>
      <c r="P742">
        <f t="shared" si="12"/>
        <v>73.599999999999994</v>
      </c>
    </row>
    <row r="743" spans="10:16">
      <c r="J743" s="5"/>
      <c r="L743">
        <f>DigInv!M743</f>
        <v>0.63566800000000001</v>
      </c>
      <c r="M743">
        <f>DigDir!N743</f>
        <v>73.7</v>
      </c>
      <c r="O743">
        <f>ABS(L743-DigInv!$C$34)</f>
        <v>4.6498564278975936</v>
      </c>
      <c r="P743">
        <f t="shared" si="12"/>
        <v>73.7</v>
      </c>
    </row>
    <row r="744" spans="10:16">
      <c r="J744" s="5"/>
      <c r="L744">
        <f>DigInv!M744</f>
        <v>0.63566800000000001</v>
      </c>
      <c r="M744">
        <f>DigDir!N744</f>
        <v>73.8</v>
      </c>
      <c r="O744">
        <f>ABS(L744-DigInv!$C$34)</f>
        <v>4.6498564278975936</v>
      </c>
      <c r="P744">
        <f t="shared" si="12"/>
        <v>73.8</v>
      </c>
    </row>
    <row r="745" spans="10:16">
      <c r="J745" s="5"/>
      <c r="L745">
        <f>DigInv!M745</f>
        <v>0.63566800000000001</v>
      </c>
      <c r="M745">
        <f>DigDir!N745</f>
        <v>73.900000000000006</v>
      </c>
      <c r="O745">
        <f>ABS(L745-DigInv!$C$34)</f>
        <v>4.6498564278975936</v>
      </c>
      <c r="P745">
        <f t="shared" si="12"/>
        <v>73.900000000000006</v>
      </c>
    </row>
    <row r="746" spans="10:16">
      <c r="J746" s="5"/>
      <c r="L746">
        <f>DigInv!M746</f>
        <v>0.63566800000000001</v>
      </c>
      <c r="M746">
        <f>DigDir!N746</f>
        <v>74</v>
      </c>
      <c r="O746">
        <f>ABS(L746-DigInv!$C$34)</f>
        <v>4.6498564278975936</v>
      </c>
      <c r="P746">
        <f t="shared" si="12"/>
        <v>74</v>
      </c>
    </row>
    <row r="747" spans="10:16">
      <c r="J747" s="5"/>
      <c r="L747">
        <f>DigInv!M747</f>
        <v>0.63566800000000001</v>
      </c>
      <c r="M747">
        <f>DigDir!N747</f>
        <v>74.099999999999994</v>
      </c>
      <c r="O747">
        <f>ABS(L747-DigInv!$C$34)</f>
        <v>4.6498564278975936</v>
      </c>
      <c r="P747">
        <f t="shared" si="12"/>
        <v>74.099999999999994</v>
      </c>
    </row>
    <row r="748" spans="10:16">
      <c r="J748" s="5"/>
      <c r="L748">
        <f>DigInv!M748</f>
        <v>0.63566800000000001</v>
      </c>
      <c r="M748">
        <f>DigDir!N748</f>
        <v>74.2</v>
      </c>
      <c r="O748">
        <f>ABS(L748-DigInv!$C$34)</f>
        <v>4.6498564278975936</v>
      </c>
      <c r="P748">
        <f t="shared" si="12"/>
        <v>74.2</v>
      </c>
    </row>
    <row r="749" spans="10:16">
      <c r="J749" s="5"/>
      <c r="L749">
        <f>DigInv!M749</f>
        <v>0.63566800000000001</v>
      </c>
      <c r="M749">
        <f>DigDir!N749</f>
        <v>74.3</v>
      </c>
      <c r="O749">
        <f>ABS(L749-DigInv!$C$34)</f>
        <v>4.6498564278975936</v>
      </c>
      <c r="P749">
        <f t="shared" si="12"/>
        <v>74.3</v>
      </c>
    </row>
    <row r="750" spans="10:16">
      <c r="J750" s="5"/>
      <c r="L750">
        <f>DigInv!M750</f>
        <v>0.63566800000000001</v>
      </c>
      <c r="M750">
        <f>DigDir!N750</f>
        <v>74.400000000000006</v>
      </c>
      <c r="O750">
        <f>ABS(L750-DigInv!$C$34)</f>
        <v>4.6498564278975936</v>
      </c>
      <c r="P750">
        <f t="shared" si="12"/>
        <v>74.400000000000006</v>
      </c>
    </row>
    <row r="751" spans="10:16">
      <c r="J751" s="5"/>
      <c r="L751">
        <f>DigInv!M751</f>
        <v>0.63566800000000001</v>
      </c>
      <c r="M751">
        <f>DigDir!N751</f>
        <v>74.5</v>
      </c>
      <c r="O751">
        <f>ABS(L751-DigInv!$C$34)</f>
        <v>4.6498564278975936</v>
      </c>
      <c r="P751">
        <f t="shared" si="12"/>
        <v>74.5</v>
      </c>
    </row>
    <row r="752" spans="10:16">
      <c r="J752" s="5"/>
      <c r="L752">
        <f>DigInv!M752</f>
        <v>0.63566800000000001</v>
      </c>
      <c r="M752">
        <f>DigDir!N752</f>
        <v>74.599999999999994</v>
      </c>
      <c r="O752">
        <f>ABS(L752-DigInv!$C$34)</f>
        <v>4.6498564278975936</v>
      </c>
      <c r="P752">
        <f t="shared" si="12"/>
        <v>74.599999999999994</v>
      </c>
    </row>
    <row r="753" spans="10:16">
      <c r="J753" s="5"/>
      <c r="L753">
        <f>DigInv!M753</f>
        <v>0.63566800000000001</v>
      </c>
      <c r="M753">
        <f>DigDir!N753</f>
        <v>74.7</v>
      </c>
      <c r="O753">
        <f>ABS(L753-DigInv!$C$34)</f>
        <v>4.6498564278975936</v>
      </c>
      <c r="P753">
        <f t="shared" si="12"/>
        <v>74.7</v>
      </c>
    </row>
    <row r="754" spans="10:16">
      <c r="J754" s="5"/>
      <c r="L754">
        <f>DigInv!M754</f>
        <v>0.63566800000000001</v>
      </c>
      <c r="M754">
        <f>DigDir!N754</f>
        <v>74.8</v>
      </c>
      <c r="O754">
        <f>ABS(L754-DigInv!$C$34)</f>
        <v>4.6498564278975936</v>
      </c>
      <c r="P754">
        <f t="shared" si="12"/>
        <v>74.8</v>
      </c>
    </row>
    <row r="755" spans="10:16">
      <c r="J755" s="5"/>
      <c r="L755">
        <f>DigInv!M755</f>
        <v>0.63566800000000001</v>
      </c>
      <c r="M755">
        <f>DigDir!N755</f>
        <v>74.900000000000006</v>
      </c>
      <c r="O755">
        <f>ABS(L755-DigInv!$C$34)</f>
        <v>4.6498564278975936</v>
      </c>
      <c r="P755">
        <f t="shared" si="12"/>
        <v>74.900000000000006</v>
      </c>
    </row>
    <row r="756" spans="10:16">
      <c r="J756" s="5"/>
      <c r="L756">
        <f>DigInv!M756</f>
        <v>0.63566800000000001</v>
      </c>
      <c r="M756">
        <f>DigDir!N756</f>
        <v>75</v>
      </c>
      <c r="O756">
        <f>ABS(L756-DigInv!$C$34)</f>
        <v>4.6498564278975936</v>
      </c>
      <c r="P756">
        <f t="shared" si="12"/>
        <v>75</v>
      </c>
    </row>
    <row r="757" spans="10:16">
      <c r="J757" s="5"/>
      <c r="L757">
        <f>DigInv!M757</f>
        <v>0.63566800000000001</v>
      </c>
      <c r="M757">
        <f>DigDir!N757</f>
        <v>75.099999999999994</v>
      </c>
      <c r="O757">
        <f>ABS(L757-DigInv!$C$34)</f>
        <v>4.6498564278975936</v>
      </c>
      <c r="P757">
        <f t="shared" si="12"/>
        <v>75.099999999999994</v>
      </c>
    </row>
    <row r="758" spans="10:16">
      <c r="J758" s="5"/>
      <c r="L758">
        <f>DigInv!M758</f>
        <v>0.63566800000000001</v>
      </c>
      <c r="M758">
        <f>DigDir!N758</f>
        <v>75.2</v>
      </c>
      <c r="O758">
        <f>ABS(L758-DigInv!$C$34)</f>
        <v>4.6498564278975936</v>
      </c>
      <c r="P758">
        <f t="shared" si="12"/>
        <v>75.2</v>
      </c>
    </row>
    <row r="759" spans="10:16">
      <c r="J759" s="5"/>
      <c r="L759">
        <f>DigInv!M759</f>
        <v>0.63566800000000001</v>
      </c>
      <c r="M759">
        <f>DigDir!N759</f>
        <v>75.3</v>
      </c>
      <c r="O759">
        <f>ABS(L759-DigInv!$C$34)</f>
        <v>4.6498564278975936</v>
      </c>
      <c r="P759">
        <f t="shared" si="12"/>
        <v>75.3</v>
      </c>
    </row>
    <row r="760" spans="10:16">
      <c r="J760" s="5"/>
      <c r="L760">
        <f>DigInv!M760</f>
        <v>0.63566800000000001</v>
      </c>
      <c r="M760">
        <f>DigDir!N760</f>
        <v>75.400000000000006</v>
      </c>
      <c r="O760">
        <f>ABS(L760-DigInv!$C$34)</f>
        <v>4.6498564278975936</v>
      </c>
      <c r="P760">
        <f t="shared" si="12"/>
        <v>75.400000000000006</v>
      </c>
    </row>
    <row r="761" spans="10:16">
      <c r="J761" s="5"/>
      <c r="L761">
        <f>DigInv!M761</f>
        <v>0.63566800000000001</v>
      </c>
      <c r="M761">
        <f>DigDir!N761</f>
        <v>75.5</v>
      </c>
      <c r="O761">
        <f>ABS(L761-DigInv!$C$34)</f>
        <v>4.6498564278975936</v>
      </c>
      <c r="P761">
        <f t="shared" si="12"/>
        <v>75.5</v>
      </c>
    </row>
    <row r="762" spans="10:16">
      <c r="J762" s="5"/>
      <c r="L762">
        <f>DigInv!M762</f>
        <v>0.63566800000000001</v>
      </c>
      <c r="M762">
        <f>DigDir!N762</f>
        <v>75.599999999999994</v>
      </c>
      <c r="O762">
        <f>ABS(L762-DigInv!$C$34)</f>
        <v>4.6498564278975936</v>
      </c>
      <c r="P762">
        <f t="shared" si="12"/>
        <v>75.599999999999994</v>
      </c>
    </row>
    <row r="763" spans="10:16">
      <c r="J763" s="5"/>
      <c r="L763">
        <f>DigInv!M763</f>
        <v>0.63566800000000001</v>
      </c>
      <c r="M763">
        <f>DigDir!N763</f>
        <v>75.7</v>
      </c>
      <c r="O763">
        <f>ABS(L763-DigInv!$C$34)</f>
        <v>4.6498564278975936</v>
      </c>
      <c r="P763">
        <f t="shared" si="12"/>
        <v>75.7</v>
      </c>
    </row>
    <row r="764" spans="10:16">
      <c r="J764" s="5"/>
      <c r="L764">
        <f>DigInv!M764</f>
        <v>0.63566800000000001</v>
      </c>
      <c r="M764">
        <f>DigDir!N764</f>
        <v>75.8</v>
      </c>
      <c r="O764">
        <f>ABS(L764-DigInv!$C$34)</f>
        <v>4.6498564278975936</v>
      </c>
      <c r="P764">
        <f t="shared" si="12"/>
        <v>75.8</v>
      </c>
    </row>
    <row r="765" spans="10:16">
      <c r="J765" s="5"/>
      <c r="L765">
        <f>DigInv!M765</f>
        <v>0.63566800000000001</v>
      </c>
      <c r="M765">
        <f>DigDir!N765</f>
        <v>75.900000000000006</v>
      </c>
      <c r="O765">
        <f>ABS(L765-DigInv!$C$34)</f>
        <v>4.6498564278975936</v>
      </c>
      <c r="P765">
        <f t="shared" si="12"/>
        <v>75.900000000000006</v>
      </c>
    </row>
    <row r="766" spans="10:16">
      <c r="J766" s="5"/>
      <c r="L766">
        <f>DigInv!M766</f>
        <v>0.63566800000000001</v>
      </c>
      <c r="M766">
        <f>DigDir!N766</f>
        <v>76</v>
      </c>
      <c r="O766">
        <f>ABS(L766-DigInv!$C$34)</f>
        <v>4.6498564278975936</v>
      </c>
      <c r="P766">
        <f t="shared" si="12"/>
        <v>76</v>
      </c>
    </row>
    <row r="767" spans="10:16">
      <c r="J767" s="5"/>
      <c r="L767">
        <f>DigInv!M767</f>
        <v>0.63566800000000001</v>
      </c>
      <c r="M767">
        <f>DigDir!N767</f>
        <v>76.099999999999994</v>
      </c>
      <c r="O767">
        <f>ABS(L767-DigInv!$C$34)</f>
        <v>4.6498564278975936</v>
      </c>
      <c r="P767">
        <f t="shared" si="12"/>
        <v>76.099999999999994</v>
      </c>
    </row>
    <row r="768" spans="10:16">
      <c r="J768" s="5"/>
      <c r="L768">
        <f>DigInv!M768</f>
        <v>0.63566800000000001</v>
      </c>
      <c r="M768">
        <f>DigDir!N768</f>
        <v>76.2</v>
      </c>
      <c r="O768">
        <f>ABS(L768-DigInv!$C$34)</f>
        <v>4.6498564278975936</v>
      </c>
      <c r="P768">
        <f t="shared" si="12"/>
        <v>76.2</v>
      </c>
    </row>
    <row r="769" spans="10:16">
      <c r="J769" s="5"/>
      <c r="L769">
        <f>DigInv!M769</f>
        <v>0.63566800000000001</v>
      </c>
      <c r="M769">
        <f>DigDir!N769</f>
        <v>76.3</v>
      </c>
      <c r="O769">
        <f>ABS(L769-DigInv!$C$34)</f>
        <v>4.6498564278975936</v>
      </c>
      <c r="P769">
        <f t="shared" si="12"/>
        <v>76.3</v>
      </c>
    </row>
    <row r="770" spans="10:16">
      <c r="J770" s="5"/>
      <c r="L770">
        <f>DigInv!M770</f>
        <v>0.63566800000000001</v>
      </c>
      <c r="M770">
        <f>DigDir!N770</f>
        <v>76.400000000000006</v>
      </c>
      <c r="O770">
        <f>ABS(L770-DigInv!$C$34)</f>
        <v>4.6498564278975936</v>
      </c>
      <c r="P770">
        <f t="shared" si="12"/>
        <v>76.400000000000006</v>
      </c>
    </row>
    <row r="771" spans="10:16">
      <c r="J771" s="5"/>
      <c r="L771">
        <f>DigInv!M771</f>
        <v>0.63566800000000001</v>
      </c>
      <c r="M771">
        <f>DigDir!N771</f>
        <v>76.5</v>
      </c>
      <c r="O771">
        <f>ABS(L771-DigInv!$C$34)</f>
        <v>4.6498564278975936</v>
      </c>
      <c r="P771">
        <f t="shared" si="12"/>
        <v>76.5</v>
      </c>
    </row>
    <row r="772" spans="10:16">
      <c r="J772" s="5"/>
      <c r="L772">
        <f>DigInv!M772</f>
        <v>0.63566800000000001</v>
      </c>
      <c r="M772">
        <f>DigDir!N772</f>
        <v>76.599999999999994</v>
      </c>
      <c r="O772">
        <f>ABS(L772-DigInv!$C$34)</f>
        <v>4.6498564278975936</v>
      </c>
      <c r="P772">
        <f t="shared" si="12"/>
        <v>76.599999999999994</v>
      </c>
    </row>
    <row r="773" spans="10:16">
      <c r="J773" s="5"/>
      <c r="L773">
        <f>DigInv!M773</f>
        <v>0.63566800000000001</v>
      </c>
      <c r="M773">
        <f>DigDir!N773</f>
        <v>76.7</v>
      </c>
      <c r="O773">
        <f>ABS(L773-DigInv!$C$34)</f>
        <v>4.6498564278975936</v>
      </c>
      <c r="P773">
        <f t="shared" si="12"/>
        <v>76.7</v>
      </c>
    </row>
    <row r="774" spans="10:16">
      <c r="J774" s="5"/>
      <c r="L774">
        <f>DigInv!M774</f>
        <v>0.63566800000000001</v>
      </c>
      <c r="M774">
        <f>DigDir!N774</f>
        <v>76.8</v>
      </c>
      <c r="O774">
        <f>ABS(L774-DigInv!$C$34)</f>
        <v>4.6498564278975936</v>
      </c>
      <c r="P774">
        <f t="shared" si="12"/>
        <v>76.8</v>
      </c>
    </row>
    <row r="775" spans="10:16">
      <c r="J775" s="5"/>
      <c r="L775">
        <f>DigInv!M775</f>
        <v>0.63566800000000001</v>
      </c>
      <c r="M775">
        <f>DigDir!N775</f>
        <v>76.900000000000006</v>
      </c>
      <c r="O775">
        <f>ABS(L775-DigInv!$C$34)</f>
        <v>4.6498564278975936</v>
      </c>
      <c r="P775">
        <f t="shared" ref="P775:P838" si="13">M775</f>
        <v>76.900000000000006</v>
      </c>
    </row>
    <row r="776" spans="10:16">
      <c r="J776" s="5"/>
      <c r="L776">
        <f>DigInv!M776</f>
        <v>0.63566800000000001</v>
      </c>
      <c r="M776">
        <f>DigDir!N776</f>
        <v>77</v>
      </c>
      <c r="O776">
        <f>ABS(L776-DigInv!$C$34)</f>
        <v>4.6498564278975936</v>
      </c>
      <c r="P776">
        <f t="shared" si="13"/>
        <v>77</v>
      </c>
    </row>
    <row r="777" spans="10:16">
      <c r="J777" s="5"/>
      <c r="L777">
        <f>DigInv!M777</f>
        <v>0.63566800000000001</v>
      </c>
      <c r="M777">
        <f>DigDir!N777</f>
        <v>77.099999999999994</v>
      </c>
      <c r="O777">
        <f>ABS(L777-DigInv!$C$34)</f>
        <v>4.6498564278975936</v>
      </c>
      <c r="P777">
        <f t="shared" si="13"/>
        <v>77.099999999999994</v>
      </c>
    </row>
    <row r="778" spans="10:16">
      <c r="J778" s="5"/>
      <c r="L778">
        <f>DigInv!M778</f>
        <v>0.63566800000000001</v>
      </c>
      <c r="M778">
        <f>DigDir!N778</f>
        <v>77.2</v>
      </c>
      <c r="O778">
        <f>ABS(L778-DigInv!$C$34)</f>
        <v>4.6498564278975936</v>
      </c>
      <c r="P778">
        <f t="shared" si="13"/>
        <v>77.2</v>
      </c>
    </row>
    <row r="779" spans="10:16">
      <c r="J779" s="5"/>
      <c r="L779">
        <f>DigInv!M779</f>
        <v>0.63696001600000196</v>
      </c>
      <c r="M779">
        <f>DigDir!N779</f>
        <v>77.3</v>
      </c>
      <c r="O779">
        <f>ABS(L779-DigInv!$C$34)</f>
        <v>4.6511484438975952</v>
      </c>
      <c r="P779">
        <f t="shared" si="13"/>
        <v>77.3</v>
      </c>
    </row>
    <row r="780" spans="10:16">
      <c r="J780" s="5"/>
      <c r="L780">
        <f>DigInv!M780</f>
        <v>0.66861440800000105</v>
      </c>
      <c r="M780">
        <f>DigDir!N780</f>
        <v>77.400000000000006</v>
      </c>
      <c r="O780">
        <f>ABS(L780-DigInv!$C$34)</f>
        <v>4.6828028358975944</v>
      </c>
      <c r="P780">
        <f t="shared" si="13"/>
        <v>77.400000000000006</v>
      </c>
    </row>
    <row r="781" spans="10:16">
      <c r="J781" s="5"/>
      <c r="L781">
        <f>DigInv!M781</f>
        <v>0.70026880000000102</v>
      </c>
      <c r="M781">
        <f>DigDir!N781</f>
        <v>77.5</v>
      </c>
      <c r="O781">
        <f>ABS(L781-DigInv!$C$34)</f>
        <v>4.7144572278975945</v>
      </c>
      <c r="P781">
        <f t="shared" si="13"/>
        <v>77.5</v>
      </c>
    </row>
    <row r="782" spans="10:16">
      <c r="J782" s="5"/>
      <c r="L782">
        <f>DigInv!M782</f>
        <v>0.71641900000000003</v>
      </c>
      <c r="M782">
        <f>DigDir!N782</f>
        <v>77.599999999999994</v>
      </c>
      <c r="O782">
        <f>ABS(L782-DigInv!$C$34)</f>
        <v>4.7306074278975938</v>
      </c>
      <c r="P782">
        <f t="shared" si="13"/>
        <v>77.599999999999994</v>
      </c>
    </row>
    <row r="783" spans="10:16">
      <c r="J783" s="5"/>
      <c r="L783">
        <f>DigInv!M783</f>
        <v>0.71641900000000003</v>
      </c>
      <c r="M783">
        <f>DigDir!N783</f>
        <v>77.7</v>
      </c>
      <c r="O783">
        <f>ABS(L783-DigInv!$C$34)</f>
        <v>4.7306074278975938</v>
      </c>
      <c r="P783">
        <f t="shared" si="13"/>
        <v>77.7</v>
      </c>
    </row>
    <row r="784" spans="10:16">
      <c r="J784" s="5"/>
      <c r="L784">
        <f>DigInv!M784</f>
        <v>0.71641900000000003</v>
      </c>
      <c r="M784">
        <f>DigDir!N784</f>
        <v>77.8</v>
      </c>
      <c r="O784">
        <f>ABS(L784-DigInv!$C$34)</f>
        <v>4.7306074278975938</v>
      </c>
      <c r="P784">
        <f t="shared" si="13"/>
        <v>77.8</v>
      </c>
    </row>
    <row r="785" spans="10:16">
      <c r="J785" s="5"/>
      <c r="L785">
        <f>DigInv!M785</f>
        <v>0.71641900000000003</v>
      </c>
      <c r="M785">
        <f>DigDir!N785</f>
        <v>77.900000000000006</v>
      </c>
      <c r="O785">
        <f>ABS(L785-DigInv!$C$34)</f>
        <v>4.7306074278975938</v>
      </c>
      <c r="P785">
        <f t="shared" si="13"/>
        <v>77.900000000000006</v>
      </c>
    </row>
    <row r="786" spans="10:16">
      <c r="J786" s="5"/>
      <c r="L786">
        <f>DigInv!M786</f>
        <v>0.71641900000000003</v>
      </c>
      <c r="M786">
        <f>DigDir!N786</f>
        <v>78</v>
      </c>
      <c r="O786">
        <f>ABS(L786-DigInv!$C$34)</f>
        <v>4.7306074278975938</v>
      </c>
      <c r="P786">
        <f t="shared" si="13"/>
        <v>78</v>
      </c>
    </row>
    <row r="787" spans="10:16">
      <c r="J787" s="5"/>
      <c r="L787">
        <f>DigInv!M787</f>
        <v>0.72909655999999901</v>
      </c>
      <c r="M787">
        <f>DigDir!N787</f>
        <v>78.099999999999994</v>
      </c>
      <c r="O787">
        <f>ABS(L787-DigInv!$C$34)</f>
        <v>4.7432849878975922</v>
      </c>
      <c r="P787">
        <f t="shared" si="13"/>
        <v>78.099999999999994</v>
      </c>
    </row>
    <row r="788" spans="10:16">
      <c r="J788" s="5"/>
      <c r="L788">
        <f>DigInv!M788</f>
        <v>0.76179131999999905</v>
      </c>
      <c r="M788">
        <f>DigDir!N788</f>
        <v>78.2</v>
      </c>
      <c r="O788">
        <f>ABS(L788-DigInv!$C$34)</f>
        <v>4.7759797478975923</v>
      </c>
      <c r="P788">
        <f t="shared" si="13"/>
        <v>78.2</v>
      </c>
    </row>
    <row r="789" spans="10:16">
      <c r="J789" s="5"/>
      <c r="L789">
        <f>DigInv!M789</f>
        <v>0.79448608000000298</v>
      </c>
      <c r="M789">
        <f>DigDir!N789</f>
        <v>78.3</v>
      </c>
      <c r="O789">
        <f>ABS(L789-DigInv!$C$34)</f>
        <v>4.8086745078975968</v>
      </c>
      <c r="P789">
        <f t="shared" si="13"/>
        <v>78.3</v>
      </c>
    </row>
    <row r="790" spans="10:16">
      <c r="J790" s="5"/>
      <c r="L790">
        <f>DigInv!M790</f>
        <v>0.82777156800000296</v>
      </c>
      <c r="M790">
        <f>DigDir!N790</f>
        <v>78.400000000000006</v>
      </c>
      <c r="O790">
        <f>ABS(L790-DigInv!$C$34)</f>
        <v>4.8419599958975965</v>
      </c>
      <c r="P790">
        <f t="shared" si="13"/>
        <v>78.400000000000006</v>
      </c>
    </row>
    <row r="791" spans="10:16">
      <c r="J791" s="5"/>
      <c r="L791">
        <f>DigInv!M791</f>
        <v>0.86117232000000199</v>
      </c>
      <c r="M791">
        <f>DigDir!N791</f>
        <v>78.5</v>
      </c>
      <c r="O791">
        <f>ABS(L791-DigInv!$C$34)</f>
        <v>4.875360747897596</v>
      </c>
      <c r="P791">
        <f t="shared" si="13"/>
        <v>78.5</v>
      </c>
    </row>
    <row r="792" spans="10:16">
      <c r="J792" s="5"/>
      <c r="L792">
        <f>DigInv!M792</f>
        <v>0.88502999999999998</v>
      </c>
      <c r="M792">
        <f>DigDir!N792</f>
        <v>78.599999999999994</v>
      </c>
      <c r="O792">
        <f>ABS(L792-DigInv!$C$34)</f>
        <v>4.8992184278975941</v>
      </c>
      <c r="P792">
        <f t="shared" si="13"/>
        <v>78.599999999999994</v>
      </c>
    </row>
    <row r="793" spans="10:16">
      <c r="J793" s="5"/>
      <c r="L793">
        <f>DigInv!M793</f>
        <v>0.88502999999999998</v>
      </c>
      <c r="M793">
        <f>DigDir!N793</f>
        <v>78.7</v>
      </c>
      <c r="O793">
        <f>ABS(L793-DigInv!$C$34)</f>
        <v>4.8992184278975941</v>
      </c>
      <c r="P793">
        <f t="shared" si="13"/>
        <v>78.7</v>
      </c>
    </row>
    <row r="794" spans="10:16">
      <c r="J794" s="5"/>
      <c r="L794">
        <f>DigInv!M794</f>
        <v>0.88502999999999998</v>
      </c>
      <c r="M794">
        <f>DigDir!N794</f>
        <v>78.8</v>
      </c>
      <c r="O794">
        <f>ABS(L794-DigInv!$C$34)</f>
        <v>4.8992184278975941</v>
      </c>
      <c r="P794">
        <f t="shared" si="13"/>
        <v>78.8</v>
      </c>
    </row>
    <row r="795" spans="10:16">
      <c r="J795" s="5"/>
      <c r="L795">
        <f>DigInv!M795</f>
        <v>0.88502999999999998</v>
      </c>
      <c r="M795">
        <f>DigDir!N795</f>
        <v>78.900000000000006</v>
      </c>
      <c r="O795">
        <f>ABS(L795-DigInv!$C$34)</f>
        <v>4.8992184278975941</v>
      </c>
      <c r="P795">
        <f t="shared" si="13"/>
        <v>78.900000000000006</v>
      </c>
    </row>
    <row r="796" spans="10:16">
      <c r="J796" s="5"/>
      <c r="L796">
        <f>DigInv!M796</f>
        <v>0.88502999999999998</v>
      </c>
      <c r="M796">
        <f>DigDir!N796</f>
        <v>79</v>
      </c>
      <c r="O796">
        <f>ABS(L796-DigInv!$C$34)</f>
        <v>4.8992184278975941</v>
      </c>
      <c r="P796">
        <f t="shared" si="13"/>
        <v>79</v>
      </c>
    </row>
    <row r="797" spans="10:16">
      <c r="J797" s="5"/>
      <c r="L797">
        <f>DigInv!M797</f>
        <v>0.88502999999999998</v>
      </c>
      <c r="M797">
        <f>DigDir!N797</f>
        <v>79.099999999999994</v>
      </c>
      <c r="O797">
        <f>ABS(L797-DigInv!$C$34)</f>
        <v>4.8992184278975941</v>
      </c>
      <c r="P797">
        <f t="shared" si="13"/>
        <v>79.099999999999994</v>
      </c>
    </row>
    <row r="798" spans="10:16">
      <c r="J798" s="5"/>
      <c r="L798">
        <f>DigInv!M798</f>
        <v>0.88502999999999998</v>
      </c>
      <c r="M798">
        <f>DigDir!N798</f>
        <v>79.2</v>
      </c>
      <c r="O798">
        <f>ABS(L798-DigInv!$C$34)</f>
        <v>4.8992184278975941</v>
      </c>
      <c r="P798">
        <f t="shared" si="13"/>
        <v>79.2</v>
      </c>
    </row>
    <row r="799" spans="10:16">
      <c r="J799" s="5"/>
      <c r="L799">
        <f>DigInv!M799</f>
        <v>0.88502999999999998</v>
      </c>
      <c r="M799">
        <f>DigDir!N799</f>
        <v>79.3</v>
      </c>
      <c r="O799">
        <f>ABS(L799-DigInv!$C$34)</f>
        <v>4.8992184278975941</v>
      </c>
      <c r="P799">
        <f t="shared" si="13"/>
        <v>79.3</v>
      </c>
    </row>
    <row r="800" spans="10:16">
      <c r="J800" s="5"/>
      <c r="L800">
        <f>DigInv!M800</f>
        <v>0.88502999999999998</v>
      </c>
      <c r="M800">
        <f>DigDir!N800</f>
        <v>79.400000000000006</v>
      </c>
      <c r="O800">
        <f>ABS(L800-DigInv!$C$34)</f>
        <v>4.8992184278975941</v>
      </c>
      <c r="P800">
        <f t="shared" si="13"/>
        <v>79.400000000000006</v>
      </c>
    </row>
    <row r="801" spans="10:16">
      <c r="J801" s="5"/>
      <c r="L801">
        <f>DigInv!M801</f>
        <v>0.88502999999999998</v>
      </c>
      <c r="M801">
        <f>DigDir!N801</f>
        <v>79.5</v>
      </c>
      <c r="O801">
        <f>ABS(L801-DigInv!$C$34)</f>
        <v>4.8992184278975941</v>
      </c>
      <c r="P801">
        <f t="shared" si="13"/>
        <v>79.5</v>
      </c>
    </row>
    <row r="802" spans="10:16">
      <c r="J802" s="5"/>
      <c r="L802">
        <f>DigInv!M802</f>
        <v>0.88502999999999998</v>
      </c>
      <c r="M802">
        <f>DigDir!N802</f>
        <v>79.599999999999994</v>
      </c>
      <c r="O802">
        <f>ABS(L802-DigInv!$C$34)</f>
        <v>4.8992184278975941</v>
      </c>
      <c r="P802">
        <f t="shared" si="13"/>
        <v>79.599999999999994</v>
      </c>
    </row>
    <row r="803" spans="10:16">
      <c r="J803" s="5"/>
      <c r="L803">
        <f>DigInv!M803</f>
        <v>0.88502999999999998</v>
      </c>
      <c r="M803">
        <f>DigDir!N803</f>
        <v>79.7</v>
      </c>
      <c r="O803">
        <f>ABS(L803-DigInv!$C$34)</f>
        <v>4.8992184278975941</v>
      </c>
      <c r="P803">
        <f t="shared" si="13"/>
        <v>79.7</v>
      </c>
    </row>
    <row r="804" spans="10:16">
      <c r="J804" s="5"/>
      <c r="L804">
        <f>DigInv!M804</f>
        <v>0.88502999999999998</v>
      </c>
      <c r="M804">
        <f>DigDir!N804</f>
        <v>79.8</v>
      </c>
      <c r="O804">
        <f>ABS(L804-DigInv!$C$34)</f>
        <v>4.8992184278975941</v>
      </c>
      <c r="P804">
        <f t="shared" si="13"/>
        <v>79.8</v>
      </c>
    </row>
    <row r="805" spans="10:16">
      <c r="J805" s="5"/>
      <c r="L805">
        <f>DigInv!M805</f>
        <v>0.88502999999999998</v>
      </c>
      <c r="M805">
        <f>DigDir!N805</f>
        <v>79.900000000000006</v>
      </c>
      <c r="O805">
        <f>ABS(L805-DigInv!$C$34)</f>
        <v>4.8992184278975941</v>
      </c>
      <c r="P805">
        <f t="shared" si="13"/>
        <v>79.900000000000006</v>
      </c>
    </row>
    <row r="806" spans="10:16">
      <c r="J806" s="5"/>
      <c r="L806">
        <f>DigInv!M806</f>
        <v>0.88502999999999998</v>
      </c>
      <c r="M806">
        <f>DigDir!N806</f>
        <v>80</v>
      </c>
      <c r="O806">
        <f>ABS(L806-DigInv!$C$34)</f>
        <v>4.8992184278975941</v>
      </c>
      <c r="P806">
        <f t="shared" si="13"/>
        <v>80</v>
      </c>
    </row>
    <row r="807" spans="10:16">
      <c r="J807" s="5"/>
      <c r="L807">
        <f>DigInv!M807</f>
        <v>0.88502999999999998</v>
      </c>
      <c r="M807">
        <f>DigDir!N807</f>
        <v>80.099999999999994</v>
      </c>
      <c r="O807">
        <f>ABS(L807-DigInv!$C$34)</f>
        <v>4.8992184278975941</v>
      </c>
      <c r="P807">
        <f t="shared" si="13"/>
        <v>80.099999999999994</v>
      </c>
    </row>
    <row r="808" spans="10:16">
      <c r="J808" s="5"/>
      <c r="L808">
        <f>DigInv!M808</f>
        <v>0.88502999999999998</v>
      </c>
      <c r="M808">
        <f>DigDir!N808</f>
        <v>80.2</v>
      </c>
      <c r="O808">
        <f>ABS(L808-DigInv!$C$34)</f>
        <v>4.8992184278975941</v>
      </c>
      <c r="P808">
        <f t="shared" si="13"/>
        <v>80.2</v>
      </c>
    </row>
    <row r="809" spans="10:16">
      <c r="J809" s="5"/>
      <c r="L809">
        <f>DigInv!M809</f>
        <v>0.88502999999999998</v>
      </c>
      <c r="M809">
        <f>DigDir!N809</f>
        <v>80.3</v>
      </c>
      <c r="O809">
        <f>ABS(L809-DigInv!$C$34)</f>
        <v>4.8992184278975941</v>
      </c>
      <c r="P809">
        <f t="shared" si="13"/>
        <v>80.3</v>
      </c>
    </row>
    <row r="810" spans="10:16">
      <c r="J810" s="5"/>
      <c r="L810">
        <f>DigInv!M810</f>
        <v>0.88502999999999998</v>
      </c>
      <c r="M810">
        <f>DigDir!N810</f>
        <v>80.400000000000006</v>
      </c>
      <c r="O810">
        <f>ABS(L810-DigInv!$C$34)</f>
        <v>4.8992184278975941</v>
      </c>
      <c r="P810">
        <f t="shared" si="13"/>
        <v>80.400000000000006</v>
      </c>
    </row>
    <row r="811" spans="10:16">
      <c r="J811" s="5"/>
      <c r="L811">
        <f>DigInv!M811</f>
        <v>0.88502999999999998</v>
      </c>
      <c r="M811">
        <f>DigDir!N811</f>
        <v>80.5</v>
      </c>
      <c r="O811">
        <f>ABS(L811-DigInv!$C$34)</f>
        <v>4.8992184278975941</v>
      </c>
      <c r="P811">
        <f t="shared" si="13"/>
        <v>80.5</v>
      </c>
    </row>
    <row r="812" spans="10:16">
      <c r="J812" s="5"/>
      <c r="L812">
        <f>DigInv!M812</f>
        <v>0.88502999999999998</v>
      </c>
      <c r="M812">
        <f>DigDir!N812</f>
        <v>80.599999999999994</v>
      </c>
      <c r="O812">
        <f>ABS(L812-DigInv!$C$34)</f>
        <v>4.8992184278975941</v>
      </c>
      <c r="P812">
        <f t="shared" si="13"/>
        <v>80.599999999999994</v>
      </c>
    </row>
    <row r="813" spans="10:16">
      <c r="J813" s="5"/>
      <c r="L813">
        <f>DigInv!M813</f>
        <v>0.88502999999999998</v>
      </c>
      <c r="M813">
        <f>DigDir!N813</f>
        <v>80.7</v>
      </c>
      <c r="O813">
        <f>ABS(L813-DigInv!$C$34)</f>
        <v>4.8992184278975941</v>
      </c>
      <c r="P813">
        <f t="shared" si="13"/>
        <v>80.7</v>
      </c>
    </row>
    <row r="814" spans="10:16">
      <c r="J814" s="5"/>
      <c r="L814">
        <f>DigInv!M814</f>
        <v>0.88502999999999998</v>
      </c>
      <c r="M814">
        <f>DigDir!N814</f>
        <v>80.8</v>
      </c>
      <c r="O814">
        <f>ABS(L814-DigInv!$C$34)</f>
        <v>4.8992184278975941</v>
      </c>
      <c r="P814">
        <f t="shared" si="13"/>
        <v>80.8</v>
      </c>
    </row>
    <row r="815" spans="10:16">
      <c r="J815" s="5"/>
      <c r="L815">
        <f>DigInv!M815</f>
        <v>0.88502999999999998</v>
      </c>
      <c r="M815">
        <f>DigDir!N815</f>
        <v>80.900000000000006</v>
      </c>
      <c r="O815">
        <f>ABS(L815-DigInv!$C$34)</f>
        <v>4.8992184278975941</v>
      </c>
      <c r="P815">
        <f t="shared" si="13"/>
        <v>80.900000000000006</v>
      </c>
    </row>
    <row r="816" spans="10:16">
      <c r="J816" s="5"/>
      <c r="L816">
        <f>DigInv!M816</f>
        <v>0.88502999999999998</v>
      </c>
      <c r="M816">
        <f>DigDir!N816</f>
        <v>81</v>
      </c>
      <c r="O816">
        <f>ABS(L816-DigInv!$C$34)</f>
        <v>4.8992184278975941</v>
      </c>
      <c r="P816">
        <f t="shared" si="13"/>
        <v>81</v>
      </c>
    </row>
    <row r="817" spans="10:16">
      <c r="J817" s="5"/>
      <c r="L817">
        <f>DigInv!M817</f>
        <v>0.88502999999999998</v>
      </c>
      <c r="M817">
        <f>DigDir!N817</f>
        <v>81.099999999999994</v>
      </c>
      <c r="O817">
        <f>ABS(L817-DigInv!$C$34)</f>
        <v>4.8992184278975941</v>
      </c>
      <c r="P817">
        <f t="shared" si="13"/>
        <v>81.099999999999994</v>
      </c>
    </row>
    <row r="818" spans="10:16">
      <c r="J818" s="5"/>
      <c r="L818">
        <f>DigInv!M818</f>
        <v>0.88502999999999998</v>
      </c>
      <c r="M818">
        <f>DigDir!N818</f>
        <v>81.2</v>
      </c>
      <c r="O818">
        <f>ABS(L818-DigInv!$C$34)</f>
        <v>4.8992184278975941</v>
      </c>
      <c r="P818">
        <f t="shared" si="13"/>
        <v>81.2</v>
      </c>
    </row>
    <row r="819" spans="10:16">
      <c r="J819" s="5"/>
      <c r="L819">
        <f>DigInv!M819</f>
        <v>0.88502999999999998</v>
      </c>
      <c r="M819">
        <f>DigDir!N819</f>
        <v>81.3</v>
      </c>
      <c r="O819">
        <f>ABS(L819-DigInv!$C$34)</f>
        <v>4.8992184278975941</v>
      </c>
      <c r="P819">
        <f t="shared" si="13"/>
        <v>81.3</v>
      </c>
    </row>
    <row r="820" spans="10:16">
      <c r="J820" s="5"/>
      <c r="L820">
        <f>DigInv!M820</f>
        <v>0.88502999999999998</v>
      </c>
      <c r="M820">
        <f>DigDir!N820</f>
        <v>81.400000000000006</v>
      </c>
      <c r="O820">
        <f>ABS(L820-DigInv!$C$34)</f>
        <v>4.8992184278975941</v>
      </c>
      <c r="P820">
        <f t="shared" si="13"/>
        <v>81.400000000000006</v>
      </c>
    </row>
    <row r="821" spans="10:16">
      <c r="J821" s="5"/>
      <c r="L821">
        <f>DigInv!M821</f>
        <v>0.88502999999999998</v>
      </c>
      <c r="M821">
        <f>DigDir!N821</f>
        <v>81.5</v>
      </c>
      <c r="O821">
        <f>ABS(L821-DigInv!$C$34)</f>
        <v>4.8992184278975941</v>
      </c>
      <c r="P821">
        <f t="shared" si="13"/>
        <v>81.5</v>
      </c>
    </row>
    <row r="822" spans="10:16">
      <c r="J822" s="5"/>
      <c r="L822">
        <f>DigInv!M822</f>
        <v>0.88502999999999998</v>
      </c>
      <c r="M822">
        <f>DigDir!N822</f>
        <v>81.599999999999994</v>
      </c>
      <c r="O822">
        <f>ABS(L822-DigInv!$C$34)</f>
        <v>4.8992184278975941</v>
      </c>
      <c r="P822">
        <f t="shared" si="13"/>
        <v>81.599999999999994</v>
      </c>
    </row>
    <row r="823" spans="10:16">
      <c r="J823" s="5"/>
      <c r="L823">
        <f>DigInv!M823</f>
        <v>0.88502999999999998</v>
      </c>
      <c r="M823">
        <f>DigDir!N823</f>
        <v>81.7</v>
      </c>
      <c r="O823">
        <f>ABS(L823-DigInv!$C$34)</f>
        <v>4.8992184278975941</v>
      </c>
      <c r="P823">
        <f t="shared" si="13"/>
        <v>81.7</v>
      </c>
    </row>
    <row r="824" spans="10:16">
      <c r="J824" s="5"/>
      <c r="L824">
        <f>DigInv!M824</f>
        <v>0.88502999999999998</v>
      </c>
      <c r="M824">
        <f>DigDir!N824</f>
        <v>81.8</v>
      </c>
      <c r="O824">
        <f>ABS(L824-DigInv!$C$34)</f>
        <v>4.8992184278975941</v>
      </c>
      <c r="P824">
        <f t="shared" si="13"/>
        <v>81.8</v>
      </c>
    </row>
    <row r="825" spans="10:16">
      <c r="J825" s="5"/>
      <c r="L825">
        <f>DigInv!M825</f>
        <v>0.88502999999999998</v>
      </c>
      <c r="M825">
        <f>DigDir!N825</f>
        <v>81.900000000000006</v>
      </c>
      <c r="O825">
        <f>ABS(L825-DigInv!$C$34)</f>
        <v>4.8992184278975941</v>
      </c>
      <c r="P825">
        <f t="shared" si="13"/>
        <v>81.900000000000006</v>
      </c>
    </row>
    <row r="826" spans="10:16">
      <c r="J826" s="5"/>
      <c r="L826">
        <f>DigInv!M826</f>
        <v>0.88502999999999998</v>
      </c>
      <c r="M826">
        <f>DigDir!N826</f>
        <v>82</v>
      </c>
      <c r="O826">
        <f>ABS(L826-DigInv!$C$34)</f>
        <v>4.8992184278975941</v>
      </c>
      <c r="P826">
        <f t="shared" si="13"/>
        <v>82</v>
      </c>
    </row>
    <row r="827" spans="10:16">
      <c r="J827" s="5"/>
      <c r="L827">
        <f>DigInv!M827</f>
        <v>0.88502999999999998</v>
      </c>
      <c r="M827">
        <f>DigDir!N827</f>
        <v>82.1</v>
      </c>
      <c r="O827">
        <f>ABS(L827-DigInv!$C$34)</f>
        <v>4.8992184278975941</v>
      </c>
      <c r="P827">
        <f t="shared" si="13"/>
        <v>82.1</v>
      </c>
    </row>
    <row r="828" spans="10:16">
      <c r="J828" s="5"/>
      <c r="L828">
        <f>DigInv!M828</f>
        <v>0.88502999999999998</v>
      </c>
      <c r="M828">
        <f>DigDir!N828</f>
        <v>82.2</v>
      </c>
      <c r="O828">
        <f>ABS(L828-DigInv!$C$34)</f>
        <v>4.8992184278975941</v>
      </c>
      <c r="P828">
        <f t="shared" si="13"/>
        <v>82.2</v>
      </c>
    </row>
    <row r="829" spans="10:16">
      <c r="J829" s="5"/>
      <c r="L829">
        <f>DigInv!M829</f>
        <v>0.88502999999999998</v>
      </c>
      <c r="M829">
        <f>DigDir!N829</f>
        <v>82.3</v>
      </c>
      <c r="O829">
        <f>ABS(L829-DigInv!$C$34)</f>
        <v>4.8992184278975941</v>
      </c>
      <c r="P829">
        <f t="shared" si="13"/>
        <v>82.3</v>
      </c>
    </row>
    <row r="830" spans="10:16">
      <c r="J830" s="5"/>
      <c r="L830">
        <f>DigInv!M830</f>
        <v>0.88502999999999998</v>
      </c>
      <c r="M830">
        <f>DigDir!N830</f>
        <v>82.4</v>
      </c>
      <c r="O830">
        <f>ABS(L830-DigInv!$C$34)</f>
        <v>4.8992184278975941</v>
      </c>
      <c r="P830">
        <f t="shared" si="13"/>
        <v>82.4</v>
      </c>
    </row>
    <row r="831" spans="10:16">
      <c r="J831" s="5"/>
      <c r="L831">
        <f>DigInv!M831</f>
        <v>0.88502999999999998</v>
      </c>
      <c r="M831">
        <f>DigDir!N831</f>
        <v>82.5</v>
      </c>
      <c r="O831">
        <f>ABS(L831-DigInv!$C$34)</f>
        <v>4.8992184278975941</v>
      </c>
      <c r="P831">
        <f t="shared" si="13"/>
        <v>82.5</v>
      </c>
    </row>
    <row r="832" spans="10:16">
      <c r="J832" s="5"/>
      <c r="L832">
        <f>DigInv!M832</f>
        <v>0.88502999999999998</v>
      </c>
      <c r="M832">
        <f>DigDir!N832</f>
        <v>82.6</v>
      </c>
      <c r="O832">
        <f>ABS(L832-DigInv!$C$34)</f>
        <v>4.8992184278975941</v>
      </c>
      <c r="P832">
        <f t="shared" si="13"/>
        <v>82.6</v>
      </c>
    </row>
    <row r="833" spans="10:16">
      <c r="J833" s="5"/>
      <c r="L833">
        <f>DigInv!M833</f>
        <v>0.88502999999999998</v>
      </c>
      <c r="M833">
        <f>DigDir!N833</f>
        <v>82.7</v>
      </c>
      <c r="O833">
        <f>ABS(L833-DigInv!$C$34)</f>
        <v>4.8992184278975941</v>
      </c>
      <c r="P833">
        <f t="shared" si="13"/>
        <v>82.7</v>
      </c>
    </row>
    <row r="834" spans="10:16">
      <c r="J834" s="5"/>
      <c r="L834">
        <f>DigInv!M834</f>
        <v>0.88502999999999998</v>
      </c>
      <c r="M834">
        <f>DigDir!N834</f>
        <v>82.8</v>
      </c>
      <c r="O834">
        <f>ABS(L834-DigInv!$C$34)</f>
        <v>4.8992184278975941</v>
      </c>
      <c r="P834">
        <f t="shared" si="13"/>
        <v>82.8</v>
      </c>
    </row>
    <row r="835" spans="10:16">
      <c r="J835" s="5"/>
      <c r="L835">
        <f>DigInv!M835</f>
        <v>0.88502999999999998</v>
      </c>
      <c r="M835">
        <f>DigDir!N835</f>
        <v>82.9</v>
      </c>
      <c r="O835">
        <f>ABS(L835-DigInv!$C$34)</f>
        <v>4.8992184278975941</v>
      </c>
      <c r="P835">
        <f t="shared" si="13"/>
        <v>82.9</v>
      </c>
    </row>
    <row r="836" spans="10:16">
      <c r="J836" s="5"/>
      <c r="L836">
        <f>DigInv!M836</f>
        <v>0.88502999999999998</v>
      </c>
      <c r="M836">
        <f>DigDir!N836</f>
        <v>83</v>
      </c>
      <c r="O836">
        <f>ABS(L836-DigInv!$C$34)</f>
        <v>4.8992184278975941</v>
      </c>
      <c r="P836">
        <f t="shared" si="13"/>
        <v>83</v>
      </c>
    </row>
    <row r="837" spans="10:16">
      <c r="J837" s="5"/>
      <c r="L837">
        <f>DigInv!M837</f>
        <v>0.88502999999999998</v>
      </c>
      <c r="M837">
        <f>DigDir!N837</f>
        <v>83.1</v>
      </c>
      <c r="O837">
        <f>ABS(L837-DigInv!$C$34)</f>
        <v>4.8992184278975941</v>
      </c>
      <c r="P837">
        <f t="shared" si="13"/>
        <v>83.1</v>
      </c>
    </row>
    <row r="838" spans="10:16">
      <c r="J838" s="5"/>
      <c r="L838">
        <f>DigInv!M838</f>
        <v>0.88502999999999998</v>
      </c>
      <c r="M838">
        <f>DigDir!N838</f>
        <v>83.2</v>
      </c>
      <c r="O838">
        <f>ABS(L838-DigInv!$C$34)</f>
        <v>4.8992184278975941</v>
      </c>
      <c r="P838">
        <f t="shared" si="13"/>
        <v>83.2</v>
      </c>
    </row>
    <row r="839" spans="10:16">
      <c r="J839" s="5"/>
      <c r="L839">
        <f>DigInv!M839</f>
        <v>0.88502999999999998</v>
      </c>
      <c r="M839">
        <f>DigDir!N839</f>
        <v>83.3</v>
      </c>
      <c r="O839">
        <f>ABS(L839-DigInv!$C$34)</f>
        <v>4.8992184278975941</v>
      </c>
      <c r="P839">
        <f t="shared" ref="P839:P902" si="14">M839</f>
        <v>83.3</v>
      </c>
    </row>
    <row r="840" spans="10:16">
      <c r="J840" s="5"/>
      <c r="L840">
        <f>DigInv!M840</f>
        <v>0.88502999999999998</v>
      </c>
      <c r="M840">
        <f>DigDir!N840</f>
        <v>83.4</v>
      </c>
      <c r="O840">
        <f>ABS(L840-DigInv!$C$34)</f>
        <v>4.8992184278975941</v>
      </c>
      <c r="P840">
        <f t="shared" si="14"/>
        <v>83.4</v>
      </c>
    </row>
    <row r="841" spans="10:16">
      <c r="J841" s="5"/>
      <c r="L841">
        <f>DigInv!M841</f>
        <v>0.88502999999999998</v>
      </c>
      <c r="M841">
        <f>DigDir!N841</f>
        <v>83.5</v>
      </c>
      <c r="O841">
        <f>ABS(L841-DigInv!$C$34)</f>
        <v>4.8992184278975941</v>
      </c>
      <c r="P841">
        <f t="shared" si="14"/>
        <v>83.5</v>
      </c>
    </row>
    <row r="842" spans="10:16">
      <c r="J842" s="5"/>
      <c r="L842">
        <f>DigInv!M842</f>
        <v>0.88502999999999998</v>
      </c>
      <c r="M842">
        <f>DigDir!N842</f>
        <v>83.6</v>
      </c>
      <c r="O842">
        <f>ABS(L842-DigInv!$C$34)</f>
        <v>4.8992184278975941</v>
      </c>
      <c r="P842">
        <f t="shared" si="14"/>
        <v>83.6</v>
      </c>
    </row>
    <row r="843" spans="10:16">
      <c r="J843" s="5"/>
      <c r="L843">
        <f>DigInv!M843</f>
        <v>0.88502999999999998</v>
      </c>
      <c r="M843">
        <f>DigDir!N843</f>
        <v>83.7</v>
      </c>
      <c r="O843">
        <f>ABS(L843-DigInv!$C$34)</f>
        <v>4.8992184278975941</v>
      </c>
      <c r="P843">
        <f t="shared" si="14"/>
        <v>83.7</v>
      </c>
    </row>
    <row r="844" spans="10:16">
      <c r="J844" s="5"/>
      <c r="L844">
        <f>DigInv!M844</f>
        <v>0.88502999999999998</v>
      </c>
      <c r="M844">
        <f>DigDir!N844</f>
        <v>83.8</v>
      </c>
      <c r="O844">
        <f>ABS(L844-DigInv!$C$34)</f>
        <v>4.8992184278975941</v>
      </c>
      <c r="P844">
        <f t="shared" si="14"/>
        <v>83.8</v>
      </c>
    </row>
    <row r="845" spans="10:16">
      <c r="J845" s="5"/>
      <c r="L845">
        <f>DigInv!M845</f>
        <v>0.88502999999999998</v>
      </c>
      <c r="M845">
        <f>DigDir!N845</f>
        <v>83.9</v>
      </c>
      <c r="O845">
        <f>ABS(L845-DigInv!$C$34)</f>
        <v>4.8992184278975941</v>
      </c>
      <c r="P845">
        <f t="shared" si="14"/>
        <v>83.9</v>
      </c>
    </row>
    <row r="846" spans="10:16">
      <c r="J846" s="5"/>
      <c r="L846">
        <f>DigInv!M846</f>
        <v>0.88502999999999998</v>
      </c>
      <c r="M846">
        <f>DigDir!N846</f>
        <v>84</v>
      </c>
      <c r="O846">
        <f>ABS(L846-DigInv!$C$34)</f>
        <v>4.8992184278975941</v>
      </c>
      <c r="P846">
        <f t="shared" si="14"/>
        <v>84</v>
      </c>
    </row>
    <row r="847" spans="10:16">
      <c r="J847" s="5"/>
      <c r="L847">
        <f>DigInv!M847</f>
        <v>0.88502999999999998</v>
      </c>
      <c r="M847">
        <f>DigDir!N847</f>
        <v>84.1</v>
      </c>
      <c r="O847">
        <f>ABS(L847-DigInv!$C$34)</f>
        <v>4.8992184278975941</v>
      </c>
      <c r="P847">
        <f t="shared" si="14"/>
        <v>84.1</v>
      </c>
    </row>
    <row r="848" spans="10:16">
      <c r="J848" s="5"/>
      <c r="L848">
        <f>DigInv!M848</f>
        <v>0.88502999999999998</v>
      </c>
      <c r="M848">
        <f>DigDir!N848</f>
        <v>84.2</v>
      </c>
      <c r="O848">
        <f>ABS(L848-DigInv!$C$34)</f>
        <v>4.8992184278975941</v>
      </c>
      <c r="P848">
        <f t="shared" si="14"/>
        <v>84.2</v>
      </c>
    </row>
    <row r="849" spans="10:16">
      <c r="J849" s="5"/>
      <c r="L849">
        <f>DigInv!M849</f>
        <v>0.88502999999999998</v>
      </c>
      <c r="M849">
        <f>DigDir!N849</f>
        <v>84.3</v>
      </c>
      <c r="O849">
        <f>ABS(L849-DigInv!$C$34)</f>
        <v>4.8992184278975941</v>
      </c>
      <c r="P849">
        <f t="shared" si="14"/>
        <v>84.3</v>
      </c>
    </row>
    <row r="850" spans="10:16">
      <c r="J850" s="5"/>
      <c r="L850">
        <f>DigInv!M850</f>
        <v>0.88502999999999998</v>
      </c>
      <c r="M850">
        <f>DigDir!N850</f>
        <v>84.4</v>
      </c>
      <c r="O850">
        <f>ABS(L850-DigInv!$C$34)</f>
        <v>4.8992184278975941</v>
      </c>
      <c r="P850">
        <f t="shared" si="14"/>
        <v>84.4</v>
      </c>
    </row>
    <row r="851" spans="10:16">
      <c r="J851" s="5"/>
      <c r="L851">
        <f>DigInv!M851</f>
        <v>0.88502999999999998</v>
      </c>
      <c r="M851">
        <f>DigDir!N851</f>
        <v>84.5</v>
      </c>
      <c r="O851">
        <f>ABS(L851-DigInv!$C$34)</f>
        <v>4.8992184278975941</v>
      </c>
      <c r="P851">
        <f t="shared" si="14"/>
        <v>84.5</v>
      </c>
    </row>
    <row r="852" spans="10:16">
      <c r="J852" s="5"/>
      <c r="L852">
        <f>DigInv!M852</f>
        <v>0.88502999999999998</v>
      </c>
      <c r="M852">
        <f>DigDir!N852</f>
        <v>84.6</v>
      </c>
      <c r="O852">
        <f>ABS(L852-DigInv!$C$34)</f>
        <v>4.8992184278975941</v>
      </c>
      <c r="P852">
        <f t="shared" si="14"/>
        <v>84.6</v>
      </c>
    </row>
    <row r="853" spans="10:16">
      <c r="J853" s="5"/>
      <c r="L853">
        <f>DigInv!M853</f>
        <v>0.88502999999999998</v>
      </c>
      <c r="M853">
        <f>DigDir!N853</f>
        <v>84.7</v>
      </c>
      <c r="O853">
        <f>ABS(L853-DigInv!$C$34)</f>
        <v>4.8992184278975941</v>
      </c>
      <c r="P853">
        <f t="shared" si="14"/>
        <v>84.7</v>
      </c>
    </row>
    <row r="854" spans="10:16">
      <c r="J854" s="5"/>
      <c r="L854">
        <f>DigInv!M854</f>
        <v>0.88502999999999998</v>
      </c>
      <c r="M854">
        <f>DigDir!N854</f>
        <v>84.8</v>
      </c>
      <c r="O854">
        <f>ABS(L854-DigInv!$C$34)</f>
        <v>4.8992184278975941</v>
      </c>
      <c r="P854">
        <f t="shared" si="14"/>
        <v>84.8</v>
      </c>
    </row>
    <row r="855" spans="10:16">
      <c r="J855" s="5"/>
      <c r="L855">
        <f>DigInv!M855</f>
        <v>0.88502999999999998</v>
      </c>
      <c r="M855">
        <f>DigDir!N855</f>
        <v>84.9</v>
      </c>
      <c r="O855">
        <f>ABS(L855-DigInv!$C$34)</f>
        <v>4.8992184278975941</v>
      </c>
      <c r="P855">
        <f t="shared" si="14"/>
        <v>84.9</v>
      </c>
    </row>
    <row r="856" spans="10:16">
      <c r="J856" s="5"/>
      <c r="L856">
        <f>DigInv!M856</f>
        <v>0.88502999999999998</v>
      </c>
      <c r="M856">
        <f>DigDir!N856</f>
        <v>85</v>
      </c>
      <c r="O856">
        <f>ABS(L856-DigInv!$C$34)</f>
        <v>4.8992184278975941</v>
      </c>
      <c r="P856">
        <f t="shared" si="14"/>
        <v>85</v>
      </c>
    </row>
    <row r="857" spans="10:16">
      <c r="J857" s="5"/>
      <c r="L857">
        <f>DigInv!M857</f>
        <v>0.88502999999999998</v>
      </c>
      <c r="M857">
        <f>DigDir!N857</f>
        <v>85.1</v>
      </c>
      <c r="O857">
        <f>ABS(L857-DigInv!$C$34)</f>
        <v>4.8992184278975941</v>
      </c>
      <c r="P857">
        <f t="shared" si="14"/>
        <v>85.1</v>
      </c>
    </row>
    <row r="858" spans="10:16">
      <c r="J858" s="5"/>
      <c r="L858">
        <f>DigInv!M858</f>
        <v>0.88502999999999998</v>
      </c>
      <c r="M858">
        <f>DigDir!N858</f>
        <v>85.2</v>
      </c>
      <c r="O858">
        <f>ABS(L858-DigInv!$C$34)</f>
        <v>4.8992184278975941</v>
      </c>
      <c r="P858">
        <f t="shared" si="14"/>
        <v>85.2</v>
      </c>
    </row>
    <row r="859" spans="10:16">
      <c r="J859" s="5"/>
      <c r="L859">
        <f>DigInv!M859</f>
        <v>0.88502999999999998</v>
      </c>
      <c r="M859">
        <f>DigDir!N859</f>
        <v>85.3</v>
      </c>
      <c r="O859">
        <f>ABS(L859-DigInv!$C$34)</f>
        <v>4.8992184278975941</v>
      </c>
      <c r="P859">
        <f t="shared" si="14"/>
        <v>85.3</v>
      </c>
    </row>
    <row r="860" spans="10:16">
      <c r="J860" s="5"/>
      <c r="L860">
        <f>DigInv!M860</f>
        <v>0.88502999999999998</v>
      </c>
      <c r="M860">
        <f>DigDir!N860</f>
        <v>85.4</v>
      </c>
      <c r="O860">
        <f>ABS(L860-DigInv!$C$34)</f>
        <v>4.8992184278975941</v>
      </c>
      <c r="P860">
        <f t="shared" si="14"/>
        <v>85.4</v>
      </c>
    </row>
    <row r="861" spans="10:16">
      <c r="J861" s="5"/>
      <c r="L861">
        <f>DigInv!M861</f>
        <v>0.88502999999999998</v>
      </c>
      <c r="M861">
        <f>DigDir!N861</f>
        <v>85.5</v>
      </c>
      <c r="O861">
        <f>ABS(L861-DigInv!$C$34)</f>
        <v>4.8992184278975941</v>
      </c>
      <c r="P861">
        <f t="shared" si="14"/>
        <v>85.5</v>
      </c>
    </row>
    <row r="862" spans="10:16">
      <c r="J862" s="5"/>
      <c r="L862">
        <f>DigInv!M862</f>
        <v>0.88502999999999998</v>
      </c>
      <c r="M862">
        <f>DigDir!N862</f>
        <v>85.6</v>
      </c>
      <c r="O862">
        <f>ABS(L862-DigInv!$C$34)</f>
        <v>4.8992184278975941</v>
      </c>
      <c r="P862">
        <f t="shared" si="14"/>
        <v>85.6</v>
      </c>
    </row>
    <row r="863" spans="10:16">
      <c r="J863" s="5"/>
      <c r="L863">
        <f>DigInv!M863</f>
        <v>0.88502999999999998</v>
      </c>
      <c r="M863">
        <f>DigDir!N863</f>
        <v>85.7</v>
      </c>
      <c r="O863">
        <f>ABS(L863-DigInv!$C$34)</f>
        <v>4.8992184278975941</v>
      </c>
      <c r="P863">
        <f t="shared" si="14"/>
        <v>85.7</v>
      </c>
    </row>
    <row r="864" spans="10:16">
      <c r="J864" s="5"/>
      <c r="L864">
        <f>DigInv!M864</f>
        <v>0.88502999999999998</v>
      </c>
      <c r="M864">
        <f>DigDir!N864</f>
        <v>85.8</v>
      </c>
      <c r="O864">
        <f>ABS(L864-DigInv!$C$34)</f>
        <v>4.8992184278975941</v>
      </c>
      <c r="P864">
        <f t="shared" si="14"/>
        <v>85.8</v>
      </c>
    </row>
    <row r="865" spans="10:16">
      <c r="J865" s="5"/>
      <c r="L865">
        <f>DigInv!M865</f>
        <v>0.88502999999999998</v>
      </c>
      <c r="M865">
        <f>DigDir!N865</f>
        <v>85.9</v>
      </c>
      <c r="O865">
        <f>ABS(L865-DigInv!$C$34)</f>
        <v>4.8992184278975941</v>
      </c>
      <c r="P865">
        <f t="shared" si="14"/>
        <v>85.9</v>
      </c>
    </row>
    <row r="866" spans="10:16">
      <c r="J866" s="5"/>
      <c r="L866">
        <f>DigInv!M866</f>
        <v>0.88502999999999998</v>
      </c>
      <c r="M866">
        <f>DigDir!N866</f>
        <v>86</v>
      </c>
      <c r="O866">
        <f>ABS(L866-DigInv!$C$34)</f>
        <v>4.8992184278975941</v>
      </c>
      <c r="P866">
        <f t="shared" si="14"/>
        <v>86</v>
      </c>
    </row>
    <row r="867" spans="10:16">
      <c r="J867" s="5"/>
      <c r="L867">
        <f>DigInv!M867</f>
        <v>0.88502999999999998</v>
      </c>
      <c r="M867">
        <f>DigDir!N867</f>
        <v>86.1</v>
      </c>
      <c r="O867">
        <f>ABS(L867-DigInv!$C$34)</f>
        <v>4.8992184278975941</v>
      </c>
      <c r="P867">
        <f t="shared" si="14"/>
        <v>86.1</v>
      </c>
    </row>
    <row r="868" spans="10:16">
      <c r="J868" s="5"/>
      <c r="L868">
        <f>DigInv!M868</f>
        <v>0.88502999999999998</v>
      </c>
      <c r="M868">
        <f>DigDir!N868</f>
        <v>86.2</v>
      </c>
      <c r="O868">
        <f>ABS(L868-DigInv!$C$34)</f>
        <v>4.8992184278975941</v>
      </c>
      <c r="P868">
        <f t="shared" si="14"/>
        <v>86.2</v>
      </c>
    </row>
    <row r="869" spans="10:16">
      <c r="J869" s="5"/>
      <c r="L869">
        <f>DigInv!M869</f>
        <v>0.88502999999999998</v>
      </c>
      <c r="M869">
        <f>DigDir!N869</f>
        <v>86.3</v>
      </c>
      <c r="O869">
        <f>ABS(L869-DigInv!$C$34)</f>
        <v>4.8992184278975941</v>
      </c>
      <c r="P869">
        <f t="shared" si="14"/>
        <v>86.3</v>
      </c>
    </row>
    <row r="870" spans="10:16">
      <c r="J870" s="5"/>
      <c r="L870">
        <f>DigInv!M870</f>
        <v>0.88502999999999998</v>
      </c>
      <c r="M870">
        <f>DigDir!N870</f>
        <v>86.4</v>
      </c>
      <c r="O870">
        <f>ABS(L870-DigInv!$C$34)</f>
        <v>4.8992184278975941</v>
      </c>
      <c r="P870">
        <f t="shared" si="14"/>
        <v>86.4</v>
      </c>
    </row>
    <row r="871" spans="10:16">
      <c r="J871" s="5"/>
      <c r="L871">
        <f>DigInv!M871</f>
        <v>0.88502999999999998</v>
      </c>
      <c r="M871">
        <f>DigDir!N871</f>
        <v>86.5</v>
      </c>
      <c r="O871">
        <f>ABS(L871-DigInv!$C$34)</f>
        <v>4.8992184278975941</v>
      </c>
      <c r="P871">
        <f t="shared" si="14"/>
        <v>86.5</v>
      </c>
    </row>
    <row r="872" spans="10:16">
      <c r="J872" s="5"/>
      <c r="L872">
        <f>DigInv!M872</f>
        <v>0.88502999999999998</v>
      </c>
      <c r="M872">
        <f>DigDir!N872</f>
        <v>86.6</v>
      </c>
      <c r="O872">
        <f>ABS(L872-DigInv!$C$34)</f>
        <v>4.8992184278975941</v>
      </c>
      <c r="P872">
        <f t="shared" si="14"/>
        <v>86.6</v>
      </c>
    </row>
    <row r="873" spans="10:16">
      <c r="J873" s="5"/>
      <c r="L873">
        <f>DigInv!M873</f>
        <v>0.88502999999999998</v>
      </c>
      <c r="M873">
        <f>DigDir!N873</f>
        <v>86.7</v>
      </c>
      <c r="O873">
        <f>ABS(L873-DigInv!$C$34)</f>
        <v>4.8992184278975941</v>
      </c>
      <c r="P873">
        <f t="shared" si="14"/>
        <v>86.7</v>
      </c>
    </row>
    <row r="874" spans="10:16">
      <c r="J874" s="5"/>
      <c r="L874">
        <f>DigInv!M874</f>
        <v>0.88502999999999998</v>
      </c>
      <c r="M874">
        <f>DigDir!N874</f>
        <v>86.8</v>
      </c>
      <c r="O874">
        <f>ABS(L874-DigInv!$C$34)</f>
        <v>4.8992184278975941</v>
      </c>
      <c r="P874">
        <f t="shared" si="14"/>
        <v>86.8</v>
      </c>
    </row>
    <row r="875" spans="10:16">
      <c r="J875" s="5"/>
      <c r="L875">
        <f>DigInv!M875</f>
        <v>0.88502999999999998</v>
      </c>
      <c r="M875">
        <f>DigDir!N875</f>
        <v>86.9</v>
      </c>
      <c r="O875">
        <f>ABS(L875-DigInv!$C$34)</f>
        <v>4.8992184278975941</v>
      </c>
      <c r="P875">
        <f t="shared" si="14"/>
        <v>86.9</v>
      </c>
    </row>
    <row r="876" spans="10:16">
      <c r="J876" s="5"/>
      <c r="L876">
        <f>DigInv!M876</f>
        <v>0.88502999999999998</v>
      </c>
      <c r="M876">
        <f>DigDir!N876</f>
        <v>87</v>
      </c>
      <c r="O876">
        <f>ABS(L876-DigInv!$C$34)</f>
        <v>4.8992184278975941</v>
      </c>
      <c r="P876">
        <f t="shared" si="14"/>
        <v>87</v>
      </c>
    </row>
    <row r="877" spans="10:16">
      <c r="J877" s="5"/>
      <c r="L877">
        <f>DigInv!M877</f>
        <v>0.88502999999999998</v>
      </c>
      <c r="M877">
        <f>DigDir!N877</f>
        <v>87.1</v>
      </c>
      <c r="O877">
        <f>ABS(L877-DigInv!$C$34)</f>
        <v>4.8992184278975941</v>
      </c>
      <c r="P877">
        <f t="shared" si="14"/>
        <v>87.1</v>
      </c>
    </row>
    <row r="878" spans="10:16">
      <c r="J878" s="5"/>
      <c r="L878">
        <f>DigInv!M878</f>
        <v>0.88502999999999998</v>
      </c>
      <c r="M878">
        <f>DigDir!N878</f>
        <v>87.2</v>
      </c>
      <c r="O878">
        <f>ABS(L878-DigInv!$C$34)</f>
        <v>4.8992184278975941</v>
      </c>
      <c r="P878">
        <f t="shared" si="14"/>
        <v>87.2</v>
      </c>
    </row>
    <row r="879" spans="10:16">
      <c r="J879" s="5"/>
      <c r="L879">
        <f>DigInv!M879</f>
        <v>0.88502999999999998</v>
      </c>
      <c r="M879">
        <f>DigDir!N879</f>
        <v>87.3</v>
      </c>
      <c r="O879">
        <f>ABS(L879-DigInv!$C$34)</f>
        <v>4.8992184278975941</v>
      </c>
      <c r="P879">
        <f t="shared" si="14"/>
        <v>87.3</v>
      </c>
    </row>
    <row r="880" spans="10:16">
      <c r="J880" s="5"/>
      <c r="L880">
        <f>DigInv!M880</f>
        <v>0.88502999999999998</v>
      </c>
      <c r="M880">
        <f>DigDir!N880</f>
        <v>87.4</v>
      </c>
      <c r="O880">
        <f>ABS(L880-DigInv!$C$34)</f>
        <v>4.8992184278975941</v>
      </c>
      <c r="P880">
        <f t="shared" si="14"/>
        <v>87.4</v>
      </c>
    </row>
    <row r="881" spans="10:16">
      <c r="J881" s="5"/>
      <c r="L881">
        <f>DigInv!M881</f>
        <v>0.88502999999999998</v>
      </c>
      <c r="M881">
        <f>DigDir!N881</f>
        <v>87.5</v>
      </c>
      <c r="O881">
        <f>ABS(L881-DigInv!$C$34)</f>
        <v>4.8992184278975941</v>
      </c>
      <c r="P881">
        <f t="shared" si="14"/>
        <v>87.5</v>
      </c>
    </row>
    <row r="882" spans="10:16">
      <c r="J882" s="5"/>
      <c r="L882">
        <f>DigInv!M882</f>
        <v>0.88502999999999998</v>
      </c>
      <c r="M882">
        <f>DigDir!N882</f>
        <v>87.6</v>
      </c>
      <c r="O882">
        <f>ABS(L882-DigInv!$C$34)</f>
        <v>4.8992184278975941</v>
      </c>
      <c r="P882">
        <f t="shared" si="14"/>
        <v>87.6</v>
      </c>
    </row>
    <row r="883" spans="10:16">
      <c r="J883" s="5"/>
      <c r="L883">
        <f>DigInv!M883</f>
        <v>0.88502999999999998</v>
      </c>
      <c r="M883">
        <f>DigDir!N883</f>
        <v>87.7</v>
      </c>
      <c r="O883">
        <f>ABS(L883-DigInv!$C$34)</f>
        <v>4.8992184278975941</v>
      </c>
      <c r="P883">
        <f t="shared" si="14"/>
        <v>87.7</v>
      </c>
    </row>
    <row r="884" spans="10:16">
      <c r="J884" s="5"/>
      <c r="L884">
        <f>DigInv!M884</f>
        <v>0.88502999999999998</v>
      </c>
      <c r="M884">
        <f>DigDir!N884</f>
        <v>87.8</v>
      </c>
      <c r="O884">
        <f>ABS(L884-DigInv!$C$34)</f>
        <v>4.8992184278975941</v>
      </c>
      <c r="P884">
        <f t="shared" si="14"/>
        <v>87.8</v>
      </c>
    </row>
    <row r="885" spans="10:16">
      <c r="J885" s="5"/>
      <c r="L885">
        <f>DigInv!M885</f>
        <v>0.88502999999999998</v>
      </c>
      <c r="M885">
        <f>DigDir!N885</f>
        <v>87.9</v>
      </c>
      <c r="O885">
        <f>ABS(L885-DigInv!$C$34)</f>
        <v>4.8992184278975941</v>
      </c>
      <c r="P885">
        <f t="shared" si="14"/>
        <v>87.9</v>
      </c>
    </row>
    <row r="886" spans="10:16">
      <c r="J886" s="5"/>
      <c r="L886">
        <f>DigInv!M886</f>
        <v>0.88502999999999998</v>
      </c>
      <c r="M886">
        <f>DigDir!N886</f>
        <v>88</v>
      </c>
      <c r="O886">
        <f>ABS(L886-DigInv!$C$34)</f>
        <v>4.8992184278975941</v>
      </c>
      <c r="P886">
        <f t="shared" si="14"/>
        <v>88</v>
      </c>
    </row>
    <row r="887" spans="10:16">
      <c r="J887" s="5"/>
      <c r="L887">
        <f>DigInv!M887</f>
        <v>0.88502999999999998</v>
      </c>
      <c r="M887">
        <f>DigDir!N887</f>
        <v>88.1</v>
      </c>
      <c r="O887">
        <f>ABS(L887-DigInv!$C$34)</f>
        <v>4.8992184278975941</v>
      </c>
      <c r="P887">
        <f t="shared" si="14"/>
        <v>88.1</v>
      </c>
    </row>
    <row r="888" spans="10:16">
      <c r="J888" s="5"/>
      <c r="L888">
        <f>DigInv!M888</f>
        <v>0.88502999999999998</v>
      </c>
      <c r="M888">
        <f>DigDir!N888</f>
        <v>88.2</v>
      </c>
      <c r="O888">
        <f>ABS(L888-DigInv!$C$34)</f>
        <v>4.8992184278975941</v>
      </c>
      <c r="P888">
        <f t="shared" si="14"/>
        <v>88.2</v>
      </c>
    </row>
    <row r="889" spans="10:16">
      <c r="J889" s="5"/>
      <c r="L889">
        <f>DigInv!M889</f>
        <v>0.90831660000000403</v>
      </c>
      <c r="M889">
        <f>DigDir!N889</f>
        <v>88.3</v>
      </c>
      <c r="O889">
        <f>ABS(L889-DigInv!$C$34)</f>
        <v>4.9225050278975981</v>
      </c>
      <c r="P889">
        <f t="shared" si="14"/>
        <v>88.3</v>
      </c>
    </row>
    <row r="890" spans="10:16">
      <c r="J890" s="5"/>
      <c r="L890">
        <f>DigInv!M890</f>
        <v>0.97543680000000299</v>
      </c>
      <c r="M890">
        <f>DigDir!N890</f>
        <v>88.4</v>
      </c>
      <c r="O890">
        <f>ABS(L890-DigInv!$C$34)</f>
        <v>4.989625227897597</v>
      </c>
      <c r="P890">
        <f t="shared" si="14"/>
        <v>88.4</v>
      </c>
    </row>
    <row r="891" spans="10:16">
      <c r="J891" s="5"/>
      <c r="L891">
        <f>DigInv!M891</f>
        <v>1.042557</v>
      </c>
      <c r="M891">
        <f>DigDir!N891</f>
        <v>88.5</v>
      </c>
      <c r="O891">
        <f>ABS(L891-DigInv!$C$34)</f>
        <v>5.0567454278975941</v>
      </c>
      <c r="P891">
        <f t="shared" si="14"/>
        <v>88.5</v>
      </c>
    </row>
    <row r="892" spans="10:16">
      <c r="J892" s="5"/>
      <c r="L892">
        <f>DigInv!M892</f>
        <v>1.0822208879999999</v>
      </c>
      <c r="M892">
        <f>DigDir!N892</f>
        <v>88.6</v>
      </c>
      <c r="O892">
        <f>ABS(L892-DigInv!$C$34)</f>
        <v>5.0964093158975938</v>
      </c>
      <c r="P892">
        <f t="shared" si="14"/>
        <v>88.6</v>
      </c>
    </row>
    <row r="893" spans="10:16">
      <c r="J893" s="5"/>
      <c r="L893">
        <f>DigInv!M893</f>
        <v>1.114844696</v>
      </c>
      <c r="M893">
        <f>DigDir!N893</f>
        <v>88.7</v>
      </c>
      <c r="O893">
        <f>ABS(L893-DigInv!$C$34)</f>
        <v>5.1290331238975941</v>
      </c>
      <c r="P893">
        <f t="shared" si="14"/>
        <v>88.7</v>
      </c>
    </row>
    <row r="894" spans="10:16">
      <c r="J894" s="5"/>
      <c r="L894">
        <f>DigInv!M894</f>
        <v>1.154263576</v>
      </c>
      <c r="M894">
        <f>DigDir!N894</f>
        <v>88.8</v>
      </c>
      <c r="O894">
        <f>ABS(L894-DigInv!$C$34)</f>
        <v>5.1684520038975936</v>
      </c>
      <c r="P894">
        <f t="shared" si="14"/>
        <v>88.8</v>
      </c>
    </row>
    <row r="895" spans="10:16">
      <c r="J895" s="5"/>
      <c r="L895">
        <f>DigInv!M895</f>
        <v>1.214633928</v>
      </c>
      <c r="M895">
        <f>DigDir!N895</f>
        <v>88.9</v>
      </c>
      <c r="O895">
        <f>ABS(L895-DigInv!$C$34)</f>
        <v>5.2288223558975933</v>
      </c>
      <c r="P895">
        <f t="shared" si="14"/>
        <v>88.9</v>
      </c>
    </row>
    <row r="896" spans="10:16">
      <c r="J896" s="5"/>
      <c r="L896">
        <f>DigInv!M896</f>
        <v>1.2750042800000001</v>
      </c>
      <c r="M896">
        <f>DigDir!N896</f>
        <v>89</v>
      </c>
      <c r="O896">
        <f>ABS(L896-DigInv!$C$34)</f>
        <v>5.2891927078975938</v>
      </c>
      <c r="P896">
        <f t="shared" si="14"/>
        <v>89</v>
      </c>
    </row>
    <row r="897" spans="10:16">
      <c r="J897" s="5"/>
      <c r="L897">
        <f>DigInv!M897</f>
        <v>1.293485</v>
      </c>
      <c r="M897">
        <f>DigDir!N897</f>
        <v>89.1</v>
      </c>
      <c r="O897">
        <f>ABS(L897-DigInv!$C$34)</f>
        <v>5.3076734278975941</v>
      </c>
      <c r="P897">
        <f t="shared" si="14"/>
        <v>89.1</v>
      </c>
    </row>
    <row r="898" spans="10:16">
      <c r="J898" s="5"/>
      <c r="L898">
        <f>DigInv!M898</f>
        <v>1.293485</v>
      </c>
      <c r="M898">
        <f>DigDir!N898</f>
        <v>89.2</v>
      </c>
      <c r="O898">
        <f>ABS(L898-DigInv!$C$34)</f>
        <v>5.3076734278975941</v>
      </c>
      <c r="P898">
        <f t="shared" si="14"/>
        <v>89.2</v>
      </c>
    </row>
    <row r="899" spans="10:16">
      <c r="J899" s="5"/>
      <c r="L899">
        <f>DigInv!M899</f>
        <v>1.2972877359999999</v>
      </c>
      <c r="M899">
        <f>DigDir!N899</f>
        <v>89.3</v>
      </c>
      <c r="O899">
        <f>ABS(L899-DigInv!$C$34)</f>
        <v>5.3114761638975931</v>
      </c>
      <c r="P899">
        <f t="shared" si="14"/>
        <v>89.3</v>
      </c>
    </row>
    <row r="900" spans="10:16">
      <c r="J900" s="5"/>
      <c r="L900">
        <f>DigInv!M900</f>
        <v>1.323906888</v>
      </c>
      <c r="M900">
        <f>DigDir!N900</f>
        <v>89.4</v>
      </c>
      <c r="O900">
        <f>ABS(L900-DigInv!$C$34)</f>
        <v>5.3380953158975935</v>
      </c>
      <c r="P900">
        <f t="shared" si="14"/>
        <v>89.4</v>
      </c>
    </row>
    <row r="901" spans="10:16">
      <c r="J901" s="5"/>
      <c r="L901">
        <f>DigInv!M901</f>
        <v>1.3505260400000001</v>
      </c>
      <c r="M901">
        <f>DigDir!N901</f>
        <v>89.5</v>
      </c>
      <c r="O901">
        <f>ABS(L901-DigInv!$C$34)</f>
        <v>5.3647144678975938</v>
      </c>
      <c r="P901">
        <f t="shared" si="14"/>
        <v>89.5</v>
      </c>
    </row>
    <row r="902" spans="10:16">
      <c r="J902" s="5"/>
      <c r="L902">
        <f>DigInv!M902</f>
        <v>1.377867408</v>
      </c>
      <c r="M902">
        <f>DigDir!N902</f>
        <v>89.6</v>
      </c>
      <c r="O902">
        <f>ABS(L902-DigInv!$C$34)</f>
        <v>5.3920558358975939</v>
      </c>
      <c r="P902">
        <f t="shared" si="14"/>
        <v>89.6</v>
      </c>
    </row>
    <row r="903" spans="10:16">
      <c r="J903" s="5"/>
      <c r="L903">
        <f>DigInv!M903</f>
        <v>1.4057068559999999</v>
      </c>
      <c r="M903">
        <f>DigDir!N903</f>
        <v>89.7</v>
      </c>
      <c r="O903">
        <f>ABS(L903-DigInv!$C$34)</f>
        <v>5.4198952838975938</v>
      </c>
      <c r="P903">
        <f t="shared" ref="P903:P966" si="15">M903</f>
        <v>89.7</v>
      </c>
    </row>
    <row r="904" spans="10:16">
      <c r="J904" s="5"/>
      <c r="L904">
        <f>DigInv!M904</f>
        <v>1.43241</v>
      </c>
      <c r="M904">
        <f>DigDir!N904</f>
        <v>89.8</v>
      </c>
      <c r="O904">
        <f>ABS(L904-DigInv!$C$34)</f>
        <v>5.4465984278975936</v>
      </c>
      <c r="P904">
        <f t="shared" si="15"/>
        <v>89.8</v>
      </c>
    </row>
    <row r="905" spans="10:16">
      <c r="J905" s="5"/>
      <c r="L905">
        <f>DigInv!M905</f>
        <v>1.43241</v>
      </c>
      <c r="M905">
        <f>DigDir!N905</f>
        <v>89.9</v>
      </c>
      <c r="O905">
        <f>ABS(L905-DigInv!$C$34)</f>
        <v>5.4465984278975936</v>
      </c>
      <c r="P905">
        <f t="shared" si="15"/>
        <v>89.9</v>
      </c>
    </row>
    <row r="906" spans="10:16">
      <c r="J906" s="5"/>
      <c r="L906">
        <f>DigInv!M906</f>
        <v>1.43241</v>
      </c>
      <c r="M906">
        <f>DigDir!N906</f>
        <v>90</v>
      </c>
      <c r="O906">
        <f>ABS(L906-DigInv!$C$34)</f>
        <v>5.4465984278975936</v>
      </c>
      <c r="P906">
        <f t="shared" si="15"/>
        <v>90</v>
      </c>
    </row>
    <row r="907" spans="10:16">
      <c r="J907" s="5"/>
      <c r="L907">
        <f>DigInv!M907</f>
        <v>1.43241</v>
      </c>
      <c r="M907">
        <f>DigDir!N907</f>
        <v>90.1</v>
      </c>
      <c r="O907">
        <f>ABS(L907-DigInv!$C$34)</f>
        <v>5.4465984278975936</v>
      </c>
      <c r="P907">
        <f t="shared" si="15"/>
        <v>90.1</v>
      </c>
    </row>
    <row r="908" spans="10:16">
      <c r="J908" s="5"/>
      <c r="L908">
        <f>DigInv!M908</f>
        <v>1.43241</v>
      </c>
      <c r="M908">
        <f>DigDir!N908</f>
        <v>90.2</v>
      </c>
      <c r="O908">
        <f>ABS(L908-DigInv!$C$34)</f>
        <v>5.4465984278975936</v>
      </c>
      <c r="P908">
        <f t="shared" si="15"/>
        <v>90.2</v>
      </c>
    </row>
    <row r="909" spans="10:16">
      <c r="J909" s="5"/>
      <c r="L909">
        <f>DigInv!M909</f>
        <v>1.43241</v>
      </c>
      <c r="M909">
        <f>DigDir!N909</f>
        <v>90.3</v>
      </c>
      <c r="O909">
        <f>ABS(L909-DigInv!$C$34)</f>
        <v>5.4465984278975936</v>
      </c>
      <c r="P909">
        <f t="shared" si="15"/>
        <v>90.3</v>
      </c>
    </row>
    <row r="910" spans="10:16">
      <c r="J910" s="5"/>
      <c r="L910">
        <f>DigInv!M910</f>
        <v>1.43241</v>
      </c>
      <c r="M910">
        <f>DigDir!N910</f>
        <v>90.4</v>
      </c>
      <c r="O910">
        <f>ABS(L910-DigInv!$C$34)</f>
        <v>5.4465984278975936</v>
      </c>
      <c r="P910">
        <f t="shared" si="15"/>
        <v>90.4</v>
      </c>
    </row>
    <row r="911" spans="10:16">
      <c r="J911" s="5"/>
      <c r="L911">
        <f>DigInv!M911</f>
        <v>1.43241</v>
      </c>
      <c r="M911">
        <f>DigDir!N911</f>
        <v>90.5</v>
      </c>
      <c r="O911">
        <f>ABS(L911-DigInv!$C$34)</f>
        <v>5.4465984278975936</v>
      </c>
      <c r="P911">
        <f t="shared" si="15"/>
        <v>90.5</v>
      </c>
    </row>
    <row r="912" spans="10:16">
      <c r="J912" s="5"/>
      <c r="L912">
        <f>DigInv!M912</f>
        <v>1.43241</v>
      </c>
      <c r="M912">
        <f>DigDir!N912</f>
        <v>90.6</v>
      </c>
      <c r="O912">
        <f>ABS(L912-DigInv!$C$34)</f>
        <v>5.4465984278975936</v>
      </c>
      <c r="P912">
        <f t="shared" si="15"/>
        <v>90.6</v>
      </c>
    </row>
    <row r="913" spans="10:16">
      <c r="J913" s="5"/>
      <c r="L913">
        <f>DigInv!M913</f>
        <v>1.43241</v>
      </c>
      <c r="M913">
        <f>DigDir!N913</f>
        <v>90.7</v>
      </c>
      <c r="O913">
        <f>ABS(L913-DigInv!$C$34)</f>
        <v>5.4465984278975936</v>
      </c>
      <c r="P913">
        <f t="shared" si="15"/>
        <v>90.7</v>
      </c>
    </row>
    <row r="914" spans="10:16">
      <c r="J914" s="5"/>
      <c r="L914">
        <f>DigInv!M914</f>
        <v>1.43241</v>
      </c>
      <c r="M914">
        <f>DigDir!N914</f>
        <v>90.8</v>
      </c>
      <c r="O914">
        <f>ABS(L914-DigInv!$C$34)</f>
        <v>5.4465984278975936</v>
      </c>
      <c r="P914">
        <f t="shared" si="15"/>
        <v>90.8</v>
      </c>
    </row>
    <row r="915" spans="10:16">
      <c r="J915" s="5"/>
      <c r="L915">
        <f>DigInv!M915</f>
        <v>1.43241</v>
      </c>
      <c r="M915">
        <f>DigDir!N915</f>
        <v>90.9</v>
      </c>
      <c r="O915">
        <f>ABS(L915-DigInv!$C$34)</f>
        <v>5.4465984278975936</v>
      </c>
      <c r="P915">
        <f t="shared" si="15"/>
        <v>90.9</v>
      </c>
    </row>
    <row r="916" spans="10:16">
      <c r="J916" s="5"/>
      <c r="L916">
        <f>DigInv!M916</f>
        <v>1.43241</v>
      </c>
      <c r="M916">
        <f>DigDir!N916</f>
        <v>91</v>
      </c>
      <c r="O916">
        <f>ABS(L916-DigInv!$C$34)</f>
        <v>5.4465984278975936</v>
      </c>
      <c r="P916">
        <f t="shared" si="15"/>
        <v>91</v>
      </c>
    </row>
    <row r="917" spans="10:16">
      <c r="J917" s="5"/>
      <c r="L917">
        <f>DigInv!M917</f>
        <v>1.43241</v>
      </c>
      <c r="M917">
        <f>DigDir!N917</f>
        <v>91.1</v>
      </c>
      <c r="O917">
        <f>ABS(L917-DigInv!$C$34)</f>
        <v>5.4465984278975936</v>
      </c>
      <c r="P917">
        <f t="shared" si="15"/>
        <v>91.1</v>
      </c>
    </row>
    <row r="918" spans="10:16">
      <c r="J918" s="5"/>
      <c r="L918">
        <f>DigInv!M918</f>
        <v>1.43241</v>
      </c>
      <c r="M918">
        <f>DigDir!N918</f>
        <v>91.2</v>
      </c>
      <c r="O918">
        <f>ABS(L918-DigInv!$C$34)</f>
        <v>5.4465984278975936</v>
      </c>
      <c r="P918">
        <f t="shared" si="15"/>
        <v>91.2</v>
      </c>
    </row>
    <row r="919" spans="10:16">
      <c r="J919" s="5"/>
      <c r="L919">
        <f>DigInv!M919</f>
        <v>1.43241</v>
      </c>
      <c r="M919">
        <f>DigDir!N919</f>
        <v>91.3</v>
      </c>
      <c r="O919">
        <f>ABS(L919-DigInv!$C$34)</f>
        <v>5.4465984278975936</v>
      </c>
      <c r="P919">
        <f t="shared" si="15"/>
        <v>91.3</v>
      </c>
    </row>
    <row r="920" spans="10:16">
      <c r="J920" s="5"/>
      <c r="L920">
        <f>DigInv!M920</f>
        <v>1.43241</v>
      </c>
      <c r="M920">
        <f>DigDir!N920</f>
        <v>91.4</v>
      </c>
      <c r="O920">
        <f>ABS(L920-DigInv!$C$34)</f>
        <v>5.4465984278975936</v>
      </c>
      <c r="P920">
        <f t="shared" si="15"/>
        <v>91.4</v>
      </c>
    </row>
    <row r="921" spans="10:16">
      <c r="J921" s="5"/>
      <c r="L921">
        <f>DigInv!M921</f>
        <v>1.43241</v>
      </c>
      <c r="M921">
        <f>DigDir!N921</f>
        <v>91.5</v>
      </c>
      <c r="O921">
        <f>ABS(L921-DigInv!$C$34)</f>
        <v>5.4465984278975936</v>
      </c>
      <c r="P921">
        <f t="shared" si="15"/>
        <v>91.5</v>
      </c>
    </row>
    <row r="922" spans="10:16">
      <c r="J922" s="5"/>
      <c r="L922">
        <f>DigInv!M922</f>
        <v>1.43241</v>
      </c>
      <c r="M922">
        <f>DigDir!N922</f>
        <v>91.6</v>
      </c>
      <c r="O922">
        <f>ABS(L922-DigInv!$C$34)</f>
        <v>5.4465984278975936</v>
      </c>
      <c r="P922">
        <f t="shared" si="15"/>
        <v>91.6</v>
      </c>
    </row>
    <row r="923" spans="10:16">
      <c r="J923" s="5"/>
      <c r="L923">
        <f>DigInv!M923</f>
        <v>1.43241</v>
      </c>
      <c r="M923">
        <f>DigDir!N923</f>
        <v>91.7</v>
      </c>
      <c r="O923">
        <f>ABS(L923-DigInv!$C$34)</f>
        <v>5.4465984278975936</v>
      </c>
      <c r="P923">
        <f t="shared" si="15"/>
        <v>91.7</v>
      </c>
    </row>
    <row r="924" spans="10:16">
      <c r="J924" s="5"/>
      <c r="L924">
        <f>DigInv!M924</f>
        <v>1.43241</v>
      </c>
      <c r="M924">
        <f>DigDir!N924</f>
        <v>91.8</v>
      </c>
      <c r="O924">
        <f>ABS(L924-DigInv!$C$34)</f>
        <v>5.4465984278975936</v>
      </c>
      <c r="P924">
        <f t="shared" si="15"/>
        <v>91.8</v>
      </c>
    </row>
    <row r="925" spans="10:16">
      <c r="J925" s="5"/>
      <c r="L925">
        <f>DigInv!M925</f>
        <v>1.43241</v>
      </c>
      <c r="M925">
        <f>DigDir!N925</f>
        <v>91.9</v>
      </c>
      <c r="O925">
        <f>ABS(L925-DigInv!$C$34)</f>
        <v>5.4465984278975936</v>
      </c>
      <c r="P925">
        <f t="shared" si="15"/>
        <v>91.9</v>
      </c>
    </row>
    <row r="926" spans="10:16">
      <c r="J926" s="5"/>
      <c r="L926">
        <f>DigInv!M926</f>
        <v>1.43241</v>
      </c>
      <c r="M926">
        <f>DigDir!N926</f>
        <v>92</v>
      </c>
      <c r="O926">
        <f>ABS(L926-DigInv!$C$34)</f>
        <v>5.4465984278975936</v>
      </c>
      <c r="P926">
        <f t="shared" si="15"/>
        <v>92</v>
      </c>
    </row>
    <row r="927" spans="10:16">
      <c r="J927" s="5"/>
      <c r="L927">
        <f>DigInv!M927</f>
        <v>1.43241</v>
      </c>
      <c r="M927">
        <f>DigDir!N927</f>
        <v>92.1</v>
      </c>
      <c r="O927">
        <f>ABS(L927-DigInv!$C$34)</f>
        <v>5.4465984278975936</v>
      </c>
      <c r="P927">
        <f t="shared" si="15"/>
        <v>92.1</v>
      </c>
    </row>
    <row r="928" spans="10:16">
      <c r="J928" s="5"/>
      <c r="L928">
        <f>DigInv!M928</f>
        <v>1.43241</v>
      </c>
      <c r="M928">
        <f>DigDir!N928</f>
        <v>92.2</v>
      </c>
      <c r="O928">
        <f>ABS(L928-DigInv!$C$34)</f>
        <v>5.4465984278975936</v>
      </c>
      <c r="P928">
        <f t="shared" si="15"/>
        <v>92.2</v>
      </c>
    </row>
    <row r="929" spans="10:16">
      <c r="J929" s="5"/>
      <c r="L929">
        <f>DigInv!M929</f>
        <v>1.43241</v>
      </c>
      <c r="M929">
        <f>DigDir!N929</f>
        <v>92.3</v>
      </c>
      <c r="O929">
        <f>ABS(L929-DigInv!$C$34)</f>
        <v>5.4465984278975936</v>
      </c>
      <c r="P929">
        <f t="shared" si="15"/>
        <v>92.3</v>
      </c>
    </row>
    <row r="930" spans="10:16">
      <c r="J930" s="5"/>
      <c r="L930">
        <f>DigInv!M930</f>
        <v>1.43241</v>
      </c>
      <c r="M930">
        <f>DigDir!N930</f>
        <v>92.4</v>
      </c>
      <c r="O930">
        <f>ABS(L930-DigInv!$C$34)</f>
        <v>5.4465984278975936</v>
      </c>
      <c r="P930">
        <f t="shared" si="15"/>
        <v>92.4</v>
      </c>
    </row>
    <row r="931" spans="10:16">
      <c r="J931" s="5"/>
      <c r="L931">
        <f>DigInv!M931</f>
        <v>1.43241</v>
      </c>
      <c r="M931">
        <f>DigDir!N931</f>
        <v>92.5</v>
      </c>
      <c r="O931">
        <f>ABS(L931-DigInv!$C$34)</f>
        <v>5.4465984278975936</v>
      </c>
      <c r="P931">
        <f t="shared" si="15"/>
        <v>92.5</v>
      </c>
    </row>
    <row r="932" spans="10:16">
      <c r="J932" s="5"/>
      <c r="L932">
        <f>DigInv!M932</f>
        <v>1.43241</v>
      </c>
      <c r="M932">
        <f>DigDir!N932</f>
        <v>92.6</v>
      </c>
      <c r="O932">
        <f>ABS(L932-DigInv!$C$34)</f>
        <v>5.4465984278975936</v>
      </c>
      <c r="P932">
        <f t="shared" si="15"/>
        <v>92.6</v>
      </c>
    </row>
    <row r="933" spans="10:16">
      <c r="J933" s="5"/>
      <c r="L933">
        <f>DigInv!M933</f>
        <v>1.43241</v>
      </c>
      <c r="M933">
        <f>DigDir!N933</f>
        <v>92.7</v>
      </c>
      <c r="O933">
        <f>ABS(L933-DigInv!$C$34)</f>
        <v>5.4465984278975936</v>
      </c>
      <c r="P933">
        <f t="shared" si="15"/>
        <v>92.7</v>
      </c>
    </row>
    <row r="934" spans="10:16">
      <c r="J934" s="5"/>
      <c r="L934">
        <f>DigInv!M934</f>
        <v>1.43241</v>
      </c>
      <c r="M934">
        <f>DigDir!N934</f>
        <v>92.8</v>
      </c>
      <c r="O934">
        <f>ABS(L934-DigInv!$C$34)</f>
        <v>5.4465984278975936</v>
      </c>
      <c r="P934">
        <f t="shared" si="15"/>
        <v>92.8</v>
      </c>
    </row>
    <row r="935" spans="10:16">
      <c r="J935" s="5"/>
      <c r="L935">
        <f>DigInv!M935</f>
        <v>1.43241</v>
      </c>
      <c r="M935">
        <f>DigDir!N935</f>
        <v>92.9</v>
      </c>
      <c r="O935">
        <f>ABS(L935-DigInv!$C$34)</f>
        <v>5.4465984278975936</v>
      </c>
      <c r="P935">
        <f t="shared" si="15"/>
        <v>92.9</v>
      </c>
    </row>
    <row r="936" spans="10:16">
      <c r="J936" s="5"/>
      <c r="L936">
        <f>DigInv!M936</f>
        <v>1.43241</v>
      </c>
      <c r="M936">
        <f>DigDir!N936</f>
        <v>93</v>
      </c>
      <c r="O936">
        <f>ABS(L936-DigInv!$C$34)</f>
        <v>5.4465984278975936</v>
      </c>
      <c r="P936">
        <f t="shared" si="15"/>
        <v>93</v>
      </c>
    </row>
    <row r="937" spans="10:16">
      <c r="J937" s="5"/>
      <c r="L937">
        <f>DigInv!M937</f>
        <v>1.43241</v>
      </c>
      <c r="M937">
        <f>DigDir!N937</f>
        <v>93.1</v>
      </c>
      <c r="O937">
        <f>ABS(L937-DigInv!$C$34)</f>
        <v>5.4465984278975936</v>
      </c>
      <c r="P937">
        <f t="shared" si="15"/>
        <v>93.1</v>
      </c>
    </row>
    <row r="938" spans="10:16">
      <c r="J938" s="5"/>
      <c r="L938">
        <f>DigInv!M938</f>
        <v>1.43241</v>
      </c>
      <c r="M938">
        <f>DigDir!N938</f>
        <v>93.2</v>
      </c>
      <c r="O938">
        <f>ABS(L938-DigInv!$C$34)</f>
        <v>5.4465984278975936</v>
      </c>
      <c r="P938">
        <f t="shared" si="15"/>
        <v>93.2</v>
      </c>
    </row>
    <row r="939" spans="10:16">
      <c r="J939" s="5"/>
      <c r="L939">
        <f>DigInv!M939</f>
        <v>1.43241</v>
      </c>
      <c r="M939">
        <f>DigDir!N939</f>
        <v>93.3</v>
      </c>
      <c r="O939">
        <f>ABS(L939-DigInv!$C$34)</f>
        <v>5.4465984278975936</v>
      </c>
      <c r="P939">
        <f t="shared" si="15"/>
        <v>93.3</v>
      </c>
    </row>
    <row r="940" spans="10:16">
      <c r="J940" s="5"/>
      <c r="L940">
        <f>DigInv!M940</f>
        <v>1.43241</v>
      </c>
      <c r="M940">
        <f>DigDir!N940</f>
        <v>93.4</v>
      </c>
      <c r="O940">
        <f>ABS(L940-DigInv!$C$34)</f>
        <v>5.4465984278975936</v>
      </c>
      <c r="P940">
        <f t="shared" si="15"/>
        <v>93.4</v>
      </c>
    </row>
    <row r="941" spans="10:16">
      <c r="J941" s="5"/>
      <c r="L941">
        <f>DigInv!M941</f>
        <v>1.43241</v>
      </c>
      <c r="M941">
        <f>DigDir!N941</f>
        <v>93.5</v>
      </c>
      <c r="O941">
        <f>ABS(L941-DigInv!$C$34)</f>
        <v>5.4465984278975936</v>
      </c>
      <c r="P941">
        <f t="shared" si="15"/>
        <v>93.5</v>
      </c>
    </row>
    <row r="942" spans="10:16">
      <c r="J942" s="5"/>
      <c r="L942">
        <f>DigInv!M942</f>
        <v>1.43241</v>
      </c>
      <c r="M942">
        <f>DigDir!N942</f>
        <v>93.6</v>
      </c>
      <c r="O942">
        <f>ABS(L942-DigInv!$C$34)</f>
        <v>5.4465984278975936</v>
      </c>
      <c r="P942">
        <f t="shared" si="15"/>
        <v>93.6</v>
      </c>
    </row>
    <row r="943" spans="10:16">
      <c r="J943" s="5"/>
      <c r="L943">
        <f>DigInv!M943</f>
        <v>1.43241</v>
      </c>
      <c r="M943">
        <f>DigDir!N943</f>
        <v>93.7</v>
      </c>
      <c r="O943">
        <f>ABS(L943-DigInv!$C$34)</f>
        <v>5.4465984278975936</v>
      </c>
      <c r="P943">
        <f t="shared" si="15"/>
        <v>93.7</v>
      </c>
    </row>
    <row r="944" spans="10:16">
      <c r="J944" s="5"/>
      <c r="L944">
        <f>DigInv!M944</f>
        <v>1.43241</v>
      </c>
      <c r="M944">
        <f>DigDir!N944</f>
        <v>93.8</v>
      </c>
      <c r="O944">
        <f>ABS(L944-DigInv!$C$34)</f>
        <v>5.4465984278975936</v>
      </c>
      <c r="P944">
        <f t="shared" si="15"/>
        <v>93.8</v>
      </c>
    </row>
    <row r="945" spans="10:16">
      <c r="J945" s="5"/>
      <c r="L945">
        <f>DigInv!M945</f>
        <v>1.441699104</v>
      </c>
      <c r="M945">
        <f>DigDir!N945</f>
        <v>93.9</v>
      </c>
      <c r="O945">
        <f>ABS(L945-DigInv!$C$34)</f>
        <v>5.4558875318975932</v>
      </c>
      <c r="P945">
        <f t="shared" si="15"/>
        <v>93.9</v>
      </c>
    </row>
    <row r="946" spans="10:16">
      <c r="J946" s="5"/>
      <c r="L946">
        <f>DigInv!M946</f>
        <v>1.48307784</v>
      </c>
      <c r="M946">
        <f>DigDir!N946</f>
        <v>94</v>
      </c>
      <c r="O946">
        <f>ABS(L946-DigInv!$C$34)</f>
        <v>5.4972662678975937</v>
      </c>
      <c r="P946">
        <f t="shared" si="15"/>
        <v>94</v>
      </c>
    </row>
    <row r="947" spans="10:16">
      <c r="J947" s="5"/>
      <c r="L947">
        <f>DigInv!M947</f>
        <v>1.524456576</v>
      </c>
      <c r="M947">
        <f>DigDir!N947</f>
        <v>94.1</v>
      </c>
      <c r="O947">
        <f>ABS(L947-DigInv!$C$34)</f>
        <v>5.5386450038975941</v>
      </c>
      <c r="P947">
        <f t="shared" si="15"/>
        <v>94.1</v>
      </c>
    </row>
    <row r="948" spans="10:16">
      <c r="J948" s="5"/>
      <c r="L948">
        <f>DigInv!M948</f>
        <v>1.537968</v>
      </c>
      <c r="M948">
        <f>DigDir!N948</f>
        <v>94.2</v>
      </c>
      <c r="O948">
        <f>ABS(L948-DigInv!$C$34)</f>
        <v>5.5521564278975939</v>
      </c>
      <c r="P948">
        <f t="shared" si="15"/>
        <v>94.2</v>
      </c>
    </row>
    <row r="949" spans="10:16">
      <c r="J949" s="5"/>
      <c r="L949">
        <f>DigInv!M949</f>
        <v>1.537968</v>
      </c>
      <c r="M949">
        <f>DigDir!N949</f>
        <v>94.3</v>
      </c>
      <c r="O949">
        <f>ABS(L949-DigInv!$C$34)</f>
        <v>5.5521564278975939</v>
      </c>
      <c r="P949">
        <f t="shared" si="15"/>
        <v>94.3</v>
      </c>
    </row>
    <row r="950" spans="10:16">
      <c r="J950" s="5"/>
      <c r="L950">
        <f>DigInv!M950</f>
        <v>1.537968</v>
      </c>
      <c r="M950">
        <f>DigDir!N950</f>
        <v>94.4</v>
      </c>
      <c r="O950">
        <f>ABS(L950-DigInv!$C$34)</f>
        <v>5.5521564278975939</v>
      </c>
      <c r="P950">
        <f t="shared" si="15"/>
        <v>94.4</v>
      </c>
    </row>
    <row r="951" spans="10:16">
      <c r="J951" s="5"/>
      <c r="L951">
        <f>DigInv!M951</f>
        <v>1.537968</v>
      </c>
      <c r="M951">
        <f>DigDir!N951</f>
        <v>94.5</v>
      </c>
      <c r="O951">
        <f>ABS(L951-DigInv!$C$34)</f>
        <v>5.5521564278975939</v>
      </c>
      <c r="P951">
        <f t="shared" si="15"/>
        <v>94.5</v>
      </c>
    </row>
    <row r="952" spans="10:16">
      <c r="J952" s="5"/>
      <c r="L952">
        <f>DigInv!M952</f>
        <v>1.537968</v>
      </c>
      <c r="M952">
        <f>DigDir!N952</f>
        <v>94.6</v>
      </c>
      <c r="O952">
        <f>ABS(L952-DigInv!$C$34)</f>
        <v>5.5521564278975939</v>
      </c>
      <c r="P952">
        <f t="shared" si="15"/>
        <v>94.6</v>
      </c>
    </row>
    <row r="953" spans="10:16">
      <c r="J953" s="5"/>
      <c r="L953">
        <f>DigInv!M953</f>
        <v>1.537968</v>
      </c>
      <c r="M953">
        <f>DigDir!N953</f>
        <v>94.7</v>
      </c>
      <c r="O953">
        <f>ABS(L953-DigInv!$C$34)</f>
        <v>5.5521564278975939</v>
      </c>
      <c r="P953">
        <f t="shared" si="15"/>
        <v>94.7</v>
      </c>
    </row>
    <row r="954" spans="10:16">
      <c r="J954" s="5"/>
      <c r="L954">
        <f>DigInv!M954</f>
        <v>1.537968</v>
      </c>
      <c r="M954">
        <f>DigDir!N954</f>
        <v>94.8</v>
      </c>
      <c r="O954">
        <f>ABS(L954-DigInv!$C$34)</f>
        <v>5.5521564278975939</v>
      </c>
      <c r="P954">
        <f t="shared" si="15"/>
        <v>94.8</v>
      </c>
    </row>
    <row r="955" spans="10:16">
      <c r="J955" s="5"/>
      <c r="L955">
        <f>DigInv!M955</f>
        <v>1.5388460960000001</v>
      </c>
      <c r="M955">
        <f>DigDir!N955</f>
        <v>94.9</v>
      </c>
      <c r="O955">
        <f>ABS(L955-DigInv!$C$34)</f>
        <v>5.553034523897594</v>
      </c>
      <c r="P955">
        <f t="shared" si="15"/>
        <v>94.9</v>
      </c>
    </row>
    <row r="956" spans="10:16">
      <c r="J956" s="5"/>
      <c r="L956">
        <f>DigInv!M956</f>
        <v>1.5818728</v>
      </c>
      <c r="M956">
        <f>DigDir!N956</f>
        <v>95</v>
      </c>
      <c r="O956">
        <f>ABS(L956-DigInv!$C$34)</f>
        <v>5.5960612278975939</v>
      </c>
      <c r="P956">
        <f t="shared" si="15"/>
        <v>95</v>
      </c>
    </row>
    <row r="957" spans="10:16">
      <c r="J957" s="5"/>
      <c r="L957">
        <f>DigInv!M957</f>
        <v>1.6248995040000001</v>
      </c>
      <c r="M957">
        <f>DigDir!N957</f>
        <v>95.1</v>
      </c>
      <c r="O957">
        <f>ABS(L957-DigInv!$C$34)</f>
        <v>5.6390879318975937</v>
      </c>
      <c r="P957">
        <f t="shared" si="15"/>
        <v>95.1</v>
      </c>
    </row>
    <row r="958" spans="10:16">
      <c r="J958" s="5"/>
      <c r="L958">
        <f>DigInv!M958</f>
        <v>1.6685678159999999</v>
      </c>
      <c r="M958">
        <f>DigDir!N958</f>
        <v>95.2</v>
      </c>
      <c r="O958">
        <f>ABS(L958-DigInv!$C$34)</f>
        <v>5.6827562438975932</v>
      </c>
      <c r="P958">
        <f t="shared" si="15"/>
        <v>95.2</v>
      </c>
    </row>
    <row r="959" spans="10:16">
      <c r="J959" s="5"/>
      <c r="L959">
        <f>DigInv!M959</f>
        <v>1.712961424</v>
      </c>
      <c r="M959">
        <f>DigDir!N959</f>
        <v>95.3</v>
      </c>
      <c r="O959">
        <f>ABS(L959-DigInv!$C$34)</f>
        <v>5.7271498518975932</v>
      </c>
      <c r="P959">
        <f t="shared" si="15"/>
        <v>95.3</v>
      </c>
    </row>
    <row r="960" spans="10:16">
      <c r="J960" s="5"/>
      <c r="L960">
        <f>DigInv!M960</f>
        <v>1.757355032</v>
      </c>
      <c r="M960">
        <f>DigDir!N960</f>
        <v>95.4</v>
      </c>
      <c r="O960">
        <f>ABS(L960-DigInv!$C$34)</f>
        <v>5.7715434598975932</v>
      </c>
      <c r="P960">
        <f t="shared" si="15"/>
        <v>95.4</v>
      </c>
    </row>
    <row r="961" spans="10:16">
      <c r="J961" s="5"/>
      <c r="L961">
        <f>DigInv!M961</f>
        <v>1.7609790000000001</v>
      </c>
      <c r="M961">
        <f>DigDir!N961</f>
        <v>95.5</v>
      </c>
      <c r="O961">
        <f>ABS(L961-DigInv!$C$34)</f>
        <v>5.7751674278975935</v>
      </c>
      <c r="P961">
        <f t="shared" si="15"/>
        <v>95.5</v>
      </c>
    </row>
    <row r="962" spans="10:16">
      <c r="J962" s="5"/>
      <c r="L962">
        <f>DigInv!M962</f>
        <v>1.7609790000000001</v>
      </c>
      <c r="M962">
        <f>DigDir!N962</f>
        <v>95.6</v>
      </c>
      <c r="O962">
        <f>ABS(L962-DigInv!$C$34)</f>
        <v>5.7751674278975935</v>
      </c>
      <c r="P962">
        <f t="shared" si="15"/>
        <v>95.6</v>
      </c>
    </row>
    <row r="963" spans="10:16">
      <c r="J963" s="5"/>
      <c r="L963">
        <f>DigInv!M963</f>
        <v>1.7609790000000001</v>
      </c>
      <c r="M963">
        <f>DigDir!N963</f>
        <v>95.7</v>
      </c>
      <c r="O963">
        <f>ABS(L963-DigInv!$C$34)</f>
        <v>5.7751674278975935</v>
      </c>
      <c r="P963">
        <f t="shared" si="15"/>
        <v>95.7</v>
      </c>
    </row>
    <row r="964" spans="10:16">
      <c r="J964" s="5"/>
      <c r="L964">
        <f>DigInv!M964</f>
        <v>1.7609790000000001</v>
      </c>
      <c r="M964">
        <f>DigDir!N964</f>
        <v>95.8</v>
      </c>
      <c r="O964">
        <f>ABS(L964-DigInv!$C$34)</f>
        <v>5.7751674278975935</v>
      </c>
      <c r="P964">
        <f t="shared" si="15"/>
        <v>95.8</v>
      </c>
    </row>
    <row r="965" spans="10:16">
      <c r="J965" s="5"/>
      <c r="L965">
        <f>DigInv!M965</f>
        <v>1.7609790000000001</v>
      </c>
      <c r="M965">
        <f>DigDir!N965</f>
        <v>95.9</v>
      </c>
      <c r="O965">
        <f>ABS(L965-DigInv!$C$34)</f>
        <v>5.7751674278975935</v>
      </c>
      <c r="P965">
        <f t="shared" si="15"/>
        <v>95.9</v>
      </c>
    </row>
    <row r="966" spans="10:16">
      <c r="J966" s="5"/>
      <c r="L966">
        <f>DigInv!M966</f>
        <v>1.7609790000000001</v>
      </c>
      <c r="M966">
        <f>DigDir!N966</f>
        <v>96</v>
      </c>
      <c r="O966">
        <f>ABS(L966-DigInv!$C$34)</f>
        <v>5.7751674278975935</v>
      </c>
      <c r="P966">
        <f t="shared" si="15"/>
        <v>96</v>
      </c>
    </row>
    <row r="967" spans="10:16">
      <c r="J967" s="5"/>
      <c r="L967">
        <f>DigInv!M967</f>
        <v>1.7609790000000001</v>
      </c>
      <c r="M967">
        <f>DigDir!N967</f>
        <v>96.1</v>
      </c>
      <c r="O967">
        <f>ABS(L967-DigInv!$C$34)</f>
        <v>5.7751674278975935</v>
      </c>
      <c r="P967">
        <f t="shared" ref="P967:P1006" si="16">M967</f>
        <v>96.1</v>
      </c>
    </row>
    <row r="968" spans="10:16">
      <c r="J968" s="5"/>
      <c r="L968">
        <f>DigInv!M968</f>
        <v>1.7609790000000001</v>
      </c>
      <c r="M968">
        <f>DigDir!N968</f>
        <v>96.2</v>
      </c>
      <c r="O968">
        <f>ABS(L968-DigInv!$C$34)</f>
        <v>5.7751674278975935</v>
      </c>
      <c r="P968">
        <f t="shared" si="16"/>
        <v>96.2</v>
      </c>
    </row>
    <row r="969" spans="10:16">
      <c r="J969" s="5"/>
      <c r="L969">
        <f>DigInv!M969</f>
        <v>1.7609790000000001</v>
      </c>
      <c r="M969">
        <f>DigDir!N969</f>
        <v>96.3</v>
      </c>
      <c r="O969">
        <f>ABS(L969-DigInv!$C$34)</f>
        <v>5.7751674278975935</v>
      </c>
      <c r="P969">
        <f t="shared" si="16"/>
        <v>96.3</v>
      </c>
    </row>
    <row r="970" spans="10:16">
      <c r="J970" s="5"/>
      <c r="L970">
        <f>DigInv!M970</f>
        <v>1.7609790000000001</v>
      </c>
      <c r="M970">
        <f>DigDir!N970</f>
        <v>96.4</v>
      </c>
      <c r="O970">
        <f>ABS(L970-DigInv!$C$34)</f>
        <v>5.7751674278975935</v>
      </c>
      <c r="P970">
        <f t="shared" si="16"/>
        <v>96.4</v>
      </c>
    </row>
    <row r="971" spans="10:16">
      <c r="J971" s="5"/>
      <c r="L971">
        <f>DigInv!M971</f>
        <v>1.7609790000000001</v>
      </c>
      <c r="M971">
        <f>DigDir!N971</f>
        <v>96.5</v>
      </c>
      <c r="O971">
        <f>ABS(L971-DigInv!$C$34)</f>
        <v>5.7751674278975935</v>
      </c>
      <c r="P971">
        <f t="shared" si="16"/>
        <v>96.5</v>
      </c>
    </row>
    <row r="972" spans="10:16">
      <c r="J972" s="5"/>
      <c r="L972">
        <f>DigInv!M972</f>
        <v>1.7609790000000001</v>
      </c>
      <c r="M972">
        <f>DigDir!N972</f>
        <v>96.6</v>
      </c>
      <c r="O972">
        <f>ABS(L972-DigInv!$C$34)</f>
        <v>5.7751674278975935</v>
      </c>
      <c r="P972">
        <f t="shared" si="16"/>
        <v>96.6</v>
      </c>
    </row>
    <row r="973" spans="10:16">
      <c r="J973" s="5"/>
      <c r="L973">
        <f>DigInv!M973</f>
        <v>1.7758639279999899</v>
      </c>
      <c r="M973">
        <f>DigDir!N973</f>
        <v>96.7</v>
      </c>
      <c r="O973">
        <f>ABS(L973-DigInv!$C$34)</f>
        <v>5.7900523558975836</v>
      </c>
      <c r="P973">
        <f t="shared" si="16"/>
        <v>96.7</v>
      </c>
    </row>
    <row r="974" spans="10:16">
      <c r="J974" s="5"/>
      <c r="L974">
        <f>DigInv!M974</f>
        <v>1.867034112</v>
      </c>
      <c r="M974">
        <f>DigDir!N974</f>
        <v>96.8</v>
      </c>
      <c r="O974">
        <f>ABS(L974-DigInv!$C$34)</f>
        <v>5.8812225398975935</v>
      </c>
      <c r="P974">
        <f t="shared" si="16"/>
        <v>96.8</v>
      </c>
    </row>
    <row r="975" spans="10:16">
      <c r="J975" s="5"/>
      <c r="L975">
        <f>DigInv!M975</f>
        <v>1.9582042959999999</v>
      </c>
      <c r="M975">
        <f>DigDir!N975</f>
        <v>96.9</v>
      </c>
      <c r="O975">
        <f>ABS(L975-DigInv!$C$34)</f>
        <v>5.9723927238975936</v>
      </c>
      <c r="P975">
        <f t="shared" si="16"/>
        <v>96.9</v>
      </c>
    </row>
    <row r="976" spans="10:16">
      <c r="J976" s="5"/>
      <c r="L976">
        <f>DigInv!M976</f>
        <v>2.02146296</v>
      </c>
      <c r="M976">
        <f>DigDir!N976</f>
        <v>97</v>
      </c>
      <c r="O976">
        <f>ABS(L976-DigInv!$C$34)</f>
        <v>6.0356513878975937</v>
      </c>
      <c r="P976">
        <f t="shared" si="16"/>
        <v>97</v>
      </c>
    </row>
    <row r="977" spans="10:16">
      <c r="J977" s="5"/>
      <c r="L977">
        <f>DigInv!M977</f>
        <v>2.0670443280000002</v>
      </c>
      <c r="M977">
        <f>DigDir!N977</f>
        <v>97.1</v>
      </c>
      <c r="O977">
        <f>ABS(L977-DigInv!$C$34)</f>
        <v>6.0812327558975934</v>
      </c>
      <c r="P977">
        <f t="shared" si="16"/>
        <v>97.1</v>
      </c>
    </row>
    <row r="978" spans="10:16">
      <c r="J978" s="5"/>
      <c r="L978">
        <f>DigInv!M978</f>
        <v>2.1098349999999999</v>
      </c>
      <c r="M978">
        <f>DigDir!N978</f>
        <v>97.2</v>
      </c>
      <c r="O978">
        <f>ABS(L978-DigInv!$C$34)</f>
        <v>6.124023427897594</v>
      </c>
      <c r="P978">
        <f t="shared" si="16"/>
        <v>97.2</v>
      </c>
    </row>
    <row r="979" spans="10:16">
      <c r="J979" s="5"/>
      <c r="L979">
        <f>DigInv!M979</f>
        <v>2.1098349999999999</v>
      </c>
      <c r="M979">
        <f>DigDir!N979</f>
        <v>97.3</v>
      </c>
      <c r="O979">
        <f>ABS(L979-DigInv!$C$34)</f>
        <v>6.124023427897594</v>
      </c>
      <c r="P979">
        <f t="shared" si="16"/>
        <v>97.3</v>
      </c>
    </row>
    <row r="980" spans="10:16">
      <c r="J980" s="5"/>
      <c r="L980">
        <f>DigInv!M980</f>
        <v>2.1098349999999999</v>
      </c>
      <c r="M980">
        <f>DigDir!N980</f>
        <v>97.4</v>
      </c>
      <c r="O980">
        <f>ABS(L980-DigInv!$C$34)</f>
        <v>6.124023427897594</v>
      </c>
      <c r="P980">
        <f t="shared" si="16"/>
        <v>97.4</v>
      </c>
    </row>
    <row r="981" spans="10:16">
      <c r="J981" s="5"/>
      <c r="L981">
        <f>DigInv!M981</f>
        <v>2.1098349999999999</v>
      </c>
      <c r="M981">
        <f>DigDir!N981</f>
        <v>97.5</v>
      </c>
      <c r="O981">
        <f>ABS(L981-DigInv!$C$34)</f>
        <v>6.124023427897594</v>
      </c>
      <c r="P981">
        <f t="shared" si="16"/>
        <v>97.5</v>
      </c>
    </row>
    <row r="982" spans="10:16">
      <c r="J982" s="5"/>
      <c r="L982">
        <f>DigInv!M982</f>
        <v>2.1098349999999999</v>
      </c>
      <c r="M982">
        <f>DigDir!N982</f>
        <v>97.6</v>
      </c>
      <c r="O982">
        <f>ABS(L982-DigInv!$C$34)</f>
        <v>6.124023427897594</v>
      </c>
      <c r="P982">
        <f t="shared" si="16"/>
        <v>97.6</v>
      </c>
    </row>
    <row r="983" spans="10:16">
      <c r="J983" s="5"/>
      <c r="L983">
        <f>DigInv!M983</f>
        <v>2.1098349999999999</v>
      </c>
      <c r="M983">
        <f>DigDir!N983</f>
        <v>97.7</v>
      </c>
      <c r="O983">
        <f>ABS(L983-DigInv!$C$34)</f>
        <v>6.124023427897594</v>
      </c>
      <c r="P983">
        <f t="shared" si="16"/>
        <v>97.7</v>
      </c>
    </row>
    <row r="984" spans="10:16">
      <c r="J984" s="5"/>
      <c r="L984">
        <f>DigInv!M984</f>
        <v>2.1098349999999999</v>
      </c>
      <c r="M984">
        <f>DigDir!N984</f>
        <v>97.8</v>
      </c>
      <c r="O984">
        <f>ABS(L984-DigInv!$C$34)</f>
        <v>6.124023427897594</v>
      </c>
      <c r="P984">
        <f t="shared" si="16"/>
        <v>97.8</v>
      </c>
    </row>
    <row r="985" spans="10:16">
      <c r="J985" s="5"/>
      <c r="L985">
        <f>DigInv!M985</f>
        <v>2.1098349999999999</v>
      </c>
      <c r="M985">
        <f>DigDir!N985</f>
        <v>97.9</v>
      </c>
      <c r="O985">
        <f>ABS(L985-DigInv!$C$34)</f>
        <v>6.124023427897594</v>
      </c>
      <c r="P985">
        <f t="shared" si="16"/>
        <v>97.9</v>
      </c>
    </row>
    <row r="986" spans="10:16">
      <c r="J986" s="5"/>
      <c r="L986">
        <f>DigInv!M986</f>
        <v>2.1098349999999999</v>
      </c>
      <c r="M986">
        <f>DigDir!N986</f>
        <v>98</v>
      </c>
      <c r="O986">
        <f>ABS(L986-DigInv!$C$34)</f>
        <v>6.124023427897594</v>
      </c>
      <c r="P986">
        <f t="shared" si="16"/>
        <v>98</v>
      </c>
    </row>
    <row r="987" spans="10:16">
      <c r="J987" s="5"/>
      <c r="L987">
        <f>DigInv!M987</f>
        <v>2.1098349999999999</v>
      </c>
      <c r="M987">
        <f>DigDir!N987</f>
        <v>98.1</v>
      </c>
      <c r="O987">
        <f>ABS(L987-DigInv!$C$34)</f>
        <v>6.124023427897594</v>
      </c>
      <c r="P987">
        <f t="shared" si="16"/>
        <v>98.1</v>
      </c>
    </row>
    <row r="988" spans="10:16">
      <c r="J988" s="5"/>
      <c r="L988">
        <f>DigInv!M988</f>
        <v>2.1098349999999999</v>
      </c>
      <c r="M988">
        <f>DigDir!N988</f>
        <v>98.2</v>
      </c>
      <c r="O988">
        <f>ABS(L988-DigInv!$C$34)</f>
        <v>6.124023427897594</v>
      </c>
      <c r="P988">
        <f t="shared" si="16"/>
        <v>98.2</v>
      </c>
    </row>
    <row r="989" spans="10:16">
      <c r="J989" s="5"/>
      <c r="L989">
        <f>DigInv!M989</f>
        <v>2.2242453520000001</v>
      </c>
      <c r="M989">
        <f>DigDir!N989</f>
        <v>98.3</v>
      </c>
      <c r="O989">
        <f>ABS(L989-DigInv!$C$34)</f>
        <v>6.2384337798975942</v>
      </c>
      <c r="P989">
        <f t="shared" si="16"/>
        <v>98.3</v>
      </c>
    </row>
    <row r="990" spans="10:16">
      <c r="J990" s="5"/>
      <c r="L990">
        <f>DigInv!M990</f>
        <v>2.3577240960000001</v>
      </c>
      <c r="M990">
        <f>DigDir!N990</f>
        <v>98.4</v>
      </c>
      <c r="O990">
        <f>ABS(L990-DigInv!$C$34)</f>
        <v>6.3719125238975938</v>
      </c>
      <c r="P990">
        <f t="shared" si="16"/>
        <v>98.4</v>
      </c>
    </row>
    <row r="991" spans="10:16">
      <c r="J991" s="5"/>
      <c r="L991">
        <f>DigInv!M991</f>
        <v>2.450342</v>
      </c>
      <c r="M991">
        <f>DigDir!N991</f>
        <v>98.5</v>
      </c>
      <c r="O991">
        <f>ABS(L991-DigInv!$C$34)</f>
        <v>6.4645304278975937</v>
      </c>
      <c r="P991">
        <f t="shared" si="16"/>
        <v>98.5</v>
      </c>
    </row>
    <row r="992" spans="10:16">
      <c r="J992" s="5"/>
      <c r="L992">
        <f>DigInv!M992</f>
        <v>2.450342</v>
      </c>
      <c r="M992">
        <f>DigDir!N992</f>
        <v>98.6</v>
      </c>
      <c r="O992">
        <f>ABS(L992-DigInv!$C$34)</f>
        <v>6.4645304278975937</v>
      </c>
      <c r="P992">
        <f t="shared" si="16"/>
        <v>98.6</v>
      </c>
    </row>
    <row r="993" spans="10:16">
      <c r="J993" s="5"/>
      <c r="L993">
        <f>DigInv!M993</f>
        <v>2.450342</v>
      </c>
      <c r="M993">
        <f>DigDir!N993</f>
        <v>98.7</v>
      </c>
      <c r="O993">
        <f>ABS(L993-DigInv!$C$34)</f>
        <v>6.4645304278975937</v>
      </c>
      <c r="P993">
        <f t="shared" si="16"/>
        <v>98.7</v>
      </c>
    </row>
    <row r="994" spans="10:16">
      <c r="J994" s="5"/>
      <c r="L994">
        <f>DigInv!M994</f>
        <v>2.450342</v>
      </c>
      <c r="M994">
        <f>DigDir!N994</f>
        <v>98.8</v>
      </c>
      <c r="O994">
        <f>ABS(L994-DigInv!$C$34)</f>
        <v>6.4645304278975937</v>
      </c>
      <c r="P994">
        <f t="shared" si="16"/>
        <v>98.8</v>
      </c>
    </row>
    <row r="995" spans="10:16">
      <c r="J995" s="5"/>
      <c r="L995">
        <f>DigInv!M995</f>
        <v>2.450342</v>
      </c>
      <c r="M995">
        <f>DigDir!N995</f>
        <v>98.9</v>
      </c>
      <c r="O995">
        <f>ABS(L995-DigInv!$C$34)</f>
        <v>6.4645304278975937</v>
      </c>
      <c r="P995">
        <f t="shared" si="16"/>
        <v>98.9</v>
      </c>
    </row>
    <row r="996" spans="10:16">
      <c r="J996" s="5"/>
      <c r="L996">
        <f>DigInv!M996</f>
        <v>2.450342</v>
      </c>
      <c r="M996">
        <f>DigDir!N996</f>
        <v>99</v>
      </c>
      <c r="O996">
        <f>ABS(L996-DigInv!$C$34)</f>
        <v>6.4645304278975937</v>
      </c>
      <c r="P996">
        <f t="shared" si="16"/>
        <v>99</v>
      </c>
    </row>
    <row r="997" spans="10:16">
      <c r="J997" s="5"/>
      <c r="L997">
        <f>DigInv!M997</f>
        <v>2.450342</v>
      </c>
      <c r="M997">
        <f>DigDir!N997</f>
        <v>99.1</v>
      </c>
      <c r="O997">
        <f>ABS(L997-DigInv!$C$34)</f>
        <v>6.4645304278975937</v>
      </c>
      <c r="P997">
        <f t="shared" si="16"/>
        <v>99.1</v>
      </c>
    </row>
    <row r="998" spans="10:16">
      <c r="J998" s="5"/>
      <c r="L998">
        <f>DigInv!M998</f>
        <v>2.450342</v>
      </c>
      <c r="M998">
        <f>DigDir!N998</f>
        <v>99.2</v>
      </c>
      <c r="O998">
        <f>ABS(L998-DigInv!$C$34)</f>
        <v>6.4645304278975937</v>
      </c>
      <c r="P998">
        <f t="shared" si="16"/>
        <v>99.2</v>
      </c>
    </row>
    <row r="999" spans="10:16">
      <c r="J999" s="5"/>
      <c r="L999">
        <f>DigInv!M999</f>
        <v>2.56194443199999</v>
      </c>
      <c r="M999">
        <f>DigDir!N999</f>
        <v>99.3</v>
      </c>
      <c r="O999">
        <f>ABS(L999-DigInv!$C$34)</f>
        <v>6.5761328598975837</v>
      </c>
      <c r="P999">
        <f t="shared" si="16"/>
        <v>99.3</v>
      </c>
    </row>
    <row r="1000" spans="10:16">
      <c r="J1000" s="5"/>
      <c r="L1000">
        <f>DigInv!M1000</f>
        <v>2.73283565600001</v>
      </c>
      <c r="M1000">
        <f>DigDir!N1000</f>
        <v>99.4</v>
      </c>
      <c r="O1000">
        <f>ABS(L1000-DigInv!$C$34)</f>
        <v>6.7470240838976032</v>
      </c>
      <c r="P1000">
        <f t="shared" si="16"/>
        <v>99.4</v>
      </c>
    </row>
    <row r="1001" spans="10:16">
      <c r="J1001" s="5"/>
      <c r="L1001">
        <f>DigInv!M1001</f>
        <v>2.8862890000000001</v>
      </c>
      <c r="M1001">
        <f>DigDir!N1001</f>
        <v>99.5</v>
      </c>
      <c r="O1001">
        <f>ABS(L1001-DigInv!$C$34)</f>
        <v>6.9004774278975933</v>
      </c>
      <c r="P1001">
        <f t="shared" si="16"/>
        <v>99.5</v>
      </c>
    </row>
    <row r="1002" spans="10:16">
      <c r="J1002" s="5"/>
      <c r="L1002">
        <f>DigInv!M1002</f>
        <v>2.8862890000000001</v>
      </c>
      <c r="M1002">
        <f>DigDir!N1002</f>
        <v>99.6</v>
      </c>
      <c r="O1002">
        <f>ABS(L1002-DigInv!$C$34)</f>
        <v>6.9004774278975933</v>
      </c>
      <c r="P1002">
        <f t="shared" si="16"/>
        <v>99.6</v>
      </c>
    </row>
    <row r="1003" spans="10:16">
      <c r="J1003" s="5"/>
      <c r="L1003">
        <f>DigInv!M1003</f>
        <v>2.8862890000000001</v>
      </c>
      <c r="M1003">
        <f>DigDir!N1003</f>
        <v>99.7</v>
      </c>
      <c r="O1003">
        <f>ABS(L1003-DigInv!$C$34)</f>
        <v>6.9004774278975933</v>
      </c>
      <c r="P1003">
        <f t="shared" si="16"/>
        <v>99.7</v>
      </c>
    </row>
    <row r="1004" spans="10:16">
      <c r="J1004" s="5"/>
      <c r="L1004">
        <f>DigInv!M1004</f>
        <v>3.0119977599999999</v>
      </c>
      <c r="M1004">
        <f>DigDir!N1004</f>
        <v>99.8</v>
      </c>
      <c r="O1004">
        <f>ABS(L1004-DigInv!$C$34)</f>
        <v>7.0261861878975935</v>
      </c>
      <c r="P1004">
        <f t="shared" si="16"/>
        <v>99.8</v>
      </c>
    </row>
    <row r="1005" spans="10:16">
      <c r="J1005" s="5"/>
      <c r="L1005">
        <f>DigInv!M1005</f>
        <v>3.24013588</v>
      </c>
      <c r="M1005">
        <f>DigDir!N1005</f>
        <v>99.9</v>
      </c>
      <c r="O1005">
        <f>ABS(L1005-DigInv!$C$34)</f>
        <v>7.2543243078975941</v>
      </c>
      <c r="P1005">
        <f t="shared" si="16"/>
        <v>99.9</v>
      </c>
    </row>
    <row r="1006" spans="10:16">
      <c r="J1006" s="5"/>
      <c r="L1006">
        <f>DigInv!M1006</f>
        <v>3.4682740000000001</v>
      </c>
      <c r="M1006">
        <f>DigDir!N1006</f>
        <v>100</v>
      </c>
      <c r="O1006">
        <f>ABS(L1006-DigInv!$C$34)</f>
        <v>7.4824624278975937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topLeftCell="G1" workbookViewId="0">
      <selection activeCell="C16" sqref="C16"/>
    </sheetView>
  </sheetViews>
  <sheetFormatPr baseColWidth="10" defaultRowHeight="15.5"/>
  <cols>
    <col min="1" max="1" width="10.6640625" customWidth="1"/>
  </cols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SQRT(DigDir!J6)</f>
        <v>1.0319400000000001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DigDir!M6</f>
        <v>-2.315013</v>
      </c>
      <c r="M5">
        <f>DigDir!N6</f>
        <v>0</v>
      </c>
      <c r="O5">
        <f>ABS(L5-DigDir!$C$34)</f>
        <v>2.441607080873744</v>
      </c>
      <c r="P5">
        <f>M5</f>
        <v>0</v>
      </c>
      <c r="R5" t="s">
        <v>15</v>
      </c>
      <c r="T5">
        <f>MIN(O5:O1006)</f>
        <v>2.441607080873744</v>
      </c>
    </row>
    <row r="6" spans="1:20">
      <c r="A6" s="2" t="s">
        <v>28</v>
      </c>
      <c r="J6" s="5"/>
      <c r="L6">
        <f>DigDir!M7</f>
        <v>-2.315013</v>
      </c>
      <c r="M6">
        <f>DigDir!N7</f>
        <v>0.1</v>
      </c>
      <c r="O6">
        <f>ABS(L6-DigDir!$C$34)</f>
        <v>2.441607080873744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J7" s="5"/>
      <c r="L7">
        <f>DigDir!M8</f>
        <v>-2.315013</v>
      </c>
      <c r="M7">
        <f>DigDir!N8</f>
        <v>0.2</v>
      </c>
      <c r="O7">
        <f>ABS(L7-DigDir!$C$34)</f>
        <v>2.441607080873744</v>
      </c>
      <c r="P7">
        <f t="shared" si="0"/>
        <v>0.2</v>
      </c>
    </row>
    <row r="8" spans="1:20">
      <c r="A8" t="s">
        <v>16</v>
      </c>
      <c r="B8">
        <f>DigDir!C27</f>
        <v>5.9085465262568517</v>
      </c>
      <c r="J8" s="5"/>
    </row>
    <row r="9" spans="1:20">
      <c r="J9" s="5"/>
      <c r="L9">
        <f>DigDir!M9</f>
        <v>-2.294529416</v>
      </c>
      <c r="M9">
        <f>DigDir!N9</f>
        <v>0.3</v>
      </c>
      <c r="O9">
        <f>ABS(L9-DigDir!$C$34)</f>
        <v>2.462090664873744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DigDir!M10</f>
        <v>-2.248906888</v>
      </c>
      <c r="M10">
        <f>DigDir!N10</f>
        <v>0.4</v>
      </c>
      <c r="O10">
        <f>ABS(L10-DigDir!$C$34)</f>
        <v>2.5077131928737439</v>
      </c>
      <c r="P10">
        <f t="shared" si="0"/>
        <v>0.4</v>
      </c>
    </row>
    <row r="11" spans="1:20">
      <c r="B11">
        <f>DigDir!J11</f>
        <v>0</v>
      </c>
      <c r="C11">
        <f>DigDir!I11</f>
        <v>0</v>
      </c>
      <c r="J11" s="5"/>
      <c r="L11">
        <f>DigDir!M11</f>
        <v>-2.2032843600000001</v>
      </c>
      <c r="M11">
        <f>DigDir!N11</f>
        <v>0.5</v>
      </c>
      <c r="O11">
        <f>ABS(L11-DigDir!$C$34)</f>
        <v>2.5533357208737439</v>
      </c>
      <c r="P11">
        <f t="shared" si="0"/>
        <v>0.5</v>
      </c>
    </row>
    <row r="12" spans="1:20">
      <c r="B12">
        <f>DigDir!J12</f>
        <v>0</v>
      </c>
      <c r="C12">
        <f>DigDir!I12</f>
        <v>0</v>
      </c>
      <c r="J12" s="5"/>
      <c r="L12">
        <f>DigDir!M12</f>
        <v>-2.1986289999999999</v>
      </c>
      <c r="M12">
        <f>DigDir!N12</f>
        <v>0.6</v>
      </c>
      <c r="O12">
        <f>ABS(L12-DigDir!$C$34)</f>
        <v>2.557991080873744</v>
      </c>
      <c r="P12">
        <f t="shared" si="0"/>
        <v>0.6</v>
      </c>
    </row>
    <row r="13" spans="1:20">
      <c r="B13">
        <f>DigDir!J13</f>
        <v>0</v>
      </c>
      <c r="C13">
        <f>DigDir!I13</f>
        <v>0</v>
      </c>
      <c r="J13" s="5"/>
      <c r="L13">
        <f>DigDir!M13</f>
        <v>-2.1986289999999999</v>
      </c>
      <c r="M13">
        <f>DigDir!N13</f>
        <v>0.7</v>
      </c>
      <c r="O13">
        <f>ABS(L13-DigDir!$C$34)</f>
        <v>2.557991080873744</v>
      </c>
      <c r="P13">
        <f t="shared" si="0"/>
        <v>0.7</v>
      </c>
    </row>
    <row r="14" spans="1:20">
      <c r="B14">
        <f>DigDir!J14</f>
        <v>0</v>
      </c>
      <c r="C14">
        <f>DigDir!I14</f>
        <v>0</v>
      </c>
      <c r="J14" s="5"/>
      <c r="L14">
        <f>DigDir!M14</f>
        <v>-2.1986289999999999</v>
      </c>
      <c r="M14">
        <f>DigDir!N14</f>
        <v>0.8</v>
      </c>
      <c r="O14">
        <f>ABS(L14-DigDir!$C$34)</f>
        <v>2.557991080873744</v>
      </c>
      <c r="P14">
        <f t="shared" si="0"/>
        <v>0.8</v>
      </c>
    </row>
    <row r="15" spans="1:20">
      <c r="B15">
        <f>DigDir!J15</f>
        <v>0</v>
      </c>
      <c r="C15">
        <f>DigDir!I15</f>
        <v>0</v>
      </c>
      <c r="J15" s="5"/>
      <c r="L15">
        <f>DigDir!M15</f>
        <v>-2.1986289999999999</v>
      </c>
      <c r="M15">
        <f>DigDir!N15</f>
        <v>0.9</v>
      </c>
      <c r="O15">
        <f>ABS(L15-DigDir!$C$34)</f>
        <v>2.557991080873744</v>
      </c>
      <c r="P15">
        <f t="shared" si="0"/>
        <v>0.9</v>
      </c>
    </row>
    <row r="16" spans="1:20">
      <c r="B16">
        <f>DigDir!J16</f>
        <v>0</v>
      </c>
      <c r="C16">
        <f>DigDir!I16</f>
        <v>0</v>
      </c>
      <c r="J16" s="5"/>
      <c r="L16">
        <f>DigDir!M16</f>
        <v>-2.1986289999999999</v>
      </c>
      <c r="M16">
        <f>DigDir!N16</f>
        <v>1</v>
      </c>
      <c r="O16">
        <f>ABS(L16-DigDir!$C$34)</f>
        <v>2.557991080873744</v>
      </c>
      <c r="P16">
        <f t="shared" si="0"/>
        <v>1</v>
      </c>
    </row>
    <row r="17" spans="1:16">
      <c r="B17">
        <f>DigDir!J17</f>
        <v>0</v>
      </c>
      <c r="C17">
        <f>DigDir!I17</f>
        <v>0</v>
      </c>
      <c r="J17" s="5"/>
      <c r="L17">
        <f>DigDir!M17</f>
        <v>-2.180472784</v>
      </c>
      <c r="M17">
        <f>DigDir!N17</f>
        <v>1.1000000000000001</v>
      </c>
      <c r="O17">
        <f>ABS(L17-DigDir!$C$34)</f>
        <v>2.576147296873744</v>
      </c>
      <c r="P17">
        <f t="shared" si="0"/>
        <v>1.1000000000000001</v>
      </c>
    </row>
    <row r="18" spans="1:16">
      <c r="B18">
        <f>DigDir!J18</f>
        <v>0</v>
      </c>
      <c r="C18">
        <f>DigDir!I18</f>
        <v>0</v>
      </c>
      <c r="J18" s="5"/>
      <c r="L18">
        <f>DigDir!M18</f>
        <v>-2.157661128</v>
      </c>
      <c r="M18">
        <f>DigDir!N18</f>
        <v>1.2</v>
      </c>
      <c r="O18">
        <f>ABS(L18-DigDir!$C$34)</f>
        <v>2.598958952873744</v>
      </c>
      <c r="P18">
        <f t="shared" si="0"/>
        <v>1.2</v>
      </c>
    </row>
    <row r="19" spans="1:16">
      <c r="B19">
        <f>DigDir!J19</f>
        <v>0</v>
      </c>
      <c r="C19">
        <f>DigDir!I19</f>
        <v>0</v>
      </c>
      <c r="J19" s="5"/>
      <c r="L19">
        <f>DigDir!M19</f>
        <v>-2.1404359999999998</v>
      </c>
      <c r="M19">
        <f>DigDir!N19</f>
        <v>1.3</v>
      </c>
      <c r="O19">
        <f>ABS(L19-DigDir!$C$34)</f>
        <v>2.6161840808737442</v>
      </c>
      <c r="P19">
        <f t="shared" si="0"/>
        <v>1.3</v>
      </c>
    </row>
    <row r="20" spans="1:16">
      <c r="B20">
        <f>DigDir!J20</f>
        <v>0</v>
      </c>
      <c r="C20">
        <f>DigDir!I20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DigDir!M20</f>
        <v>-2.1404359999999998</v>
      </c>
      <c r="M20">
        <f>DigDir!N20</f>
        <v>1.4</v>
      </c>
      <c r="O20">
        <f>ABS(L20-DigDir!$C$34)</f>
        <v>2.6161840808737442</v>
      </c>
      <c r="P20">
        <f t="shared" si="0"/>
        <v>1.4</v>
      </c>
    </row>
    <row r="21" spans="1:16">
      <c r="B21">
        <f>DigDir!J21</f>
        <v>0</v>
      </c>
      <c r="C21">
        <f>DigDir!I21</f>
        <v>0</v>
      </c>
      <c r="E21" t="s">
        <v>38</v>
      </c>
      <c r="G21" s="21">
        <f>SQRT(G20)</f>
        <v>0</v>
      </c>
      <c r="J21" s="5"/>
      <c r="L21">
        <f>DigDir!M21</f>
        <v>-2.1404359999999998</v>
      </c>
      <c r="M21">
        <f>DigDir!N21</f>
        <v>1.5</v>
      </c>
      <c r="O21">
        <f>ABS(L21-DigDir!$C$34)</f>
        <v>2.6161840808737442</v>
      </c>
      <c r="P21">
        <f t="shared" si="0"/>
        <v>1.5</v>
      </c>
    </row>
    <row r="22" spans="1:16">
      <c r="B22">
        <f>DigDir!J22</f>
        <v>0</v>
      </c>
      <c r="C22">
        <f>DigDir!I22</f>
        <v>0</v>
      </c>
      <c r="J22" s="5"/>
      <c r="L22">
        <f>DigDir!M22</f>
        <v>-2.1246077759999999</v>
      </c>
      <c r="M22">
        <f>DigDir!N22</f>
        <v>1.6</v>
      </c>
      <c r="O22">
        <f>ABS(L22-DigDir!$C$34)</f>
        <v>2.632012304873744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DigDir!M23</f>
        <v>-2.101796512</v>
      </c>
      <c r="M23">
        <f>DigDir!N23</f>
        <v>1.7</v>
      </c>
      <c r="O23">
        <f>ABS(L23-DigDir!$C$34)</f>
        <v>2.654823568873744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DigDir!M24</f>
        <v>-2.0822440000000002</v>
      </c>
      <c r="M24">
        <f>DigDir!N24</f>
        <v>1.8</v>
      </c>
      <c r="O24">
        <f>ABS(L24-DigDir!$C$34)</f>
        <v>2.6743760808737438</v>
      </c>
      <c r="P24">
        <f t="shared" si="0"/>
        <v>1.8</v>
      </c>
    </row>
    <row r="25" spans="1:16">
      <c r="A25" s="2" t="s">
        <v>27</v>
      </c>
      <c r="J25" s="5"/>
      <c r="L25">
        <f>DigDir!M25</f>
        <v>-2.0822440000000002</v>
      </c>
      <c r="M25">
        <f>DigDir!N25</f>
        <v>1.9</v>
      </c>
      <c r="O25">
        <f>ABS(L25-DigDir!$C$34)</f>
        <v>2.6743760808737438</v>
      </c>
      <c r="P25">
        <f t="shared" si="0"/>
        <v>1.9</v>
      </c>
    </row>
    <row r="26" spans="1:16">
      <c r="H26" s="1"/>
      <c r="J26" s="5"/>
      <c r="L26">
        <f>DigDir!M26</f>
        <v>-2.0822440000000002</v>
      </c>
      <c r="M26">
        <f>DigDir!N26</f>
        <v>2</v>
      </c>
      <c r="O26">
        <f>ABS(L26-DigDir!$C$34)</f>
        <v>2.6743760808737438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DigDir!M27</f>
        <v>-2.068743456</v>
      </c>
      <c r="M27">
        <f>DigDir!N27</f>
        <v>2.1</v>
      </c>
      <c r="O27">
        <f>ABS(L27-DigDir!$C$34)</f>
        <v>2.687876624873744</v>
      </c>
      <c r="P27">
        <f t="shared" si="0"/>
        <v>2.1</v>
      </c>
    </row>
    <row r="28" spans="1:16">
      <c r="A28">
        <f>DigDir!I27</f>
        <v>0</v>
      </c>
      <c r="B28">
        <f>DigDir!J27</f>
        <v>0</v>
      </c>
      <c r="C28">
        <v>1</v>
      </c>
      <c r="D28">
        <f>B28*C28</f>
        <v>0</v>
      </c>
      <c r="J28" s="5"/>
      <c r="L28">
        <f>DigDir!M28</f>
        <v>-2.045932192</v>
      </c>
      <c r="M28">
        <f>DigDir!N28</f>
        <v>2.2000000000000002</v>
      </c>
      <c r="O28">
        <f>ABS(L28-DigDir!$C$34)</f>
        <v>2.710687888873744</v>
      </c>
      <c r="P28">
        <f t="shared" si="0"/>
        <v>2.2000000000000002</v>
      </c>
    </row>
    <row r="29" spans="1:16">
      <c r="A29">
        <f>DigDir!I28</f>
        <v>0</v>
      </c>
      <c r="B29">
        <f>DigDir!J28</f>
        <v>0</v>
      </c>
      <c r="C29">
        <f>B8</f>
        <v>5.9085465262568517</v>
      </c>
      <c r="D29">
        <f t="shared" ref="D29:D33" si="1">B29*C29</f>
        <v>0</v>
      </c>
      <c r="J29" s="5"/>
      <c r="L29">
        <f>DigDir!M29</f>
        <v>-2.0240520000000002</v>
      </c>
      <c r="M29">
        <f>DigDir!N29</f>
        <v>2.2999999999999998</v>
      </c>
      <c r="O29">
        <f>ABS(L29-DigDir!$C$34)</f>
        <v>2.7325680808737438</v>
      </c>
      <c r="P29">
        <f t="shared" si="0"/>
        <v>2.2999999999999998</v>
      </c>
    </row>
    <row r="30" spans="1:16">
      <c r="A30">
        <f>DigDir!I29</f>
        <v>0</v>
      </c>
      <c r="B30">
        <f>DigDir!J29</f>
        <v>0</v>
      </c>
      <c r="C30">
        <f>B8^2</f>
        <v>34.910922052941906</v>
      </c>
      <c r="D30">
        <f t="shared" si="1"/>
        <v>0</v>
      </c>
      <c r="J30" s="5"/>
      <c r="L30">
        <f>DigDir!M30</f>
        <v>-2.0240520000000002</v>
      </c>
      <c r="M30">
        <f>DigDir!N30</f>
        <v>2.4</v>
      </c>
      <c r="O30">
        <f>ABS(L30-DigDir!$C$34)</f>
        <v>2.7325680808737438</v>
      </c>
      <c r="P30">
        <f t="shared" si="0"/>
        <v>2.4</v>
      </c>
    </row>
    <row r="31" spans="1:16">
      <c r="A31">
        <f>DigDir!I30</f>
        <v>0</v>
      </c>
      <c r="B31">
        <f>DigDir!J30</f>
        <v>0</v>
      </c>
      <c r="C31">
        <f>B8^3</f>
        <v>206.27280722433363</v>
      </c>
      <c r="D31">
        <f t="shared" si="1"/>
        <v>0</v>
      </c>
      <c r="J31" s="5"/>
      <c r="L31">
        <f>DigDir!M31</f>
        <v>-2.0240520000000002</v>
      </c>
      <c r="M31">
        <f>DigDir!N31</f>
        <v>2.5</v>
      </c>
      <c r="O31">
        <f>ABS(L31-DigDir!$C$34)</f>
        <v>2.7325680808737438</v>
      </c>
      <c r="P31">
        <f t="shared" si="0"/>
        <v>2.5</v>
      </c>
    </row>
    <row r="32" spans="1:16">
      <c r="A32">
        <f>DigDir!I31</f>
        <v>0</v>
      </c>
      <c r="B32">
        <f>DigDir!J31</f>
        <v>0</v>
      </c>
      <c r="C32">
        <f>B8^4</f>
        <v>1218.7724785865855</v>
      </c>
      <c r="D32">
        <f t="shared" si="1"/>
        <v>0</v>
      </c>
      <c r="J32" s="5"/>
      <c r="L32">
        <f>DigDir!M32</f>
        <v>-2.0240520000000002</v>
      </c>
      <c r="M32">
        <f>DigDir!N32</f>
        <v>2.6</v>
      </c>
      <c r="O32">
        <f>ABS(L32-DigDir!$C$34)</f>
        <v>2.7325680808737438</v>
      </c>
      <c r="P32">
        <f t="shared" si="0"/>
        <v>2.6</v>
      </c>
    </row>
    <row r="33" spans="1:16">
      <c r="A33">
        <f>DigDir!I32</f>
        <v>0</v>
      </c>
      <c r="B33">
        <f>DigDir!J32</f>
        <v>0</v>
      </c>
      <c r="C33">
        <f>B8^5</f>
        <v>7201.1738946502228</v>
      </c>
      <c r="D33">
        <f t="shared" si="1"/>
        <v>0</v>
      </c>
      <c r="J33" s="5"/>
      <c r="L33">
        <f>DigDir!M33</f>
        <v>-2.0240520000000002</v>
      </c>
      <c r="M33">
        <f>DigDir!N33</f>
        <v>2.7</v>
      </c>
      <c r="O33">
        <f>ABS(L33-DigDir!$C$34)</f>
        <v>2.7325680808737438</v>
      </c>
      <c r="P33">
        <f t="shared" si="0"/>
        <v>2.7</v>
      </c>
    </row>
    <row r="34" spans="1:16">
      <c r="G34" s="21">
        <f>SQRT(D35)</f>
        <v>0</v>
      </c>
      <c r="J34" s="5"/>
      <c r="L34">
        <f>DigDir!M34</f>
        <v>-2.0240520000000002</v>
      </c>
      <c r="M34">
        <f>DigDir!N34</f>
        <v>2.8</v>
      </c>
      <c r="O34">
        <f>ABS(L34-DigDir!$C$34)</f>
        <v>2.7325680808737438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DigDir!M35</f>
        <v>-2.0026369759999998</v>
      </c>
      <c r="M35">
        <f>DigDir!N35</f>
        <v>2.9</v>
      </c>
      <c r="O35">
        <f>ABS(L35-DigDir!$C$34)</f>
        <v>2.7539831048737442</v>
      </c>
      <c r="P35">
        <f t="shared" si="0"/>
        <v>2.9</v>
      </c>
    </row>
    <row r="36" spans="1:16">
      <c r="J36" s="5"/>
      <c r="L36">
        <f>DigDir!M36</f>
        <v>-1.97982532</v>
      </c>
      <c r="M36">
        <f>DigDir!N36</f>
        <v>3</v>
      </c>
      <c r="O36">
        <f>ABS(L36-DigDir!$C$34)</f>
        <v>2.7767947608737442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DigDir!M37</f>
        <v>-1.9570138159999999</v>
      </c>
      <c r="M37">
        <f>DigDir!N37</f>
        <v>3.1</v>
      </c>
      <c r="O37">
        <f>ABS(L37-DigDir!$C$34)</f>
        <v>2.7996062648737441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1.0319400000000001</v>
      </c>
      <c r="J38" s="5"/>
      <c r="L38">
        <f>DigDir!M38</f>
        <v>-1.9342025519999999</v>
      </c>
      <c r="M38">
        <f>DigDir!N38</f>
        <v>3.2</v>
      </c>
      <c r="O38">
        <f>ABS(L38-DigDir!$C$34)</f>
        <v>2.8224175288737441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DigDir!M39</f>
        <v>-1.9113912879999999</v>
      </c>
      <c r="M39">
        <f>DigDir!N39</f>
        <v>3.3</v>
      </c>
      <c r="O39">
        <f>ABS(L39-DigDir!$C$34)</f>
        <v>2.8452287928737441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DigDir!M40</f>
        <v>-1.8885800239999999</v>
      </c>
      <c r="M40">
        <f>DigDir!N40</f>
        <v>3.4</v>
      </c>
      <c r="O40">
        <f>ABS(L40-DigDir!$C$34)</f>
        <v>2.8680400568737441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DigDir!M41</f>
        <v>-1.8657687599999999</v>
      </c>
      <c r="M41">
        <f>DigDir!N41</f>
        <v>3.5</v>
      </c>
      <c r="O41">
        <f>ABS(L41-DigDir!$C$34)</f>
        <v>2.8908513208737441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DigDir!M42</f>
        <v>-1.849475</v>
      </c>
      <c r="M42">
        <f>DigDir!N42</f>
        <v>3.6</v>
      </c>
      <c r="O42">
        <f>ABS(L42-DigDir!$C$34)</f>
        <v>2.907145080873744</v>
      </c>
      <c r="P42">
        <f t="shared" si="0"/>
        <v>3.6</v>
      </c>
    </row>
    <row r="43" spans="1:16">
      <c r="A43" s="22"/>
      <c r="J43" s="5"/>
      <c r="L43">
        <f>DigDir!M43</f>
        <v>-1.849475</v>
      </c>
      <c r="M43">
        <f>DigDir!N43</f>
        <v>3.7</v>
      </c>
      <c r="O43">
        <f>ABS(L43-DigDir!$C$34)</f>
        <v>2.907145080873744</v>
      </c>
      <c r="P43">
        <f t="shared" si="0"/>
        <v>3.7</v>
      </c>
    </row>
    <row r="44" spans="1:16">
      <c r="J44" s="5"/>
      <c r="L44">
        <f>DigDir!M44</f>
        <v>-1.849475</v>
      </c>
      <c r="M44">
        <f>DigDir!N44</f>
        <v>3.8</v>
      </c>
      <c r="O44">
        <f>ABS(L44-DigDir!$C$34)</f>
        <v>2.907145080873744</v>
      </c>
      <c r="P44">
        <f t="shared" si="0"/>
        <v>3.8</v>
      </c>
    </row>
    <row r="45" spans="1:16">
      <c r="J45" s="5"/>
      <c r="L45">
        <f>DigDir!M45</f>
        <v>-1.849475</v>
      </c>
      <c r="M45">
        <f>DigDir!N45</f>
        <v>3.9</v>
      </c>
      <c r="O45">
        <f>ABS(L45-DigDir!$C$34)</f>
        <v>2.907145080873744</v>
      </c>
      <c r="P45">
        <f t="shared" si="0"/>
        <v>3.9</v>
      </c>
    </row>
    <row r="46" spans="1:16">
      <c r="J46" s="5"/>
      <c r="L46">
        <f>DigDir!M46</f>
        <v>-1.849475</v>
      </c>
      <c r="M46">
        <f>DigDir!N46</f>
        <v>4</v>
      </c>
      <c r="O46">
        <f>ABS(L46-DigDir!$C$34)</f>
        <v>2.907145080873744</v>
      </c>
      <c r="P46">
        <f t="shared" si="0"/>
        <v>4</v>
      </c>
    </row>
    <row r="47" spans="1:16">
      <c r="J47" s="5"/>
      <c r="L47">
        <f>DigDir!M47</f>
        <v>-1.849475</v>
      </c>
      <c r="M47">
        <f>DigDir!N47</f>
        <v>4.0999999999999996</v>
      </c>
      <c r="O47">
        <f>ABS(L47-DigDir!$C$34)</f>
        <v>2.907145080873744</v>
      </c>
      <c r="P47">
        <f t="shared" si="0"/>
        <v>4.0999999999999996</v>
      </c>
    </row>
    <row r="48" spans="1:16">
      <c r="J48" s="5"/>
      <c r="L48">
        <f>DigDir!M48</f>
        <v>-1.849475</v>
      </c>
      <c r="M48">
        <f>DigDir!N48</f>
        <v>4.2</v>
      </c>
      <c r="O48">
        <f>ABS(L48-DigDir!$C$34)</f>
        <v>2.907145080873744</v>
      </c>
      <c r="P48">
        <f t="shared" si="0"/>
        <v>4.2</v>
      </c>
    </row>
    <row r="49" spans="10:16">
      <c r="J49" s="5"/>
      <c r="L49">
        <f>DigDir!M49</f>
        <v>-1.849475</v>
      </c>
      <c r="M49">
        <f>DigDir!N49</f>
        <v>4.3</v>
      </c>
      <c r="O49">
        <f>ABS(L49-DigDir!$C$34)</f>
        <v>2.907145080873744</v>
      </c>
      <c r="P49">
        <f t="shared" si="0"/>
        <v>4.3</v>
      </c>
    </row>
    <row r="50" spans="10:16">
      <c r="J50" s="5"/>
      <c r="L50">
        <f>DigDir!M50</f>
        <v>-1.849475</v>
      </c>
      <c r="M50">
        <f>DigDir!N50</f>
        <v>4.4000000000000004</v>
      </c>
      <c r="O50">
        <f>ABS(L50-DigDir!$C$34)</f>
        <v>2.907145080873744</v>
      </c>
      <c r="P50">
        <f t="shared" si="0"/>
        <v>4.4000000000000004</v>
      </c>
    </row>
    <row r="51" spans="10:16">
      <c r="J51" s="5"/>
      <c r="L51">
        <f>DigDir!M51</f>
        <v>-1.849475</v>
      </c>
      <c r="M51">
        <f>DigDir!N51</f>
        <v>4.5</v>
      </c>
      <c r="O51">
        <f>ABS(L51-DigDir!$C$34)</f>
        <v>2.907145080873744</v>
      </c>
      <c r="P51">
        <f t="shared" si="0"/>
        <v>4.5</v>
      </c>
    </row>
    <row r="52" spans="10:16">
      <c r="J52" s="5"/>
      <c r="L52">
        <f>DigDir!M52</f>
        <v>-1.849475</v>
      </c>
      <c r="M52">
        <f>DigDir!N52</f>
        <v>4.5999999999999996</v>
      </c>
      <c r="O52">
        <f>ABS(L52-DigDir!$C$34)</f>
        <v>2.907145080873744</v>
      </c>
      <c r="P52">
        <f t="shared" si="0"/>
        <v>4.5999999999999996</v>
      </c>
    </row>
    <row r="53" spans="10:16">
      <c r="J53" s="5"/>
      <c r="L53">
        <f>DigDir!M53</f>
        <v>-1.849475</v>
      </c>
      <c r="M53">
        <f>DigDir!N53</f>
        <v>4.7</v>
      </c>
      <c r="O53">
        <f>ABS(L53-DigDir!$C$34)</f>
        <v>2.907145080873744</v>
      </c>
      <c r="P53">
        <f t="shared" si="0"/>
        <v>4.7</v>
      </c>
    </row>
    <row r="54" spans="10:16">
      <c r="J54" s="5"/>
      <c r="L54">
        <f>DigDir!M54</f>
        <v>-1.849475</v>
      </c>
      <c r="M54">
        <f>DigDir!N54</f>
        <v>4.8</v>
      </c>
      <c r="O54">
        <f>ABS(L54-DigDir!$C$34)</f>
        <v>2.907145080873744</v>
      </c>
      <c r="P54">
        <f t="shared" si="0"/>
        <v>4.8</v>
      </c>
    </row>
    <row r="55" spans="10:16">
      <c r="J55" s="5"/>
      <c r="L55">
        <f>DigDir!M55</f>
        <v>-1.849475</v>
      </c>
      <c r="M55">
        <f>DigDir!N55</f>
        <v>4.9000000000000004</v>
      </c>
      <c r="O55">
        <f>ABS(L55-DigDir!$C$34)</f>
        <v>2.907145080873744</v>
      </c>
      <c r="P55">
        <f t="shared" si="0"/>
        <v>4.9000000000000004</v>
      </c>
    </row>
    <row r="56" spans="10:16">
      <c r="J56" s="5"/>
      <c r="L56">
        <f>DigDir!M56</f>
        <v>-1.849475</v>
      </c>
      <c r="M56">
        <f>DigDir!N56</f>
        <v>5</v>
      </c>
      <c r="O56">
        <f>ABS(L56-DigDir!$C$34)</f>
        <v>2.907145080873744</v>
      </c>
      <c r="P56">
        <f t="shared" si="0"/>
        <v>5</v>
      </c>
    </row>
    <row r="57" spans="10:16">
      <c r="J57" s="5"/>
      <c r="L57">
        <f>DigDir!M57</f>
        <v>-1.849475</v>
      </c>
      <c r="M57">
        <f>DigDir!N57</f>
        <v>5.0999999999999996</v>
      </c>
      <c r="O57">
        <f>ABS(L57-DigDir!$C$34)</f>
        <v>2.907145080873744</v>
      </c>
      <c r="P57">
        <f t="shared" si="0"/>
        <v>5.0999999999999996</v>
      </c>
    </row>
    <row r="58" spans="10:16">
      <c r="J58" s="5"/>
      <c r="L58">
        <f>DigDir!M58</f>
        <v>-1.849475</v>
      </c>
      <c r="M58">
        <f>DigDir!N58</f>
        <v>5.2</v>
      </c>
      <c r="O58">
        <f>ABS(L58-DigDir!$C$34)</f>
        <v>2.907145080873744</v>
      </c>
      <c r="P58">
        <f t="shared" si="0"/>
        <v>5.2</v>
      </c>
    </row>
    <row r="59" spans="10:16">
      <c r="J59" s="5"/>
      <c r="L59">
        <f>DigDir!M59</f>
        <v>-1.849475</v>
      </c>
      <c r="M59">
        <f>DigDir!N59</f>
        <v>5.3</v>
      </c>
      <c r="O59">
        <f>ABS(L59-DigDir!$C$34)</f>
        <v>2.907145080873744</v>
      </c>
      <c r="P59">
        <f t="shared" si="0"/>
        <v>5.3</v>
      </c>
    </row>
    <row r="60" spans="10:16">
      <c r="J60" s="5"/>
      <c r="L60">
        <f>DigDir!M60</f>
        <v>-1.800593216</v>
      </c>
      <c r="M60">
        <f>DigDir!N60</f>
        <v>5.4</v>
      </c>
      <c r="O60">
        <f>ABS(L60-DigDir!$C$34)</f>
        <v>2.9560268648737438</v>
      </c>
      <c r="P60">
        <f t="shared" si="0"/>
        <v>5.4</v>
      </c>
    </row>
    <row r="61" spans="10:16">
      <c r="J61" s="5"/>
      <c r="L61">
        <f>DigDir!M61</f>
        <v>-1.68653572</v>
      </c>
      <c r="M61">
        <f>DigDir!N61</f>
        <v>5.5</v>
      </c>
      <c r="O61">
        <f>ABS(L61-DigDir!$C$34)</f>
        <v>3.0700843608737438</v>
      </c>
      <c r="P61">
        <f t="shared" si="0"/>
        <v>5.5</v>
      </c>
    </row>
    <row r="62" spans="10:16">
      <c r="J62" s="5"/>
      <c r="L62">
        <f>DigDir!M62</f>
        <v>-1.5724782239999999</v>
      </c>
      <c r="M62">
        <f>DigDir!N62</f>
        <v>5.6</v>
      </c>
      <c r="O62">
        <f>ABS(L62-DigDir!$C$34)</f>
        <v>3.1841418568737438</v>
      </c>
      <c r="P62">
        <f t="shared" si="0"/>
        <v>5.6</v>
      </c>
    </row>
    <row r="63" spans="10:16">
      <c r="J63" s="5"/>
      <c r="L63">
        <f>DigDir!M63</f>
        <v>-1.5585119999999999</v>
      </c>
      <c r="M63">
        <f>DigDir!N63</f>
        <v>5.7</v>
      </c>
      <c r="O63">
        <f>ABS(L63-DigDir!$C$34)</f>
        <v>3.1981080808737441</v>
      </c>
      <c r="P63">
        <f t="shared" si="0"/>
        <v>5.7</v>
      </c>
    </row>
    <row r="64" spans="10:16">
      <c r="J64" s="5"/>
      <c r="L64">
        <f>DigDir!M64</f>
        <v>-1.5585119999999999</v>
      </c>
      <c r="M64">
        <f>DigDir!N64</f>
        <v>5.8</v>
      </c>
      <c r="O64">
        <f>ABS(L64-DigDir!$C$34)</f>
        <v>3.1981080808737441</v>
      </c>
      <c r="P64">
        <f t="shared" si="0"/>
        <v>5.8</v>
      </c>
    </row>
    <row r="65" spans="10:16">
      <c r="J65" s="5"/>
      <c r="L65">
        <f>DigDir!M65</f>
        <v>-1.5510634240000001</v>
      </c>
      <c r="M65">
        <f>DigDir!N65</f>
        <v>5.9</v>
      </c>
      <c r="O65">
        <f>ABS(L65-DigDir!$C$34)</f>
        <v>3.2055566568737439</v>
      </c>
      <c r="P65">
        <f t="shared" si="0"/>
        <v>5.9</v>
      </c>
    </row>
    <row r="66" spans="10:16">
      <c r="J66" s="5"/>
      <c r="L66">
        <f>DigDir!M66</f>
        <v>-1.5282521600000001</v>
      </c>
      <c r="M66">
        <f>DigDir!N66</f>
        <v>6</v>
      </c>
      <c r="O66">
        <f>ABS(L66-DigDir!$C$34)</f>
        <v>3.2283679208737439</v>
      </c>
      <c r="P66">
        <f t="shared" si="0"/>
        <v>6</v>
      </c>
    </row>
    <row r="67" spans="10:16">
      <c r="J67" s="5"/>
      <c r="L67">
        <f>DigDir!M67</f>
        <v>-1.5054408960000001</v>
      </c>
      <c r="M67">
        <f>DigDir!N67</f>
        <v>6.1</v>
      </c>
      <c r="O67">
        <f>ABS(L67-DigDir!$C$34)</f>
        <v>3.2511791848737439</v>
      </c>
      <c r="P67">
        <f t="shared" si="0"/>
        <v>6.1</v>
      </c>
    </row>
    <row r="68" spans="10:16">
      <c r="J68" s="5"/>
      <c r="L68">
        <f>DigDir!M68</f>
        <v>-1.41801504</v>
      </c>
      <c r="M68">
        <f>DigDir!N68</f>
        <v>6.2</v>
      </c>
      <c r="O68">
        <f>ABS(L68-DigDir!$C$34)</f>
        <v>3.3386050408737438</v>
      </c>
      <c r="P68">
        <f t="shared" si="0"/>
        <v>6.2</v>
      </c>
    </row>
    <row r="69" spans="10:16">
      <c r="J69" s="5"/>
      <c r="L69">
        <f>DigDir!M69</f>
        <v>-1.31188496</v>
      </c>
      <c r="M69">
        <f>DigDir!N69</f>
        <v>6.3</v>
      </c>
      <c r="O69">
        <f>ABS(L69-DigDir!$C$34)</f>
        <v>3.444735120873744</v>
      </c>
      <c r="P69">
        <f t="shared" si="0"/>
        <v>6.3</v>
      </c>
    </row>
    <row r="70" spans="10:16">
      <c r="J70" s="5"/>
      <c r="L70">
        <f>DigDir!M70</f>
        <v>-1.2295799999999999</v>
      </c>
      <c r="M70">
        <f>DigDir!N70</f>
        <v>6.4</v>
      </c>
      <c r="O70">
        <f>ABS(L70-DigDir!$C$34)</f>
        <v>3.5270400808737441</v>
      </c>
      <c r="P70">
        <f t="shared" si="0"/>
        <v>6.4</v>
      </c>
    </row>
    <row r="71" spans="10:16">
      <c r="J71" s="5"/>
      <c r="L71">
        <f>DigDir!M71</f>
        <v>-1.2295799999999999</v>
      </c>
      <c r="M71">
        <f>DigDir!N71</f>
        <v>6.5</v>
      </c>
      <c r="O71">
        <f>ABS(L71-DigDir!$C$34)</f>
        <v>3.5270400808737441</v>
      </c>
      <c r="P71">
        <f t="shared" ref="P71:P134" si="2">M71</f>
        <v>6.5</v>
      </c>
    </row>
    <row r="72" spans="10:16">
      <c r="J72" s="5"/>
      <c r="L72">
        <f>DigDir!M72</f>
        <v>-1.2295799999999999</v>
      </c>
      <c r="M72">
        <f>DigDir!N72</f>
        <v>6.6</v>
      </c>
      <c r="O72">
        <f>ABS(L72-DigDir!$C$34)</f>
        <v>3.5270400808737441</v>
      </c>
      <c r="P72">
        <f t="shared" si="2"/>
        <v>6.6</v>
      </c>
    </row>
    <row r="73" spans="10:16">
      <c r="J73" s="5"/>
      <c r="L73">
        <f>DigDir!M73</f>
        <v>-1.2295799999999999</v>
      </c>
      <c r="M73">
        <f>DigDir!N73</f>
        <v>6.7</v>
      </c>
      <c r="O73">
        <f>ABS(L73-DigDir!$C$34)</f>
        <v>3.5270400808737441</v>
      </c>
      <c r="P73">
        <f t="shared" si="2"/>
        <v>6.7</v>
      </c>
    </row>
    <row r="74" spans="10:16">
      <c r="J74" s="5"/>
      <c r="L74">
        <f>DigDir!M74</f>
        <v>-1.2295799999999999</v>
      </c>
      <c r="M74">
        <f>DigDir!N74</f>
        <v>6.8</v>
      </c>
      <c r="O74">
        <f>ABS(L74-DigDir!$C$34)</f>
        <v>3.5270400808737441</v>
      </c>
      <c r="P74">
        <f t="shared" si="2"/>
        <v>6.8</v>
      </c>
    </row>
    <row r="75" spans="10:16">
      <c r="J75" s="5"/>
      <c r="L75">
        <f>DigDir!M75</f>
        <v>-1.2295799999999999</v>
      </c>
      <c r="M75">
        <f>DigDir!N75</f>
        <v>6.9</v>
      </c>
      <c r="O75">
        <f>ABS(L75-DigDir!$C$34)</f>
        <v>3.5270400808737441</v>
      </c>
      <c r="P75">
        <f t="shared" si="2"/>
        <v>6.9</v>
      </c>
    </row>
    <row r="76" spans="10:16">
      <c r="J76" s="5"/>
      <c r="L76">
        <f>DigDir!M76</f>
        <v>-1.2295799999999999</v>
      </c>
      <c r="M76">
        <f>DigDir!N76</f>
        <v>7</v>
      </c>
      <c r="O76">
        <f>ABS(L76-DigDir!$C$34)</f>
        <v>3.5270400808737441</v>
      </c>
      <c r="P76">
        <f t="shared" si="2"/>
        <v>7</v>
      </c>
    </row>
    <row r="77" spans="10:16">
      <c r="J77" s="5"/>
      <c r="L77">
        <f>DigDir!M77</f>
        <v>-1.2295799999999999</v>
      </c>
      <c r="M77">
        <f>DigDir!N77</f>
        <v>7.1</v>
      </c>
      <c r="O77">
        <f>ABS(L77-DigDir!$C$34)</f>
        <v>3.5270400808737441</v>
      </c>
      <c r="P77">
        <f t="shared" si="2"/>
        <v>7.1</v>
      </c>
    </row>
    <row r="78" spans="10:16">
      <c r="J78" s="5"/>
      <c r="L78">
        <f>DigDir!M78</f>
        <v>-1.2295799999999999</v>
      </c>
      <c r="M78">
        <f>DigDir!N78</f>
        <v>7.2</v>
      </c>
      <c r="O78">
        <f>ABS(L78-DigDir!$C$34)</f>
        <v>3.5270400808737441</v>
      </c>
      <c r="P78">
        <f t="shared" si="2"/>
        <v>7.2</v>
      </c>
    </row>
    <row r="79" spans="10:16">
      <c r="J79" s="5"/>
      <c r="L79">
        <f>DigDir!M79</f>
        <v>-1.2295799999999999</v>
      </c>
      <c r="M79">
        <f>DigDir!N79</f>
        <v>7.3</v>
      </c>
      <c r="O79">
        <f>ABS(L79-DigDir!$C$34)</f>
        <v>3.5270400808737441</v>
      </c>
      <c r="P79">
        <f t="shared" si="2"/>
        <v>7.3</v>
      </c>
    </row>
    <row r="80" spans="10:16">
      <c r="J80" s="5"/>
      <c r="L80">
        <f>DigDir!M80</f>
        <v>-1.2295799999999999</v>
      </c>
      <c r="M80">
        <f>DigDir!N80</f>
        <v>7.4</v>
      </c>
      <c r="O80">
        <f>ABS(L80-DigDir!$C$34)</f>
        <v>3.5270400808737441</v>
      </c>
      <c r="P80">
        <f t="shared" si="2"/>
        <v>7.4</v>
      </c>
    </row>
    <row r="81" spans="10:16">
      <c r="J81" s="5"/>
      <c r="L81">
        <f>DigDir!M81</f>
        <v>-1.2295799999999999</v>
      </c>
      <c r="M81">
        <f>DigDir!N81</f>
        <v>7.5</v>
      </c>
      <c r="O81">
        <f>ABS(L81-DigDir!$C$34)</f>
        <v>3.5270400808737441</v>
      </c>
      <c r="P81">
        <f t="shared" si="2"/>
        <v>7.5</v>
      </c>
    </row>
    <row r="82" spans="10:16">
      <c r="J82" s="5"/>
      <c r="L82">
        <f>DigDir!M82</f>
        <v>-1.2295799999999999</v>
      </c>
      <c r="M82">
        <f>DigDir!N82</f>
        <v>7.6</v>
      </c>
      <c r="O82">
        <f>ABS(L82-DigDir!$C$34)</f>
        <v>3.5270400808737441</v>
      </c>
      <c r="P82">
        <f t="shared" si="2"/>
        <v>7.6</v>
      </c>
    </row>
    <row r="83" spans="10:16">
      <c r="J83" s="5"/>
      <c r="L83">
        <f>DigDir!M83</f>
        <v>-1.2295799999999999</v>
      </c>
      <c r="M83">
        <f>DigDir!N83</f>
        <v>7.7</v>
      </c>
      <c r="O83">
        <f>ABS(L83-DigDir!$C$34)</f>
        <v>3.5270400808737441</v>
      </c>
      <c r="P83">
        <f t="shared" si="2"/>
        <v>7.7</v>
      </c>
    </row>
    <row r="84" spans="10:16">
      <c r="J84" s="5"/>
      <c r="L84">
        <f>DigDir!M84</f>
        <v>-1.2295799999999999</v>
      </c>
      <c r="M84">
        <f>DigDir!N84</f>
        <v>7.8</v>
      </c>
      <c r="O84">
        <f>ABS(L84-DigDir!$C$34)</f>
        <v>3.5270400808737441</v>
      </c>
      <c r="P84">
        <f t="shared" si="2"/>
        <v>7.8</v>
      </c>
    </row>
    <row r="85" spans="10:16">
      <c r="J85" s="5"/>
      <c r="L85">
        <f>DigDir!M85</f>
        <v>-1.2295799999999999</v>
      </c>
      <c r="M85">
        <f>DigDir!N85</f>
        <v>7.9</v>
      </c>
      <c r="O85">
        <f>ABS(L85-DigDir!$C$34)</f>
        <v>3.5270400808737441</v>
      </c>
      <c r="P85">
        <f t="shared" si="2"/>
        <v>7.9</v>
      </c>
    </row>
    <row r="86" spans="10:16">
      <c r="J86" s="5"/>
      <c r="L86">
        <f>DigDir!M86</f>
        <v>-1.2295799999999999</v>
      </c>
      <c r="M86">
        <f>DigDir!N86</f>
        <v>8</v>
      </c>
      <c r="O86">
        <f>ABS(L86-DigDir!$C$34)</f>
        <v>3.5270400808737441</v>
      </c>
      <c r="P86">
        <f t="shared" si="2"/>
        <v>8</v>
      </c>
    </row>
    <row r="87" spans="10:16">
      <c r="J87" s="5"/>
      <c r="L87">
        <f>DigDir!M87</f>
        <v>-1.2295799999999999</v>
      </c>
      <c r="M87">
        <f>DigDir!N87</f>
        <v>8.1</v>
      </c>
      <c r="O87">
        <f>ABS(L87-DigDir!$C$34)</f>
        <v>3.5270400808737441</v>
      </c>
      <c r="P87">
        <f t="shared" si="2"/>
        <v>8.1</v>
      </c>
    </row>
    <row r="88" spans="10:16">
      <c r="J88" s="5"/>
      <c r="L88">
        <f>DigDir!M88</f>
        <v>-1.2295799999999999</v>
      </c>
      <c r="M88">
        <f>DigDir!N88</f>
        <v>8.1999999999999993</v>
      </c>
      <c r="O88">
        <f>ABS(L88-DigDir!$C$34)</f>
        <v>3.5270400808737441</v>
      </c>
      <c r="P88">
        <f t="shared" si="2"/>
        <v>8.1999999999999993</v>
      </c>
    </row>
    <row r="89" spans="10:16">
      <c r="J89" s="5"/>
      <c r="L89">
        <f>DigDir!M89</f>
        <v>-1.2295799999999999</v>
      </c>
      <c r="M89">
        <f>DigDir!N89</f>
        <v>8.3000000000000007</v>
      </c>
      <c r="O89">
        <f>ABS(L89-DigDir!$C$34)</f>
        <v>3.5270400808737441</v>
      </c>
      <c r="P89">
        <f t="shared" si="2"/>
        <v>8.3000000000000007</v>
      </c>
    </row>
    <row r="90" spans="10:16">
      <c r="J90" s="5"/>
      <c r="L90">
        <f>DigDir!M90</f>
        <v>-1.2295799999999999</v>
      </c>
      <c r="M90">
        <f>DigDir!N90</f>
        <v>8.4</v>
      </c>
      <c r="O90">
        <f>ABS(L90-DigDir!$C$34)</f>
        <v>3.5270400808737441</v>
      </c>
      <c r="P90">
        <f t="shared" si="2"/>
        <v>8.4</v>
      </c>
    </row>
    <row r="91" spans="10:16">
      <c r="J91" s="5"/>
      <c r="L91">
        <f>DigDir!M91</f>
        <v>-1.2295799999999999</v>
      </c>
      <c r="M91">
        <f>DigDir!N91</f>
        <v>8.5</v>
      </c>
      <c r="O91">
        <f>ABS(L91-DigDir!$C$34)</f>
        <v>3.5270400808737441</v>
      </c>
      <c r="P91">
        <f t="shared" si="2"/>
        <v>8.5</v>
      </c>
    </row>
    <row r="92" spans="10:16">
      <c r="J92" s="5"/>
      <c r="L92">
        <f>DigDir!M92</f>
        <v>-1.2295799999999999</v>
      </c>
      <c r="M92">
        <f>DigDir!N92</f>
        <v>8.6</v>
      </c>
      <c r="O92">
        <f>ABS(L92-DigDir!$C$34)</f>
        <v>3.5270400808737441</v>
      </c>
      <c r="P92">
        <f t="shared" si="2"/>
        <v>8.6</v>
      </c>
    </row>
    <row r="93" spans="10:16">
      <c r="J93" s="5"/>
      <c r="L93">
        <f>DigDir!M93</f>
        <v>-1.2295799999999999</v>
      </c>
      <c r="M93">
        <f>DigDir!N93</f>
        <v>8.6999999999999993</v>
      </c>
      <c r="O93">
        <f>ABS(L93-DigDir!$C$34)</f>
        <v>3.5270400808737441</v>
      </c>
      <c r="P93">
        <f t="shared" si="2"/>
        <v>8.6999999999999993</v>
      </c>
    </row>
    <row r="94" spans="10:16">
      <c r="J94" s="5"/>
      <c r="L94">
        <f>DigDir!M94</f>
        <v>-1.2295799999999999</v>
      </c>
      <c r="M94">
        <f>DigDir!N94</f>
        <v>8.8000000000000007</v>
      </c>
      <c r="O94">
        <f>ABS(L94-DigDir!$C$34)</f>
        <v>3.5270400808737441</v>
      </c>
      <c r="P94">
        <f t="shared" si="2"/>
        <v>8.8000000000000007</v>
      </c>
    </row>
    <row r="95" spans="10:16">
      <c r="J95" s="5"/>
      <c r="L95">
        <f>DigDir!M95</f>
        <v>-1.2295799999999999</v>
      </c>
      <c r="M95">
        <f>DigDir!N95</f>
        <v>8.9</v>
      </c>
      <c r="O95">
        <f>ABS(L95-DigDir!$C$34)</f>
        <v>3.5270400808737441</v>
      </c>
      <c r="P95">
        <f t="shared" si="2"/>
        <v>8.9</v>
      </c>
    </row>
    <row r="96" spans="10:16">
      <c r="J96" s="5"/>
      <c r="L96">
        <f>DigDir!M96</f>
        <v>-1.2295799999999999</v>
      </c>
      <c r="M96">
        <f>DigDir!N96</f>
        <v>9</v>
      </c>
      <c r="O96">
        <f>ABS(L96-DigDir!$C$34)</f>
        <v>3.5270400808737441</v>
      </c>
      <c r="P96">
        <f t="shared" si="2"/>
        <v>9</v>
      </c>
    </row>
    <row r="97" spans="10:16">
      <c r="J97" s="5"/>
      <c r="L97">
        <f>DigDir!M97</f>
        <v>-1.2295799999999999</v>
      </c>
      <c r="M97">
        <f>DigDir!N97</f>
        <v>9.1</v>
      </c>
      <c r="O97">
        <f>ABS(L97-DigDir!$C$34)</f>
        <v>3.5270400808737441</v>
      </c>
      <c r="P97">
        <f t="shared" si="2"/>
        <v>9.1</v>
      </c>
    </row>
    <row r="98" spans="10:16">
      <c r="J98" s="5"/>
      <c r="L98">
        <f>DigDir!M98</f>
        <v>-1.2295799999999999</v>
      </c>
      <c r="M98">
        <f>DigDir!N98</f>
        <v>9.1999999999999993</v>
      </c>
      <c r="O98">
        <f>ABS(L98-DigDir!$C$34)</f>
        <v>3.5270400808737441</v>
      </c>
      <c r="P98">
        <f t="shared" si="2"/>
        <v>9.1999999999999993</v>
      </c>
    </row>
    <row r="99" spans="10:16">
      <c r="J99" s="5"/>
      <c r="L99">
        <f>DigDir!M99</f>
        <v>-1.2295799999999999</v>
      </c>
      <c r="M99">
        <f>DigDir!N99</f>
        <v>9.3000000000000007</v>
      </c>
      <c r="O99">
        <f>ABS(L99-DigDir!$C$34)</f>
        <v>3.5270400808737441</v>
      </c>
      <c r="P99">
        <f t="shared" si="2"/>
        <v>9.3000000000000007</v>
      </c>
    </row>
    <row r="100" spans="10:16">
      <c r="J100" s="5"/>
      <c r="L100">
        <f>DigDir!M100</f>
        <v>-1.2295799999999999</v>
      </c>
      <c r="M100">
        <f>DigDir!N100</f>
        <v>9.4</v>
      </c>
      <c r="O100">
        <f>ABS(L100-DigDir!$C$34)</f>
        <v>3.5270400808737441</v>
      </c>
      <c r="P100">
        <f t="shared" si="2"/>
        <v>9.4</v>
      </c>
    </row>
    <row r="101" spans="10:16">
      <c r="J101" s="5"/>
      <c r="L101">
        <f>DigDir!M101</f>
        <v>-1.2295799999999999</v>
      </c>
      <c r="M101">
        <f>DigDir!N101</f>
        <v>9.5</v>
      </c>
      <c r="O101">
        <f>ABS(L101-DigDir!$C$34)</f>
        <v>3.5270400808737441</v>
      </c>
      <c r="P101">
        <f t="shared" si="2"/>
        <v>9.5</v>
      </c>
    </row>
    <row r="102" spans="10:16">
      <c r="J102" s="5"/>
      <c r="L102">
        <f>DigDir!M102</f>
        <v>-1.2295799999999999</v>
      </c>
      <c r="M102">
        <f>DigDir!N102</f>
        <v>9.6</v>
      </c>
      <c r="O102">
        <f>ABS(L102-DigDir!$C$34)</f>
        <v>3.5270400808737441</v>
      </c>
      <c r="P102">
        <f t="shared" si="2"/>
        <v>9.6</v>
      </c>
    </row>
    <row r="103" spans="10:16">
      <c r="J103" s="5"/>
      <c r="L103">
        <f>DigDir!M103</f>
        <v>-1.228183392</v>
      </c>
      <c r="M103">
        <f>DigDir!N103</f>
        <v>9.6999999999999993</v>
      </c>
      <c r="O103">
        <f>ABS(L103-DigDir!$C$34)</f>
        <v>3.528436688873744</v>
      </c>
      <c r="P103">
        <f t="shared" si="2"/>
        <v>9.6999999999999993</v>
      </c>
    </row>
    <row r="104" spans="10:16">
      <c r="J104" s="5"/>
      <c r="L104">
        <f>DigDir!M104</f>
        <v>-1.205372128</v>
      </c>
      <c r="M104">
        <f>DigDir!N104</f>
        <v>9.8000000000000007</v>
      </c>
      <c r="O104">
        <f>ABS(L104-DigDir!$C$34)</f>
        <v>3.551247952873744</v>
      </c>
      <c r="P104">
        <f t="shared" si="2"/>
        <v>9.8000000000000007</v>
      </c>
    </row>
    <row r="105" spans="10:16">
      <c r="J105" s="5"/>
      <c r="L105">
        <f>DigDir!M105</f>
        <v>-1.182560864</v>
      </c>
      <c r="M105">
        <f>DigDir!N105</f>
        <v>9.9</v>
      </c>
      <c r="O105">
        <f>ABS(L105-DigDir!$C$34)</f>
        <v>3.5740592168737439</v>
      </c>
      <c r="P105">
        <f t="shared" si="2"/>
        <v>9.9</v>
      </c>
    </row>
    <row r="106" spans="10:16">
      <c r="J106" s="5"/>
      <c r="L106">
        <f>DigDir!M106</f>
        <v>-1.1713880000000001</v>
      </c>
      <c r="M106">
        <f>DigDir!N106</f>
        <v>10</v>
      </c>
      <c r="O106">
        <f>ABS(L106-DigDir!$C$34)</f>
        <v>3.5852320808737437</v>
      </c>
      <c r="P106">
        <f t="shared" si="2"/>
        <v>10</v>
      </c>
    </row>
    <row r="107" spans="10:16">
      <c r="J107" s="5"/>
      <c r="L107">
        <f>DigDir!M107</f>
        <v>-1.1713880000000001</v>
      </c>
      <c r="M107">
        <f>DigDir!N107</f>
        <v>10.1</v>
      </c>
      <c r="O107">
        <f>ABS(L107-DigDir!$C$34)</f>
        <v>3.5852320808737437</v>
      </c>
      <c r="P107">
        <f t="shared" si="2"/>
        <v>10.1</v>
      </c>
    </row>
    <row r="108" spans="10:16">
      <c r="J108" s="5"/>
      <c r="L108">
        <f>DigDir!M108</f>
        <v>-1.1713880000000001</v>
      </c>
      <c r="M108">
        <f>DigDir!N108</f>
        <v>10.199999999999999</v>
      </c>
      <c r="O108">
        <f>ABS(L108-DigDir!$C$34)</f>
        <v>3.5852320808737437</v>
      </c>
      <c r="P108">
        <f t="shared" si="2"/>
        <v>10.199999999999999</v>
      </c>
    </row>
    <row r="109" spans="10:16">
      <c r="J109" s="5"/>
      <c r="L109">
        <f>DigDir!M109</f>
        <v>-1.1713880000000001</v>
      </c>
      <c r="M109">
        <f>DigDir!N109</f>
        <v>10.3</v>
      </c>
      <c r="O109">
        <f>ABS(L109-DigDir!$C$34)</f>
        <v>3.5852320808737437</v>
      </c>
      <c r="P109">
        <f t="shared" si="2"/>
        <v>10.3</v>
      </c>
    </row>
    <row r="110" spans="10:16">
      <c r="J110" s="5"/>
      <c r="L110">
        <f>DigDir!M110</f>
        <v>-1.1713880000000001</v>
      </c>
      <c r="M110">
        <f>DigDir!N110</f>
        <v>10.4</v>
      </c>
      <c r="O110">
        <f>ABS(L110-DigDir!$C$34)</f>
        <v>3.5852320808737437</v>
      </c>
      <c r="P110">
        <f t="shared" si="2"/>
        <v>10.4</v>
      </c>
    </row>
    <row r="111" spans="10:16">
      <c r="J111" s="5"/>
      <c r="L111">
        <f>DigDir!M111</f>
        <v>-1.1713880000000001</v>
      </c>
      <c r="M111">
        <f>DigDir!N111</f>
        <v>10.5</v>
      </c>
      <c r="O111">
        <f>ABS(L111-DigDir!$C$34)</f>
        <v>3.5852320808737437</v>
      </c>
      <c r="P111">
        <f t="shared" si="2"/>
        <v>10.5</v>
      </c>
    </row>
    <row r="112" spans="10:16">
      <c r="J112" s="5"/>
      <c r="L112">
        <f>DigDir!M112</f>
        <v>-1.1713880000000001</v>
      </c>
      <c r="M112">
        <f>DigDir!N112</f>
        <v>10.6</v>
      </c>
      <c r="O112">
        <f>ABS(L112-DigDir!$C$34)</f>
        <v>3.5852320808737437</v>
      </c>
      <c r="P112">
        <f t="shared" si="2"/>
        <v>10.6</v>
      </c>
    </row>
    <row r="113" spans="10:16">
      <c r="J113" s="5"/>
      <c r="L113">
        <f>DigDir!M113</f>
        <v>-1.1713880000000001</v>
      </c>
      <c r="M113">
        <f>DigDir!N113</f>
        <v>10.7</v>
      </c>
      <c r="O113">
        <f>ABS(L113-DigDir!$C$34)</f>
        <v>3.5852320808737437</v>
      </c>
      <c r="P113">
        <f t="shared" si="2"/>
        <v>10.7</v>
      </c>
    </row>
    <row r="114" spans="10:16">
      <c r="J114" s="5"/>
      <c r="L114">
        <f>DigDir!M114</f>
        <v>-1.1713880000000001</v>
      </c>
      <c r="M114">
        <f>DigDir!N114</f>
        <v>10.8</v>
      </c>
      <c r="O114">
        <f>ABS(L114-DigDir!$C$34)</f>
        <v>3.5852320808737437</v>
      </c>
      <c r="P114">
        <f t="shared" si="2"/>
        <v>10.8</v>
      </c>
    </row>
    <row r="115" spans="10:16">
      <c r="J115" s="5"/>
      <c r="L115">
        <f>DigDir!M115</f>
        <v>-1.1713880000000001</v>
      </c>
      <c r="M115">
        <f>DigDir!N115</f>
        <v>10.9</v>
      </c>
      <c r="O115">
        <f>ABS(L115-DigDir!$C$34)</f>
        <v>3.5852320808737437</v>
      </c>
      <c r="P115">
        <f t="shared" si="2"/>
        <v>10.9</v>
      </c>
    </row>
    <row r="116" spans="10:16">
      <c r="J116" s="5"/>
      <c r="L116">
        <f>DigDir!M116</f>
        <v>-1.1713880000000001</v>
      </c>
      <c r="M116">
        <f>DigDir!N116</f>
        <v>11</v>
      </c>
      <c r="O116">
        <f>ABS(L116-DigDir!$C$34)</f>
        <v>3.5852320808737437</v>
      </c>
      <c r="P116">
        <f t="shared" si="2"/>
        <v>11</v>
      </c>
    </row>
    <row r="117" spans="10:16">
      <c r="J117" s="5"/>
      <c r="L117">
        <f>DigDir!M117</f>
        <v>-1.1713880000000001</v>
      </c>
      <c r="M117">
        <f>DigDir!N117</f>
        <v>11.1</v>
      </c>
      <c r="O117">
        <f>ABS(L117-DigDir!$C$34)</f>
        <v>3.5852320808737437</v>
      </c>
      <c r="P117">
        <f t="shared" si="2"/>
        <v>11.1</v>
      </c>
    </row>
    <row r="118" spans="10:16">
      <c r="J118" s="5"/>
      <c r="L118">
        <f>DigDir!M118</f>
        <v>-1.1713880000000001</v>
      </c>
      <c r="M118">
        <f>DigDir!N118</f>
        <v>11.2</v>
      </c>
      <c r="O118">
        <f>ABS(L118-DigDir!$C$34)</f>
        <v>3.5852320808737437</v>
      </c>
      <c r="P118">
        <f t="shared" si="2"/>
        <v>11.2</v>
      </c>
    </row>
    <row r="119" spans="10:16">
      <c r="J119" s="5"/>
      <c r="L119">
        <f>DigDir!M119</f>
        <v>-1.1713880000000001</v>
      </c>
      <c r="M119">
        <f>DigDir!N119</f>
        <v>11.3</v>
      </c>
      <c r="O119">
        <f>ABS(L119-DigDir!$C$34)</f>
        <v>3.5852320808737437</v>
      </c>
      <c r="P119">
        <f t="shared" si="2"/>
        <v>11.3</v>
      </c>
    </row>
    <row r="120" spans="10:16">
      <c r="J120" s="5"/>
      <c r="L120">
        <f>DigDir!M120</f>
        <v>-1.1713880000000001</v>
      </c>
      <c r="M120">
        <f>DigDir!N120</f>
        <v>11.4</v>
      </c>
      <c r="O120">
        <f>ABS(L120-DigDir!$C$34)</f>
        <v>3.5852320808737437</v>
      </c>
      <c r="P120">
        <f t="shared" si="2"/>
        <v>11.4</v>
      </c>
    </row>
    <row r="121" spans="10:16">
      <c r="J121" s="5"/>
      <c r="L121">
        <f>DigDir!M121</f>
        <v>-1.1713880000000001</v>
      </c>
      <c r="M121">
        <f>DigDir!N121</f>
        <v>11.5</v>
      </c>
      <c r="O121">
        <f>ABS(L121-DigDir!$C$34)</f>
        <v>3.5852320808737437</v>
      </c>
      <c r="P121">
        <f t="shared" si="2"/>
        <v>11.5</v>
      </c>
    </row>
    <row r="122" spans="10:16">
      <c r="J122" s="5"/>
      <c r="L122">
        <f>DigDir!M122</f>
        <v>-1.1713880000000001</v>
      </c>
      <c r="M122">
        <f>DigDir!N122</f>
        <v>11.6</v>
      </c>
      <c r="O122">
        <f>ABS(L122-DigDir!$C$34)</f>
        <v>3.5852320808737437</v>
      </c>
      <c r="P122">
        <f t="shared" si="2"/>
        <v>11.6</v>
      </c>
    </row>
    <row r="123" spans="10:16">
      <c r="J123" s="5"/>
      <c r="L123">
        <f>DigDir!M123</f>
        <v>-1.1713880000000001</v>
      </c>
      <c r="M123">
        <f>DigDir!N123</f>
        <v>11.7</v>
      </c>
      <c r="O123">
        <f>ABS(L123-DigDir!$C$34)</f>
        <v>3.5852320808737437</v>
      </c>
      <c r="P123">
        <f t="shared" si="2"/>
        <v>11.7</v>
      </c>
    </row>
    <row r="124" spans="10:16">
      <c r="J124" s="5"/>
      <c r="L124">
        <f>DigDir!M124</f>
        <v>-1.156490848</v>
      </c>
      <c r="M124">
        <f>DigDir!N124</f>
        <v>11.8</v>
      </c>
      <c r="O124">
        <f>ABS(L124-DigDir!$C$34)</f>
        <v>3.6001292328737442</v>
      </c>
      <c r="P124">
        <f t="shared" si="2"/>
        <v>11.8</v>
      </c>
    </row>
    <row r="125" spans="10:16">
      <c r="J125" s="5"/>
      <c r="L125">
        <f>DigDir!M125</f>
        <v>-1.133679584</v>
      </c>
      <c r="M125">
        <f>DigDir!N125</f>
        <v>11.9</v>
      </c>
      <c r="O125">
        <f>ABS(L125-DigDir!$C$34)</f>
        <v>3.6229404968737438</v>
      </c>
      <c r="P125">
        <f t="shared" si="2"/>
        <v>11.9</v>
      </c>
    </row>
    <row r="126" spans="10:16">
      <c r="J126" s="5"/>
      <c r="L126">
        <f>DigDir!M126</f>
        <v>-1.1131960000000001</v>
      </c>
      <c r="M126">
        <f>DigDir!N126</f>
        <v>12</v>
      </c>
      <c r="O126">
        <f>ABS(L126-DigDir!$C$34)</f>
        <v>3.6434240808737437</v>
      </c>
      <c r="P126">
        <f t="shared" si="2"/>
        <v>12</v>
      </c>
    </row>
    <row r="127" spans="10:16">
      <c r="J127" s="5"/>
      <c r="L127">
        <f>DigDir!M127</f>
        <v>-1.1131960000000001</v>
      </c>
      <c r="M127">
        <f>DigDir!N127</f>
        <v>12.1</v>
      </c>
      <c r="O127">
        <f>ABS(L127-DigDir!$C$34)</f>
        <v>3.6434240808737437</v>
      </c>
      <c r="P127">
        <f t="shared" si="2"/>
        <v>12.1</v>
      </c>
    </row>
    <row r="128" spans="10:16">
      <c r="J128" s="5"/>
      <c r="L128">
        <f>DigDir!M128</f>
        <v>-1.1131960000000001</v>
      </c>
      <c r="M128">
        <f>DigDir!N128</f>
        <v>12.2</v>
      </c>
      <c r="O128">
        <f>ABS(L128-DigDir!$C$34)</f>
        <v>3.6434240808737437</v>
      </c>
      <c r="P128">
        <f t="shared" si="2"/>
        <v>12.2</v>
      </c>
    </row>
    <row r="129" spans="10:16">
      <c r="J129" s="5"/>
      <c r="L129">
        <f>DigDir!M129</f>
        <v>-1.1131960000000001</v>
      </c>
      <c r="M129">
        <f>DigDir!N129</f>
        <v>12.3</v>
      </c>
      <c r="O129">
        <f>ABS(L129-DigDir!$C$34)</f>
        <v>3.6434240808737437</v>
      </c>
      <c r="P129">
        <f t="shared" si="2"/>
        <v>12.3</v>
      </c>
    </row>
    <row r="130" spans="10:16">
      <c r="J130" s="5"/>
      <c r="L130">
        <f>DigDir!M130</f>
        <v>-1.1131960000000001</v>
      </c>
      <c r="M130">
        <f>DigDir!N130</f>
        <v>12.4</v>
      </c>
      <c r="O130">
        <f>ABS(L130-DigDir!$C$34)</f>
        <v>3.6434240808737437</v>
      </c>
      <c r="P130">
        <f t="shared" si="2"/>
        <v>12.4</v>
      </c>
    </row>
    <row r="131" spans="10:16">
      <c r="J131" s="5"/>
      <c r="L131">
        <f>DigDir!M131</f>
        <v>-1.1131960000000001</v>
      </c>
      <c r="M131">
        <f>DigDir!N131</f>
        <v>12.5</v>
      </c>
      <c r="O131">
        <f>ABS(L131-DigDir!$C$34)</f>
        <v>3.6434240808737437</v>
      </c>
      <c r="P131">
        <f t="shared" si="2"/>
        <v>12.5</v>
      </c>
    </row>
    <row r="132" spans="10:16">
      <c r="J132" s="5"/>
      <c r="L132">
        <f>DigDir!M132</f>
        <v>-1.1131960000000001</v>
      </c>
      <c r="M132">
        <f>DigDir!N132</f>
        <v>12.6</v>
      </c>
      <c r="O132">
        <f>ABS(L132-DigDir!$C$34)</f>
        <v>3.6434240808737437</v>
      </c>
      <c r="P132">
        <f t="shared" si="2"/>
        <v>12.6</v>
      </c>
    </row>
    <row r="133" spans="10:16">
      <c r="J133" s="5"/>
      <c r="L133">
        <f>DigDir!M133</f>
        <v>-1.1131960000000001</v>
      </c>
      <c r="M133">
        <f>DigDir!N133</f>
        <v>12.7</v>
      </c>
      <c r="O133">
        <f>ABS(L133-DigDir!$C$34)</f>
        <v>3.6434240808737437</v>
      </c>
      <c r="P133">
        <f t="shared" si="2"/>
        <v>12.7</v>
      </c>
    </row>
    <row r="134" spans="10:16">
      <c r="J134" s="5"/>
      <c r="L134">
        <f>DigDir!M134</f>
        <v>-1.1131960000000001</v>
      </c>
      <c r="M134">
        <f>DigDir!N134</f>
        <v>12.8</v>
      </c>
      <c r="O134">
        <f>ABS(L134-DigDir!$C$34)</f>
        <v>3.6434240808737437</v>
      </c>
      <c r="P134">
        <f t="shared" si="2"/>
        <v>12.8</v>
      </c>
    </row>
    <row r="135" spans="10:16">
      <c r="J135" s="5"/>
      <c r="L135">
        <f>DigDir!M135</f>
        <v>-1.1131960000000001</v>
      </c>
      <c r="M135">
        <f>DigDir!N135</f>
        <v>12.9</v>
      </c>
      <c r="O135">
        <f>ABS(L135-DigDir!$C$34)</f>
        <v>3.6434240808737437</v>
      </c>
      <c r="P135">
        <f t="shared" ref="P135:P198" si="3">M135</f>
        <v>12.9</v>
      </c>
    </row>
    <row r="136" spans="10:16">
      <c r="J136" s="5"/>
      <c r="L136">
        <f>DigDir!M136</f>
        <v>-1.1131960000000001</v>
      </c>
      <c r="M136">
        <f>DigDir!N136</f>
        <v>13</v>
      </c>
      <c r="O136">
        <f>ABS(L136-DigDir!$C$34)</f>
        <v>3.6434240808737437</v>
      </c>
      <c r="P136">
        <f t="shared" si="3"/>
        <v>13</v>
      </c>
    </row>
    <row r="137" spans="10:16">
      <c r="J137" s="5"/>
      <c r="L137">
        <f>DigDir!M137</f>
        <v>-1.1131960000000001</v>
      </c>
      <c r="M137">
        <f>DigDir!N137</f>
        <v>13.1</v>
      </c>
      <c r="O137">
        <f>ABS(L137-DigDir!$C$34)</f>
        <v>3.6434240808737437</v>
      </c>
      <c r="P137">
        <f t="shared" si="3"/>
        <v>13.1</v>
      </c>
    </row>
    <row r="138" spans="10:16">
      <c r="J138" s="5"/>
      <c r="L138">
        <f>DigDir!M138</f>
        <v>-1.1131960000000001</v>
      </c>
      <c r="M138">
        <f>DigDir!N138</f>
        <v>13.2</v>
      </c>
      <c r="O138">
        <f>ABS(L138-DigDir!$C$34)</f>
        <v>3.6434240808737437</v>
      </c>
      <c r="P138">
        <f t="shared" si="3"/>
        <v>13.2</v>
      </c>
    </row>
    <row r="139" spans="10:16">
      <c r="J139" s="5"/>
      <c r="L139">
        <f>DigDir!M139</f>
        <v>-1.1131960000000001</v>
      </c>
      <c r="M139">
        <f>DigDir!N139</f>
        <v>13.3</v>
      </c>
      <c r="O139">
        <f>ABS(L139-DigDir!$C$34)</f>
        <v>3.6434240808737437</v>
      </c>
      <c r="P139">
        <f t="shared" si="3"/>
        <v>13.3</v>
      </c>
    </row>
    <row r="140" spans="10:16">
      <c r="J140" s="5"/>
      <c r="L140">
        <f>DigDir!M140</f>
        <v>-1.1131960000000001</v>
      </c>
      <c r="M140">
        <f>DigDir!N140</f>
        <v>13.4</v>
      </c>
      <c r="O140">
        <f>ABS(L140-DigDir!$C$34)</f>
        <v>3.6434240808737437</v>
      </c>
      <c r="P140">
        <f t="shared" si="3"/>
        <v>13.4</v>
      </c>
    </row>
    <row r="141" spans="10:16">
      <c r="J141" s="5"/>
      <c r="L141">
        <f>DigDir!M141</f>
        <v>-1.1131960000000001</v>
      </c>
      <c r="M141">
        <f>DigDir!N141</f>
        <v>13.5</v>
      </c>
      <c r="O141">
        <f>ABS(L141-DigDir!$C$34)</f>
        <v>3.6434240808737437</v>
      </c>
      <c r="P141">
        <f t="shared" si="3"/>
        <v>13.5</v>
      </c>
    </row>
    <row r="142" spans="10:16">
      <c r="J142" s="5"/>
      <c r="L142">
        <f>DigDir!M142</f>
        <v>-1.1131960000000001</v>
      </c>
      <c r="M142">
        <f>DigDir!N142</f>
        <v>13.6</v>
      </c>
      <c r="O142">
        <f>ABS(L142-DigDir!$C$34)</f>
        <v>3.6434240808737437</v>
      </c>
      <c r="P142">
        <f t="shared" si="3"/>
        <v>13.6</v>
      </c>
    </row>
    <row r="143" spans="10:16">
      <c r="J143" s="5"/>
      <c r="L143">
        <f>DigDir!M143</f>
        <v>-1.1131960000000001</v>
      </c>
      <c r="M143">
        <f>DigDir!N143</f>
        <v>13.7</v>
      </c>
      <c r="O143">
        <f>ABS(L143-DigDir!$C$34)</f>
        <v>3.6434240808737437</v>
      </c>
      <c r="P143">
        <f t="shared" si="3"/>
        <v>13.7</v>
      </c>
    </row>
    <row r="144" spans="10:16">
      <c r="J144" s="5"/>
      <c r="L144">
        <f>DigDir!M144</f>
        <v>-1.107609472</v>
      </c>
      <c r="M144">
        <f>DigDir!N144</f>
        <v>13.8</v>
      </c>
      <c r="O144">
        <f>ABS(L144-DigDir!$C$34)</f>
        <v>3.649010608873744</v>
      </c>
      <c r="P144">
        <f t="shared" si="3"/>
        <v>13.8</v>
      </c>
    </row>
    <row r="145" spans="10:16">
      <c r="J145" s="5"/>
      <c r="L145">
        <f>DigDir!M145</f>
        <v>-1.084797816</v>
      </c>
      <c r="M145">
        <f>DigDir!N145</f>
        <v>13.9</v>
      </c>
      <c r="O145">
        <f>ABS(L145-DigDir!$C$34)</f>
        <v>3.671822264873744</v>
      </c>
      <c r="P145">
        <f t="shared" si="3"/>
        <v>13.9</v>
      </c>
    </row>
    <row r="146" spans="10:16">
      <c r="J146" s="5"/>
      <c r="L146">
        <f>DigDir!M146</f>
        <v>-1.06198616</v>
      </c>
      <c r="M146">
        <f>DigDir!N146</f>
        <v>14</v>
      </c>
      <c r="O146">
        <f>ABS(L146-DigDir!$C$34)</f>
        <v>3.694633920873744</v>
      </c>
      <c r="P146">
        <f t="shared" si="3"/>
        <v>14</v>
      </c>
    </row>
    <row r="147" spans="10:16">
      <c r="J147" s="5"/>
      <c r="L147">
        <f>DigDir!M147</f>
        <v>-1.0550029999999999</v>
      </c>
      <c r="M147">
        <f>DigDir!N147</f>
        <v>14.1</v>
      </c>
      <c r="O147">
        <f>ABS(L147-DigDir!$C$34)</f>
        <v>3.7016170808737439</v>
      </c>
      <c r="P147">
        <f t="shared" si="3"/>
        <v>14.1</v>
      </c>
    </row>
    <row r="148" spans="10:16">
      <c r="J148" s="5"/>
      <c r="L148">
        <f>DigDir!M148</f>
        <v>-1.0550029999999999</v>
      </c>
      <c r="M148">
        <f>DigDir!N148</f>
        <v>14.2</v>
      </c>
      <c r="O148">
        <f>ABS(L148-DigDir!$C$34)</f>
        <v>3.7016170808737439</v>
      </c>
      <c r="P148">
        <f t="shared" si="3"/>
        <v>14.2</v>
      </c>
    </row>
    <row r="149" spans="10:16">
      <c r="J149" s="5"/>
      <c r="L149">
        <f>DigDir!M149</f>
        <v>-1.0550029999999999</v>
      </c>
      <c r="M149">
        <f>DigDir!N149</f>
        <v>14.3</v>
      </c>
      <c r="O149">
        <f>ABS(L149-DigDir!$C$34)</f>
        <v>3.7016170808737439</v>
      </c>
      <c r="P149">
        <f t="shared" si="3"/>
        <v>14.3</v>
      </c>
    </row>
    <row r="150" spans="10:16">
      <c r="J150" s="5"/>
      <c r="L150">
        <f>DigDir!M150</f>
        <v>-1.0550029999999999</v>
      </c>
      <c r="M150">
        <f>DigDir!N150</f>
        <v>14.4</v>
      </c>
      <c r="O150">
        <f>ABS(L150-DigDir!$C$34)</f>
        <v>3.7016170808737439</v>
      </c>
      <c r="P150">
        <f t="shared" si="3"/>
        <v>14.4</v>
      </c>
    </row>
    <row r="151" spans="10:16">
      <c r="J151" s="5"/>
      <c r="L151">
        <f>DigDir!M151</f>
        <v>-1.0550029999999999</v>
      </c>
      <c r="M151">
        <f>DigDir!N151</f>
        <v>14.5</v>
      </c>
      <c r="O151">
        <f>ABS(L151-DigDir!$C$34)</f>
        <v>3.7016170808737439</v>
      </c>
      <c r="P151">
        <f t="shared" si="3"/>
        <v>14.5</v>
      </c>
    </row>
    <row r="152" spans="10:16">
      <c r="J152" s="5"/>
      <c r="L152">
        <f>DigDir!M152</f>
        <v>-1.0550029999999999</v>
      </c>
      <c r="M152">
        <f>DigDir!N152</f>
        <v>14.6</v>
      </c>
      <c r="O152">
        <f>ABS(L152-DigDir!$C$34)</f>
        <v>3.7016170808737439</v>
      </c>
      <c r="P152">
        <f t="shared" si="3"/>
        <v>14.6</v>
      </c>
    </row>
    <row r="153" spans="10:16">
      <c r="J153" s="5"/>
      <c r="L153">
        <f>DigDir!M153</f>
        <v>-1.0550029999999999</v>
      </c>
      <c r="M153">
        <f>DigDir!N153</f>
        <v>14.7</v>
      </c>
      <c r="O153">
        <f>ABS(L153-DigDir!$C$34)</f>
        <v>3.7016170808737439</v>
      </c>
      <c r="P153">
        <f t="shared" si="3"/>
        <v>14.7</v>
      </c>
    </row>
    <row r="154" spans="10:16">
      <c r="J154" s="5"/>
      <c r="L154">
        <f>DigDir!M154</f>
        <v>-1.0550029999999999</v>
      </c>
      <c r="M154">
        <f>DigDir!N154</f>
        <v>14.8</v>
      </c>
      <c r="O154">
        <f>ABS(L154-DigDir!$C$34)</f>
        <v>3.7016170808737439</v>
      </c>
      <c r="P154">
        <f t="shared" si="3"/>
        <v>14.8</v>
      </c>
    </row>
    <row r="155" spans="10:16">
      <c r="J155" s="5"/>
      <c r="L155">
        <f>DigDir!M155</f>
        <v>-1.0550029999999999</v>
      </c>
      <c r="M155">
        <f>DigDir!N155</f>
        <v>14.9</v>
      </c>
      <c r="O155">
        <f>ABS(L155-DigDir!$C$34)</f>
        <v>3.7016170808737439</v>
      </c>
      <c r="P155">
        <f t="shared" si="3"/>
        <v>14.9</v>
      </c>
    </row>
    <row r="156" spans="10:16">
      <c r="J156" s="5"/>
      <c r="L156">
        <f>DigDir!M156</f>
        <v>-1.0550029999999999</v>
      </c>
      <c r="M156">
        <f>DigDir!N156</f>
        <v>15</v>
      </c>
      <c r="O156">
        <f>ABS(L156-DigDir!$C$34)</f>
        <v>3.7016170808737439</v>
      </c>
      <c r="P156">
        <f t="shared" si="3"/>
        <v>15</v>
      </c>
    </row>
    <row r="157" spans="10:16">
      <c r="J157" s="5"/>
      <c r="L157">
        <f>DigDir!M157</f>
        <v>-1.0550029999999999</v>
      </c>
      <c r="M157">
        <f>DigDir!N157</f>
        <v>15.1</v>
      </c>
      <c r="O157">
        <f>ABS(L157-DigDir!$C$34)</f>
        <v>3.7016170808737439</v>
      </c>
      <c r="P157">
        <f t="shared" si="3"/>
        <v>15.1</v>
      </c>
    </row>
    <row r="158" spans="10:16">
      <c r="J158" s="5"/>
      <c r="L158">
        <f>DigDir!M158</f>
        <v>-1.0550029999999999</v>
      </c>
      <c r="M158">
        <f>DigDir!N158</f>
        <v>15.2</v>
      </c>
      <c r="O158">
        <f>ABS(L158-DigDir!$C$34)</f>
        <v>3.7016170808737439</v>
      </c>
      <c r="P158">
        <f t="shared" si="3"/>
        <v>15.2</v>
      </c>
    </row>
    <row r="159" spans="10:16">
      <c r="J159" s="5"/>
      <c r="L159">
        <f>DigDir!M159</f>
        <v>-1.0550029999999999</v>
      </c>
      <c r="M159">
        <f>DigDir!N159</f>
        <v>15.3</v>
      </c>
      <c r="O159">
        <f>ABS(L159-DigDir!$C$34)</f>
        <v>3.7016170808737439</v>
      </c>
      <c r="P159">
        <f t="shared" si="3"/>
        <v>15.3</v>
      </c>
    </row>
    <row r="160" spans="10:16">
      <c r="J160" s="5"/>
      <c r="L160">
        <f>DigDir!M160</f>
        <v>-1.0550029999999999</v>
      </c>
      <c r="M160">
        <f>DigDir!N160</f>
        <v>15.4</v>
      </c>
      <c r="O160">
        <f>ABS(L160-DigDir!$C$34)</f>
        <v>3.7016170808737439</v>
      </c>
      <c r="P160">
        <f t="shared" si="3"/>
        <v>15.4</v>
      </c>
    </row>
    <row r="161" spans="10:16">
      <c r="J161" s="5"/>
      <c r="L161">
        <f>DigDir!M161</f>
        <v>-1.0550029999999999</v>
      </c>
      <c r="M161">
        <f>DigDir!N161</f>
        <v>15.5</v>
      </c>
      <c r="O161">
        <f>ABS(L161-DigDir!$C$34)</f>
        <v>3.7016170808737439</v>
      </c>
      <c r="P161">
        <f t="shared" si="3"/>
        <v>15.5</v>
      </c>
    </row>
    <row r="162" spans="10:16">
      <c r="J162" s="5"/>
      <c r="L162">
        <f>DigDir!M162</f>
        <v>-1.0550029999999999</v>
      </c>
      <c r="M162">
        <f>DigDir!N162</f>
        <v>15.6</v>
      </c>
      <c r="O162">
        <f>ABS(L162-DigDir!$C$34)</f>
        <v>3.7016170808737439</v>
      </c>
      <c r="P162">
        <f t="shared" si="3"/>
        <v>15.6</v>
      </c>
    </row>
    <row r="163" spans="10:16">
      <c r="J163" s="5"/>
      <c r="L163">
        <f>DigDir!M163</f>
        <v>-1.0550029999999999</v>
      </c>
      <c r="M163">
        <f>DigDir!N163</f>
        <v>15.7</v>
      </c>
      <c r="O163">
        <f>ABS(L163-DigDir!$C$34)</f>
        <v>3.7016170808737439</v>
      </c>
      <c r="P163">
        <f t="shared" si="3"/>
        <v>15.7</v>
      </c>
    </row>
    <row r="164" spans="10:16">
      <c r="J164" s="5"/>
      <c r="L164">
        <f>DigDir!M164</f>
        <v>-1.0550029999999999</v>
      </c>
      <c r="M164">
        <f>DigDir!N164</f>
        <v>15.8</v>
      </c>
      <c r="O164">
        <f>ABS(L164-DigDir!$C$34)</f>
        <v>3.7016170808737439</v>
      </c>
      <c r="P164">
        <f t="shared" si="3"/>
        <v>15.8</v>
      </c>
    </row>
    <row r="165" spans="10:16">
      <c r="J165" s="5"/>
      <c r="L165">
        <f>DigDir!M165</f>
        <v>-1.0550029999999999</v>
      </c>
      <c r="M165">
        <f>DigDir!N165</f>
        <v>15.9</v>
      </c>
      <c r="O165">
        <f>ABS(L165-DigDir!$C$34)</f>
        <v>3.7016170808737439</v>
      </c>
      <c r="P165">
        <f t="shared" si="3"/>
        <v>15.9</v>
      </c>
    </row>
    <row r="166" spans="10:16">
      <c r="J166" s="5"/>
      <c r="L166">
        <f>DigDir!M166</f>
        <v>-1.0550029999999999</v>
      </c>
      <c r="M166">
        <f>DigDir!N166</f>
        <v>16</v>
      </c>
      <c r="O166">
        <f>ABS(L166-DigDir!$C$34)</f>
        <v>3.7016170808737439</v>
      </c>
      <c r="P166">
        <f t="shared" si="3"/>
        <v>16</v>
      </c>
    </row>
    <row r="167" spans="10:16">
      <c r="J167" s="5"/>
      <c r="L167">
        <f>DigDir!M167</f>
        <v>-1.0550029999999999</v>
      </c>
      <c r="M167">
        <f>DigDir!N167</f>
        <v>16.100000000000001</v>
      </c>
      <c r="O167">
        <f>ABS(L167-DigDir!$C$34)</f>
        <v>3.7016170808737439</v>
      </c>
      <c r="P167">
        <f t="shared" si="3"/>
        <v>16.100000000000001</v>
      </c>
    </row>
    <row r="168" spans="10:16">
      <c r="J168" s="5"/>
      <c r="L168">
        <f>DigDir!M168</f>
        <v>-1.0550029999999999</v>
      </c>
      <c r="M168">
        <f>DigDir!N168</f>
        <v>16.2</v>
      </c>
      <c r="O168">
        <f>ABS(L168-DigDir!$C$34)</f>
        <v>3.7016170808737439</v>
      </c>
      <c r="P168">
        <f t="shared" si="3"/>
        <v>16.2</v>
      </c>
    </row>
    <row r="169" spans="10:16">
      <c r="J169" s="5"/>
      <c r="L169">
        <f>DigDir!M169</f>
        <v>-1.0550029999999999</v>
      </c>
      <c r="M169">
        <f>DigDir!N169</f>
        <v>16.3</v>
      </c>
      <c r="O169">
        <f>ABS(L169-DigDir!$C$34)</f>
        <v>3.7016170808737439</v>
      </c>
      <c r="P169">
        <f t="shared" si="3"/>
        <v>16.3</v>
      </c>
    </row>
    <row r="170" spans="10:16">
      <c r="J170" s="5"/>
      <c r="L170">
        <f>DigDir!M170</f>
        <v>-1.0550029999999999</v>
      </c>
      <c r="M170">
        <f>DigDir!N170</f>
        <v>16.399999999999999</v>
      </c>
      <c r="O170">
        <f>ABS(L170-DigDir!$C$34)</f>
        <v>3.7016170808737439</v>
      </c>
      <c r="P170">
        <f t="shared" si="3"/>
        <v>16.399999999999999</v>
      </c>
    </row>
    <row r="171" spans="10:16">
      <c r="J171" s="5"/>
      <c r="L171">
        <f>DigDir!M171</f>
        <v>-1.0550029999999999</v>
      </c>
      <c r="M171">
        <f>DigDir!N171</f>
        <v>16.5</v>
      </c>
      <c r="O171">
        <f>ABS(L171-DigDir!$C$34)</f>
        <v>3.7016170808737439</v>
      </c>
      <c r="P171">
        <f t="shared" si="3"/>
        <v>16.5</v>
      </c>
    </row>
    <row r="172" spans="10:16">
      <c r="J172" s="5"/>
      <c r="L172">
        <f>DigDir!M172</f>
        <v>-1.0550029999999999</v>
      </c>
      <c r="M172">
        <f>DigDir!N172</f>
        <v>16.600000000000001</v>
      </c>
      <c r="O172">
        <f>ABS(L172-DigDir!$C$34)</f>
        <v>3.7016170808737439</v>
      </c>
      <c r="P172">
        <f t="shared" si="3"/>
        <v>16.600000000000001</v>
      </c>
    </row>
    <row r="173" spans="10:16">
      <c r="J173" s="5"/>
      <c r="L173">
        <f>DigDir!M173</f>
        <v>-1.0550029999999999</v>
      </c>
      <c r="M173">
        <f>DigDir!N173</f>
        <v>16.7</v>
      </c>
      <c r="O173">
        <f>ABS(L173-DigDir!$C$34)</f>
        <v>3.7016170808737439</v>
      </c>
      <c r="P173">
        <f t="shared" si="3"/>
        <v>16.7</v>
      </c>
    </row>
    <row r="174" spans="10:16">
      <c r="J174" s="5"/>
      <c r="L174">
        <f>DigDir!M174</f>
        <v>-1.0550029999999999</v>
      </c>
      <c r="M174">
        <f>DigDir!N174</f>
        <v>16.8</v>
      </c>
      <c r="O174">
        <f>ABS(L174-DigDir!$C$34)</f>
        <v>3.7016170808737439</v>
      </c>
      <c r="P174">
        <f t="shared" si="3"/>
        <v>16.8</v>
      </c>
    </row>
    <row r="175" spans="10:16">
      <c r="J175" s="5"/>
      <c r="L175">
        <f>DigDir!M175</f>
        <v>-1.0550029999999999</v>
      </c>
      <c r="M175">
        <f>DigDir!N175</f>
        <v>16.899999999999999</v>
      </c>
      <c r="O175">
        <f>ABS(L175-DigDir!$C$34)</f>
        <v>3.7016170808737439</v>
      </c>
      <c r="P175">
        <f t="shared" si="3"/>
        <v>16.899999999999999</v>
      </c>
    </row>
    <row r="176" spans="10:16">
      <c r="J176" s="5"/>
      <c r="L176">
        <f>DigDir!M176</f>
        <v>-1.0550029999999999</v>
      </c>
      <c r="M176">
        <f>DigDir!N176</f>
        <v>17</v>
      </c>
      <c r="O176">
        <f>ABS(L176-DigDir!$C$34)</f>
        <v>3.7016170808737439</v>
      </c>
      <c r="P176">
        <f t="shared" si="3"/>
        <v>17</v>
      </c>
    </row>
    <row r="177" spans="10:16">
      <c r="J177" s="5"/>
      <c r="L177">
        <f>DigDir!M177</f>
        <v>-1.0550029999999999</v>
      </c>
      <c r="M177">
        <f>DigDir!N177</f>
        <v>17.100000000000001</v>
      </c>
      <c r="O177">
        <f>ABS(L177-DigDir!$C$34)</f>
        <v>3.7016170808737439</v>
      </c>
      <c r="P177">
        <f t="shared" si="3"/>
        <v>17.100000000000001</v>
      </c>
    </row>
    <row r="178" spans="10:16">
      <c r="J178" s="5"/>
      <c r="L178">
        <f>DigDir!M178</f>
        <v>-1.0550029999999999</v>
      </c>
      <c r="M178">
        <f>DigDir!N178</f>
        <v>17.2</v>
      </c>
      <c r="O178">
        <f>ABS(L178-DigDir!$C$34)</f>
        <v>3.7016170808737439</v>
      </c>
      <c r="P178">
        <f t="shared" si="3"/>
        <v>17.2</v>
      </c>
    </row>
    <row r="179" spans="10:16">
      <c r="J179" s="5"/>
      <c r="L179">
        <f>DigDir!M179</f>
        <v>-1.0550029999999999</v>
      </c>
      <c r="M179">
        <f>DigDir!N179</f>
        <v>17.3</v>
      </c>
      <c r="O179">
        <f>ABS(L179-DigDir!$C$34)</f>
        <v>3.7016170808737439</v>
      </c>
      <c r="P179">
        <f t="shared" si="3"/>
        <v>17.3</v>
      </c>
    </row>
    <row r="180" spans="10:16">
      <c r="J180" s="5"/>
      <c r="L180">
        <f>DigDir!M180</f>
        <v>-1.0550029999999999</v>
      </c>
      <c r="M180">
        <f>DigDir!N180</f>
        <v>17.399999999999999</v>
      </c>
      <c r="O180">
        <f>ABS(L180-DigDir!$C$34)</f>
        <v>3.7016170808737439</v>
      </c>
      <c r="P180">
        <f t="shared" si="3"/>
        <v>17.399999999999999</v>
      </c>
    </row>
    <row r="181" spans="10:16">
      <c r="J181" s="5"/>
      <c r="L181">
        <f>DigDir!M181</f>
        <v>-1.0550029999999999</v>
      </c>
      <c r="M181">
        <f>DigDir!N181</f>
        <v>17.5</v>
      </c>
      <c r="O181">
        <f>ABS(L181-DigDir!$C$34)</f>
        <v>3.7016170808737439</v>
      </c>
      <c r="P181">
        <f t="shared" si="3"/>
        <v>17.5</v>
      </c>
    </row>
    <row r="182" spans="10:16">
      <c r="J182" s="5"/>
      <c r="L182">
        <f>DigDir!M182</f>
        <v>-1.0550029999999999</v>
      </c>
      <c r="M182">
        <f>DigDir!N182</f>
        <v>17.600000000000001</v>
      </c>
      <c r="O182">
        <f>ABS(L182-DigDir!$C$34)</f>
        <v>3.7016170808737439</v>
      </c>
      <c r="P182">
        <f t="shared" si="3"/>
        <v>17.600000000000001</v>
      </c>
    </row>
    <row r="183" spans="10:16">
      <c r="J183" s="5"/>
      <c r="L183">
        <f>DigDir!M183</f>
        <v>-1.0550029999999999</v>
      </c>
      <c r="M183">
        <f>DigDir!N183</f>
        <v>17.7</v>
      </c>
      <c r="O183">
        <f>ABS(L183-DigDir!$C$34)</f>
        <v>3.7016170808737439</v>
      </c>
      <c r="P183">
        <f t="shared" si="3"/>
        <v>17.7</v>
      </c>
    </row>
    <row r="184" spans="10:16">
      <c r="J184" s="5"/>
      <c r="L184">
        <f>DigDir!M184</f>
        <v>-1.0550029999999999</v>
      </c>
      <c r="M184">
        <f>DigDir!N184</f>
        <v>17.8</v>
      </c>
      <c r="O184">
        <f>ABS(L184-DigDir!$C$34)</f>
        <v>3.7016170808737439</v>
      </c>
      <c r="P184">
        <f t="shared" si="3"/>
        <v>17.8</v>
      </c>
    </row>
    <row r="185" spans="10:16">
      <c r="J185" s="5"/>
      <c r="L185">
        <f>DigDir!M185</f>
        <v>-1.045226744</v>
      </c>
      <c r="M185">
        <f>DigDir!N185</f>
        <v>17.899999999999999</v>
      </c>
      <c r="O185">
        <f>ABS(L185-DigDir!$C$34)</f>
        <v>3.7113933368737442</v>
      </c>
      <c r="P185">
        <f t="shared" si="3"/>
        <v>17.899999999999999</v>
      </c>
    </row>
    <row r="186" spans="10:16">
      <c r="J186" s="5"/>
      <c r="L186">
        <f>DigDir!M186</f>
        <v>-1.02241548</v>
      </c>
      <c r="M186">
        <f>DigDir!N186</f>
        <v>18</v>
      </c>
      <c r="O186">
        <f>ABS(L186-DigDir!$C$34)</f>
        <v>3.7342046008737437</v>
      </c>
      <c r="P186">
        <f t="shared" si="3"/>
        <v>18</v>
      </c>
    </row>
    <row r="187" spans="10:16">
      <c r="J187" s="5"/>
      <c r="L187">
        <f>DigDir!M187</f>
        <v>-0.99960421600000005</v>
      </c>
      <c r="M187">
        <f>DigDir!N187</f>
        <v>18.100000000000001</v>
      </c>
      <c r="O187">
        <f>ABS(L187-DigDir!$C$34)</f>
        <v>3.7570158648737442</v>
      </c>
      <c r="P187">
        <f t="shared" si="3"/>
        <v>18.100000000000001</v>
      </c>
    </row>
    <row r="188" spans="10:16">
      <c r="J188" s="5"/>
      <c r="L188">
        <f>DigDir!M188</f>
        <v>-0.996811</v>
      </c>
      <c r="M188">
        <f>DigDir!N188</f>
        <v>18.2</v>
      </c>
      <c r="O188">
        <f>ABS(L188-DigDir!$C$34)</f>
        <v>3.7598090808737439</v>
      </c>
      <c r="P188">
        <f t="shared" si="3"/>
        <v>18.2</v>
      </c>
    </row>
    <row r="189" spans="10:16">
      <c r="J189" s="5"/>
      <c r="L189">
        <f>DigDir!M189</f>
        <v>-0.996811</v>
      </c>
      <c r="M189">
        <f>DigDir!N189</f>
        <v>18.3</v>
      </c>
      <c r="O189">
        <f>ABS(L189-DigDir!$C$34)</f>
        <v>3.7598090808737439</v>
      </c>
      <c r="P189">
        <f t="shared" si="3"/>
        <v>18.3</v>
      </c>
    </row>
    <row r="190" spans="10:16">
      <c r="J190" s="5"/>
      <c r="L190">
        <f>DigDir!M190</f>
        <v>-0.996811</v>
      </c>
      <c r="M190">
        <f>DigDir!N190</f>
        <v>18.399999999999999</v>
      </c>
      <c r="O190">
        <f>ABS(L190-DigDir!$C$34)</f>
        <v>3.7598090808737439</v>
      </c>
      <c r="P190">
        <f t="shared" si="3"/>
        <v>18.399999999999999</v>
      </c>
    </row>
    <row r="191" spans="10:16">
      <c r="J191" s="5"/>
      <c r="L191">
        <f>DigDir!M191</f>
        <v>-0.996811</v>
      </c>
      <c r="M191">
        <f>DigDir!N191</f>
        <v>18.5</v>
      </c>
      <c r="O191">
        <f>ABS(L191-DigDir!$C$34)</f>
        <v>3.7598090808737439</v>
      </c>
      <c r="P191">
        <f t="shared" si="3"/>
        <v>18.5</v>
      </c>
    </row>
    <row r="192" spans="10:16">
      <c r="J192" s="5"/>
      <c r="L192">
        <f>DigDir!M192</f>
        <v>-0.996811</v>
      </c>
      <c r="M192">
        <f>DigDir!N192</f>
        <v>18.600000000000001</v>
      </c>
      <c r="O192">
        <f>ABS(L192-DigDir!$C$34)</f>
        <v>3.7598090808737439</v>
      </c>
      <c r="P192">
        <f t="shared" si="3"/>
        <v>18.600000000000001</v>
      </c>
    </row>
    <row r="193" spans="10:16">
      <c r="J193" s="5"/>
      <c r="L193">
        <f>DigDir!M193</f>
        <v>-0.96142996000000003</v>
      </c>
      <c r="M193">
        <f>DigDir!N193</f>
        <v>18.7</v>
      </c>
      <c r="O193">
        <f>ABS(L193-DigDir!$C$34)</f>
        <v>3.7951901208737437</v>
      </c>
      <c r="P193">
        <f t="shared" si="3"/>
        <v>18.7</v>
      </c>
    </row>
    <row r="194" spans="10:16">
      <c r="J194" s="5"/>
      <c r="L194">
        <f>DigDir!M194</f>
        <v>-0.91580704000000002</v>
      </c>
      <c r="M194">
        <f>DigDir!N194</f>
        <v>18.8</v>
      </c>
      <c r="O194">
        <f>ABS(L194-DigDir!$C$34)</f>
        <v>3.8408130408737442</v>
      </c>
      <c r="P194">
        <f t="shared" si="3"/>
        <v>18.8</v>
      </c>
    </row>
    <row r="195" spans="10:16">
      <c r="J195" s="5"/>
      <c r="L195">
        <f>DigDir!M195</f>
        <v>-0.88042600000000004</v>
      </c>
      <c r="M195">
        <f>DigDir!N195</f>
        <v>18.899999999999999</v>
      </c>
      <c r="O195">
        <f>ABS(L195-DigDir!$C$34)</f>
        <v>3.8761940808737441</v>
      </c>
      <c r="P195">
        <f t="shared" si="3"/>
        <v>18.899999999999999</v>
      </c>
    </row>
    <row r="196" spans="10:16">
      <c r="J196" s="5"/>
      <c r="L196">
        <f>DigDir!M196</f>
        <v>-0.88042600000000004</v>
      </c>
      <c r="M196">
        <f>DigDir!N196</f>
        <v>19</v>
      </c>
      <c r="O196">
        <f>ABS(L196-DigDir!$C$34)</f>
        <v>3.8761940808737441</v>
      </c>
      <c r="P196">
        <f t="shared" si="3"/>
        <v>19</v>
      </c>
    </row>
    <row r="197" spans="10:16">
      <c r="J197" s="5"/>
      <c r="L197">
        <f>DigDir!M197</f>
        <v>-0.88042600000000004</v>
      </c>
      <c r="M197">
        <f>DigDir!N197</f>
        <v>19.100000000000001</v>
      </c>
      <c r="O197">
        <f>ABS(L197-DigDir!$C$34)</f>
        <v>3.8761940808737441</v>
      </c>
      <c r="P197">
        <f t="shared" si="3"/>
        <v>19.100000000000001</v>
      </c>
    </row>
    <row r="198" spans="10:16">
      <c r="J198" s="5"/>
      <c r="L198">
        <f>DigDir!M198</f>
        <v>-0.88042600000000004</v>
      </c>
      <c r="M198">
        <f>DigDir!N198</f>
        <v>19.2</v>
      </c>
      <c r="O198">
        <f>ABS(L198-DigDir!$C$34)</f>
        <v>3.8761940808737441</v>
      </c>
      <c r="P198">
        <f t="shared" si="3"/>
        <v>19.2</v>
      </c>
    </row>
    <row r="199" spans="10:16">
      <c r="J199" s="5"/>
      <c r="L199">
        <f>DigDir!M199</f>
        <v>-0.88042600000000004</v>
      </c>
      <c r="M199">
        <f>DigDir!N199</f>
        <v>19.3</v>
      </c>
      <c r="O199">
        <f>ABS(L199-DigDir!$C$34)</f>
        <v>3.8761940808737441</v>
      </c>
      <c r="P199">
        <f t="shared" ref="P199:P262" si="4">M199</f>
        <v>19.3</v>
      </c>
    </row>
    <row r="200" spans="10:16">
      <c r="J200" s="5"/>
      <c r="L200">
        <f>DigDir!M200</f>
        <v>-0.88042600000000004</v>
      </c>
      <c r="M200">
        <f>DigDir!N200</f>
        <v>19.399999999999999</v>
      </c>
      <c r="O200">
        <f>ABS(L200-DigDir!$C$34)</f>
        <v>3.8761940808737441</v>
      </c>
      <c r="P200">
        <f t="shared" si="4"/>
        <v>19.399999999999999</v>
      </c>
    </row>
    <row r="201" spans="10:16">
      <c r="J201" s="5"/>
      <c r="L201">
        <f>DigDir!M201</f>
        <v>-0.88042600000000004</v>
      </c>
      <c r="M201">
        <f>DigDir!N201</f>
        <v>19.5</v>
      </c>
      <c r="O201">
        <f>ABS(L201-DigDir!$C$34)</f>
        <v>3.8761940808737441</v>
      </c>
      <c r="P201">
        <f t="shared" si="4"/>
        <v>19.5</v>
      </c>
    </row>
    <row r="202" spans="10:16">
      <c r="J202" s="5"/>
      <c r="L202">
        <f>DigDir!M202</f>
        <v>-0.88042600000000004</v>
      </c>
      <c r="M202">
        <f>DigDir!N202</f>
        <v>19.600000000000001</v>
      </c>
      <c r="O202">
        <f>ABS(L202-DigDir!$C$34)</f>
        <v>3.8761940808737441</v>
      </c>
      <c r="P202">
        <f t="shared" si="4"/>
        <v>19.600000000000001</v>
      </c>
    </row>
    <row r="203" spans="10:16">
      <c r="J203" s="5"/>
      <c r="L203">
        <f>DigDir!M203</f>
        <v>-0.88042600000000004</v>
      </c>
      <c r="M203">
        <f>DigDir!N203</f>
        <v>19.7</v>
      </c>
      <c r="O203">
        <f>ABS(L203-DigDir!$C$34)</f>
        <v>3.8761940808737441</v>
      </c>
      <c r="P203">
        <f t="shared" si="4"/>
        <v>19.7</v>
      </c>
    </row>
    <row r="204" spans="10:16">
      <c r="J204" s="5"/>
      <c r="L204">
        <f>DigDir!M204</f>
        <v>-0.88042600000000004</v>
      </c>
      <c r="M204">
        <f>DigDir!N204</f>
        <v>19.8</v>
      </c>
      <c r="O204">
        <f>ABS(L204-DigDir!$C$34)</f>
        <v>3.8761940808737441</v>
      </c>
      <c r="P204">
        <f t="shared" si="4"/>
        <v>19.8</v>
      </c>
    </row>
    <row r="205" spans="10:16">
      <c r="J205" s="5"/>
      <c r="L205">
        <f>DigDir!M205</f>
        <v>-0.88042600000000004</v>
      </c>
      <c r="M205">
        <f>DigDir!N205</f>
        <v>19.899999999999999</v>
      </c>
      <c r="O205">
        <f>ABS(L205-DigDir!$C$34)</f>
        <v>3.8761940808737441</v>
      </c>
      <c r="P205">
        <f t="shared" si="4"/>
        <v>19.899999999999999</v>
      </c>
    </row>
    <row r="206" spans="10:16">
      <c r="J206" s="5"/>
      <c r="L206">
        <f>DigDir!M206</f>
        <v>-0.88042600000000004</v>
      </c>
      <c r="M206">
        <f>DigDir!N206</f>
        <v>20</v>
      </c>
      <c r="O206">
        <f>ABS(L206-DigDir!$C$34)</f>
        <v>3.8761940808737441</v>
      </c>
      <c r="P206">
        <f t="shared" si="4"/>
        <v>20</v>
      </c>
    </row>
    <row r="207" spans="10:16">
      <c r="J207" s="5"/>
      <c r="L207">
        <f>DigDir!M207</f>
        <v>-0.88042600000000004</v>
      </c>
      <c r="M207">
        <f>DigDir!N207</f>
        <v>20.100000000000001</v>
      </c>
      <c r="O207">
        <f>ABS(L207-DigDir!$C$34)</f>
        <v>3.8761940808737441</v>
      </c>
      <c r="P207">
        <f t="shared" si="4"/>
        <v>20.100000000000001</v>
      </c>
    </row>
    <row r="208" spans="10:16">
      <c r="J208" s="5"/>
      <c r="L208">
        <f>DigDir!M208</f>
        <v>-0.88042600000000004</v>
      </c>
      <c r="M208">
        <f>DigDir!N208</f>
        <v>20.2</v>
      </c>
      <c r="O208">
        <f>ABS(L208-DigDir!$C$34)</f>
        <v>3.8761940808737441</v>
      </c>
      <c r="P208">
        <f t="shared" si="4"/>
        <v>20.2</v>
      </c>
    </row>
    <row r="209" spans="10:16">
      <c r="J209" s="5"/>
      <c r="L209">
        <f>DigDir!M209</f>
        <v>-0.88042600000000004</v>
      </c>
      <c r="M209">
        <f>DigDir!N209</f>
        <v>20.3</v>
      </c>
      <c r="O209">
        <f>ABS(L209-DigDir!$C$34)</f>
        <v>3.8761940808737441</v>
      </c>
      <c r="P209">
        <f t="shared" si="4"/>
        <v>20.3</v>
      </c>
    </row>
    <row r="210" spans="10:16">
      <c r="J210" s="5"/>
      <c r="L210">
        <f>DigDir!M210</f>
        <v>-0.88042600000000004</v>
      </c>
      <c r="M210">
        <f>DigDir!N210</f>
        <v>20.399999999999999</v>
      </c>
      <c r="O210">
        <f>ABS(L210-DigDir!$C$34)</f>
        <v>3.8761940808737441</v>
      </c>
      <c r="P210">
        <f t="shared" si="4"/>
        <v>20.399999999999999</v>
      </c>
    </row>
    <row r="211" spans="10:16">
      <c r="J211" s="5"/>
      <c r="L211">
        <f>DigDir!M211</f>
        <v>-0.88042600000000004</v>
      </c>
      <c r="M211">
        <f>DigDir!N211</f>
        <v>20.5</v>
      </c>
      <c r="O211">
        <f>ABS(L211-DigDir!$C$34)</f>
        <v>3.8761940808737441</v>
      </c>
      <c r="P211">
        <f t="shared" si="4"/>
        <v>20.5</v>
      </c>
    </row>
    <row r="212" spans="10:16">
      <c r="J212" s="5"/>
      <c r="L212">
        <f>DigDir!M212</f>
        <v>-0.88042600000000004</v>
      </c>
      <c r="M212">
        <f>DigDir!N212</f>
        <v>20.6</v>
      </c>
      <c r="O212">
        <f>ABS(L212-DigDir!$C$34)</f>
        <v>3.8761940808737441</v>
      </c>
      <c r="P212">
        <f t="shared" si="4"/>
        <v>20.6</v>
      </c>
    </row>
    <row r="213" spans="10:16">
      <c r="J213" s="5"/>
      <c r="L213">
        <f>DigDir!M213</f>
        <v>-0.88042600000000004</v>
      </c>
      <c r="M213">
        <f>DigDir!N213</f>
        <v>20.7</v>
      </c>
      <c r="O213">
        <f>ABS(L213-DigDir!$C$34)</f>
        <v>3.8761940808737441</v>
      </c>
      <c r="P213">
        <f t="shared" si="4"/>
        <v>20.7</v>
      </c>
    </row>
    <row r="214" spans="10:16">
      <c r="J214" s="5"/>
      <c r="L214">
        <f>DigDir!M214</f>
        <v>-0.88042600000000004</v>
      </c>
      <c r="M214">
        <f>DigDir!N214</f>
        <v>20.8</v>
      </c>
      <c r="O214">
        <f>ABS(L214-DigDir!$C$34)</f>
        <v>3.8761940808737441</v>
      </c>
      <c r="P214">
        <f t="shared" si="4"/>
        <v>20.8</v>
      </c>
    </row>
    <row r="215" spans="10:16">
      <c r="J215" s="5"/>
      <c r="L215">
        <f>DigDir!M215</f>
        <v>-0.88042600000000004</v>
      </c>
      <c r="M215">
        <f>DigDir!N215</f>
        <v>20.9</v>
      </c>
      <c r="O215">
        <f>ABS(L215-DigDir!$C$34)</f>
        <v>3.8761940808737441</v>
      </c>
      <c r="P215">
        <f t="shared" si="4"/>
        <v>20.9</v>
      </c>
    </row>
    <row r="216" spans="10:16">
      <c r="J216" s="5"/>
      <c r="L216">
        <f>DigDir!M216</f>
        <v>-0.88042600000000004</v>
      </c>
      <c r="M216">
        <f>DigDir!N216</f>
        <v>21</v>
      </c>
      <c r="O216">
        <f>ABS(L216-DigDir!$C$34)</f>
        <v>3.8761940808737441</v>
      </c>
      <c r="P216">
        <f t="shared" si="4"/>
        <v>21</v>
      </c>
    </row>
    <row r="217" spans="10:16">
      <c r="J217" s="5"/>
      <c r="L217">
        <f>DigDir!M217</f>
        <v>-0.88042600000000004</v>
      </c>
      <c r="M217">
        <f>DigDir!N217</f>
        <v>21.1</v>
      </c>
      <c r="O217">
        <f>ABS(L217-DigDir!$C$34)</f>
        <v>3.8761940808737441</v>
      </c>
      <c r="P217">
        <f t="shared" si="4"/>
        <v>21.1</v>
      </c>
    </row>
    <row r="218" spans="10:16">
      <c r="J218" s="5"/>
      <c r="L218">
        <f>DigDir!M218</f>
        <v>-0.88042600000000004</v>
      </c>
      <c r="M218">
        <f>DigDir!N218</f>
        <v>21.2</v>
      </c>
      <c r="O218">
        <f>ABS(L218-DigDir!$C$34)</f>
        <v>3.8761940808737441</v>
      </c>
      <c r="P218">
        <f t="shared" si="4"/>
        <v>21.2</v>
      </c>
    </row>
    <row r="219" spans="10:16">
      <c r="J219" s="5"/>
      <c r="L219">
        <f>DigDir!M219</f>
        <v>-0.88042600000000004</v>
      </c>
      <c r="M219">
        <f>DigDir!N219</f>
        <v>21.3</v>
      </c>
      <c r="O219">
        <f>ABS(L219-DigDir!$C$34)</f>
        <v>3.8761940808737441</v>
      </c>
      <c r="P219">
        <f t="shared" si="4"/>
        <v>21.3</v>
      </c>
    </row>
    <row r="220" spans="10:16">
      <c r="J220" s="5"/>
      <c r="L220">
        <f>DigDir!M220</f>
        <v>-0.88042600000000004</v>
      </c>
      <c r="M220">
        <f>DigDir!N220</f>
        <v>21.4</v>
      </c>
      <c r="O220">
        <f>ABS(L220-DigDir!$C$34)</f>
        <v>3.8761940808737441</v>
      </c>
      <c r="P220">
        <f t="shared" si="4"/>
        <v>21.4</v>
      </c>
    </row>
    <row r="221" spans="10:16">
      <c r="J221" s="5"/>
      <c r="L221">
        <f>DigDir!M221</f>
        <v>-0.88042600000000004</v>
      </c>
      <c r="M221">
        <f>DigDir!N221</f>
        <v>21.5</v>
      </c>
      <c r="O221">
        <f>ABS(L221-DigDir!$C$34)</f>
        <v>3.8761940808737441</v>
      </c>
      <c r="P221">
        <f t="shared" si="4"/>
        <v>21.5</v>
      </c>
    </row>
    <row r="222" spans="10:16">
      <c r="J222" s="5"/>
      <c r="L222">
        <f>DigDir!M222</f>
        <v>-0.88042600000000004</v>
      </c>
      <c r="M222">
        <f>DigDir!N222</f>
        <v>21.6</v>
      </c>
      <c r="O222">
        <f>ABS(L222-DigDir!$C$34)</f>
        <v>3.8761940808737441</v>
      </c>
      <c r="P222">
        <f t="shared" si="4"/>
        <v>21.6</v>
      </c>
    </row>
    <row r="223" spans="10:16">
      <c r="J223" s="5"/>
      <c r="L223">
        <f>DigDir!M223</f>
        <v>-0.88042600000000004</v>
      </c>
      <c r="M223">
        <f>DigDir!N223</f>
        <v>21.7</v>
      </c>
      <c r="O223">
        <f>ABS(L223-DigDir!$C$34)</f>
        <v>3.8761940808737441</v>
      </c>
      <c r="P223">
        <f t="shared" si="4"/>
        <v>21.7</v>
      </c>
    </row>
    <row r="224" spans="10:16">
      <c r="J224" s="5"/>
      <c r="L224">
        <f>DigDir!M224</f>
        <v>-0.88042600000000004</v>
      </c>
      <c r="M224">
        <f>DigDir!N224</f>
        <v>21.8</v>
      </c>
      <c r="O224">
        <f>ABS(L224-DigDir!$C$34)</f>
        <v>3.8761940808737441</v>
      </c>
      <c r="P224">
        <f t="shared" si="4"/>
        <v>21.8</v>
      </c>
    </row>
    <row r="225" spans="10:16">
      <c r="J225" s="5"/>
      <c r="L225">
        <f>DigDir!M225</f>
        <v>-0.88042600000000004</v>
      </c>
      <c r="M225">
        <f>DigDir!N225</f>
        <v>21.9</v>
      </c>
      <c r="O225">
        <f>ABS(L225-DigDir!$C$34)</f>
        <v>3.8761940808737441</v>
      </c>
      <c r="P225">
        <f t="shared" si="4"/>
        <v>21.9</v>
      </c>
    </row>
    <row r="226" spans="10:16">
      <c r="J226" s="5"/>
      <c r="L226">
        <f>DigDir!M226</f>
        <v>-0.88042600000000004</v>
      </c>
      <c r="M226">
        <f>DigDir!N226</f>
        <v>22</v>
      </c>
      <c r="O226">
        <f>ABS(L226-DigDir!$C$34)</f>
        <v>3.8761940808737441</v>
      </c>
      <c r="P226">
        <f t="shared" si="4"/>
        <v>22</v>
      </c>
    </row>
    <row r="227" spans="10:16">
      <c r="J227" s="5"/>
      <c r="L227">
        <f>DigDir!M227</f>
        <v>-0.88042600000000004</v>
      </c>
      <c r="M227">
        <f>DigDir!N227</f>
        <v>22.1</v>
      </c>
      <c r="O227">
        <f>ABS(L227-DigDir!$C$34)</f>
        <v>3.8761940808737441</v>
      </c>
      <c r="P227">
        <f t="shared" si="4"/>
        <v>22.1</v>
      </c>
    </row>
    <row r="228" spans="10:16">
      <c r="J228" s="5"/>
      <c r="L228">
        <f>DigDir!M228</f>
        <v>-0.88042600000000004</v>
      </c>
      <c r="M228">
        <f>DigDir!N228</f>
        <v>22.2</v>
      </c>
      <c r="O228">
        <f>ABS(L228-DigDir!$C$34)</f>
        <v>3.8761940808737441</v>
      </c>
      <c r="P228">
        <f t="shared" si="4"/>
        <v>22.2</v>
      </c>
    </row>
    <row r="229" spans="10:16">
      <c r="J229" s="5"/>
      <c r="L229">
        <f>DigDir!M229</f>
        <v>-0.88042600000000004</v>
      </c>
      <c r="M229">
        <f>DigDir!N229</f>
        <v>22.3</v>
      </c>
      <c r="O229">
        <f>ABS(L229-DigDir!$C$34)</f>
        <v>3.8761940808737441</v>
      </c>
      <c r="P229">
        <f t="shared" si="4"/>
        <v>22.3</v>
      </c>
    </row>
    <row r="230" spans="10:16">
      <c r="J230" s="5"/>
      <c r="L230">
        <f>DigDir!M230</f>
        <v>-0.88042600000000004</v>
      </c>
      <c r="M230">
        <f>DigDir!N230</f>
        <v>22.4</v>
      </c>
      <c r="O230">
        <f>ABS(L230-DigDir!$C$34)</f>
        <v>3.8761940808737441</v>
      </c>
      <c r="P230">
        <f t="shared" si="4"/>
        <v>22.4</v>
      </c>
    </row>
    <row r="231" spans="10:16">
      <c r="J231" s="5"/>
      <c r="L231">
        <f>DigDir!M231</f>
        <v>-0.88042600000000004</v>
      </c>
      <c r="M231">
        <f>DigDir!N231</f>
        <v>22.5</v>
      </c>
      <c r="O231">
        <f>ABS(L231-DigDir!$C$34)</f>
        <v>3.8761940808737441</v>
      </c>
      <c r="P231">
        <f t="shared" si="4"/>
        <v>22.5</v>
      </c>
    </row>
    <row r="232" spans="10:16">
      <c r="J232" s="5"/>
      <c r="L232">
        <f>DigDir!M232</f>
        <v>-0.88042600000000004</v>
      </c>
      <c r="M232">
        <f>DigDir!N232</f>
        <v>22.6</v>
      </c>
      <c r="O232">
        <f>ABS(L232-DigDir!$C$34)</f>
        <v>3.8761940808737441</v>
      </c>
      <c r="P232">
        <f t="shared" si="4"/>
        <v>22.6</v>
      </c>
    </row>
    <row r="233" spans="10:16">
      <c r="J233" s="5"/>
      <c r="L233">
        <f>DigDir!M233</f>
        <v>-0.88042600000000004</v>
      </c>
      <c r="M233">
        <f>DigDir!N233</f>
        <v>22.7</v>
      </c>
      <c r="O233">
        <f>ABS(L233-DigDir!$C$34)</f>
        <v>3.8761940808737441</v>
      </c>
      <c r="P233">
        <f t="shared" si="4"/>
        <v>22.7</v>
      </c>
    </row>
    <row r="234" spans="10:16">
      <c r="J234" s="5"/>
      <c r="L234">
        <f>DigDir!M234</f>
        <v>-0.88042600000000004</v>
      </c>
      <c r="M234">
        <f>DigDir!N234</f>
        <v>22.8</v>
      </c>
      <c r="O234">
        <f>ABS(L234-DigDir!$C$34)</f>
        <v>3.8761940808737441</v>
      </c>
      <c r="P234">
        <f t="shared" si="4"/>
        <v>22.8</v>
      </c>
    </row>
    <row r="235" spans="10:16">
      <c r="J235" s="5"/>
      <c r="L235">
        <f>DigDir!M235</f>
        <v>-0.88042600000000004</v>
      </c>
      <c r="M235">
        <f>DigDir!N235</f>
        <v>22.9</v>
      </c>
      <c r="O235">
        <f>ABS(L235-DigDir!$C$34)</f>
        <v>3.8761940808737441</v>
      </c>
      <c r="P235">
        <f t="shared" si="4"/>
        <v>22.9</v>
      </c>
    </row>
    <row r="236" spans="10:16">
      <c r="J236" s="5"/>
      <c r="L236">
        <f>DigDir!M236</f>
        <v>-0.88042600000000004</v>
      </c>
      <c r="M236">
        <f>DigDir!N236</f>
        <v>23</v>
      </c>
      <c r="O236">
        <f>ABS(L236-DigDir!$C$34)</f>
        <v>3.8761940808737441</v>
      </c>
      <c r="P236">
        <f t="shared" si="4"/>
        <v>23</v>
      </c>
    </row>
    <row r="237" spans="10:16">
      <c r="J237" s="5"/>
      <c r="L237">
        <f>DigDir!M237</f>
        <v>-0.88042600000000004</v>
      </c>
      <c r="M237">
        <f>DigDir!N237</f>
        <v>23.1</v>
      </c>
      <c r="O237">
        <f>ABS(L237-DigDir!$C$34)</f>
        <v>3.8761940808737441</v>
      </c>
      <c r="P237">
        <f t="shared" si="4"/>
        <v>23.1</v>
      </c>
    </row>
    <row r="238" spans="10:16">
      <c r="J238" s="5"/>
      <c r="L238">
        <f>DigDir!M238</f>
        <v>-0.88042600000000004</v>
      </c>
      <c r="M238">
        <f>DigDir!N238</f>
        <v>23.2</v>
      </c>
      <c r="O238">
        <f>ABS(L238-DigDir!$C$34)</f>
        <v>3.8761940808737441</v>
      </c>
      <c r="P238">
        <f t="shared" si="4"/>
        <v>23.2</v>
      </c>
    </row>
    <row r="239" spans="10:16">
      <c r="J239" s="5"/>
      <c r="L239">
        <f>DigDir!M239</f>
        <v>-0.88042600000000004</v>
      </c>
      <c r="M239">
        <f>DigDir!N239</f>
        <v>23.3</v>
      </c>
      <c r="O239">
        <f>ABS(L239-DigDir!$C$34)</f>
        <v>3.8761940808737441</v>
      </c>
      <c r="P239">
        <f t="shared" si="4"/>
        <v>23.3</v>
      </c>
    </row>
    <row r="240" spans="10:16">
      <c r="J240" s="5"/>
      <c r="L240">
        <f>DigDir!M240</f>
        <v>-0.88042600000000004</v>
      </c>
      <c r="M240">
        <f>DigDir!N240</f>
        <v>23.4</v>
      </c>
      <c r="O240">
        <f>ABS(L240-DigDir!$C$34)</f>
        <v>3.8761940808737441</v>
      </c>
      <c r="P240">
        <f t="shared" si="4"/>
        <v>23.4</v>
      </c>
    </row>
    <row r="241" spans="10:16">
      <c r="J241" s="5"/>
      <c r="L241">
        <f>DigDir!M241</f>
        <v>-0.88042600000000004</v>
      </c>
      <c r="M241">
        <f>DigDir!N241</f>
        <v>23.5</v>
      </c>
      <c r="O241">
        <f>ABS(L241-DigDir!$C$34)</f>
        <v>3.8761940808737441</v>
      </c>
      <c r="P241">
        <f t="shared" si="4"/>
        <v>23.5</v>
      </c>
    </row>
    <row r="242" spans="10:16">
      <c r="J242" s="5"/>
      <c r="L242">
        <f>DigDir!M242</f>
        <v>-0.88042600000000004</v>
      </c>
      <c r="M242">
        <f>DigDir!N242</f>
        <v>23.6</v>
      </c>
      <c r="O242">
        <f>ABS(L242-DigDir!$C$34)</f>
        <v>3.8761940808737441</v>
      </c>
      <c r="P242">
        <f t="shared" si="4"/>
        <v>23.6</v>
      </c>
    </row>
    <row r="243" spans="10:16">
      <c r="J243" s="5"/>
      <c r="L243">
        <f>DigDir!M243</f>
        <v>-0.88042600000000004</v>
      </c>
      <c r="M243">
        <f>DigDir!N243</f>
        <v>23.7</v>
      </c>
      <c r="O243">
        <f>ABS(L243-DigDir!$C$34)</f>
        <v>3.8761940808737441</v>
      </c>
      <c r="P243">
        <f t="shared" si="4"/>
        <v>23.7</v>
      </c>
    </row>
    <row r="244" spans="10:16">
      <c r="J244" s="5"/>
      <c r="L244">
        <f>DigDir!M244</f>
        <v>-0.86320087199999995</v>
      </c>
      <c r="M244">
        <f>DigDir!N244</f>
        <v>23.8</v>
      </c>
      <c r="O244">
        <f>ABS(L244-DigDir!$C$34)</f>
        <v>3.8934192088737438</v>
      </c>
      <c r="P244">
        <f t="shared" si="4"/>
        <v>23.8</v>
      </c>
    </row>
    <row r="245" spans="10:16">
      <c r="J245" s="5"/>
      <c r="L245">
        <f>DigDir!M245</f>
        <v>-0.84038921600000005</v>
      </c>
      <c r="M245">
        <f>DigDir!N245</f>
        <v>23.9</v>
      </c>
      <c r="O245">
        <f>ABS(L245-DigDir!$C$34)</f>
        <v>3.9162308648737438</v>
      </c>
      <c r="P245">
        <f t="shared" si="4"/>
        <v>23.9</v>
      </c>
    </row>
    <row r="246" spans="10:16">
      <c r="J246" s="5"/>
      <c r="L246">
        <f>DigDir!M246</f>
        <v>-0.81757763999999999</v>
      </c>
      <c r="M246">
        <f>DigDir!N246</f>
        <v>24</v>
      </c>
      <c r="O246">
        <f>ABS(L246-DigDir!$C$34)</f>
        <v>3.9390424408737439</v>
      </c>
      <c r="P246">
        <f t="shared" si="4"/>
        <v>24</v>
      </c>
    </row>
    <row r="247" spans="10:16">
      <c r="J247" s="5"/>
      <c r="L247">
        <f>DigDir!M247</f>
        <v>-0.794766376</v>
      </c>
      <c r="M247">
        <f>DigDir!N247</f>
        <v>24.1</v>
      </c>
      <c r="O247">
        <f>ABS(L247-DigDir!$C$34)</f>
        <v>3.9618537048737439</v>
      </c>
      <c r="P247">
        <f t="shared" si="4"/>
        <v>24.1</v>
      </c>
    </row>
    <row r="248" spans="10:16">
      <c r="J248" s="5"/>
      <c r="L248">
        <f>DigDir!M248</f>
        <v>-0.771955112</v>
      </c>
      <c r="M248">
        <f>DigDir!N248</f>
        <v>24.2</v>
      </c>
      <c r="O248">
        <f>ABS(L248-DigDir!$C$34)</f>
        <v>3.9846649688737439</v>
      </c>
      <c r="P248">
        <f t="shared" si="4"/>
        <v>24.2</v>
      </c>
    </row>
    <row r="249" spans="10:16">
      <c r="J249" s="5"/>
      <c r="L249">
        <f>DigDir!M249</f>
        <v>-0.76404099999999997</v>
      </c>
      <c r="M249">
        <f>DigDir!N249</f>
        <v>24.3</v>
      </c>
      <c r="O249">
        <f>ABS(L249-DigDir!$C$34)</f>
        <v>3.9925790808737442</v>
      </c>
      <c r="P249">
        <f t="shared" si="4"/>
        <v>24.3</v>
      </c>
    </row>
    <row r="250" spans="10:16">
      <c r="J250" s="5"/>
      <c r="L250">
        <f>DigDir!M250</f>
        <v>-0.76404099999999997</v>
      </c>
      <c r="M250">
        <f>DigDir!N250</f>
        <v>24.4</v>
      </c>
      <c r="O250">
        <f>ABS(L250-DigDir!$C$34)</f>
        <v>3.9925790808737442</v>
      </c>
      <c r="P250">
        <f t="shared" si="4"/>
        <v>24.4</v>
      </c>
    </row>
    <row r="251" spans="10:16">
      <c r="J251" s="5"/>
      <c r="L251">
        <f>DigDir!M251</f>
        <v>-0.76171328000000005</v>
      </c>
      <c r="M251">
        <f>DigDir!N251</f>
        <v>24.5</v>
      </c>
      <c r="O251">
        <f>ABS(L251-DigDir!$C$34)</f>
        <v>3.9949068008737441</v>
      </c>
      <c r="P251">
        <f t="shared" si="4"/>
        <v>24.5</v>
      </c>
    </row>
    <row r="252" spans="10:16">
      <c r="J252" s="5"/>
      <c r="L252">
        <f>DigDir!M252</f>
        <v>-0.73890162400000003</v>
      </c>
      <c r="M252">
        <f>DigDir!N252</f>
        <v>24.6</v>
      </c>
      <c r="O252">
        <f>ABS(L252-DigDir!$C$34)</f>
        <v>4.0177184568737436</v>
      </c>
      <c r="P252">
        <f t="shared" si="4"/>
        <v>24.6</v>
      </c>
    </row>
    <row r="253" spans="10:16">
      <c r="J253" s="5"/>
      <c r="L253">
        <f>DigDir!M253</f>
        <v>-0.71608996800000002</v>
      </c>
      <c r="M253">
        <f>DigDir!N253</f>
        <v>24.7</v>
      </c>
      <c r="O253">
        <f>ABS(L253-DigDir!$C$34)</f>
        <v>4.0405301128737436</v>
      </c>
      <c r="P253">
        <f t="shared" si="4"/>
        <v>24.7</v>
      </c>
    </row>
    <row r="254" spans="10:16">
      <c r="J254" s="5"/>
      <c r="L254">
        <f>DigDir!M254</f>
        <v>-0.66813936800000095</v>
      </c>
      <c r="M254">
        <f>DigDir!N254</f>
        <v>24.8</v>
      </c>
      <c r="O254">
        <f>ABS(L254-DigDir!$C$34)</f>
        <v>4.0884807128737428</v>
      </c>
      <c r="P254">
        <f t="shared" si="4"/>
        <v>24.8</v>
      </c>
    </row>
    <row r="255" spans="10:16">
      <c r="J255" s="5"/>
      <c r="L255">
        <f>DigDir!M255</f>
        <v>-0.59970518399999895</v>
      </c>
      <c r="M255">
        <f>DigDir!N255</f>
        <v>24.9</v>
      </c>
      <c r="O255">
        <f>ABS(L255-DigDir!$C$34)</f>
        <v>4.1569148968737455</v>
      </c>
      <c r="P255">
        <f t="shared" si="4"/>
        <v>24.9</v>
      </c>
    </row>
    <row r="256" spans="10:16">
      <c r="J256" s="5"/>
      <c r="L256">
        <f>DigDir!M256</f>
        <v>-0.53127100000000005</v>
      </c>
      <c r="M256">
        <f>DigDir!N256</f>
        <v>25</v>
      </c>
      <c r="O256">
        <f>ABS(L256-DigDir!$C$34)</f>
        <v>4.2253490808737437</v>
      </c>
      <c r="P256">
        <f t="shared" si="4"/>
        <v>25</v>
      </c>
    </row>
    <row r="257" spans="10:16">
      <c r="J257" s="5"/>
      <c r="L257">
        <f>DigDir!M257</f>
        <v>-0.53127100000000005</v>
      </c>
      <c r="M257">
        <f>DigDir!N257</f>
        <v>25.1</v>
      </c>
      <c r="O257">
        <f>ABS(L257-DigDir!$C$34)</f>
        <v>4.2253490808737437</v>
      </c>
      <c r="P257">
        <f t="shared" si="4"/>
        <v>25.1</v>
      </c>
    </row>
    <row r="258" spans="10:16">
      <c r="J258" s="5"/>
      <c r="L258">
        <f>DigDir!M258</f>
        <v>-0.53127100000000005</v>
      </c>
      <c r="M258">
        <f>DigDir!N258</f>
        <v>25.2</v>
      </c>
      <c r="O258">
        <f>ABS(L258-DigDir!$C$34)</f>
        <v>4.2253490808737437</v>
      </c>
      <c r="P258">
        <f t="shared" si="4"/>
        <v>25.2</v>
      </c>
    </row>
    <row r="259" spans="10:16">
      <c r="J259" s="5"/>
      <c r="L259">
        <f>DigDir!M259</f>
        <v>-0.50410451999999994</v>
      </c>
      <c r="M259">
        <f>DigDir!N259</f>
        <v>25.3</v>
      </c>
      <c r="O259">
        <f>ABS(L259-DigDir!$C$34)</f>
        <v>4.2525155608737437</v>
      </c>
      <c r="P259">
        <f t="shared" si="4"/>
        <v>25.3</v>
      </c>
    </row>
    <row r="260" spans="10:16">
      <c r="J260" s="5"/>
      <c r="L260">
        <f>DigDir!M260</f>
        <v>-0.44359736</v>
      </c>
      <c r="M260">
        <f>DigDir!N260</f>
        <v>25.4</v>
      </c>
      <c r="O260">
        <f>ABS(L260-DigDir!$C$34)</f>
        <v>4.3130227208737439</v>
      </c>
      <c r="P260">
        <f t="shared" si="4"/>
        <v>25.4</v>
      </c>
    </row>
    <row r="261" spans="10:16">
      <c r="J261" s="5"/>
      <c r="L261">
        <f>DigDir!M261</f>
        <v>-0.38309019999999899</v>
      </c>
      <c r="M261">
        <f>DigDir!N261</f>
        <v>25.5</v>
      </c>
      <c r="O261">
        <f>ABS(L261-DigDir!$C$34)</f>
        <v>4.3735298808737451</v>
      </c>
      <c r="P261">
        <f t="shared" si="4"/>
        <v>25.5</v>
      </c>
    </row>
    <row r="262" spans="10:16">
      <c r="J262" s="5"/>
      <c r="L262">
        <f>DigDir!M262</f>
        <v>-0.37691599999999997</v>
      </c>
      <c r="M262">
        <f>DigDir!N262</f>
        <v>25.6</v>
      </c>
      <c r="O262">
        <f>ABS(L262-DigDir!$C$34)</f>
        <v>4.3797040808737444</v>
      </c>
      <c r="P262">
        <f t="shared" si="4"/>
        <v>25.6</v>
      </c>
    </row>
    <row r="263" spans="10:16">
      <c r="J263" s="5"/>
      <c r="L263">
        <f>DigDir!M263</f>
        <v>-0.37691599999999997</v>
      </c>
      <c r="M263">
        <f>DigDir!N263</f>
        <v>25.7</v>
      </c>
      <c r="O263">
        <f>ABS(L263-DigDir!$C$34)</f>
        <v>4.3797040808737444</v>
      </c>
      <c r="P263">
        <f t="shared" ref="P263:P326" si="5">M263</f>
        <v>25.7</v>
      </c>
    </row>
    <row r="264" spans="10:16">
      <c r="J264" s="5"/>
      <c r="L264">
        <f>DigDir!M264</f>
        <v>-0.36108777600000003</v>
      </c>
      <c r="M264">
        <f>DigDir!N264</f>
        <v>25.8</v>
      </c>
      <c r="O264">
        <f>ABS(L264-DigDir!$C$34)</f>
        <v>4.3955323048737442</v>
      </c>
      <c r="P264">
        <f t="shared" si="5"/>
        <v>25.8</v>
      </c>
    </row>
    <row r="265" spans="10:16">
      <c r="J265" s="5"/>
      <c r="L265">
        <f>DigDir!M265</f>
        <v>-0.31546524799999898</v>
      </c>
      <c r="M265">
        <f>DigDir!N265</f>
        <v>25.9</v>
      </c>
      <c r="O265">
        <f>ABS(L265-DigDir!$C$34)</f>
        <v>4.4411548328737451</v>
      </c>
      <c r="P265">
        <f t="shared" si="5"/>
        <v>25.9</v>
      </c>
    </row>
    <row r="266" spans="10:16">
      <c r="J266" s="5"/>
      <c r="L266">
        <f>DigDir!M266</f>
        <v>-0.26984271999999998</v>
      </c>
      <c r="M266">
        <f>DigDir!N266</f>
        <v>26</v>
      </c>
      <c r="O266">
        <f>ABS(L266-DigDir!$C$34)</f>
        <v>4.4867773608737442</v>
      </c>
      <c r="P266">
        <f t="shared" si="5"/>
        <v>26</v>
      </c>
    </row>
    <row r="267" spans="10:16">
      <c r="J267" s="5"/>
      <c r="L267">
        <f>DigDir!M267</f>
        <v>-0.26053199999999999</v>
      </c>
      <c r="M267">
        <f>DigDir!N267</f>
        <v>26.1</v>
      </c>
      <c r="O267">
        <f>ABS(L267-DigDir!$C$34)</f>
        <v>4.4960880808737436</v>
      </c>
      <c r="P267">
        <f t="shared" si="5"/>
        <v>26.1</v>
      </c>
    </row>
    <row r="268" spans="10:16">
      <c r="J268" s="5"/>
      <c r="L268">
        <f>DigDir!M268</f>
        <v>-0.26053199999999999</v>
      </c>
      <c r="M268">
        <f>DigDir!N268</f>
        <v>26.2</v>
      </c>
      <c r="O268">
        <f>ABS(L268-DigDir!$C$34)</f>
        <v>4.4960880808737436</v>
      </c>
      <c r="P268">
        <f t="shared" si="5"/>
        <v>26.2</v>
      </c>
    </row>
    <row r="269" spans="10:16">
      <c r="J269" s="5"/>
      <c r="L269">
        <f>DigDir!M269</f>
        <v>-0.26053199999999999</v>
      </c>
      <c r="M269">
        <f>DigDir!N269</f>
        <v>26.3</v>
      </c>
      <c r="O269">
        <f>ABS(L269-DigDir!$C$34)</f>
        <v>4.4960880808737436</v>
      </c>
      <c r="P269">
        <f t="shared" si="5"/>
        <v>26.3</v>
      </c>
    </row>
    <row r="270" spans="10:16">
      <c r="J270" s="5"/>
      <c r="L270">
        <f>DigDir!M270</f>
        <v>-0.26053199999999999</v>
      </c>
      <c r="M270">
        <f>DigDir!N270</f>
        <v>26.4</v>
      </c>
      <c r="O270">
        <f>ABS(L270-DigDir!$C$34)</f>
        <v>4.4960880808737436</v>
      </c>
      <c r="P270">
        <f t="shared" si="5"/>
        <v>26.4</v>
      </c>
    </row>
    <row r="271" spans="10:16">
      <c r="J271" s="5"/>
      <c r="L271">
        <f>DigDir!M271</f>
        <v>-0.26053199999999999</v>
      </c>
      <c r="M271">
        <f>DigDir!N271</f>
        <v>26.5</v>
      </c>
      <c r="O271">
        <f>ABS(L271-DigDir!$C$34)</f>
        <v>4.4960880808737436</v>
      </c>
      <c r="P271">
        <f t="shared" si="5"/>
        <v>26.5</v>
      </c>
    </row>
    <row r="272" spans="10:16">
      <c r="J272" s="5"/>
      <c r="L272">
        <f>DigDir!M272</f>
        <v>-0.26053199999999999</v>
      </c>
      <c r="M272">
        <f>DigDir!N272</f>
        <v>26.6</v>
      </c>
      <c r="O272">
        <f>ABS(L272-DigDir!$C$34)</f>
        <v>4.4960880808737436</v>
      </c>
      <c r="P272">
        <f t="shared" si="5"/>
        <v>26.6</v>
      </c>
    </row>
    <row r="273" spans="10:16">
      <c r="J273" s="5"/>
      <c r="L273">
        <f>DigDir!M273</f>
        <v>-0.26053199999999999</v>
      </c>
      <c r="M273">
        <f>DigDir!N273</f>
        <v>26.7</v>
      </c>
      <c r="O273">
        <f>ABS(L273-DigDir!$C$34)</f>
        <v>4.4960880808737436</v>
      </c>
      <c r="P273">
        <f t="shared" si="5"/>
        <v>26.7</v>
      </c>
    </row>
    <row r="274" spans="10:16">
      <c r="J274" s="5"/>
      <c r="L274">
        <f>DigDir!M274</f>
        <v>-0.26053199999999999</v>
      </c>
      <c r="M274">
        <f>DigDir!N274</f>
        <v>26.8</v>
      </c>
      <c r="O274">
        <f>ABS(L274-DigDir!$C$34)</f>
        <v>4.4960880808737436</v>
      </c>
      <c r="P274">
        <f t="shared" si="5"/>
        <v>26.8</v>
      </c>
    </row>
    <row r="275" spans="10:16">
      <c r="J275" s="5"/>
      <c r="L275">
        <f>DigDir!M275</f>
        <v>-0.26053199999999999</v>
      </c>
      <c r="M275">
        <f>DigDir!N275</f>
        <v>26.9</v>
      </c>
      <c r="O275">
        <f>ABS(L275-DigDir!$C$34)</f>
        <v>4.4960880808737436</v>
      </c>
      <c r="P275">
        <f t="shared" si="5"/>
        <v>26.9</v>
      </c>
    </row>
    <row r="276" spans="10:16">
      <c r="J276" s="5"/>
      <c r="L276">
        <f>DigDir!M276</f>
        <v>-0.26053199999999999</v>
      </c>
      <c r="M276">
        <f>DigDir!N276</f>
        <v>27</v>
      </c>
      <c r="O276">
        <f>ABS(L276-DigDir!$C$34)</f>
        <v>4.4960880808737436</v>
      </c>
      <c r="P276">
        <f t="shared" si="5"/>
        <v>27</v>
      </c>
    </row>
    <row r="277" spans="10:16">
      <c r="J277" s="5"/>
      <c r="L277">
        <f>DigDir!M277</f>
        <v>-0.26053199999999999</v>
      </c>
      <c r="M277">
        <f>DigDir!N277</f>
        <v>27.1</v>
      </c>
      <c r="O277">
        <f>ABS(L277-DigDir!$C$34)</f>
        <v>4.4960880808737436</v>
      </c>
      <c r="P277">
        <f t="shared" si="5"/>
        <v>27.1</v>
      </c>
    </row>
    <row r="278" spans="10:16">
      <c r="J278" s="5"/>
      <c r="L278">
        <f>DigDir!M278</f>
        <v>-0.26053199999999999</v>
      </c>
      <c r="M278">
        <f>DigDir!N278</f>
        <v>27.2</v>
      </c>
      <c r="O278">
        <f>ABS(L278-DigDir!$C$34)</f>
        <v>4.4960880808737436</v>
      </c>
      <c r="P278">
        <f t="shared" si="5"/>
        <v>27.2</v>
      </c>
    </row>
    <row r="279" spans="10:16">
      <c r="J279" s="5"/>
      <c r="L279">
        <f>DigDir!M279</f>
        <v>-0.26053199999999999</v>
      </c>
      <c r="M279">
        <f>DigDir!N279</f>
        <v>27.3</v>
      </c>
      <c r="O279">
        <f>ABS(L279-DigDir!$C$34)</f>
        <v>4.4960880808737436</v>
      </c>
      <c r="P279">
        <f t="shared" si="5"/>
        <v>27.3</v>
      </c>
    </row>
    <row r="280" spans="10:16">
      <c r="J280" s="5"/>
      <c r="L280">
        <f>DigDir!M280</f>
        <v>-0.26053199999999999</v>
      </c>
      <c r="M280">
        <f>DigDir!N280</f>
        <v>27.4</v>
      </c>
      <c r="O280">
        <f>ABS(L280-DigDir!$C$34)</f>
        <v>4.4960880808737436</v>
      </c>
      <c r="P280">
        <f t="shared" si="5"/>
        <v>27.4</v>
      </c>
    </row>
    <row r="281" spans="10:16">
      <c r="J281" s="5"/>
      <c r="L281">
        <f>DigDir!M281</f>
        <v>-0.26053199999999999</v>
      </c>
      <c r="M281">
        <f>DigDir!N281</f>
        <v>27.5</v>
      </c>
      <c r="O281">
        <f>ABS(L281-DigDir!$C$34)</f>
        <v>4.4960880808737436</v>
      </c>
      <c r="P281">
        <f t="shared" si="5"/>
        <v>27.5</v>
      </c>
    </row>
    <row r="282" spans="10:16">
      <c r="J282" s="5"/>
      <c r="L282">
        <f>DigDir!M282</f>
        <v>-0.26053199999999999</v>
      </c>
      <c r="M282">
        <f>DigDir!N282</f>
        <v>27.6</v>
      </c>
      <c r="O282">
        <f>ABS(L282-DigDir!$C$34)</f>
        <v>4.4960880808737436</v>
      </c>
      <c r="P282">
        <f t="shared" si="5"/>
        <v>27.6</v>
      </c>
    </row>
    <row r="283" spans="10:16">
      <c r="J283" s="5"/>
      <c r="L283">
        <f>DigDir!M283</f>
        <v>-0.26053199999999999</v>
      </c>
      <c r="M283">
        <f>DigDir!N283</f>
        <v>27.7</v>
      </c>
      <c r="O283">
        <f>ABS(L283-DigDir!$C$34)</f>
        <v>4.4960880808737436</v>
      </c>
      <c r="P283">
        <f t="shared" si="5"/>
        <v>27.7</v>
      </c>
    </row>
    <row r="284" spans="10:16">
      <c r="J284" s="5"/>
      <c r="L284">
        <f>DigDir!M284</f>
        <v>-0.26053199999999999</v>
      </c>
      <c r="M284">
        <f>DigDir!N284</f>
        <v>27.8</v>
      </c>
      <c r="O284">
        <f>ABS(L284-DigDir!$C$34)</f>
        <v>4.4960880808737436</v>
      </c>
      <c r="P284">
        <f t="shared" si="5"/>
        <v>27.8</v>
      </c>
    </row>
    <row r="285" spans="10:16">
      <c r="J285" s="5"/>
      <c r="L285">
        <f>DigDir!M285</f>
        <v>-0.26053199999999999</v>
      </c>
      <c r="M285">
        <f>DigDir!N285</f>
        <v>27.9</v>
      </c>
      <c r="O285">
        <f>ABS(L285-DigDir!$C$34)</f>
        <v>4.4960880808737436</v>
      </c>
      <c r="P285">
        <f t="shared" si="5"/>
        <v>27.9</v>
      </c>
    </row>
    <row r="286" spans="10:16">
      <c r="J286" s="5"/>
      <c r="L286">
        <f>DigDir!M286</f>
        <v>-0.26053199999999999</v>
      </c>
      <c r="M286">
        <f>DigDir!N286</f>
        <v>28</v>
      </c>
      <c r="O286">
        <f>ABS(L286-DigDir!$C$34)</f>
        <v>4.4960880808737436</v>
      </c>
      <c r="P286">
        <f t="shared" si="5"/>
        <v>28</v>
      </c>
    </row>
    <row r="287" spans="10:16">
      <c r="J287" s="5"/>
      <c r="L287">
        <f>DigDir!M287</f>
        <v>-0.26053199999999999</v>
      </c>
      <c r="M287">
        <f>DigDir!N287</f>
        <v>28.1</v>
      </c>
      <c r="O287">
        <f>ABS(L287-DigDir!$C$34)</f>
        <v>4.4960880808737436</v>
      </c>
      <c r="P287">
        <f t="shared" si="5"/>
        <v>28.1</v>
      </c>
    </row>
    <row r="288" spans="10:16">
      <c r="J288" s="5"/>
      <c r="L288">
        <f>DigDir!M288</f>
        <v>-0.26053199999999999</v>
      </c>
      <c r="M288">
        <f>DigDir!N288</f>
        <v>28.2</v>
      </c>
      <c r="O288">
        <f>ABS(L288-DigDir!$C$34)</f>
        <v>4.4960880808737436</v>
      </c>
      <c r="P288">
        <f t="shared" si="5"/>
        <v>28.2</v>
      </c>
    </row>
    <row r="289" spans="10:16">
      <c r="J289" s="5"/>
      <c r="L289">
        <f>DigDir!M289</f>
        <v>-0.26053199999999999</v>
      </c>
      <c r="M289">
        <f>DigDir!N289</f>
        <v>28.3</v>
      </c>
      <c r="O289">
        <f>ABS(L289-DigDir!$C$34)</f>
        <v>4.4960880808737436</v>
      </c>
      <c r="P289">
        <f t="shared" si="5"/>
        <v>28.3</v>
      </c>
    </row>
    <row r="290" spans="10:16">
      <c r="J290" s="5"/>
      <c r="L290">
        <f>DigDir!M290</f>
        <v>-0.26053199999999999</v>
      </c>
      <c r="M290">
        <f>DigDir!N290</f>
        <v>28.4</v>
      </c>
      <c r="O290">
        <f>ABS(L290-DigDir!$C$34)</f>
        <v>4.4960880808737436</v>
      </c>
      <c r="P290">
        <f t="shared" si="5"/>
        <v>28.4</v>
      </c>
    </row>
    <row r="291" spans="10:16">
      <c r="J291" s="5"/>
      <c r="L291">
        <f>DigDir!M291</f>
        <v>-0.26053199999999999</v>
      </c>
      <c r="M291">
        <f>DigDir!N291</f>
        <v>28.5</v>
      </c>
      <c r="O291">
        <f>ABS(L291-DigDir!$C$34)</f>
        <v>4.4960880808737436</v>
      </c>
      <c r="P291">
        <f t="shared" si="5"/>
        <v>28.5</v>
      </c>
    </row>
    <row r="292" spans="10:16">
      <c r="J292" s="5"/>
      <c r="L292">
        <f>DigDir!M292</f>
        <v>-0.26053199999999999</v>
      </c>
      <c r="M292">
        <f>DigDir!N292</f>
        <v>28.6</v>
      </c>
      <c r="O292">
        <f>ABS(L292-DigDir!$C$34)</f>
        <v>4.4960880808737436</v>
      </c>
      <c r="P292">
        <f t="shared" si="5"/>
        <v>28.6</v>
      </c>
    </row>
    <row r="293" spans="10:16">
      <c r="J293" s="5"/>
      <c r="L293">
        <f>DigDir!M293</f>
        <v>-0.26053199999999999</v>
      </c>
      <c r="M293">
        <f>DigDir!N293</f>
        <v>28.7</v>
      </c>
      <c r="O293">
        <f>ABS(L293-DigDir!$C$34)</f>
        <v>4.4960880808737436</v>
      </c>
      <c r="P293">
        <f t="shared" si="5"/>
        <v>28.7</v>
      </c>
    </row>
    <row r="294" spans="10:16">
      <c r="J294" s="5"/>
      <c r="L294">
        <f>DigDir!M294</f>
        <v>-0.26053199999999999</v>
      </c>
      <c r="M294">
        <f>DigDir!N294</f>
        <v>28.8</v>
      </c>
      <c r="O294">
        <f>ABS(L294-DigDir!$C$34)</f>
        <v>4.4960880808737436</v>
      </c>
      <c r="P294">
        <f t="shared" si="5"/>
        <v>28.8</v>
      </c>
    </row>
    <row r="295" spans="10:16">
      <c r="J295" s="5"/>
      <c r="L295">
        <f>DigDir!M295</f>
        <v>-0.26053199999999999</v>
      </c>
      <c r="M295">
        <f>DigDir!N295</f>
        <v>28.9</v>
      </c>
      <c r="O295">
        <f>ABS(L295-DigDir!$C$34)</f>
        <v>4.4960880808737436</v>
      </c>
      <c r="P295">
        <f t="shared" si="5"/>
        <v>28.9</v>
      </c>
    </row>
    <row r="296" spans="10:16">
      <c r="J296" s="5"/>
      <c r="L296">
        <f>DigDir!M296</f>
        <v>-0.26053199999999999</v>
      </c>
      <c r="M296">
        <f>DigDir!N296</f>
        <v>29</v>
      </c>
      <c r="O296">
        <f>ABS(L296-DigDir!$C$34)</f>
        <v>4.4960880808737436</v>
      </c>
      <c r="P296">
        <f t="shared" si="5"/>
        <v>29</v>
      </c>
    </row>
    <row r="297" spans="10:16">
      <c r="J297" s="5"/>
      <c r="L297">
        <f>DigDir!M297</f>
        <v>-0.26053199999999999</v>
      </c>
      <c r="M297">
        <f>DigDir!N297</f>
        <v>29.1</v>
      </c>
      <c r="O297">
        <f>ABS(L297-DigDir!$C$34)</f>
        <v>4.4960880808737436</v>
      </c>
      <c r="P297">
        <f t="shared" si="5"/>
        <v>29.1</v>
      </c>
    </row>
    <row r="298" spans="10:16">
      <c r="J298" s="5"/>
      <c r="L298">
        <f>DigDir!M298</f>
        <v>-0.26053199999999999</v>
      </c>
      <c r="M298">
        <f>DigDir!N298</f>
        <v>29.2</v>
      </c>
      <c r="O298">
        <f>ABS(L298-DigDir!$C$34)</f>
        <v>4.4960880808737436</v>
      </c>
      <c r="P298">
        <f t="shared" si="5"/>
        <v>29.2</v>
      </c>
    </row>
    <row r="299" spans="10:16">
      <c r="J299" s="5"/>
      <c r="L299">
        <f>DigDir!M299</f>
        <v>-0.26053199999999999</v>
      </c>
      <c r="M299">
        <f>DigDir!N299</f>
        <v>29.3</v>
      </c>
      <c r="O299">
        <f>ABS(L299-DigDir!$C$34)</f>
        <v>4.4960880808737436</v>
      </c>
      <c r="P299">
        <f t="shared" si="5"/>
        <v>29.3</v>
      </c>
    </row>
    <row r="300" spans="10:16">
      <c r="J300" s="5"/>
      <c r="L300">
        <f>DigDir!M300</f>
        <v>-0.26053199999999999</v>
      </c>
      <c r="M300">
        <f>DigDir!N300</f>
        <v>29.4</v>
      </c>
      <c r="O300">
        <f>ABS(L300-DigDir!$C$34)</f>
        <v>4.4960880808737436</v>
      </c>
      <c r="P300">
        <f t="shared" si="5"/>
        <v>29.4</v>
      </c>
    </row>
    <row r="301" spans="10:16">
      <c r="J301" s="5"/>
      <c r="L301">
        <f>DigDir!M301</f>
        <v>-0.26053199999999999</v>
      </c>
      <c r="M301">
        <f>DigDir!N301</f>
        <v>29.5</v>
      </c>
      <c r="O301">
        <f>ABS(L301-DigDir!$C$34)</f>
        <v>4.4960880808737436</v>
      </c>
      <c r="P301">
        <f t="shared" si="5"/>
        <v>29.5</v>
      </c>
    </row>
    <row r="302" spans="10:16">
      <c r="J302" s="5"/>
      <c r="L302">
        <f>DigDir!M302</f>
        <v>-0.26053199999999999</v>
      </c>
      <c r="M302">
        <f>DigDir!N302</f>
        <v>29.6</v>
      </c>
      <c r="O302">
        <f>ABS(L302-DigDir!$C$34)</f>
        <v>4.4960880808737436</v>
      </c>
      <c r="P302">
        <f t="shared" si="5"/>
        <v>29.6</v>
      </c>
    </row>
    <row r="303" spans="10:16">
      <c r="J303" s="5"/>
      <c r="L303">
        <f>DigDir!M303</f>
        <v>-0.26053199999999999</v>
      </c>
      <c r="M303">
        <f>DigDir!N303</f>
        <v>29.7</v>
      </c>
      <c r="O303">
        <f>ABS(L303-DigDir!$C$34)</f>
        <v>4.4960880808737436</v>
      </c>
      <c r="P303">
        <f t="shared" si="5"/>
        <v>29.7</v>
      </c>
    </row>
    <row r="304" spans="10:16">
      <c r="J304" s="5"/>
      <c r="L304">
        <f>DigDir!M304</f>
        <v>-0.26053199999999999</v>
      </c>
      <c r="M304">
        <f>DigDir!N304</f>
        <v>29.8</v>
      </c>
      <c r="O304">
        <f>ABS(L304-DigDir!$C$34)</f>
        <v>4.4960880808737436</v>
      </c>
      <c r="P304">
        <f t="shared" si="5"/>
        <v>29.8</v>
      </c>
    </row>
    <row r="305" spans="10:16">
      <c r="J305" s="5"/>
      <c r="L305">
        <f>DigDir!M305</f>
        <v>-0.26053199999999999</v>
      </c>
      <c r="M305">
        <f>DigDir!N305</f>
        <v>29.9</v>
      </c>
      <c r="O305">
        <f>ABS(L305-DigDir!$C$34)</f>
        <v>4.4960880808737436</v>
      </c>
      <c r="P305">
        <f t="shared" si="5"/>
        <v>29.9</v>
      </c>
    </row>
    <row r="306" spans="10:16">
      <c r="J306" s="5"/>
      <c r="L306">
        <f>DigDir!M306</f>
        <v>-0.26053199999999999</v>
      </c>
      <c r="M306">
        <f>DigDir!N306</f>
        <v>30</v>
      </c>
      <c r="O306">
        <f>ABS(L306-DigDir!$C$34)</f>
        <v>4.4960880808737436</v>
      </c>
      <c r="P306">
        <f t="shared" si="5"/>
        <v>30</v>
      </c>
    </row>
    <row r="307" spans="10:16">
      <c r="J307" s="5"/>
      <c r="L307">
        <f>DigDir!M307</f>
        <v>-0.26053199999999999</v>
      </c>
      <c r="M307">
        <f>DigDir!N307</f>
        <v>30.1</v>
      </c>
      <c r="O307">
        <f>ABS(L307-DigDir!$C$34)</f>
        <v>4.4960880808737436</v>
      </c>
      <c r="P307">
        <f t="shared" si="5"/>
        <v>30.1</v>
      </c>
    </row>
    <row r="308" spans="10:16">
      <c r="J308" s="5"/>
      <c r="L308">
        <f>DigDir!M308</f>
        <v>-0.26053199999999999</v>
      </c>
      <c r="M308">
        <f>DigDir!N308</f>
        <v>30.2</v>
      </c>
      <c r="O308">
        <f>ABS(L308-DigDir!$C$34)</f>
        <v>4.4960880808737436</v>
      </c>
      <c r="P308">
        <f t="shared" si="5"/>
        <v>30.2</v>
      </c>
    </row>
    <row r="309" spans="10:16">
      <c r="J309" s="5"/>
      <c r="L309">
        <f>DigDir!M309</f>
        <v>-0.26053199999999999</v>
      </c>
      <c r="M309">
        <f>DigDir!N309</f>
        <v>30.3</v>
      </c>
      <c r="O309">
        <f>ABS(L309-DigDir!$C$34)</f>
        <v>4.4960880808737436</v>
      </c>
      <c r="P309">
        <f t="shared" si="5"/>
        <v>30.3</v>
      </c>
    </row>
    <row r="310" spans="10:16">
      <c r="J310" s="5"/>
      <c r="L310">
        <f>DigDir!M310</f>
        <v>-0.26053199999999999</v>
      </c>
      <c r="M310">
        <f>DigDir!N310</f>
        <v>30.4</v>
      </c>
      <c r="O310">
        <f>ABS(L310-DigDir!$C$34)</f>
        <v>4.4960880808737436</v>
      </c>
      <c r="P310">
        <f t="shared" si="5"/>
        <v>30.4</v>
      </c>
    </row>
    <row r="311" spans="10:16">
      <c r="J311" s="5"/>
      <c r="L311">
        <f>DigDir!M311</f>
        <v>-0.26053199999999999</v>
      </c>
      <c r="M311">
        <f>DigDir!N311</f>
        <v>30.5</v>
      </c>
      <c r="O311">
        <f>ABS(L311-DigDir!$C$34)</f>
        <v>4.4960880808737436</v>
      </c>
      <c r="P311">
        <f t="shared" si="5"/>
        <v>30.5</v>
      </c>
    </row>
    <row r="312" spans="10:16">
      <c r="J312" s="5"/>
      <c r="L312">
        <f>DigDir!M312</f>
        <v>-0.26053199999999999</v>
      </c>
      <c r="M312">
        <f>DigDir!N312</f>
        <v>30.6</v>
      </c>
      <c r="O312">
        <f>ABS(L312-DigDir!$C$34)</f>
        <v>4.4960880808737436</v>
      </c>
      <c r="P312">
        <f t="shared" si="5"/>
        <v>30.6</v>
      </c>
    </row>
    <row r="313" spans="10:16">
      <c r="J313" s="5"/>
      <c r="L313">
        <f>DigDir!M313</f>
        <v>-0.26053199999999999</v>
      </c>
      <c r="M313">
        <f>DigDir!N313</f>
        <v>30.7</v>
      </c>
      <c r="O313">
        <f>ABS(L313-DigDir!$C$34)</f>
        <v>4.4960880808737436</v>
      </c>
      <c r="P313">
        <f t="shared" si="5"/>
        <v>30.7</v>
      </c>
    </row>
    <row r="314" spans="10:16">
      <c r="J314" s="5"/>
      <c r="L314">
        <f>DigDir!M314</f>
        <v>-0.26053199999999999</v>
      </c>
      <c r="M314">
        <f>DigDir!N314</f>
        <v>30.8</v>
      </c>
      <c r="O314">
        <f>ABS(L314-DigDir!$C$34)</f>
        <v>4.4960880808737436</v>
      </c>
      <c r="P314">
        <f t="shared" si="5"/>
        <v>30.8</v>
      </c>
    </row>
    <row r="315" spans="10:16">
      <c r="J315" s="5"/>
      <c r="L315">
        <f>DigDir!M315</f>
        <v>-0.26053199999999999</v>
      </c>
      <c r="M315">
        <f>DigDir!N315</f>
        <v>30.9</v>
      </c>
      <c r="O315">
        <f>ABS(L315-DigDir!$C$34)</f>
        <v>4.4960880808737436</v>
      </c>
      <c r="P315">
        <f t="shared" si="5"/>
        <v>30.9</v>
      </c>
    </row>
    <row r="316" spans="10:16">
      <c r="J316" s="5"/>
      <c r="L316">
        <f>DigDir!M316</f>
        <v>-0.26053199999999999</v>
      </c>
      <c r="M316">
        <f>DigDir!N316</f>
        <v>31</v>
      </c>
      <c r="O316">
        <f>ABS(L316-DigDir!$C$34)</f>
        <v>4.4960880808737436</v>
      </c>
      <c r="P316">
        <f t="shared" si="5"/>
        <v>31</v>
      </c>
    </row>
    <row r="317" spans="10:16">
      <c r="J317" s="5"/>
      <c r="L317">
        <f>DigDir!M317</f>
        <v>-0.26053199999999999</v>
      </c>
      <c r="M317">
        <f>DigDir!N317</f>
        <v>31.1</v>
      </c>
      <c r="O317">
        <f>ABS(L317-DigDir!$C$34)</f>
        <v>4.4960880808737436</v>
      </c>
      <c r="P317">
        <f t="shared" si="5"/>
        <v>31.1</v>
      </c>
    </row>
    <row r="318" spans="10:16">
      <c r="J318" s="5"/>
      <c r="L318">
        <f>DigDir!M318</f>
        <v>-0.26053199999999999</v>
      </c>
      <c r="M318">
        <f>DigDir!N318</f>
        <v>31.2</v>
      </c>
      <c r="O318">
        <f>ABS(L318-DigDir!$C$34)</f>
        <v>4.4960880808737436</v>
      </c>
      <c r="P318">
        <f t="shared" si="5"/>
        <v>31.2</v>
      </c>
    </row>
    <row r="319" spans="10:16">
      <c r="J319" s="5"/>
      <c r="L319">
        <f>DigDir!M319</f>
        <v>-0.26053199999999999</v>
      </c>
      <c r="M319">
        <f>DigDir!N319</f>
        <v>31.3</v>
      </c>
      <c r="O319">
        <f>ABS(L319-DigDir!$C$34)</f>
        <v>4.4960880808737436</v>
      </c>
      <c r="P319">
        <f t="shared" si="5"/>
        <v>31.3</v>
      </c>
    </row>
    <row r="320" spans="10:16">
      <c r="J320" s="5"/>
      <c r="L320">
        <f>DigDir!M320</f>
        <v>-0.26053199999999999</v>
      </c>
      <c r="M320">
        <f>DigDir!N320</f>
        <v>31.4</v>
      </c>
      <c r="O320">
        <f>ABS(L320-DigDir!$C$34)</f>
        <v>4.4960880808737436</v>
      </c>
      <c r="P320">
        <f t="shared" si="5"/>
        <v>31.4</v>
      </c>
    </row>
    <row r="321" spans="10:16">
      <c r="J321" s="5"/>
      <c r="L321">
        <f>DigDir!M321</f>
        <v>-0.26053199999999999</v>
      </c>
      <c r="M321">
        <f>DigDir!N321</f>
        <v>31.5</v>
      </c>
      <c r="O321">
        <f>ABS(L321-DigDir!$C$34)</f>
        <v>4.4960880808737436</v>
      </c>
      <c r="P321">
        <f t="shared" si="5"/>
        <v>31.5</v>
      </c>
    </row>
    <row r="322" spans="10:16">
      <c r="J322" s="5"/>
      <c r="L322">
        <f>DigDir!M322</f>
        <v>-0.26053199999999999</v>
      </c>
      <c r="M322">
        <f>DigDir!N322</f>
        <v>31.6</v>
      </c>
      <c r="O322">
        <f>ABS(L322-DigDir!$C$34)</f>
        <v>4.4960880808737436</v>
      </c>
      <c r="P322">
        <f t="shared" si="5"/>
        <v>31.6</v>
      </c>
    </row>
    <row r="323" spans="10:16">
      <c r="J323" s="5"/>
      <c r="L323">
        <f>DigDir!M323</f>
        <v>-0.26053199999999999</v>
      </c>
      <c r="M323">
        <f>DigDir!N323</f>
        <v>31.7</v>
      </c>
      <c r="O323">
        <f>ABS(L323-DigDir!$C$34)</f>
        <v>4.4960880808737436</v>
      </c>
      <c r="P323">
        <f t="shared" si="5"/>
        <v>31.7</v>
      </c>
    </row>
    <row r="324" spans="10:16">
      <c r="J324" s="5"/>
      <c r="L324">
        <f>DigDir!M324</f>
        <v>-0.26053199999999999</v>
      </c>
      <c r="M324">
        <f>DigDir!N324</f>
        <v>31.8</v>
      </c>
      <c r="O324">
        <f>ABS(L324-DigDir!$C$34)</f>
        <v>4.4960880808737436</v>
      </c>
      <c r="P324">
        <f t="shared" si="5"/>
        <v>31.8</v>
      </c>
    </row>
    <row r="325" spans="10:16">
      <c r="J325" s="5"/>
      <c r="L325">
        <f>DigDir!M325</f>
        <v>-0.26053199999999999</v>
      </c>
      <c r="M325">
        <f>DigDir!N325</f>
        <v>31.9</v>
      </c>
      <c r="O325">
        <f>ABS(L325-DigDir!$C$34)</f>
        <v>4.4960880808737436</v>
      </c>
      <c r="P325">
        <f t="shared" si="5"/>
        <v>31.9</v>
      </c>
    </row>
    <row r="326" spans="10:16">
      <c r="J326" s="5"/>
      <c r="L326">
        <f>DigDir!M326</f>
        <v>-0.26053199999999999</v>
      </c>
      <c r="M326">
        <f>DigDir!N326</f>
        <v>32</v>
      </c>
      <c r="O326">
        <f>ABS(L326-DigDir!$C$34)</f>
        <v>4.4960880808737436</v>
      </c>
      <c r="P326">
        <f t="shared" si="5"/>
        <v>32</v>
      </c>
    </row>
    <row r="327" spans="10:16">
      <c r="J327" s="5"/>
      <c r="L327">
        <f>DigDir!M327</f>
        <v>-0.26053199999999999</v>
      </c>
      <c r="M327">
        <f>DigDir!N327</f>
        <v>32.1</v>
      </c>
      <c r="O327">
        <f>ABS(L327-DigDir!$C$34)</f>
        <v>4.4960880808737436</v>
      </c>
      <c r="P327">
        <f t="shared" ref="P327:P390" si="6">M327</f>
        <v>32.1</v>
      </c>
    </row>
    <row r="328" spans="10:16">
      <c r="J328" s="5"/>
      <c r="L328">
        <f>DigDir!M328</f>
        <v>-0.26053199999999999</v>
      </c>
      <c r="M328">
        <f>DigDir!N328</f>
        <v>32.200000000000003</v>
      </c>
      <c r="O328">
        <f>ABS(L328-DigDir!$C$34)</f>
        <v>4.4960880808737436</v>
      </c>
      <c r="P328">
        <f t="shared" si="6"/>
        <v>32.200000000000003</v>
      </c>
    </row>
    <row r="329" spans="10:16">
      <c r="J329" s="5"/>
      <c r="L329">
        <f>DigDir!M329</f>
        <v>-0.26053199999999999</v>
      </c>
      <c r="M329">
        <f>DigDir!N329</f>
        <v>32.299999999999997</v>
      </c>
      <c r="O329">
        <f>ABS(L329-DigDir!$C$34)</f>
        <v>4.4960880808737436</v>
      </c>
      <c r="P329">
        <f t="shared" si="6"/>
        <v>32.299999999999997</v>
      </c>
    </row>
    <row r="330" spans="10:16">
      <c r="J330" s="5"/>
      <c r="L330">
        <f>DigDir!M330</f>
        <v>-0.26053199999999999</v>
      </c>
      <c r="M330">
        <f>DigDir!N330</f>
        <v>32.4</v>
      </c>
      <c r="O330">
        <f>ABS(L330-DigDir!$C$34)</f>
        <v>4.4960880808737436</v>
      </c>
      <c r="P330">
        <f t="shared" si="6"/>
        <v>32.4</v>
      </c>
    </row>
    <row r="331" spans="10:16">
      <c r="J331" s="5"/>
      <c r="L331">
        <f>DigDir!M331</f>
        <v>-0.26053199999999999</v>
      </c>
      <c r="M331">
        <f>DigDir!N331</f>
        <v>32.5</v>
      </c>
      <c r="O331">
        <f>ABS(L331-DigDir!$C$34)</f>
        <v>4.4960880808737436</v>
      </c>
      <c r="P331">
        <f t="shared" si="6"/>
        <v>32.5</v>
      </c>
    </row>
    <row r="332" spans="10:16">
      <c r="J332" s="5"/>
      <c r="L332">
        <f>DigDir!M332</f>
        <v>-0.26053199999999999</v>
      </c>
      <c r="M332">
        <f>DigDir!N332</f>
        <v>32.6</v>
      </c>
      <c r="O332">
        <f>ABS(L332-DigDir!$C$34)</f>
        <v>4.4960880808737436</v>
      </c>
      <c r="P332">
        <f t="shared" si="6"/>
        <v>32.6</v>
      </c>
    </row>
    <row r="333" spans="10:16">
      <c r="J333" s="5"/>
      <c r="L333">
        <f>DigDir!M333</f>
        <v>-0.26053199999999999</v>
      </c>
      <c r="M333">
        <f>DigDir!N333</f>
        <v>32.700000000000003</v>
      </c>
      <c r="O333">
        <f>ABS(L333-DigDir!$C$34)</f>
        <v>4.4960880808737436</v>
      </c>
      <c r="P333">
        <f t="shared" si="6"/>
        <v>32.700000000000003</v>
      </c>
    </row>
    <row r="334" spans="10:16">
      <c r="J334" s="5"/>
      <c r="L334">
        <f>DigDir!M334</f>
        <v>-0.26053199999999999</v>
      </c>
      <c r="M334">
        <f>DigDir!N334</f>
        <v>32.799999999999997</v>
      </c>
      <c r="O334">
        <f>ABS(L334-DigDir!$C$34)</f>
        <v>4.4960880808737436</v>
      </c>
      <c r="P334">
        <f t="shared" si="6"/>
        <v>32.799999999999997</v>
      </c>
    </row>
    <row r="335" spans="10:16">
      <c r="J335" s="5"/>
      <c r="L335">
        <f>DigDir!M335</f>
        <v>-0.26053199999999999</v>
      </c>
      <c r="M335">
        <f>DigDir!N335</f>
        <v>32.9</v>
      </c>
      <c r="O335">
        <f>ABS(L335-DigDir!$C$34)</f>
        <v>4.4960880808737436</v>
      </c>
      <c r="P335">
        <f t="shared" si="6"/>
        <v>32.9</v>
      </c>
    </row>
    <row r="336" spans="10:16">
      <c r="J336" s="5"/>
      <c r="L336">
        <f>DigDir!M336</f>
        <v>-0.26053199999999999</v>
      </c>
      <c r="M336">
        <f>DigDir!N336</f>
        <v>33</v>
      </c>
      <c r="O336">
        <f>ABS(L336-DigDir!$C$34)</f>
        <v>4.4960880808737436</v>
      </c>
      <c r="P336">
        <f t="shared" si="6"/>
        <v>33</v>
      </c>
    </row>
    <row r="337" spans="10:16">
      <c r="J337" s="5"/>
      <c r="L337">
        <f>DigDir!M337</f>
        <v>-0.26053199999999999</v>
      </c>
      <c r="M337">
        <f>DigDir!N337</f>
        <v>33.1</v>
      </c>
      <c r="O337">
        <f>ABS(L337-DigDir!$C$34)</f>
        <v>4.4960880808737436</v>
      </c>
      <c r="P337">
        <f t="shared" si="6"/>
        <v>33.1</v>
      </c>
    </row>
    <row r="338" spans="10:16">
      <c r="J338" s="5"/>
      <c r="L338">
        <f>DigDir!M338</f>
        <v>-0.26053199999999999</v>
      </c>
      <c r="M338">
        <f>DigDir!N338</f>
        <v>33.200000000000003</v>
      </c>
      <c r="O338">
        <f>ABS(L338-DigDir!$C$34)</f>
        <v>4.4960880808737436</v>
      </c>
      <c r="P338">
        <f t="shared" si="6"/>
        <v>33.200000000000003</v>
      </c>
    </row>
    <row r="339" spans="10:16">
      <c r="J339" s="5"/>
      <c r="L339">
        <f>DigDir!M339</f>
        <v>-0.26053199999999999</v>
      </c>
      <c r="M339">
        <f>DigDir!N339</f>
        <v>33.299999999999997</v>
      </c>
      <c r="O339">
        <f>ABS(L339-DigDir!$C$34)</f>
        <v>4.4960880808737436</v>
      </c>
      <c r="P339">
        <f t="shared" si="6"/>
        <v>33.299999999999997</v>
      </c>
    </row>
    <row r="340" spans="10:16">
      <c r="J340" s="5"/>
      <c r="L340">
        <f>DigDir!M340</f>
        <v>-0.26053199999999999</v>
      </c>
      <c r="M340">
        <f>DigDir!N340</f>
        <v>33.4</v>
      </c>
      <c r="O340">
        <f>ABS(L340-DigDir!$C$34)</f>
        <v>4.4960880808737436</v>
      </c>
      <c r="P340">
        <f t="shared" si="6"/>
        <v>33.4</v>
      </c>
    </row>
    <row r="341" spans="10:16">
      <c r="J341" s="5"/>
      <c r="L341">
        <f>DigDir!M341</f>
        <v>-0.26053199999999999</v>
      </c>
      <c r="M341">
        <f>DigDir!N341</f>
        <v>33.5</v>
      </c>
      <c r="O341">
        <f>ABS(L341-DigDir!$C$34)</f>
        <v>4.4960880808737436</v>
      </c>
      <c r="P341">
        <f t="shared" si="6"/>
        <v>33.5</v>
      </c>
    </row>
    <row r="342" spans="10:16">
      <c r="J342" s="5"/>
      <c r="L342">
        <f>DigDir!M342</f>
        <v>-0.26053199999999999</v>
      </c>
      <c r="M342">
        <f>DigDir!N342</f>
        <v>33.6</v>
      </c>
      <c r="O342">
        <f>ABS(L342-DigDir!$C$34)</f>
        <v>4.4960880808737436</v>
      </c>
      <c r="P342">
        <f t="shared" si="6"/>
        <v>33.6</v>
      </c>
    </row>
    <row r="343" spans="10:16">
      <c r="J343" s="5"/>
      <c r="L343">
        <f>DigDir!M343</f>
        <v>-0.26053199999999999</v>
      </c>
      <c r="M343">
        <f>DigDir!N343</f>
        <v>33.700000000000003</v>
      </c>
      <c r="O343">
        <f>ABS(L343-DigDir!$C$34)</f>
        <v>4.4960880808737436</v>
      </c>
      <c r="P343">
        <f t="shared" si="6"/>
        <v>33.700000000000003</v>
      </c>
    </row>
    <row r="344" spans="10:16">
      <c r="J344" s="5"/>
      <c r="L344">
        <f>DigDir!M344</f>
        <v>-0.26053199999999999</v>
      </c>
      <c r="M344">
        <f>DigDir!N344</f>
        <v>33.799999999999997</v>
      </c>
      <c r="O344">
        <f>ABS(L344-DigDir!$C$34)</f>
        <v>4.4960880808737436</v>
      </c>
      <c r="P344">
        <f t="shared" si="6"/>
        <v>33.799999999999997</v>
      </c>
    </row>
    <row r="345" spans="10:16">
      <c r="J345" s="5"/>
      <c r="L345">
        <f>DigDir!M345</f>
        <v>-0.26053199999999999</v>
      </c>
      <c r="M345">
        <f>DigDir!N345</f>
        <v>33.9</v>
      </c>
      <c r="O345">
        <f>ABS(L345-DigDir!$C$34)</f>
        <v>4.4960880808737436</v>
      </c>
      <c r="P345">
        <f t="shared" si="6"/>
        <v>33.9</v>
      </c>
    </row>
    <row r="346" spans="10:16">
      <c r="J346" s="5"/>
      <c r="L346">
        <f>DigDir!M346</f>
        <v>-0.26053199999999999</v>
      </c>
      <c r="M346">
        <f>DigDir!N346</f>
        <v>34</v>
      </c>
      <c r="O346">
        <f>ABS(L346-DigDir!$C$34)</f>
        <v>4.4960880808737436</v>
      </c>
      <c r="P346">
        <f t="shared" si="6"/>
        <v>34</v>
      </c>
    </row>
    <row r="347" spans="10:16">
      <c r="J347" s="5"/>
      <c r="L347">
        <f>DigDir!M347</f>
        <v>-0.26053199999999999</v>
      </c>
      <c r="M347">
        <f>DigDir!N347</f>
        <v>34.1</v>
      </c>
      <c r="O347">
        <f>ABS(L347-DigDir!$C$34)</f>
        <v>4.4960880808737436</v>
      </c>
      <c r="P347">
        <f t="shared" si="6"/>
        <v>34.1</v>
      </c>
    </row>
    <row r="348" spans="10:16">
      <c r="J348" s="5"/>
      <c r="L348">
        <f>DigDir!M348</f>
        <v>-0.26053199999999999</v>
      </c>
      <c r="M348">
        <f>DigDir!N348</f>
        <v>34.200000000000003</v>
      </c>
      <c r="O348">
        <f>ABS(L348-DigDir!$C$34)</f>
        <v>4.4960880808737436</v>
      </c>
      <c r="P348">
        <f t="shared" si="6"/>
        <v>34.200000000000003</v>
      </c>
    </row>
    <row r="349" spans="10:16">
      <c r="J349" s="5"/>
      <c r="L349">
        <f>DigDir!M349</f>
        <v>-0.26053199999999999</v>
      </c>
      <c r="M349">
        <f>DigDir!N349</f>
        <v>34.299999999999997</v>
      </c>
      <c r="O349">
        <f>ABS(L349-DigDir!$C$34)</f>
        <v>4.4960880808737436</v>
      </c>
      <c r="P349">
        <f t="shared" si="6"/>
        <v>34.299999999999997</v>
      </c>
    </row>
    <row r="350" spans="10:16">
      <c r="J350" s="5"/>
      <c r="L350">
        <f>DigDir!M350</f>
        <v>-0.26053199999999999</v>
      </c>
      <c r="M350">
        <f>DigDir!N350</f>
        <v>34.4</v>
      </c>
      <c r="O350">
        <f>ABS(L350-DigDir!$C$34)</f>
        <v>4.4960880808737436</v>
      </c>
      <c r="P350">
        <f t="shared" si="6"/>
        <v>34.4</v>
      </c>
    </row>
    <row r="351" spans="10:16">
      <c r="J351" s="5"/>
      <c r="L351">
        <f>DigDir!M351</f>
        <v>-0.26053199999999999</v>
      </c>
      <c r="M351">
        <f>DigDir!N351</f>
        <v>34.5</v>
      </c>
      <c r="O351">
        <f>ABS(L351-DigDir!$C$34)</f>
        <v>4.4960880808737436</v>
      </c>
      <c r="P351">
        <f t="shared" si="6"/>
        <v>34.5</v>
      </c>
    </row>
    <row r="352" spans="10:16">
      <c r="J352" s="5"/>
      <c r="L352">
        <f>DigDir!M352</f>
        <v>-0.26053199999999999</v>
      </c>
      <c r="M352">
        <f>DigDir!N352</f>
        <v>34.6</v>
      </c>
      <c r="O352">
        <f>ABS(L352-DigDir!$C$34)</f>
        <v>4.4960880808737436</v>
      </c>
      <c r="P352">
        <f t="shared" si="6"/>
        <v>34.6</v>
      </c>
    </row>
    <row r="353" spans="10:16">
      <c r="J353" s="5"/>
      <c r="L353">
        <f>DigDir!M353</f>
        <v>-0.26053199999999999</v>
      </c>
      <c r="M353">
        <f>DigDir!N353</f>
        <v>34.700000000000003</v>
      </c>
      <c r="O353">
        <f>ABS(L353-DigDir!$C$34)</f>
        <v>4.4960880808737436</v>
      </c>
      <c r="P353">
        <f t="shared" si="6"/>
        <v>34.700000000000003</v>
      </c>
    </row>
    <row r="354" spans="10:16">
      <c r="J354" s="5"/>
      <c r="L354">
        <f>DigDir!M354</f>
        <v>-0.26053199999999999</v>
      </c>
      <c r="M354">
        <f>DigDir!N354</f>
        <v>34.799999999999997</v>
      </c>
      <c r="O354">
        <f>ABS(L354-DigDir!$C$34)</f>
        <v>4.4960880808737436</v>
      </c>
      <c r="P354">
        <f t="shared" si="6"/>
        <v>34.799999999999997</v>
      </c>
    </row>
    <row r="355" spans="10:16">
      <c r="J355" s="5"/>
      <c r="L355">
        <f>DigDir!M355</f>
        <v>-0.26053199999999999</v>
      </c>
      <c r="M355">
        <f>DigDir!N355</f>
        <v>34.9</v>
      </c>
      <c r="O355">
        <f>ABS(L355-DigDir!$C$34)</f>
        <v>4.4960880808737436</v>
      </c>
      <c r="P355">
        <f t="shared" si="6"/>
        <v>34.9</v>
      </c>
    </row>
    <row r="356" spans="10:16">
      <c r="J356" s="5"/>
      <c r="L356">
        <f>DigDir!M356</f>
        <v>-0.26053199999999999</v>
      </c>
      <c r="M356">
        <f>DigDir!N356</f>
        <v>35</v>
      </c>
      <c r="O356">
        <f>ABS(L356-DigDir!$C$34)</f>
        <v>4.4960880808737436</v>
      </c>
      <c r="P356">
        <f t="shared" si="6"/>
        <v>35</v>
      </c>
    </row>
    <row r="357" spans="10:16">
      <c r="J357" s="5"/>
      <c r="L357">
        <f>DigDir!M357</f>
        <v>-0.26053199999999999</v>
      </c>
      <c r="M357">
        <f>DigDir!N357</f>
        <v>35.1</v>
      </c>
      <c r="O357">
        <f>ABS(L357-DigDir!$C$34)</f>
        <v>4.4960880808737436</v>
      </c>
      <c r="P357">
        <f t="shared" si="6"/>
        <v>35.1</v>
      </c>
    </row>
    <row r="358" spans="10:16">
      <c r="J358" s="5"/>
      <c r="L358">
        <f>DigDir!M358</f>
        <v>-0.26053199999999999</v>
      </c>
      <c r="M358">
        <f>DigDir!N358</f>
        <v>35.200000000000003</v>
      </c>
      <c r="O358">
        <f>ABS(L358-DigDir!$C$34)</f>
        <v>4.4960880808737436</v>
      </c>
      <c r="P358">
        <f t="shared" si="6"/>
        <v>35.200000000000003</v>
      </c>
    </row>
    <row r="359" spans="10:16">
      <c r="J359" s="5"/>
      <c r="L359">
        <f>DigDir!M359</f>
        <v>-0.26053199999999999</v>
      </c>
      <c r="M359">
        <f>DigDir!N359</f>
        <v>35.299999999999997</v>
      </c>
      <c r="O359">
        <f>ABS(L359-DigDir!$C$34)</f>
        <v>4.4960880808737436</v>
      </c>
      <c r="P359">
        <f t="shared" si="6"/>
        <v>35.299999999999997</v>
      </c>
    </row>
    <row r="360" spans="10:16">
      <c r="J360" s="5"/>
      <c r="L360">
        <f>DigDir!M360</f>
        <v>-0.26053199999999999</v>
      </c>
      <c r="M360">
        <f>DigDir!N360</f>
        <v>35.4</v>
      </c>
      <c r="O360">
        <f>ABS(L360-DigDir!$C$34)</f>
        <v>4.4960880808737436</v>
      </c>
      <c r="P360">
        <f t="shared" si="6"/>
        <v>35.4</v>
      </c>
    </row>
    <row r="361" spans="10:16">
      <c r="J361" s="5"/>
      <c r="L361">
        <f>DigDir!M361</f>
        <v>-0.26053199999999999</v>
      </c>
      <c r="M361">
        <f>DigDir!N361</f>
        <v>35.5</v>
      </c>
      <c r="O361">
        <f>ABS(L361-DigDir!$C$34)</f>
        <v>4.4960880808737436</v>
      </c>
      <c r="P361">
        <f t="shared" si="6"/>
        <v>35.5</v>
      </c>
    </row>
    <row r="362" spans="10:16">
      <c r="J362" s="5"/>
      <c r="L362">
        <f>DigDir!M362</f>
        <v>-0.26053199999999999</v>
      </c>
      <c r="M362">
        <f>DigDir!N362</f>
        <v>35.6</v>
      </c>
      <c r="O362">
        <f>ABS(L362-DigDir!$C$34)</f>
        <v>4.4960880808737436</v>
      </c>
      <c r="P362">
        <f t="shared" si="6"/>
        <v>35.6</v>
      </c>
    </row>
    <row r="363" spans="10:16">
      <c r="J363" s="5"/>
      <c r="L363">
        <f>DigDir!M363</f>
        <v>-0.26053199999999999</v>
      </c>
      <c r="M363">
        <f>DigDir!N363</f>
        <v>35.700000000000003</v>
      </c>
      <c r="O363">
        <f>ABS(L363-DigDir!$C$34)</f>
        <v>4.4960880808737436</v>
      </c>
      <c r="P363">
        <f t="shared" si="6"/>
        <v>35.700000000000003</v>
      </c>
    </row>
    <row r="364" spans="10:16">
      <c r="J364" s="5"/>
      <c r="L364">
        <f>DigDir!M364</f>
        <v>-0.26053199999999999</v>
      </c>
      <c r="M364">
        <f>DigDir!N364</f>
        <v>35.799999999999997</v>
      </c>
      <c r="O364">
        <f>ABS(L364-DigDir!$C$34)</f>
        <v>4.4960880808737436</v>
      </c>
      <c r="P364">
        <f t="shared" si="6"/>
        <v>35.799999999999997</v>
      </c>
    </row>
    <row r="365" spans="10:16">
      <c r="J365" s="5"/>
      <c r="L365">
        <f>DigDir!M365</f>
        <v>-0.26053199999999999</v>
      </c>
      <c r="M365">
        <f>DigDir!N365</f>
        <v>35.9</v>
      </c>
      <c r="O365">
        <f>ABS(L365-DigDir!$C$34)</f>
        <v>4.4960880808737436</v>
      </c>
      <c r="P365">
        <f t="shared" si="6"/>
        <v>35.9</v>
      </c>
    </row>
    <row r="366" spans="10:16">
      <c r="J366" s="5"/>
      <c r="L366">
        <f>DigDir!M366</f>
        <v>-0.26053199999999999</v>
      </c>
      <c r="M366">
        <f>DigDir!N366</f>
        <v>36</v>
      </c>
      <c r="O366">
        <f>ABS(L366-DigDir!$C$34)</f>
        <v>4.4960880808737436</v>
      </c>
      <c r="P366">
        <f t="shared" si="6"/>
        <v>36</v>
      </c>
    </row>
    <row r="367" spans="10:16">
      <c r="J367" s="5"/>
      <c r="L367">
        <f>DigDir!M367</f>
        <v>-0.26053199999999999</v>
      </c>
      <c r="M367">
        <f>DigDir!N367</f>
        <v>36.1</v>
      </c>
      <c r="O367">
        <f>ABS(L367-DigDir!$C$34)</f>
        <v>4.4960880808737436</v>
      </c>
      <c r="P367">
        <f t="shared" si="6"/>
        <v>36.1</v>
      </c>
    </row>
    <row r="368" spans="10:16">
      <c r="J368" s="5"/>
      <c r="L368">
        <f>DigDir!M368</f>
        <v>-0.26053199999999999</v>
      </c>
      <c r="M368">
        <f>DigDir!N368</f>
        <v>36.200000000000003</v>
      </c>
      <c r="O368">
        <f>ABS(L368-DigDir!$C$34)</f>
        <v>4.4960880808737436</v>
      </c>
      <c r="P368">
        <f t="shared" si="6"/>
        <v>36.200000000000003</v>
      </c>
    </row>
    <row r="369" spans="10:16">
      <c r="J369" s="5"/>
      <c r="L369">
        <f>DigDir!M369</f>
        <v>-0.26053199999999999</v>
      </c>
      <c r="M369">
        <f>DigDir!N369</f>
        <v>36.299999999999997</v>
      </c>
      <c r="O369">
        <f>ABS(L369-DigDir!$C$34)</f>
        <v>4.4960880808737436</v>
      </c>
      <c r="P369">
        <f t="shared" si="6"/>
        <v>36.299999999999997</v>
      </c>
    </row>
    <row r="370" spans="10:16">
      <c r="J370" s="5"/>
      <c r="L370">
        <f>DigDir!M370</f>
        <v>-0.26053199999999999</v>
      </c>
      <c r="M370">
        <f>DigDir!N370</f>
        <v>36.4</v>
      </c>
      <c r="O370">
        <f>ABS(L370-DigDir!$C$34)</f>
        <v>4.4960880808737436</v>
      </c>
      <c r="P370">
        <f t="shared" si="6"/>
        <v>36.4</v>
      </c>
    </row>
    <row r="371" spans="10:16">
      <c r="J371" s="5"/>
      <c r="L371">
        <f>DigDir!M371</f>
        <v>-0.26053199999999999</v>
      </c>
      <c r="M371">
        <f>DigDir!N371</f>
        <v>36.5</v>
      </c>
      <c r="O371">
        <f>ABS(L371-DigDir!$C$34)</f>
        <v>4.4960880808737436</v>
      </c>
      <c r="P371">
        <f t="shared" si="6"/>
        <v>36.5</v>
      </c>
    </row>
    <row r="372" spans="10:16">
      <c r="J372" s="5"/>
      <c r="L372">
        <f>DigDir!M372</f>
        <v>-0.26053199999999999</v>
      </c>
      <c r="M372">
        <f>DigDir!N372</f>
        <v>36.6</v>
      </c>
      <c r="O372">
        <f>ABS(L372-DigDir!$C$34)</f>
        <v>4.4960880808737436</v>
      </c>
      <c r="P372">
        <f t="shared" si="6"/>
        <v>36.6</v>
      </c>
    </row>
    <row r="373" spans="10:16">
      <c r="J373" s="5"/>
      <c r="L373">
        <f>DigDir!M373</f>
        <v>-0.26053199999999999</v>
      </c>
      <c r="M373">
        <f>DigDir!N373</f>
        <v>36.700000000000003</v>
      </c>
      <c r="O373">
        <f>ABS(L373-DigDir!$C$34)</f>
        <v>4.4960880808737436</v>
      </c>
      <c r="P373">
        <f t="shared" si="6"/>
        <v>36.700000000000003</v>
      </c>
    </row>
    <row r="374" spans="10:16">
      <c r="J374" s="5"/>
      <c r="L374">
        <f>DigDir!M374</f>
        <v>-0.26053199999999999</v>
      </c>
      <c r="M374">
        <f>DigDir!N374</f>
        <v>36.799999999999997</v>
      </c>
      <c r="O374">
        <f>ABS(L374-DigDir!$C$34)</f>
        <v>4.4960880808737436</v>
      </c>
      <c r="P374">
        <f t="shared" si="6"/>
        <v>36.799999999999997</v>
      </c>
    </row>
    <row r="375" spans="10:16">
      <c r="J375" s="5"/>
      <c r="L375">
        <f>DigDir!M375</f>
        <v>-0.26053199999999999</v>
      </c>
      <c r="M375">
        <f>DigDir!N375</f>
        <v>36.9</v>
      </c>
      <c r="O375">
        <f>ABS(L375-DigDir!$C$34)</f>
        <v>4.4960880808737436</v>
      </c>
      <c r="P375">
        <f t="shared" si="6"/>
        <v>36.9</v>
      </c>
    </row>
    <row r="376" spans="10:16">
      <c r="J376" s="5"/>
      <c r="L376">
        <f>DigDir!M376</f>
        <v>-0.26053199999999999</v>
      </c>
      <c r="M376">
        <f>DigDir!N376</f>
        <v>37</v>
      </c>
      <c r="O376">
        <f>ABS(L376-DigDir!$C$34)</f>
        <v>4.4960880808737436</v>
      </c>
      <c r="P376">
        <f t="shared" si="6"/>
        <v>37</v>
      </c>
    </row>
    <row r="377" spans="10:16">
      <c r="J377" s="5"/>
      <c r="L377">
        <f>DigDir!M377</f>
        <v>-0.26053199999999999</v>
      </c>
      <c r="M377">
        <f>DigDir!N377</f>
        <v>37.1</v>
      </c>
      <c r="O377">
        <f>ABS(L377-DigDir!$C$34)</f>
        <v>4.4960880808737436</v>
      </c>
      <c r="P377">
        <f t="shared" si="6"/>
        <v>37.1</v>
      </c>
    </row>
    <row r="378" spans="10:16">
      <c r="J378" s="5"/>
      <c r="L378">
        <f>DigDir!M378</f>
        <v>-0.26053199999999999</v>
      </c>
      <c r="M378">
        <f>DigDir!N378</f>
        <v>37.200000000000003</v>
      </c>
      <c r="O378">
        <f>ABS(L378-DigDir!$C$34)</f>
        <v>4.4960880808737436</v>
      </c>
      <c r="P378">
        <f t="shared" si="6"/>
        <v>37.200000000000003</v>
      </c>
    </row>
    <row r="379" spans="10:16">
      <c r="J379" s="5"/>
      <c r="L379">
        <f>DigDir!M379</f>
        <v>-0.26053199999999999</v>
      </c>
      <c r="M379">
        <f>DigDir!N379</f>
        <v>37.299999999999997</v>
      </c>
      <c r="O379">
        <f>ABS(L379-DigDir!$C$34)</f>
        <v>4.4960880808737436</v>
      </c>
      <c r="P379">
        <f t="shared" si="6"/>
        <v>37.299999999999997</v>
      </c>
    </row>
    <row r="380" spans="10:16">
      <c r="J380" s="5"/>
      <c r="L380">
        <f>DigDir!M380</f>
        <v>-0.26053199999999999</v>
      </c>
      <c r="M380">
        <f>DigDir!N380</f>
        <v>37.4</v>
      </c>
      <c r="O380">
        <f>ABS(L380-DigDir!$C$34)</f>
        <v>4.4960880808737436</v>
      </c>
      <c r="P380">
        <f t="shared" si="6"/>
        <v>37.4</v>
      </c>
    </row>
    <row r="381" spans="10:16">
      <c r="J381" s="5"/>
      <c r="L381">
        <f>DigDir!M381</f>
        <v>-0.26053199999999999</v>
      </c>
      <c r="M381">
        <f>DigDir!N381</f>
        <v>37.5</v>
      </c>
      <c r="O381">
        <f>ABS(L381-DigDir!$C$34)</f>
        <v>4.4960880808737436</v>
      </c>
      <c r="P381">
        <f t="shared" si="6"/>
        <v>37.5</v>
      </c>
    </row>
    <row r="382" spans="10:16">
      <c r="J382" s="5"/>
      <c r="L382">
        <f>DigDir!M382</f>
        <v>-0.26053199999999999</v>
      </c>
      <c r="M382">
        <f>DigDir!N382</f>
        <v>37.6</v>
      </c>
      <c r="O382">
        <f>ABS(L382-DigDir!$C$34)</f>
        <v>4.4960880808737436</v>
      </c>
      <c r="P382">
        <f t="shared" si="6"/>
        <v>37.6</v>
      </c>
    </row>
    <row r="383" spans="10:16">
      <c r="J383" s="5"/>
      <c r="L383">
        <f>DigDir!M383</f>
        <v>-0.26053199999999999</v>
      </c>
      <c r="M383">
        <f>DigDir!N383</f>
        <v>37.700000000000003</v>
      </c>
      <c r="O383">
        <f>ABS(L383-DigDir!$C$34)</f>
        <v>4.4960880808737436</v>
      </c>
      <c r="P383">
        <f t="shared" si="6"/>
        <v>37.700000000000003</v>
      </c>
    </row>
    <row r="384" spans="10:16">
      <c r="J384" s="5"/>
      <c r="L384">
        <f>DigDir!M384</f>
        <v>-0.26053199999999999</v>
      </c>
      <c r="M384">
        <f>DigDir!N384</f>
        <v>37.799999999999997</v>
      </c>
      <c r="O384">
        <f>ABS(L384-DigDir!$C$34)</f>
        <v>4.4960880808737436</v>
      </c>
      <c r="P384">
        <f t="shared" si="6"/>
        <v>37.799999999999997</v>
      </c>
    </row>
    <row r="385" spans="10:16">
      <c r="J385" s="5"/>
      <c r="L385">
        <f>DigDir!M385</f>
        <v>-0.26053199999999999</v>
      </c>
      <c r="M385">
        <f>DigDir!N385</f>
        <v>37.9</v>
      </c>
      <c r="O385">
        <f>ABS(L385-DigDir!$C$34)</f>
        <v>4.4960880808737436</v>
      </c>
      <c r="P385">
        <f t="shared" si="6"/>
        <v>37.9</v>
      </c>
    </row>
    <row r="386" spans="10:16">
      <c r="J386" s="5"/>
      <c r="L386">
        <f>DigDir!M386</f>
        <v>-0.26053199999999999</v>
      </c>
      <c r="M386">
        <f>DigDir!N386</f>
        <v>38</v>
      </c>
      <c r="O386">
        <f>ABS(L386-DigDir!$C$34)</f>
        <v>4.4960880808737436</v>
      </c>
      <c r="P386">
        <f t="shared" si="6"/>
        <v>38</v>
      </c>
    </row>
    <row r="387" spans="10:16">
      <c r="J387" s="5"/>
      <c r="L387">
        <f>DigDir!M387</f>
        <v>-0.24004806400000001</v>
      </c>
      <c r="M387">
        <f>DigDir!N387</f>
        <v>38.1</v>
      </c>
      <c r="O387">
        <f>ABS(L387-DigDir!$C$34)</f>
        <v>4.5165720168737442</v>
      </c>
      <c r="P387">
        <f t="shared" si="6"/>
        <v>38.1</v>
      </c>
    </row>
    <row r="388" spans="10:16">
      <c r="J388" s="5"/>
      <c r="L388">
        <f>DigDir!M388</f>
        <v>-0.21723640799999999</v>
      </c>
      <c r="M388">
        <f>DigDir!N388</f>
        <v>38.200000000000003</v>
      </c>
      <c r="O388">
        <f>ABS(L388-DigDir!$C$34)</f>
        <v>4.5393836728737442</v>
      </c>
      <c r="P388">
        <f t="shared" si="6"/>
        <v>38.200000000000003</v>
      </c>
    </row>
    <row r="389" spans="10:16">
      <c r="J389" s="5"/>
      <c r="L389">
        <f>DigDir!M389</f>
        <v>-0.20233899999999999</v>
      </c>
      <c r="M389">
        <f>DigDir!N389</f>
        <v>38.299999999999997</v>
      </c>
      <c r="O389">
        <f>ABS(L389-DigDir!$C$34)</f>
        <v>4.5542810808737437</v>
      </c>
      <c r="P389">
        <f t="shared" si="6"/>
        <v>38.299999999999997</v>
      </c>
    </row>
    <row r="390" spans="10:16">
      <c r="J390" s="5"/>
      <c r="L390">
        <f>DigDir!M390</f>
        <v>-0.20233899999999999</v>
      </c>
      <c r="M390">
        <f>DigDir!N390</f>
        <v>38.4</v>
      </c>
      <c r="O390">
        <f>ABS(L390-DigDir!$C$34)</f>
        <v>4.5542810808737437</v>
      </c>
      <c r="P390">
        <f t="shared" si="6"/>
        <v>38.4</v>
      </c>
    </row>
    <row r="391" spans="10:16">
      <c r="J391" s="5"/>
      <c r="L391">
        <f>DigDir!M391</f>
        <v>-0.20233899999999999</v>
      </c>
      <c r="M391">
        <f>DigDir!N391</f>
        <v>38.5</v>
      </c>
      <c r="O391">
        <f>ABS(L391-DigDir!$C$34)</f>
        <v>4.5542810808737437</v>
      </c>
      <c r="P391">
        <f t="shared" ref="P391:P454" si="7">M391</f>
        <v>38.5</v>
      </c>
    </row>
    <row r="392" spans="10:16">
      <c r="J392" s="5"/>
      <c r="L392">
        <f>DigDir!M392</f>
        <v>-0.20233899999999999</v>
      </c>
      <c r="M392">
        <f>DigDir!N392</f>
        <v>38.6</v>
      </c>
      <c r="O392">
        <f>ABS(L392-DigDir!$C$34)</f>
        <v>4.5542810808737437</v>
      </c>
      <c r="P392">
        <f t="shared" si="7"/>
        <v>38.6</v>
      </c>
    </row>
    <row r="393" spans="10:16">
      <c r="J393" s="5"/>
      <c r="L393">
        <f>DigDir!M393</f>
        <v>-0.20233899999999999</v>
      </c>
      <c r="M393">
        <f>DigDir!N393</f>
        <v>38.700000000000003</v>
      </c>
      <c r="O393">
        <f>ABS(L393-DigDir!$C$34)</f>
        <v>4.5542810808737437</v>
      </c>
      <c r="P393">
        <f t="shared" si="7"/>
        <v>38.700000000000003</v>
      </c>
    </row>
    <row r="394" spans="10:16">
      <c r="J394" s="5"/>
      <c r="L394">
        <f>DigDir!M394</f>
        <v>-0.20233899999999999</v>
      </c>
      <c r="M394">
        <f>DigDir!N394</f>
        <v>38.799999999999997</v>
      </c>
      <c r="O394">
        <f>ABS(L394-DigDir!$C$34)</f>
        <v>4.5542810808737437</v>
      </c>
      <c r="P394">
        <f t="shared" si="7"/>
        <v>38.799999999999997</v>
      </c>
    </row>
    <row r="395" spans="10:16">
      <c r="J395" s="5"/>
      <c r="L395">
        <f>DigDir!M395</f>
        <v>-0.20233899999999999</v>
      </c>
      <c r="M395">
        <f>DigDir!N395</f>
        <v>38.9</v>
      </c>
      <c r="O395">
        <f>ABS(L395-DigDir!$C$34)</f>
        <v>4.5542810808737437</v>
      </c>
      <c r="P395">
        <f t="shared" si="7"/>
        <v>38.9</v>
      </c>
    </row>
    <row r="396" spans="10:16">
      <c r="J396" s="5"/>
      <c r="L396">
        <f>DigDir!M396</f>
        <v>-0.20233899999999999</v>
      </c>
      <c r="M396">
        <f>DigDir!N396</f>
        <v>39</v>
      </c>
      <c r="O396">
        <f>ABS(L396-DigDir!$C$34)</f>
        <v>4.5542810808737437</v>
      </c>
      <c r="P396">
        <f t="shared" si="7"/>
        <v>39</v>
      </c>
    </row>
    <row r="397" spans="10:16">
      <c r="J397" s="5"/>
      <c r="L397">
        <f>DigDir!M397</f>
        <v>-0.20233899999999999</v>
      </c>
      <c r="M397">
        <f>DigDir!N397</f>
        <v>39.1</v>
      </c>
      <c r="O397">
        <f>ABS(L397-DigDir!$C$34)</f>
        <v>4.5542810808737437</v>
      </c>
      <c r="P397">
        <f t="shared" si="7"/>
        <v>39.1</v>
      </c>
    </row>
    <row r="398" spans="10:16">
      <c r="J398" s="5"/>
      <c r="L398">
        <f>DigDir!M398</f>
        <v>-0.20233899999999999</v>
      </c>
      <c r="M398">
        <f>DigDir!N398</f>
        <v>39.200000000000003</v>
      </c>
      <c r="O398">
        <f>ABS(L398-DigDir!$C$34)</f>
        <v>4.5542810808737437</v>
      </c>
      <c r="P398">
        <f t="shared" si="7"/>
        <v>39.200000000000003</v>
      </c>
    </row>
    <row r="399" spans="10:16">
      <c r="J399" s="5"/>
      <c r="L399">
        <f>DigDir!M399</f>
        <v>-0.20233899999999999</v>
      </c>
      <c r="M399">
        <f>DigDir!N399</f>
        <v>39.299999999999997</v>
      </c>
      <c r="O399">
        <f>ABS(L399-DigDir!$C$34)</f>
        <v>4.5542810808737437</v>
      </c>
      <c r="P399">
        <f t="shared" si="7"/>
        <v>39.299999999999997</v>
      </c>
    </row>
    <row r="400" spans="10:16">
      <c r="J400" s="5"/>
      <c r="L400">
        <f>DigDir!M400</f>
        <v>-0.20233899999999999</v>
      </c>
      <c r="M400">
        <f>DigDir!N400</f>
        <v>39.4</v>
      </c>
      <c r="O400">
        <f>ABS(L400-DigDir!$C$34)</f>
        <v>4.5542810808737437</v>
      </c>
      <c r="P400">
        <f t="shared" si="7"/>
        <v>39.4</v>
      </c>
    </row>
    <row r="401" spans="10:16">
      <c r="J401" s="5"/>
      <c r="L401">
        <f>DigDir!M401</f>
        <v>-0.20233899999999999</v>
      </c>
      <c r="M401">
        <f>DigDir!N401</f>
        <v>39.5</v>
      </c>
      <c r="O401">
        <f>ABS(L401-DigDir!$C$34)</f>
        <v>4.5542810808737437</v>
      </c>
      <c r="P401">
        <f t="shared" si="7"/>
        <v>39.5</v>
      </c>
    </row>
    <row r="402" spans="10:16">
      <c r="J402" s="5"/>
      <c r="L402">
        <f>DigDir!M402</f>
        <v>-0.20233899999999999</v>
      </c>
      <c r="M402">
        <f>DigDir!N402</f>
        <v>39.6</v>
      </c>
      <c r="O402">
        <f>ABS(L402-DigDir!$C$34)</f>
        <v>4.5542810808737437</v>
      </c>
      <c r="P402">
        <f t="shared" si="7"/>
        <v>39.6</v>
      </c>
    </row>
    <row r="403" spans="10:16">
      <c r="J403" s="5"/>
      <c r="L403">
        <f>DigDir!M403</f>
        <v>-0.20233899999999999</v>
      </c>
      <c r="M403">
        <f>DigDir!N403</f>
        <v>39.700000000000003</v>
      </c>
      <c r="O403">
        <f>ABS(L403-DigDir!$C$34)</f>
        <v>4.5542810808737437</v>
      </c>
      <c r="P403">
        <f t="shared" si="7"/>
        <v>39.700000000000003</v>
      </c>
    </row>
    <row r="404" spans="10:16">
      <c r="J404" s="5"/>
      <c r="L404">
        <f>DigDir!M404</f>
        <v>-0.20233899999999999</v>
      </c>
      <c r="M404">
        <f>DigDir!N404</f>
        <v>39.799999999999997</v>
      </c>
      <c r="O404">
        <f>ABS(L404-DigDir!$C$34)</f>
        <v>4.5542810808737437</v>
      </c>
      <c r="P404">
        <f t="shared" si="7"/>
        <v>39.799999999999997</v>
      </c>
    </row>
    <row r="405" spans="10:16">
      <c r="J405" s="5"/>
      <c r="L405">
        <f>DigDir!M405</f>
        <v>-0.20233899999999999</v>
      </c>
      <c r="M405">
        <f>DigDir!N405</f>
        <v>39.9</v>
      </c>
      <c r="O405">
        <f>ABS(L405-DigDir!$C$34)</f>
        <v>4.5542810808737437</v>
      </c>
      <c r="P405">
        <f t="shared" si="7"/>
        <v>39.9</v>
      </c>
    </row>
    <row r="406" spans="10:16">
      <c r="J406" s="5"/>
      <c r="L406">
        <f>DigDir!M406</f>
        <v>-0.20233899999999999</v>
      </c>
      <c r="M406">
        <f>DigDir!N406</f>
        <v>40</v>
      </c>
      <c r="O406">
        <f>ABS(L406-DigDir!$C$34)</f>
        <v>4.5542810808737437</v>
      </c>
      <c r="P406">
        <f t="shared" si="7"/>
        <v>40</v>
      </c>
    </row>
    <row r="407" spans="10:16">
      <c r="J407" s="5"/>
      <c r="L407">
        <f>DigDir!M407</f>
        <v>-0.20233899999999999</v>
      </c>
      <c r="M407">
        <f>DigDir!N407</f>
        <v>40.1</v>
      </c>
      <c r="O407">
        <f>ABS(L407-DigDir!$C$34)</f>
        <v>4.5542810808737437</v>
      </c>
      <c r="P407">
        <f t="shared" si="7"/>
        <v>40.1</v>
      </c>
    </row>
    <row r="408" spans="10:16">
      <c r="J408" s="5"/>
      <c r="L408">
        <f>DigDir!M408</f>
        <v>-0.20233899999999999</v>
      </c>
      <c r="M408">
        <f>DigDir!N408</f>
        <v>40.200000000000003</v>
      </c>
      <c r="O408">
        <f>ABS(L408-DigDir!$C$34)</f>
        <v>4.5542810808737437</v>
      </c>
      <c r="P408">
        <f t="shared" si="7"/>
        <v>40.200000000000003</v>
      </c>
    </row>
    <row r="409" spans="10:16">
      <c r="J409" s="5"/>
      <c r="L409">
        <f>DigDir!M409</f>
        <v>-0.20233899999999999</v>
      </c>
      <c r="M409">
        <f>DigDir!N409</f>
        <v>40.299999999999997</v>
      </c>
      <c r="O409">
        <f>ABS(L409-DigDir!$C$34)</f>
        <v>4.5542810808737437</v>
      </c>
      <c r="P409">
        <f t="shared" si="7"/>
        <v>40.299999999999997</v>
      </c>
    </row>
    <row r="410" spans="10:16">
      <c r="J410" s="5"/>
      <c r="L410">
        <f>DigDir!M410</f>
        <v>-0.20233899999999999</v>
      </c>
      <c r="M410">
        <f>DigDir!N410</f>
        <v>40.4</v>
      </c>
      <c r="O410">
        <f>ABS(L410-DigDir!$C$34)</f>
        <v>4.5542810808737437</v>
      </c>
      <c r="P410">
        <f t="shared" si="7"/>
        <v>40.4</v>
      </c>
    </row>
    <row r="411" spans="10:16">
      <c r="J411" s="5"/>
      <c r="L411">
        <f>DigDir!M411</f>
        <v>-0.20233899999999999</v>
      </c>
      <c r="M411">
        <f>DigDir!N411</f>
        <v>40.5</v>
      </c>
      <c r="O411">
        <f>ABS(L411-DigDir!$C$34)</f>
        <v>4.5542810808737437</v>
      </c>
      <c r="P411">
        <f t="shared" si="7"/>
        <v>40.5</v>
      </c>
    </row>
    <row r="412" spans="10:16">
      <c r="J412" s="5"/>
      <c r="L412">
        <f>DigDir!M412</f>
        <v>-0.20233899999999999</v>
      </c>
      <c r="M412">
        <f>DigDir!N412</f>
        <v>40.6</v>
      </c>
      <c r="O412">
        <f>ABS(L412-DigDir!$C$34)</f>
        <v>4.5542810808737437</v>
      </c>
      <c r="P412">
        <f t="shared" si="7"/>
        <v>40.6</v>
      </c>
    </row>
    <row r="413" spans="10:16">
      <c r="J413" s="5"/>
      <c r="L413">
        <f>DigDir!M413</f>
        <v>-0.20233899999999999</v>
      </c>
      <c r="M413">
        <f>DigDir!N413</f>
        <v>40.700000000000003</v>
      </c>
      <c r="O413">
        <f>ABS(L413-DigDir!$C$34)</f>
        <v>4.5542810808737437</v>
      </c>
      <c r="P413">
        <f t="shared" si="7"/>
        <v>40.700000000000003</v>
      </c>
    </row>
    <row r="414" spans="10:16">
      <c r="J414" s="5"/>
      <c r="L414">
        <f>DigDir!M414</f>
        <v>-0.20233899999999999</v>
      </c>
      <c r="M414">
        <f>DigDir!N414</f>
        <v>40.799999999999997</v>
      </c>
      <c r="O414">
        <f>ABS(L414-DigDir!$C$34)</f>
        <v>4.5542810808737437</v>
      </c>
      <c r="P414">
        <f t="shared" si="7"/>
        <v>40.799999999999997</v>
      </c>
    </row>
    <row r="415" spans="10:16">
      <c r="J415" s="5"/>
      <c r="L415">
        <f>DigDir!M415</f>
        <v>-0.20233899999999999</v>
      </c>
      <c r="M415">
        <f>DigDir!N415</f>
        <v>40.9</v>
      </c>
      <c r="O415">
        <f>ABS(L415-DigDir!$C$34)</f>
        <v>4.5542810808737437</v>
      </c>
      <c r="P415">
        <f t="shared" si="7"/>
        <v>40.9</v>
      </c>
    </row>
    <row r="416" spans="10:16">
      <c r="J416" s="5"/>
      <c r="L416">
        <f>DigDir!M416</f>
        <v>-0.20233899999999999</v>
      </c>
      <c r="M416">
        <f>DigDir!N416</f>
        <v>41</v>
      </c>
      <c r="O416">
        <f>ABS(L416-DigDir!$C$34)</f>
        <v>4.5542810808737437</v>
      </c>
      <c r="P416">
        <f t="shared" si="7"/>
        <v>41</v>
      </c>
    </row>
    <row r="417" spans="10:16">
      <c r="J417" s="5"/>
      <c r="L417">
        <f>DigDir!M417</f>
        <v>-0.20233899999999999</v>
      </c>
      <c r="M417">
        <f>DigDir!N417</f>
        <v>41.1</v>
      </c>
      <c r="O417">
        <f>ABS(L417-DigDir!$C$34)</f>
        <v>4.5542810808737437</v>
      </c>
      <c r="P417">
        <f t="shared" si="7"/>
        <v>41.1</v>
      </c>
    </row>
    <row r="418" spans="10:16">
      <c r="J418" s="5"/>
      <c r="L418">
        <f>DigDir!M418</f>
        <v>-0.20233899999999999</v>
      </c>
      <c r="M418">
        <f>DigDir!N418</f>
        <v>41.2</v>
      </c>
      <c r="O418">
        <f>ABS(L418-DigDir!$C$34)</f>
        <v>4.5542810808737437</v>
      </c>
      <c r="P418">
        <f t="shared" si="7"/>
        <v>41.2</v>
      </c>
    </row>
    <row r="419" spans="10:16">
      <c r="J419" s="5"/>
      <c r="L419">
        <f>DigDir!M419</f>
        <v>-0.20233899999999999</v>
      </c>
      <c r="M419">
        <f>DigDir!N419</f>
        <v>41.3</v>
      </c>
      <c r="O419">
        <f>ABS(L419-DigDir!$C$34)</f>
        <v>4.5542810808737437</v>
      </c>
      <c r="P419">
        <f t="shared" si="7"/>
        <v>41.3</v>
      </c>
    </row>
    <row r="420" spans="10:16">
      <c r="J420" s="5"/>
      <c r="L420">
        <f>DigDir!M420</f>
        <v>-0.20233899999999999</v>
      </c>
      <c r="M420">
        <f>DigDir!N420</f>
        <v>41.4</v>
      </c>
      <c r="O420">
        <f>ABS(L420-DigDir!$C$34)</f>
        <v>4.5542810808737437</v>
      </c>
      <c r="P420">
        <f t="shared" si="7"/>
        <v>41.4</v>
      </c>
    </row>
    <row r="421" spans="10:16">
      <c r="J421" s="5"/>
      <c r="L421">
        <f>DigDir!M421</f>
        <v>-0.20233899999999999</v>
      </c>
      <c r="M421">
        <f>DigDir!N421</f>
        <v>41.5</v>
      </c>
      <c r="O421">
        <f>ABS(L421-DigDir!$C$34)</f>
        <v>4.5542810808737437</v>
      </c>
      <c r="P421">
        <f t="shared" si="7"/>
        <v>41.5</v>
      </c>
    </row>
    <row r="422" spans="10:16">
      <c r="J422" s="5"/>
      <c r="L422">
        <f>DigDir!M422</f>
        <v>-0.20233899999999999</v>
      </c>
      <c r="M422">
        <f>DigDir!N422</f>
        <v>41.6</v>
      </c>
      <c r="O422">
        <f>ABS(L422-DigDir!$C$34)</f>
        <v>4.5542810808737437</v>
      </c>
      <c r="P422">
        <f t="shared" si="7"/>
        <v>41.6</v>
      </c>
    </row>
    <row r="423" spans="10:16">
      <c r="J423" s="5"/>
      <c r="L423">
        <f>DigDir!M423</f>
        <v>-0.20233899999999999</v>
      </c>
      <c r="M423">
        <f>DigDir!N423</f>
        <v>41.7</v>
      </c>
      <c r="O423">
        <f>ABS(L423-DigDir!$C$34)</f>
        <v>4.5542810808737437</v>
      </c>
      <c r="P423">
        <f t="shared" si="7"/>
        <v>41.7</v>
      </c>
    </row>
    <row r="424" spans="10:16">
      <c r="J424" s="5"/>
      <c r="L424">
        <f>DigDir!M424</f>
        <v>-0.20233899999999999</v>
      </c>
      <c r="M424">
        <f>DigDir!N424</f>
        <v>41.8</v>
      </c>
      <c r="O424">
        <f>ABS(L424-DigDir!$C$34)</f>
        <v>4.5542810808737437</v>
      </c>
      <c r="P424">
        <f t="shared" si="7"/>
        <v>41.8</v>
      </c>
    </row>
    <row r="425" spans="10:16">
      <c r="J425" s="5"/>
      <c r="L425">
        <f>DigDir!M425</f>
        <v>-0.20233899999999999</v>
      </c>
      <c r="M425">
        <f>DigDir!N425</f>
        <v>41.9</v>
      </c>
      <c r="O425">
        <f>ABS(L425-DigDir!$C$34)</f>
        <v>4.5542810808737437</v>
      </c>
      <c r="P425">
        <f t="shared" si="7"/>
        <v>41.9</v>
      </c>
    </row>
    <row r="426" spans="10:16">
      <c r="J426" s="5"/>
      <c r="L426">
        <f>DigDir!M426</f>
        <v>-0.20233899999999999</v>
      </c>
      <c r="M426">
        <f>DigDir!N426</f>
        <v>42</v>
      </c>
      <c r="O426">
        <f>ABS(L426-DigDir!$C$34)</f>
        <v>4.5542810808737437</v>
      </c>
      <c r="P426">
        <f t="shared" si="7"/>
        <v>42</v>
      </c>
    </row>
    <row r="427" spans="10:16">
      <c r="J427" s="5"/>
      <c r="L427">
        <f>DigDir!M427</f>
        <v>-0.20233899999999999</v>
      </c>
      <c r="M427">
        <f>DigDir!N427</f>
        <v>42.1</v>
      </c>
      <c r="O427">
        <f>ABS(L427-DigDir!$C$34)</f>
        <v>4.5542810808737437</v>
      </c>
      <c r="P427">
        <f t="shared" si="7"/>
        <v>42.1</v>
      </c>
    </row>
    <row r="428" spans="10:16">
      <c r="J428" s="5"/>
      <c r="L428">
        <f>DigDir!M428</f>
        <v>-0.20233899999999999</v>
      </c>
      <c r="M428">
        <f>DigDir!N428</f>
        <v>42.2</v>
      </c>
      <c r="O428">
        <f>ABS(L428-DigDir!$C$34)</f>
        <v>4.5542810808737437</v>
      </c>
      <c r="P428">
        <f t="shared" si="7"/>
        <v>42.2</v>
      </c>
    </row>
    <row r="429" spans="10:16">
      <c r="J429" s="5"/>
      <c r="L429">
        <f>DigDir!M429</f>
        <v>-0.20233899999999999</v>
      </c>
      <c r="M429">
        <f>DigDir!N429</f>
        <v>42.3</v>
      </c>
      <c r="O429">
        <f>ABS(L429-DigDir!$C$34)</f>
        <v>4.5542810808737437</v>
      </c>
      <c r="P429">
        <f t="shared" si="7"/>
        <v>42.3</v>
      </c>
    </row>
    <row r="430" spans="10:16">
      <c r="J430" s="5"/>
      <c r="L430">
        <f>DigDir!M430</f>
        <v>-0.20233899999999999</v>
      </c>
      <c r="M430">
        <f>DigDir!N430</f>
        <v>42.4</v>
      </c>
      <c r="O430">
        <f>ABS(L430-DigDir!$C$34)</f>
        <v>4.5542810808737437</v>
      </c>
      <c r="P430">
        <f t="shared" si="7"/>
        <v>42.4</v>
      </c>
    </row>
    <row r="431" spans="10:16">
      <c r="J431" s="5"/>
      <c r="L431">
        <f>DigDir!M431</f>
        <v>-0.20233899999999999</v>
      </c>
      <c r="M431">
        <f>DigDir!N431</f>
        <v>42.5</v>
      </c>
      <c r="O431">
        <f>ABS(L431-DigDir!$C$34)</f>
        <v>4.5542810808737437</v>
      </c>
      <c r="P431">
        <f t="shared" si="7"/>
        <v>42.5</v>
      </c>
    </row>
    <row r="432" spans="10:16">
      <c r="J432" s="5"/>
      <c r="L432">
        <f>DigDir!M432</f>
        <v>-0.20233899999999999</v>
      </c>
      <c r="M432">
        <f>DigDir!N432</f>
        <v>42.6</v>
      </c>
      <c r="O432">
        <f>ABS(L432-DigDir!$C$34)</f>
        <v>4.5542810808737437</v>
      </c>
      <c r="P432">
        <f t="shared" si="7"/>
        <v>42.6</v>
      </c>
    </row>
    <row r="433" spans="10:16">
      <c r="J433" s="5"/>
      <c r="L433">
        <f>DigDir!M433</f>
        <v>-0.20233899999999999</v>
      </c>
      <c r="M433">
        <f>DigDir!N433</f>
        <v>42.7</v>
      </c>
      <c r="O433">
        <f>ABS(L433-DigDir!$C$34)</f>
        <v>4.5542810808737437</v>
      </c>
      <c r="P433">
        <f t="shared" si="7"/>
        <v>42.7</v>
      </c>
    </row>
    <row r="434" spans="10:16">
      <c r="J434" s="5"/>
      <c r="L434">
        <f>DigDir!M434</f>
        <v>-0.20233899999999999</v>
      </c>
      <c r="M434">
        <f>DigDir!N434</f>
        <v>42.8</v>
      </c>
      <c r="O434">
        <f>ABS(L434-DigDir!$C$34)</f>
        <v>4.5542810808737437</v>
      </c>
      <c r="P434">
        <f t="shared" si="7"/>
        <v>42.8</v>
      </c>
    </row>
    <row r="435" spans="10:16">
      <c r="J435" s="5"/>
      <c r="L435">
        <f>DigDir!M435</f>
        <v>-0.20233899999999999</v>
      </c>
      <c r="M435">
        <f>DigDir!N435</f>
        <v>42.9</v>
      </c>
      <c r="O435">
        <f>ABS(L435-DigDir!$C$34)</f>
        <v>4.5542810808737437</v>
      </c>
      <c r="P435">
        <f t="shared" si="7"/>
        <v>42.9</v>
      </c>
    </row>
    <row r="436" spans="10:16">
      <c r="J436" s="5"/>
      <c r="L436">
        <f>DigDir!M436</f>
        <v>-0.20233899999999999</v>
      </c>
      <c r="M436">
        <f>DigDir!N436</f>
        <v>43</v>
      </c>
      <c r="O436">
        <f>ABS(L436-DigDir!$C$34)</f>
        <v>4.5542810808737437</v>
      </c>
      <c r="P436">
        <f t="shared" si="7"/>
        <v>43</v>
      </c>
    </row>
    <row r="437" spans="10:16">
      <c r="J437" s="5"/>
      <c r="L437">
        <f>DigDir!M437</f>
        <v>-0.20233899999999999</v>
      </c>
      <c r="M437">
        <f>DigDir!N437</f>
        <v>43.1</v>
      </c>
      <c r="O437">
        <f>ABS(L437-DigDir!$C$34)</f>
        <v>4.5542810808737437</v>
      </c>
      <c r="P437">
        <f t="shared" si="7"/>
        <v>43.1</v>
      </c>
    </row>
    <row r="438" spans="10:16">
      <c r="J438" s="5"/>
      <c r="L438">
        <f>DigDir!M438</f>
        <v>-0.20233899999999999</v>
      </c>
      <c r="M438">
        <f>DigDir!N438</f>
        <v>43.2</v>
      </c>
      <c r="O438">
        <f>ABS(L438-DigDir!$C$34)</f>
        <v>4.5542810808737437</v>
      </c>
      <c r="P438">
        <f t="shared" si="7"/>
        <v>43.2</v>
      </c>
    </row>
    <row r="439" spans="10:16">
      <c r="J439" s="5"/>
      <c r="L439">
        <f>DigDir!M439</f>
        <v>-0.20233899999999999</v>
      </c>
      <c r="M439">
        <f>DigDir!N439</f>
        <v>43.3</v>
      </c>
      <c r="O439">
        <f>ABS(L439-DigDir!$C$34)</f>
        <v>4.5542810808737437</v>
      </c>
      <c r="P439">
        <f t="shared" si="7"/>
        <v>43.3</v>
      </c>
    </row>
    <row r="440" spans="10:16">
      <c r="J440" s="5"/>
      <c r="L440">
        <f>DigDir!M440</f>
        <v>-0.20233899999999999</v>
      </c>
      <c r="M440">
        <f>DigDir!N440</f>
        <v>43.4</v>
      </c>
      <c r="O440">
        <f>ABS(L440-DigDir!$C$34)</f>
        <v>4.5542810808737437</v>
      </c>
      <c r="P440">
        <f t="shared" si="7"/>
        <v>43.4</v>
      </c>
    </row>
    <row r="441" spans="10:16">
      <c r="J441" s="5"/>
      <c r="L441">
        <f>DigDir!M441</f>
        <v>-0.20233899999999999</v>
      </c>
      <c r="M441">
        <f>DigDir!N441</f>
        <v>43.5</v>
      </c>
      <c r="O441">
        <f>ABS(L441-DigDir!$C$34)</f>
        <v>4.5542810808737437</v>
      </c>
      <c r="P441">
        <f t="shared" si="7"/>
        <v>43.5</v>
      </c>
    </row>
    <row r="442" spans="10:16">
      <c r="J442" s="5"/>
      <c r="L442">
        <f>DigDir!M442</f>
        <v>-0.20233899999999999</v>
      </c>
      <c r="M442">
        <f>DigDir!N442</f>
        <v>43.6</v>
      </c>
      <c r="O442">
        <f>ABS(L442-DigDir!$C$34)</f>
        <v>4.5542810808737437</v>
      </c>
      <c r="P442">
        <f t="shared" si="7"/>
        <v>43.6</v>
      </c>
    </row>
    <row r="443" spans="10:16">
      <c r="J443" s="5"/>
      <c r="L443">
        <f>DigDir!M443</f>
        <v>-0.20233899999999999</v>
      </c>
      <c r="M443">
        <f>DigDir!N443</f>
        <v>43.7</v>
      </c>
      <c r="O443">
        <f>ABS(L443-DigDir!$C$34)</f>
        <v>4.5542810808737437</v>
      </c>
      <c r="P443">
        <f t="shared" si="7"/>
        <v>43.7</v>
      </c>
    </row>
    <row r="444" spans="10:16">
      <c r="J444" s="5"/>
      <c r="L444">
        <f>DigDir!M444</f>
        <v>-0.20233899999999999</v>
      </c>
      <c r="M444">
        <f>DigDir!N444</f>
        <v>43.8</v>
      </c>
      <c r="O444">
        <f>ABS(L444-DigDir!$C$34)</f>
        <v>4.5542810808737437</v>
      </c>
      <c r="P444">
        <f t="shared" si="7"/>
        <v>43.8</v>
      </c>
    </row>
    <row r="445" spans="10:16">
      <c r="J445" s="5"/>
      <c r="L445">
        <f>DigDir!M445</f>
        <v>-0.20233899999999999</v>
      </c>
      <c r="M445">
        <f>DigDir!N445</f>
        <v>43.9</v>
      </c>
      <c r="O445">
        <f>ABS(L445-DigDir!$C$34)</f>
        <v>4.5542810808737437</v>
      </c>
      <c r="P445">
        <f t="shared" si="7"/>
        <v>43.9</v>
      </c>
    </row>
    <row r="446" spans="10:16">
      <c r="J446" s="5"/>
      <c r="L446">
        <f>DigDir!M446</f>
        <v>-0.20233899999999999</v>
      </c>
      <c r="M446">
        <f>DigDir!N446</f>
        <v>44</v>
      </c>
      <c r="O446">
        <f>ABS(L446-DigDir!$C$34)</f>
        <v>4.5542810808737437</v>
      </c>
      <c r="P446">
        <f t="shared" si="7"/>
        <v>44</v>
      </c>
    </row>
    <row r="447" spans="10:16">
      <c r="J447" s="5"/>
      <c r="L447">
        <f>DigDir!M447</f>
        <v>-0.20233899999999999</v>
      </c>
      <c r="M447">
        <f>DigDir!N447</f>
        <v>44.1</v>
      </c>
      <c r="O447">
        <f>ABS(L447-DigDir!$C$34)</f>
        <v>4.5542810808737437</v>
      </c>
      <c r="P447">
        <f t="shared" si="7"/>
        <v>44.1</v>
      </c>
    </row>
    <row r="448" spans="10:16">
      <c r="J448" s="5"/>
      <c r="L448">
        <f>DigDir!M448</f>
        <v>-0.20233899999999999</v>
      </c>
      <c r="M448">
        <f>DigDir!N448</f>
        <v>44.2</v>
      </c>
      <c r="O448">
        <f>ABS(L448-DigDir!$C$34)</f>
        <v>4.5542810808737437</v>
      </c>
      <c r="P448">
        <f t="shared" si="7"/>
        <v>44.2</v>
      </c>
    </row>
    <row r="449" spans="10:16">
      <c r="J449" s="5"/>
      <c r="L449">
        <f>DigDir!M449</f>
        <v>-0.20233899999999999</v>
      </c>
      <c r="M449">
        <f>DigDir!N449</f>
        <v>44.3</v>
      </c>
      <c r="O449">
        <f>ABS(L449-DigDir!$C$34)</f>
        <v>4.5542810808737437</v>
      </c>
      <c r="P449">
        <f t="shared" si="7"/>
        <v>44.3</v>
      </c>
    </row>
    <row r="450" spans="10:16">
      <c r="J450" s="5"/>
      <c r="L450">
        <f>DigDir!M450</f>
        <v>-0.20233899999999999</v>
      </c>
      <c r="M450">
        <f>DigDir!N450</f>
        <v>44.4</v>
      </c>
      <c r="O450">
        <f>ABS(L450-DigDir!$C$34)</f>
        <v>4.5542810808737437</v>
      </c>
      <c r="P450">
        <f t="shared" si="7"/>
        <v>44.4</v>
      </c>
    </row>
    <row r="451" spans="10:16">
      <c r="J451" s="5"/>
      <c r="L451">
        <f>DigDir!M451</f>
        <v>-0.20233899999999999</v>
      </c>
      <c r="M451">
        <f>DigDir!N451</f>
        <v>44.5</v>
      </c>
      <c r="O451">
        <f>ABS(L451-DigDir!$C$34)</f>
        <v>4.5542810808737437</v>
      </c>
      <c r="P451">
        <f t="shared" si="7"/>
        <v>44.5</v>
      </c>
    </row>
    <row r="452" spans="10:16">
      <c r="J452" s="5"/>
      <c r="L452">
        <f>DigDir!M452</f>
        <v>-0.20233899999999999</v>
      </c>
      <c r="M452">
        <f>DigDir!N452</f>
        <v>44.6</v>
      </c>
      <c r="O452">
        <f>ABS(L452-DigDir!$C$34)</f>
        <v>4.5542810808737437</v>
      </c>
      <c r="P452">
        <f t="shared" si="7"/>
        <v>44.6</v>
      </c>
    </row>
    <row r="453" spans="10:16">
      <c r="J453" s="5"/>
      <c r="L453">
        <f>DigDir!M453</f>
        <v>-0.20233899999999999</v>
      </c>
      <c r="M453">
        <f>DigDir!N453</f>
        <v>44.7</v>
      </c>
      <c r="O453">
        <f>ABS(L453-DigDir!$C$34)</f>
        <v>4.5542810808737437</v>
      </c>
      <c r="P453">
        <f t="shared" si="7"/>
        <v>44.7</v>
      </c>
    </row>
    <row r="454" spans="10:16">
      <c r="J454" s="5"/>
      <c r="L454">
        <f>DigDir!M454</f>
        <v>-0.20233899999999999</v>
      </c>
      <c r="M454">
        <f>DigDir!N454</f>
        <v>44.8</v>
      </c>
      <c r="O454">
        <f>ABS(L454-DigDir!$C$34)</f>
        <v>4.5542810808737437</v>
      </c>
      <c r="P454">
        <f t="shared" si="7"/>
        <v>44.8</v>
      </c>
    </row>
    <row r="455" spans="10:16">
      <c r="J455" s="5"/>
      <c r="L455">
        <f>DigDir!M455</f>
        <v>-0.201873463999999</v>
      </c>
      <c r="M455">
        <f>DigDir!N455</f>
        <v>44.9</v>
      </c>
      <c r="O455">
        <f>ABS(L455-DigDir!$C$34)</f>
        <v>4.5547466168737447</v>
      </c>
      <c r="P455">
        <f t="shared" ref="P455:P518" si="8">M455</f>
        <v>44.9</v>
      </c>
    </row>
    <row r="456" spans="10:16">
      <c r="J456" s="5"/>
      <c r="L456">
        <f>DigDir!M456</f>
        <v>-0.1790622</v>
      </c>
      <c r="M456">
        <f>DigDir!N456</f>
        <v>45</v>
      </c>
      <c r="O456">
        <f>ABS(L456-DigDir!$C$34)</f>
        <v>4.5775578808737443</v>
      </c>
      <c r="P456">
        <f t="shared" si="8"/>
        <v>45</v>
      </c>
    </row>
    <row r="457" spans="10:16">
      <c r="J457" s="5"/>
      <c r="L457">
        <f>DigDir!M457</f>
        <v>-0.15625093600000001</v>
      </c>
      <c r="M457">
        <f>DigDir!N457</f>
        <v>45.1</v>
      </c>
      <c r="O457">
        <f>ABS(L457-DigDir!$C$34)</f>
        <v>4.6003691448737438</v>
      </c>
      <c r="P457">
        <f t="shared" si="8"/>
        <v>45.1</v>
      </c>
    </row>
    <row r="458" spans="10:16">
      <c r="J458" s="5"/>
      <c r="L458">
        <f>DigDir!M458</f>
        <v>-0.144147</v>
      </c>
      <c r="M458">
        <f>DigDir!N458</f>
        <v>45.2</v>
      </c>
      <c r="O458">
        <f>ABS(L458-DigDir!$C$34)</f>
        <v>4.6124730808737437</v>
      </c>
      <c r="P458">
        <f t="shared" si="8"/>
        <v>45.2</v>
      </c>
    </row>
    <row r="459" spans="10:16">
      <c r="J459" s="5"/>
      <c r="L459">
        <f>DigDir!M459</f>
        <v>-0.144147</v>
      </c>
      <c r="M459">
        <f>DigDir!N459</f>
        <v>45.3</v>
      </c>
      <c r="O459">
        <f>ABS(L459-DigDir!$C$34)</f>
        <v>4.6124730808737437</v>
      </c>
      <c r="P459">
        <f t="shared" si="8"/>
        <v>45.3</v>
      </c>
    </row>
    <row r="460" spans="10:16">
      <c r="J460" s="5"/>
      <c r="L460">
        <f>DigDir!M460</f>
        <v>-0.144147</v>
      </c>
      <c r="M460">
        <f>DigDir!N460</f>
        <v>45.4</v>
      </c>
      <c r="O460">
        <f>ABS(L460-DigDir!$C$34)</f>
        <v>4.6124730808737437</v>
      </c>
      <c r="P460">
        <f t="shared" si="8"/>
        <v>45.4</v>
      </c>
    </row>
    <row r="461" spans="10:16">
      <c r="J461" s="5"/>
      <c r="L461">
        <f>DigDir!M461</f>
        <v>-0.144147</v>
      </c>
      <c r="M461">
        <f>DigDir!N461</f>
        <v>45.5</v>
      </c>
      <c r="O461">
        <f>ABS(L461-DigDir!$C$34)</f>
        <v>4.6124730808737437</v>
      </c>
      <c r="P461">
        <f t="shared" si="8"/>
        <v>45.5</v>
      </c>
    </row>
    <row r="462" spans="10:16">
      <c r="J462" s="5"/>
      <c r="L462">
        <f>DigDir!M462</f>
        <v>-0.144147</v>
      </c>
      <c r="M462">
        <f>DigDir!N462</f>
        <v>45.6</v>
      </c>
      <c r="O462">
        <f>ABS(L462-DigDir!$C$34)</f>
        <v>4.6124730808737437</v>
      </c>
      <c r="P462">
        <f t="shared" si="8"/>
        <v>45.6</v>
      </c>
    </row>
    <row r="463" spans="10:16">
      <c r="J463" s="5"/>
      <c r="L463">
        <f>DigDir!M463</f>
        <v>-0.144147</v>
      </c>
      <c r="M463">
        <f>DigDir!N463</f>
        <v>45.7</v>
      </c>
      <c r="O463">
        <f>ABS(L463-DigDir!$C$34)</f>
        <v>4.6124730808737437</v>
      </c>
      <c r="P463">
        <f t="shared" si="8"/>
        <v>45.7</v>
      </c>
    </row>
    <row r="464" spans="10:16">
      <c r="J464" s="5"/>
      <c r="L464">
        <f>DigDir!M464</f>
        <v>-0.144147</v>
      </c>
      <c r="M464">
        <f>DigDir!N464</f>
        <v>45.8</v>
      </c>
      <c r="O464">
        <f>ABS(L464-DigDir!$C$34)</f>
        <v>4.6124730808737437</v>
      </c>
      <c r="P464">
        <f t="shared" si="8"/>
        <v>45.8</v>
      </c>
    </row>
    <row r="465" spans="10:16">
      <c r="J465" s="5"/>
      <c r="L465">
        <f>DigDir!M465</f>
        <v>-0.144147</v>
      </c>
      <c r="M465">
        <f>DigDir!N465</f>
        <v>45.9</v>
      </c>
      <c r="O465">
        <f>ABS(L465-DigDir!$C$34)</f>
        <v>4.6124730808737437</v>
      </c>
      <c r="P465">
        <f t="shared" si="8"/>
        <v>45.9</v>
      </c>
    </row>
    <row r="466" spans="10:16">
      <c r="J466" s="5"/>
      <c r="L466">
        <f>DigDir!M466</f>
        <v>-0.144147</v>
      </c>
      <c r="M466">
        <f>DigDir!N466</f>
        <v>46</v>
      </c>
      <c r="O466">
        <f>ABS(L466-DigDir!$C$34)</f>
        <v>4.6124730808737437</v>
      </c>
      <c r="P466">
        <f t="shared" si="8"/>
        <v>46</v>
      </c>
    </row>
    <row r="467" spans="10:16">
      <c r="J467" s="5"/>
      <c r="L467">
        <f>DigDir!M467</f>
        <v>-0.144147</v>
      </c>
      <c r="M467">
        <f>DigDir!N467</f>
        <v>46.1</v>
      </c>
      <c r="O467">
        <f>ABS(L467-DigDir!$C$34)</f>
        <v>4.6124730808737437</v>
      </c>
      <c r="P467">
        <f t="shared" si="8"/>
        <v>46.1</v>
      </c>
    </row>
    <row r="468" spans="10:16">
      <c r="J468" s="5"/>
      <c r="L468">
        <f>DigDir!M468</f>
        <v>-0.144147</v>
      </c>
      <c r="M468">
        <f>DigDir!N468</f>
        <v>46.2</v>
      </c>
      <c r="O468">
        <f>ABS(L468-DigDir!$C$34)</f>
        <v>4.6124730808737437</v>
      </c>
      <c r="P468">
        <f t="shared" si="8"/>
        <v>46.2</v>
      </c>
    </row>
    <row r="469" spans="10:16">
      <c r="J469" s="5"/>
      <c r="L469">
        <f>DigDir!M469</f>
        <v>-0.144147</v>
      </c>
      <c r="M469">
        <f>DigDir!N469</f>
        <v>46.3</v>
      </c>
      <c r="O469">
        <f>ABS(L469-DigDir!$C$34)</f>
        <v>4.6124730808737437</v>
      </c>
      <c r="P469">
        <f t="shared" si="8"/>
        <v>46.3</v>
      </c>
    </row>
    <row r="470" spans="10:16">
      <c r="J470" s="5"/>
      <c r="L470">
        <f>DigDir!M470</f>
        <v>-0.144147</v>
      </c>
      <c r="M470">
        <f>DigDir!N470</f>
        <v>46.4</v>
      </c>
      <c r="O470">
        <f>ABS(L470-DigDir!$C$34)</f>
        <v>4.6124730808737437</v>
      </c>
      <c r="P470">
        <f t="shared" si="8"/>
        <v>46.4</v>
      </c>
    </row>
    <row r="471" spans="10:16">
      <c r="J471" s="5"/>
      <c r="L471">
        <f>DigDir!M471</f>
        <v>-0.144147</v>
      </c>
      <c r="M471">
        <f>DigDir!N471</f>
        <v>46.5</v>
      </c>
      <c r="O471">
        <f>ABS(L471-DigDir!$C$34)</f>
        <v>4.6124730808737437</v>
      </c>
      <c r="P471">
        <f t="shared" si="8"/>
        <v>46.5</v>
      </c>
    </row>
    <row r="472" spans="10:16">
      <c r="J472" s="5"/>
      <c r="L472">
        <f>DigDir!M472</f>
        <v>-0.144147</v>
      </c>
      <c r="M472">
        <f>DigDir!N472</f>
        <v>46.6</v>
      </c>
      <c r="O472">
        <f>ABS(L472-DigDir!$C$34)</f>
        <v>4.6124730808737437</v>
      </c>
      <c r="P472">
        <f t="shared" si="8"/>
        <v>46.6</v>
      </c>
    </row>
    <row r="473" spans="10:16">
      <c r="J473" s="5"/>
      <c r="L473">
        <f>DigDir!M473</f>
        <v>-0.144147</v>
      </c>
      <c r="M473">
        <f>DigDir!N473</f>
        <v>46.7</v>
      </c>
      <c r="O473">
        <f>ABS(L473-DigDir!$C$34)</f>
        <v>4.6124730808737437</v>
      </c>
      <c r="P473">
        <f t="shared" si="8"/>
        <v>46.7</v>
      </c>
    </row>
    <row r="474" spans="10:16">
      <c r="J474" s="5"/>
      <c r="L474">
        <f>DigDir!M474</f>
        <v>-0.144147</v>
      </c>
      <c r="M474">
        <f>DigDir!N474</f>
        <v>46.8</v>
      </c>
      <c r="O474">
        <f>ABS(L474-DigDir!$C$34)</f>
        <v>4.6124730808737437</v>
      </c>
      <c r="P474">
        <f t="shared" si="8"/>
        <v>46.8</v>
      </c>
    </row>
    <row r="475" spans="10:16">
      <c r="J475" s="5"/>
      <c r="L475">
        <f>DigDir!M475</f>
        <v>-0.144147</v>
      </c>
      <c r="M475">
        <f>DigDir!N475</f>
        <v>46.9</v>
      </c>
      <c r="O475">
        <f>ABS(L475-DigDir!$C$34)</f>
        <v>4.6124730808737437</v>
      </c>
      <c r="P475">
        <f t="shared" si="8"/>
        <v>46.9</v>
      </c>
    </row>
    <row r="476" spans="10:16">
      <c r="J476" s="5"/>
      <c r="L476">
        <f>DigDir!M476</f>
        <v>-0.144147</v>
      </c>
      <c r="M476">
        <f>DigDir!N476</f>
        <v>47</v>
      </c>
      <c r="O476">
        <f>ABS(L476-DigDir!$C$34)</f>
        <v>4.6124730808737437</v>
      </c>
      <c r="P476">
        <f t="shared" si="8"/>
        <v>47</v>
      </c>
    </row>
    <row r="477" spans="10:16">
      <c r="J477" s="5"/>
      <c r="L477">
        <f>DigDir!M477</f>
        <v>-0.144147</v>
      </c>
      <c r="M477">
        <f>DigDir!N477</f>
        <v>47.1</v>
      </c>
      <c r="O477">
        <f>ABS(L477-DigDir!$C$34)</f>
        <v>4.6124730808737437</v>
      </c>
      <c r="P477">
        <f t="shared" si="8"/>
        <v>47.1</v>
      </c>
    </row>
    <row r="478" spans="10:16">
      <c r="J478" s="5"/>
      <c r="L478">
        <f>DigDir!M478</f>
        <v>-0.144147</v>
      </c>
      <c r="M478">
        <f>DigDir!N478</f>
        <v>47.2</v>
      </c>
      <c r="O478">
        <f>ABS(L478-DigDir!$C$34)</f>
        <v>4.6124730808737437</v>
      </c>
      <c r="P478">
        <f t="shared" si="8"/>
        <v>47.2</v>
      </c>
    </row>
    <row r="479" spans="10:16">
      <c r="J479" s="5"/>
      <c r="L479">
        <f>DigDir!M479</f>
        <v>-0.144147</v>
      </c>
      <c r="M479">
        <f>DigDir!N479</f>
        <v>47.3</v>
      </c>
      <c r="O479">
        <f>ABS(L479-DigDir!$C$34)</f>
        <v>4.6124730808737437</v>
      </c>
      <c r="P479">
        <f t="shared" si="8"/>
        <v>47.3</v>
      </c>
    </row>
    <row r="480" spans="10:16">
      <c r="J480" s="5"/>
      <c r="L480">
        <f>DigDir!M480</f>
        <v>-0.144147</v>
      </c>
      <c r="M480">
        <f>DigDir!N480</f>
        <v>47.4</v>
      </c>
      <c r="O480">
        <f>ABS(L480-DigDir!$C$34)</f>
        <v>4.6124730808737437</v>
      </c>
      <c r="P480">
        <f t="shared" si="8"/>
        <v>47.4</v>
      </c>
    </row>
    <row r="481" spans="10:16">
      <c r="J481" s="5"/>
      <c r="L481">
        <f>DigDir!M481</f>
        <v>-0.132508599999999</v>
      </c>
      <c r="M481">
        <f>DigDir!N481</f>
        <v>47.5</v>
      </c>
      <c r="O481">
        <f>ABS(L481-DigDir!$C$34)</f>
        <v>4.6241114808737454</v>
      </c>
      <c r="P481">
        <f t="shared" si="8"/>
        <v>47.5</v>
      </c>
    </row>
    <row r="482" spans="10:16">
      <c r="J482" s="5"/>
      <c r="L482">
        <f>DigDir!M482</f>
        <v>-0.10969733599999899</v>
      </c>
      <c r="M482">
        <f>DigDir!N482</f>
        <v>47.6</v>
      </c>
      <c r="O482">
        <f>ABS(L482-DigDir!$C$34)</f>
        <v>4.6469227448737449</v>
      </c>
      <c r="P482">
        <f t="shared" si="8"/>
        <v>47.6</v>
      </c>
    </row>
    <row r="483" spans="10:16">
      <c r="J483" s="5"/>
      <c r="L483">
        <f>DigDir!M483</f>
        <v>-8.6886071999999495E-2</v>
      </c>
      <c r="M483">
        <f>DigDir!N483</f>
        <v>47.7</v>
      </c>
      <c r="O483">
        <f>ABS(L483-DigDir!$C$34)</f>
        <v>4.6697340088737445</v>
      </c>
      <c r="P483">
        <f t="shared" si="8"/>
        <v>47.7</v>
      </c>
    </row>
    <row r="484" spans="10:16">
      <c r="J484" s="5"/>
      <c r="L484">
        <f>DigDir!M484</f>
        <v>-8.5955000000000004E-2</v>
      </c>
      <c r="M484">
        <f>DigDir!N484</f>
        <v>47.8</v>
      </c>
      <c r="O484">
        <f>ABS(L484-DigDir!$C$34)</f>
        <v>4.6706650808737438</v>
      </c>
      <c r="P484">
        <f t="shared" si="8"/>
        <v>47.8</v>
      </c>
    </row>
    <row r="485" spans="10:16">
      <c r="J485" s="5"/>
      <c r="L485">
        <f>DigDir!M485</f>
        <v>-8.5955000000000004E-2</v>
      </c>
      <c r="M485">
        <f>DigDir!N485</f>
        <v>47.9</v>
      </c>
      <c r="O485">
        <f>ABS(L485-DigDir!$C$34)</f>
        <v>4.6706650808737438</v>
      </c>
      <c r="P485">
        <f t="shared" si="8"/>
        <v>47.9</v>
      </c>
    </row>
    <row r="486" spans="10:16">
      <c r="J486" s="5"/>
      <c r="L486">
        <f>DigDir!M486</f>
        <v>-8.5955000000000004E-2</v>
      </c>
      <c r="M486">
        <f>DigDir!N486</f>
        <v>48</v>
      </c>
      <c r="O486">
        <f>ABS(L486-DigDir!$C$34)</f>
        <v>4.6706650808737438</v>
      </c>
      <c r="P486">
        <f t="shared" si="8"/>
        <v>48</v>
      </c>
    </row>
    <row r="487" spans="10:16">
      <c r="J487" s="5"/>
      <c r="L487">
        <f>DigDir!M487</f>
        <v>-8.5955000000000004E-2</v>
      </c>
      <c r="M487">
        <f>DigDir!N487</f>
        <v>48.1</v>
      </c>
      <c r="O487">
        <f>ABS(L487-DigDir!$C$34)</f>
        <v>4.6706650808737438</v>
      </c>
      <c r="P487">
        <f t="shared" si="8"/>
        <v>48.1</v>
      </c>
    </row>
    <row r="488" spans="10:16">
      <c r="J488" s="5"/>
      <c r="L488">
        <f>DigDir!M488</f>
        <v>-8.5955000000000004E-2</v>
      </c>
      <c r="M488">
        <f>DigDir!N488</f>
        <v>48.2</v>
      </c>
      <c r="O488">
        <f>ABS(L488-DigDir!$C$34)</f>
        <v>4.6706650808737438</v>
      </c>
      <c r="P488">
        <f t="shared" si="8"/>
        <v>48.2</v>
      </c>
    </row>
    <row r="489" spans="10:16">
      <c r="J489" s="5"/>
      <c r="L489">
        <f>DigDir!M489</f>
        <v>-8.5955000000000004E-2</v>
      </c>
      <c r="M489">
        <f>DigDir!N489</f>
        <v>48.3</v>
      </c>
      <c r="O489">
        <f>ABS(L489-DigDir!$C$34)</f>
        <v>4.6706650808737438</v>
      </c>
      <c r="P489">
        <f t="shared" si="8"/>
        <v>48.3</v>
      </c>
    </row>
    <row r="490" spans="10:16">
      <c r="J490" s="5"/>
      <c r="L490">
        <f>DigDir!M490</f>
        <v>-8.5955000000000004E-2</v>
      </c>
      <c r="M490">
        <f>DigDir!N490</f>
        <v>48.4</v>
      </c>
      <c r="O490">
        <f>ABS(L490-DigDir!$C$34)</f>
        <v>4.6706650808737438</v>
      </c>
      <c r="P490">
        <f t="shared" si="8"/>
        <v>48.4</v>
      </c>
    </row>
    <row r="491" spans="10:16">
      <c r="J491" s="5"/>
      <c r="L491">
        <f>DigDir!M491</f>
        <v>-8.5955000000000004E-2</v>
      </c>
      <c r="M491">
        <f>DigDir!N491</f>
        <v>48.5</v>
      </c>
      <c r="O491">
        <f>ABS(L491-DigDir!$C$34)</f>
        <v>4.6706650808737438</v>
      </c>
      <c r="P491">
        <f t="shared" si="8"/>
        <v>48.5</v>
      </c>
    </row>
    <row r="492" spans="10:16">
      <c r="J492" s="5"/>
      <c r="L492">
        <f>DigDir!M492</f>
        <v>-8.5955000000000004E-2</v>
      </c>
      <c r="M492">
        <f>DigDir!N492</f>
        <v>48.6</v>
      </c>
      <c r="O492">
        <f>ABS(L492-DigDir!$C$34)</f>
        <v>4.6706650808737438</v>
      </c>
      <c r="P492">
        <f t="shared" si="8"/>
        <v>48.6</v>
      </c>
    </row>
    <row r="493" spans="10:16">
      <c r="J493" s="5"/>
      <c r="L493">
        <f>DigDir!M493</f>
        <v>-8.5955000000000004E-2</v>
      </c>
      <c r="M493">
        <f>DigDir!N493</f>
        <v>48.7</v>
      </c>
      <c r="O493">
        <f>ABS(L493-DigDir!$C$34)</f>
        <v>4.6706650808737438</v>
      </c>
      <c r="P493">
        <f t="shared" si="8"/>
        <v>48.7</v>
      </c>
    </row>
    <row r="494" spans="10:16">
      <c r="J494" s="5"/>
      <c r="L494">
        <f>DigDir!M494</f>
        <v>-8.5955000000000004E-2</v>
      </c>
      <c r="M494">
        <f>DigDir!N494</f>
        <v>48.8</v>
      </c>
      <c r="O494">
        <f>ABS(L494-DigDir!$C$34)</f>
        <v>4.6706650808737438</v>
      </c>
      <c r="P494">
        <f t="shared" si="8"/>
        <v>48.8</v>
      </c>
    </row>
    <row r="495" spans="10:16">
      <c r="J495" s="5"/>
      <c r="L495">
        <f>DigDir!M495</f>
        <v>-8.5955000000000004E-2</v>
      </c>
      <c r="M495">
        <f>DigDir!N495</f>
        <v>48.9</v>
      </c>
      <c r="O495">
        <f>ABS(L495-DigDir!$C$34)</f>
        <v>4.6706650808737438</v>
      </c>
      <c r="P495">
        <f t="shared" si="8"/>
        <v>48.9</v>
      </c>
    </row>
    <row r="496" spans="10:16">
      <c r="J496" s="5"/>
      <c r="L496">
        <f>DigDir!M496</f>
        <v>-8.5955000000000004E-2</v>
      </c>
      <c r="M496">
        <f>DigDir!N496</f>
        <v>49</v>
      </c>
      <c r="O496">
        <f>ABS(L496-DigDir!$C$34)</f>
        <v>4.6706650808737438</v>
      </c>
      <c r="P496">
        <f t="shared" si="8"/>
        <v>49</v>
      </c>
    </row>
    <row r="497" spans="10:16">
      <c r="J497" s="5"/>
      <c r="L497">
        <f>DigDir!M497</f>
        <v>-8.5955000000000004E-2</v>
      </c>
      <c r="M497">
        <f>DigDir!N497</f>
        <v>49.1</v>
      </c>
      <c r="O497">
        <f>ABS(L497-DigDir!$C$34)</f>
        <v>4.6706650808737438</v>
      </c>
      <c r="P497">
        <f t="shared" si="8"/>
        <v>49.1</v>
      </c>
    </row>
    <row r="498" spans="10:16">
      <c r="J498" s="5"/>
      <c r="L498">
        <f>DigDir!M498</f>
        <v>-8.5955000000000004E-2</v>
      </c>
      <c r="M498">
        <f>DigDir!N498</f>
        <v>49.2</v>
      </c>
      <c r="O498">
        <f>ABS(L498-DigDir!$C$34)</f>
        <v>4.6706650808737438</v>
      </c>
      <c r="P498">
        <f t="shared" si="8"/>
        <v>49.2</v>
      </c>
    </row>
    <row r="499" spans="10:16">
      <c r="J499" s="5"/>
      <c r="L499">
        <f>DigDir!M499</f>
        <v>-8.5955000000000004E-2</v>
      </c>
      <c r="M499">
        <f>DigDir!N499</f>
        <v>49.3</v>
      </c>
      <c r="O499">
        <f>ABS(L499-DigDir!$C$34)</f>
        <v>4.6706650808737438</v>
      </c>
      <c r="P499">
        <f t="shared" si="8"/>
        <v>49.3</v>
      </c>
    </row>
    <row r="500" spans="10:16">
      <c r="J500" s="5"/>
      <c r="L500">
        <f>DigDir!M500</f>
        <v>-8.5955000000000004E-2</v>
      </c>
      <c r="M500">
        <f>DigDir!N500</f>
        <v>49.4</v>
      </c>
      <c r="O500">
        <f>ABS(L500-DigDir!$C$34)</f>
        <v>4.6706650808737438</v>
      </c>
      <c r="P500">
        <f t="shared" si="8"/>
        <v>49.4</v>
      </c>
    </row>
    <row r="501" spans="10:16">
      <c r="J501" s="5"/>
      <c r="L501">
        <f>DigDir!M501</f>
        <v>-8.5955000000000004E-2</v>
      </c>
      <c r="M501">
        <f>DigDir!N501</f>
        <v>49.5</v>
      </c>
      <c r="O501">
        <f>ABS(L501-DigDir!$C$34)</f>
        <v>4.6706650808737438</v>
      </c>
      <c r="P501">
        <f t="shared" si="8"/>
        <v>49.5</v>
      </c>
    </row>
    <row r="502" spans="10:16">
      <c r="J502" s="5"/>
      <c r="L502">
        <f>DigDir!M502</f>
        <v>-8.5955000000000004E-2</v>
      </c>
      <c r="M502">
        <f>DigDir!N502</f>
        <v>49.6</v>
      </c>
      <c r="O502">
        <f>ABS(L502-DigDir!$C$34)</f>
        <v>4.6706650808737438</v>
      </c>
      <c r="P502">
        <f t="shared" si="8"/>
        <v>49.6</v>
      </c>
    </row>
    <row r="503" spans="10:16">
      <c r="J503" s="5"/>
      <c r="L503">
        <f>DigDir!M503</f>
        <v>-8.5955000000000004E-2</v>
      </c>
      <c r="M503">
        <f>DigDir!N503</f>
        <v>49.7</v>
      </c>
      <c r="O503">
        <f>ABS(L503-DigDir!$C$34)</f>
        <v>4.6706650808737438</v>
      </c>
      <c r="P503">
        <f t="shared" si="8"/>
        <v>49.7</v>
      </c>
    </row>
    <row r="504" spans="10:16">
      <c r="J504" s="5"/>
      <c r="L504">
        <f>DigDir!M504</f>
        <v>-8.5955000000000004E-2</v>
      </c>
      <c r="M504">
        <f>DigDir!N504</f>
        <v>49.8</v>
      </c>
      <c r="O504">
        <f>ABS(L504-DigDir!$C$34)</f>
        <v>4.6706650808737438</v>
      </c>
      <c r="P504">
        <f t="shared" si="8"/>
        <v>49.8</v>
      </c>
    </row>
    <row r="505" spans="10:16">
      <c r="J505" s="5"/>
      <c r="L505">
        <f>DigDir!M505</f>
        <v>-8.5955000000000004E-2</v>
      </c>
      <c r="M505">
        <f>DigDir!N505</f>
        <v>49.9</v>
      </c>
      <c r="O505">
        <f>ABS(L505-DigDir!$C$34)</f>
        <v>4.6706650808737438</v>
      </c>
      <c r="P505">
        <f t="shared" si="8"/>
        <v>49.9</v>
      </c>
    </row>
    <row r="506" spans="10:16">
      <c r="J506" s="5"/>
      <c r="L506">
        <f>DigDir!M506</f>
        <v>-8.5955000000000004E-2</v>
      </c>
      <c r="M506">
        <f>DigDir!N506</f>
        <v>50</v>
      </c>
      <c r="O506">
        <f>ABS(L506-DigDir!$C$34)</f>
        <v>4.6706650808737438</v>
      </c>
      <c r="P506">
        <f t="shared" si="8"/>
        <v>50</v>
      </c>
    </row>
    <row r="507" spans="10:16">
      <c r="J507" s="5"/>
      <c r="L507">
        <f>DigDir!M507</f>
        <v>-8.5955000000000004E-2</v>
      </c>
      <c r="M507">
        <f>DigDir!N507</f>
        <v>50.1</v>
      </c>
      <c r="O507">
        <f>ABS(L507-DigDir!$C$34)</f>
        <v>4.6706650808737438</v>
      </c>
      <c r="P507">
        <f t="shared" si="8"/>
        <v>50.1</v>
      </c>
    </row>
    <row r="508" spans="10:16">
      <c r="J508" s="5"/>
      <c r="L508">
        <f>DigDir!M508</f>
        <v>-8.5955000000000004E-2</v>
      </c>
      <c r="M508">
        <f>DigDir!N508</f>
        <v>50.2</v>
      </c>
      <c r="O508">
        <f>ABS(L508-DigDir!$C$34)</f>
        <v>4.6706650808737438</v>
      </c>
      <c r="P508">
        <f t="shared" si="8"/>
        <v>50.2</v>
      </c>
    </row>
    <row r="509" spans="10:16">
      <c r="J509" s="5"/>
      <c r="L509">
        <f>DigDir!M509</f>
        <v>-8.5955000000000004E-2</v>
      </c>
      <c r="M509">
        <f>DigDir!N509</f>
        <v>50.3</v>
      </c>
      <c r="O509">
        <f>ABS(L509-DigDir!$C$34)</f>
        <v>4.6706650808737438</v>
      </c>
      <c r="P509">
        <f t="shared" si="8"/>
        <v>50.3</v>
      </c>
    </row>
    <row r="510" spans="10:16">
      <c r="J510" s="5"/>
      <c r="L510">
        <f>DigDir!M510</f>
        <v>-8.5955000000000004E-2</v>
      </c>
      <c r="M510">
        <f>DigDir!N510</f>
        <v>50.4</v>
      </c>
      <c r="O510">
        <f>ABS(L510-DigDir!$C$34)</f>
        <v>4.6706650808737438</v>
      </c>
      <c r="P510">
        <f t="shared" si="8"/>
        <v>50.4</v>
      </c>
    </row>
    <row r="511" spans="10:16">
      <c r="J511" s="5"/>
      <c r="L511">
        <f>DigDir!M511</f>
        <v>-8.5955000000000004E-2</v>
      </c>
      <c r="M511">
        <f>DigDir!N511</f>
        <v>50.5</v>
      </c>
      <c r="O511">
        <f>ABS(L511-DigDir!$C$34)</f>
        <v>4.6706650808737438</v>
      </c>
      <c r="P511">
        <f t="shared" si="8"/>
        <v>50.5</v>
      </c>
    </row>
    <row r="512" spans="10:16">
      <c r="J512" s="5"/>
      <c r="L512">
        <f>DigDir!M512</f>
        <v>-8.5955000000000004E-2</v>
      </c>
      <c r="M512">
        <f>DigDir!N512</f>
        <v>50.6</v>
      </c>
      <c r="O512">
        <f>ABS(L512-DigDir!$C$34)</f>
        <v>4.6706650808737438</v>
      </c>
      <c r="P512">
        <f t="shared" si="8"/>
        <v>50.6</v>
      </c>
    </row>
    <row r="513" spans="10:16">
      <c r="J513" s="5"/>
      <c r="L513">
        <f>DigDir!M513</f>
        <v>-8.5955000000000004E-2</v>
      </c>
      <c r="M513">
        <f>DigDir!N513</f>
        <v>50.7</v>
      </c>
      <c r="O513">
        <f>ABS(L513-DigDir!$C$34)</f>
        <v>4.6706650808737438</v>
      </c>
      <c r="P513">
        <f t="shared" si="8"/>
        <v>50.7</v>
      </c>
    </row>
    <row r="514" spans="10:16">
      <c r="J514" s="5"/>
      <c r="L514">
        <f>DigDir!M514</f>
        <v>-8.5955000000000004E-2</v>
      </c>
      <c r="M514">
        <f>DigDir!N514</f>
        <v>50.8</v>
      </c>
      <c r="O514">
        <f>ABS(L514-DigDir!$C$34)</f>
        <v>4.6706650808737438</v>
      </c>
      <c r="P514">
        <f t="shared" si="8"/>
        <v>50.8</v>
      </c>
    </row>
    <row r="515" spans="10:16">
      <c r="J515" s="5"/>
      <c r="L515">
        <f>DigDir!M515</f>
        <v>-8.5955000000000004E-2</v>
      </c>
      <c r="M515">
        <f>DigDir!N515</f>
        <v>50.9</v>
      </c>
      <c r="O515">
        <f>ABS(L515-DigDir!$C$34)</f>
        <v>4.6706650808737438</v>
      </c>
      <c r="P515">
        <f t="shared" si="8"/>
        <v>50.9</v>
      </c>
    </row>
    <row r="516" spans="10:16">
      <c r="J516" s="5"/>
      <c r="L516">
        <f>DigDir!M516</f>
        <v>-8.5955000000000004E-2</v>
      </c>
      <c r="M516">
        <f>DigDir!N516</f>
        <v>51</v>
      </c>
      <c r="O516">
        <f>ABS(L516-DigDir!$C$34)</f>
        <v>4.6706650808737438</v>
      </c>
      <c r="P516">
        <f t="shared" si="8"/>
        <v>51</v>
      </c>
    </row>
    <row r="517" spans="10:16">
      <c r="J517" s="5"/>
      <c r="L517">
        <f>DigDir!M517</f>
        <v>-8.5955000000000004E-2</v>
      </c>
      <c r="M517">
        <f>DigDir!N517</f>
        <v>51.1</v>
      </c>
      <c r="O517">
        <f>ABS(L517-DigDir!$C$34)</f>
        <v>4.6706650808737438</v>
      </c>
      <c r="P517">
        <f t="shared" si="8"/>
        <v>51.1</v>
      </c>
    </row>
    <row r="518" spans="10:16">
      <c r="J518" s="5"/>
      <c r="L518">
        <f>DigDir!M518</f>
        <v>-8.5955000000000004E-2</v>
      </c>
      <c r="M518">
        <f>DigDir!N518</f>
        <v>51.2</v>
      </c>
      <c r="O518">
        <f>ABS(L518-DigDir!$C$34)</f>
        <v>4.6706650808737438</v>
      </c>
      <c r="P518">
        <f t="shared" si="8"/>
        <v>51.2</v>
      </c>
    </row>
    <row r="519" spans="10:16">
      <c r="J519" s="5"/>
      <c r="L519">
        <f>DigDir!M519</f>
        <v>-8.5955000000000004E-2</v>
      </c>
      <c r="M519">
        <f>DigDir!N519</f>
        <v>51.3</v>
      </c>
      <c r="O519">
        <f>ABS(L519-DigDir!$C$34)</f>
        <v>4.6706650808737438</v>
      </c>
      <c r="P519">
        <f t="shared" ref="P519:P582" si="9">M519</f>
        <v>51.3</v>
      </c>
    </row>
    <row r="520" spans="10:16">
      <c r="J520" s="5"/>
      <c r="L520">
        <f>DigDir!M520</f>
        <v>-8.5955000000000004E-2</v>
      </c>
      <c r="M520">
        <f>DigDir!N520</f>
        <v>51.4</v>
      </c>
      <c r="O520">
        <f>ABS(L520-DigDir!$C$34)</f>
        <v>4.6706650808737438</v>
      </c>
      <c r="P520">
        <f t="shared" si="9"/>
        <v>51.4</v>
      </c>
    </row>
    <row r="521" spans="10:16">
      <c r="J521" s="5"/>
      <c r="L521">
        <f>DigDir!M521</f>
        <v>-8.5955000000000004E-2</v>
      </c>
      <c r="M521">
        <f>DigDir!N521</f>
        <v>51.5</v>
      </c>
      <c r="O521">
        <f>ABS(L521-DigDir!$C$34)</f>
        <v>4.6706650808737438</v>
      </c>
      <c r="P521">
        <f t="shared" si="9"/>
        <v>51.5</v>
      </c>
    </row>
    <row r="522" spans="10:16">
      <c r="J522" s="5"/>
      <c r="L522">
        <f>DigDir!M522</f>
        <v>-8.5955000000000004E-2</v>
      </c>
      <c r="M522">
        <f>DigDir!N522</f>
        <v>51.6</v>
      </c>
      <c r="O522">
        <f>ABS(L522-DigDir!$C$34)</f>
        <v>4.6706650808737438</v>
      </c>
      <c r="P522">
        <f t="shared" si="9"/>
        <v>51.6</v>
      </c>
    </row>
    <row r="523" spans="10:16">
      <c r="J523" s="5"/>
      <c r="L523">
        <f>DigDir!M523</f>
        <v>-8.5955000000000004E-2</v>
      </c>
      <c r="M523">
        <f>DigDir!N523</f>
        <v>51.7</v>
      </c>
      <c r="O523">
        <f>ABS(L523-DigDir!$C$34)</f>
        <v>4.6706650808737438</v>
      </c>
      <c r="P523">
        <f t="shared" si="9"/>
        <v>51.7</v>
      </c>
    </row>
    <row r="524" spans="10:16">
      <c r="J524" s="5"/>
      <c r="L524">
        <f>DigDir!M524</f>
        <v>-8.5955000000000004E-2</v>
      </c>
      <c r="M524">
        <f>DigDir!N524</f>
        <v>51.8</v>
      </c>
      <c r="O524">
        <f>ABS(L524-DigDir!$C$34)</f>
        <v>4.6706650808737438</v>
      </c>
      <c r="P524">
        <f t="shared" si="9"/>
        <v>51.8</v>
      </c>
    </row>
    <row r="525" spans="10:16">
      <c r="J525" s="5"/>
      <c r="L525">
        <f>DigDir!M525</f>
        <v>-8.5955000000000004E-2</v>
      </c>
      <c r="M525">
        <f>DigDir!N525</f>
        <v>51.9</v>
      </c>
      <c r="O525">
        <f>ABS(L525-DigDir!$C$34)</f>
        <v>4.6706650808737438</v>
      </c>
      <c r="P525">
        <f t="shared" si="9"/>
        <v>51.9</v>
      </c>
    </row>
    <row r="526" spans="10:16">
      <c r="J526" s="5"/>
      <c r="L526">
        <f>DigDir!M526</f>
        <v>-8.5955000000000004E-2</v>
      </c>
      <c r="M526">
        <f>DigDir!N526</f>
        <v>52</v>
      </c>
      <c r="O526">
        <f>ABS(L526-DigDir!$C$34)</f>
        <v>4.6706650808737438</v>
      </c>
      <c r="P526">
        <f t="shared" si="9"/>
        <v>52</v>
      </c>
    </row>
    <row r="527" spans="10:16">
      <c r="J527" s="5"/>
      <c r="L527">
        <f>DigDir!M527</f>
        <v>-8.5955000000000004E-2</v>
      </c>
      <c r="M527">
        <f>DigDir!N527</f>
        <v>52.1</v>
      </c>
      <c r="O527">
        <f>ABS(L527-DigDir!$C$34)</f>
        <v>4.6706650808737438</v>
      </c>
      <c r="P527">
        <f t="shared" si="9"/>
        <v>52.1</v>
      </c>
    </row>
    <row r="528" spans="10:16">
      <c r="J528" s="5"/>
      <c r="L528">
        <f>DigDir!M528</f>
        <v>-8.5955000000000004E-2</v>
      </c>
      <c r="M528">
        <f>DigDir!N528</f>
        <v>52.2</v>
      </c>
      <c r="O528">
        <f>ABS(L528-DigDir!$C$34)</f>
        <v>4.6706650808737438</v>
      </c>
      <c r="P528">
        <f t="shared" si="9"/>
        <v>52.2</v>
      </c>
    </row>
    <row r="529" spans="10:16">
      <c r="J529" s="5"/>
      <c r="L529">
        <f>DigDir!M529</f>
        <v>-8.5955000000000004E-2</v>
      </c>
      <c r="M529">
        <f>DigDir!N529</f>
        <v>52.3</v>
      </c>
      <c r="O529">
        <f>ABS(L529-DigDir!$C$34)</f>
        <v>4.6706650808737438</v>
      </c>
      <c r="P529">
        <f t="shared" si="9"/>
        <v>52.3</v>
      </c>
    </row>
    <row r="530" spans="10:16">
      <c r="J530" s="5"/>
      <c r="L530">
        <f>DigDir!M530</f>
        <v>-8.5955000000000004E-2</v>
      </c>
      <c r="M530">
        <f>DigDir!N530</f>
        <v>52.4</v>
      </c>
      <c r="O530">
        <f>ABS(L530-DigDir!$C$34)</f>
        <v>4.6706650808737438</v>
      </c>
      <c r="P530">
        <f t="shared" si="9"/>
        <v>52.4</v>
      </c>
    </row>
    <row r="531" spans="10:16">
      <c r="J531" s="5"/>
      <c r="L531">
        <f>DigDir!M531</f>
        <v>-8.5955000000000004E-2</v>
      </c>
      <c r="M531">
        <f>DigDir!N531</f>
        <v>52.5</v>
      </c>
      <c r="O531">
        <f>ABS(L531-DigDir!$C$34)</f>
        <v>4.6706650808737438</v>
      </c>
      <c r="P531">
        <f t="shared" si="9"/>
        <v>52.5</v>
      </c>
    </row>
    <row r="532" spans="10:16">
      <c r="J532" s="5"/>
      <c r="L532">
        <f>DigDir!M532</f>
        <v>-8.5955000000000004E-2</v>
      </c>
      <c r="M532">
        <f>DigDir!N532</f>
        <v>52.6</v>
      </c>
      <c r="O532">
        <f>ABS(L532-DigDir!$C$34)</f>
        <v>4.6706650808737438</v>
      </c>
      <c r="P532">
        <f t="shared" si="9"/>
        <v>52.6</v>
      </c>
    </row>
    <row r="533" spans="10:16">
      <c r="J533" s="5"/>
      <c r="L533">
        <f>DigDir!M533</f>
        <v>-8.5955000000000004E-2</v>
      </c>
      <c r="M533">
        <f>DigDir!N533</f>
        <v>52.7</v>
      </c>
      <c r="O533">
        <f>ABS(L533-DigDir!$C$34)</f>
        <v>4.6706650808737438</v>
      </c>
      <c r="P533">
        <f t="shared" si="9"/>
        <v>52.7</v>
      </c>
    </row>
    <row r="534" spans="10:16">
      <c r="J534" s="5"/>
      <c r="L534">
        <f>DigDir!M534</f>
        <v>-8.5955000000000004E-2</v>
      </c>
      <c r="M534">
        <f>DigDir!N534</f>
        <v>52.8</v>
      </c>
      <c r="O534">
        <f>ABS(L534-DigDir!$C$34)</f>
        <v>4.6706650808737438</v>
      </c>
      <c r="P534">
        <f t="shared" si="9"/>
        <v>52.8</v>
      </c>
    </row>
    <row r="535" spans="10:16">
      <c r="J535" s="5"/>
      <c r="L535">
        <f>DigDir!M535</f>
        <v>-8.5955000000000004E-2</v>
      </c>
      <c r="M535">
        <f>DigDir!N535</f>
        <v>52.9</v>
      </c>
      <c r="O535">
        <f>ABS(L535-DigDir!$C$34)</f>
        <v>4.6706650808737438</v>
      </c>
      <c r="P535">
        <f t="shared" si="9"/>
        <v>52.9</v>
      </c>
    </row>
    <row r="536" spans="10:16">
      <c r="J536" s="5"/>
      <c r="L536">
        <f>DigDir!M536</f>
        <v>-8.5955000000000004E-2</v>
      </c>
      <c r="M536">
        <f>DigDir!N536</f>
        <v>53</v>
      </c>
      <c r="O536">
        <f>ABS(L536-DigDir!$C$34)</f>
        <v>4.6706650808737438</v>
      </c>
      <c r="P536">
        <f t="shared" si="9"/>
        <v>53</v>
      </c>
    </row>
    <row r="537" spans="10:16">
      <c r="J537" s="5"/>
      <c r="L537">
        <f>DigDir!M537</f>
        <v>-8.5955000000000004E-2</v>
      </c>
      <c r="M537">
        <f>DigDir!N537</f>
        <v>53.1</v>
      </c>
      <c r="O537">
        <f>ABS(L537-DigDir!$C$34)</f>
        <v>4.6706650808737438</v>
      </c>
      <c r="P537">
        <f t="shared" si="9"/>
        <v>53.1</v>
      </c>
    </row>
    <row r="538" spans="10:16">
      <c r="J538" s="5"/>
      <c r="L538">
        <f>DigDir!M538</f>
        <v>-8.5955000000000004E-2</v>
      </c>
      <c r="M538">
        <f>DigDir!N538</f>
        <v>53.2</v>
      </c>
      <c r="O538">
        <f>ABS(L538-DigDir!$C$34)</f>
        <v>4.6706650808737438</v>
      </c>
      <c r="P538">
        <f t="shared" si="9"/>
        <v>53.2</v>
      </c>
    </row>
    <row r="539" spans="10:16">
      <c r="J539" s="5"/>
      <c r="L539">
        <f>DigDir!M539</f>
        <v>-8.5955000000000004E-2</v>
      </c>
      <c r="M539">
        <f>DigDir!N539</f>
        <v>53.3</v>
      </c>
      <c r="O539">
        <f>ABS(L539-DigDir!$C$34)</f>
        <v>4.6706650808737438</v>
      </c>
      <c r="P539">
        <f t="shared" si="9"/>
        <v>53.3</v>
      </c>
    </row>
    <row r="540" spans="10:16">
      <c r="J540" s="5"/>
      <c r="L540">
        <f>DigDir!M540</f>
        <v>-8.5955000000000004E-2</v>
      </c>
      <c r="M540">
        <f>DigDir!N540</f>
        <v>53.4</v>
      </c>
      <c r="O540">
        <f>ABS(L540-DigDir!$C$34)</f>
        <v>4.6706650808737438</v>
      </c>
      <c r="P540">
        <f t="shared" si="9"/>
        <v>53.4</v>
      </c>
    </row>
    <row r="541" spans="10:16">
      <c r="J541" s="5"/>
      <c r="L541">
        <f>DigDir!M541</f>
        <v>-8.5955000000000004E-2</v>
      </c>
      <c r="M541">
        <f>DigDir!N541</f>
        <v>53.5</v>
      </c>
      <c r="O541">
        <f>ABS(L541-DigDir!$C$34)</f>
        <v>4.6706650808737438</v>
      </c>
      <c r="P541">
        <f t="shared" si="9"/>
        <v>53.5</v>
      </c>
    </row>
    <row r="542" spans="10:16">
      <c r="J542" s="5"/>
      <c r="L542">
        <f>DigDir!M542</f>
        <v>-8.5955000000000004E-2</v>
      </c>
      <c r="M542">
        <f>DigDir!N542</f>
        <v>53.6</v>
      </c>
      <c r="O542">
        <f>ABS(L542-DigDir!$C$34)</f>
        <v>4.6706650808737438</v>
      </c>
      <c r="P542">
        <f t="shared" si="9"/>
        <v>53.6</v>
      </c>
    </row>
    <row r="543" spans="10:16">
      <c r="J543" s="5"/>
      <c r="L543">
        <f>DigDir!M543</f>
        <v>-8.5955000000000004E-2</v>
      </c>
      <c r="M543">
        <f>DigDir!N543</f>
        <v>53.7</v>
      </c>
      <c r="O543">
        <f>ABS(L543-DigDir!$C$34)</f>
        <v>4.6706650808737438</v>
      </c>
      <c r="P543">
        <f t="shared" si="9"/>
        <v>53.7</v>
      </c>
    </row>
    <row r="544" spans="10:16">
      <c r="J544" s="5"/>
      <c r="L544">
        <f>DigDir!M544</f>
        <v>-8.5955000000000004E-2</v>
      </c>
      <c r="M544">
        <f>DigDir!N544</f>
        <v>53.8</v>
      </c>
      <c r="O544">
        <f>ABS(L544-DigDir!$C$34)</f>
        <v>4.6706650808737438</v>
      </c>
      <c r="P544">
        <f t="shared" si="9"/>
        <v>53.8</v>
      </c>
    </row>
    <row r="545" spans="10:16">
      <c r="J545" s="5"/>
      <c r="L545">
        <f>DigDir!M545</f>
        <v>-8.5955000000000004E-2</v>
      </c>
      <c r="M545">
        <f>DigDir!N545</f>
        <v>53.9</v>
      </c>
      <c r="O545">
        <f>ABS(L545-DigDir!$C$34)</f>
        <v>4.6706650808737438</v>
      </c>
      <c r="P545">
        <f t="shared" si="9"/>
        <v>53.9</v>
      </c>
    </row>
    <row r="546" spans="10:16">
      <c r="J546" s="5"/>
      <c r="L546">
        <f>DigDir!M546</f>
        <v>-8.5955000000000004E-2</v>
      </c>
      <c r="M546">
        <f>DigDir!N546</f>
        <v>54</v>
      </c>
      <c r="O546">
        <f>ABS(L546-DigDir!$C$34)</f>
        <v>4.6706650808737438</v>
      </c>
      <c r="P546">
        <f t="shared" si="9"/>
        <v>54</v>
      </c>
    </row>
    <row r="547" spans="10:16">
      <c r="J547" s="5"/>
      <c r="L547">
        <f>DigDir!M547</f>
        <v>-8.5955000000000004E-2</v>
      </c>
      <c r="M547">
        <f>DigDir!N547</f>
        <v>54.1</v>
      </c>
      <c r="O547">
        <f>ABS(L547-DigDir!$C$34)</f>
        <v>4.6706650808737438</v>
      </c>
      <c r="P547">
        <f t="shared" si="9"/>
        <v>54.1</v>
      </c>
    </row>
    <row r="548" spans="10:16">
      <c r="J548" s="5"/>
      <c r="L548">
        <f>DigDir!M548</f>
        <v>-8.5955000000000004E-2</v>
      </c>
      <c r="M548">
        <f>DigDir!N548</f>
        <v>54.2</v>
      </c>
      <c r="O548">
        <f>ABS(L548-DigDir!$C$34)</f>
        <v>4.6706650808737438</v>
      </c>
      <c r="P548">
        <f t="shared" si="9"/>
        <v>54.2</v>
      </c>
    </row>
    <row r="549" spans="10:16">
      <c r="J549" s="5"/>
      <c r="L549">
        <f>DigDir!M549</f>
        <v>-8.5955000000000004E-2</v>
      </c>
      <c r="M549">
        <f>DigDir!N549</f>
        <v>54.3</v>
      </c>
      <c r="O549">
        <f>ABS(L549-DigDir!$C$34)</f>
        <v>4.6706650808737438</v>
      </c>
      <c r="P549">
        <f t="shared" si="9"/>
        <v>54.3</v>
      </c>
    </row>
    <row r="550" spans="10:16">
      <c r="J550" s="5"/>
      <c r="L550">
        <f>DigDir!M550</f>
        <v>-8.5955000000000004E-2</v>
      </c>
      <c r="M550">
        <f>DigDir!N550</f>
        <v>54.4</v>
      </c>
      <c r="O550">
        <f>ABS(L550-DigDir!$C$34)</f>
        <v>4.6706650808737438</v>
      </c>
      <c r="P550">
        <f t="shared" si="9"/>
        <v>54.4</v>
      </c>
    </row>
    <row r="551" spans="10:16">
      <c r="J551" s="5"/>
      <c r="L551">
        <f>DigDir!M551</f>
        <v>-8.5955000000000004E-2</v>
      </c>
      <c r="M551">
        <f>DigDir!N551</f>
        <v>54.5</v>
      </c>
      <c r="O551">
        <f>ABS(L551-DigDir!$C$34)</f>
        <v>4.6706650808737438</v>
      </c>
      <c r="P551">
        <f t="shared" si="9"/>
        <v>54.5</v>
      </c>
    </row>
    <row r="552" spans="10:16">
      <c r="J552" s="5"/>
      <c r="L552">
        <f>DigDir!M552</f>
        <v>-8.5955000000000004E-2</v>
      </c>
      <c r="M552">
        <f>DigDir!N552</f>
        <v>54.6</v>
      </c>
      <c r="O552">
        <f>ABS(L552-DigDir!$C$34)</f>
        <v>4.6706650808737438</v>
      </c>
      <c r="P552">
        <f t="shared" si="9"/>
        <v>54.6</v>
      </c>
    </row>
    <row r="553" spans="10:16">
      <c r="J553" s="5"/>
      <c r="L553">
        <f>DigDir!M553</f>
        <v>-8.5955000000000004E-2</v>
      </c>
      <c r="M553">
        <f>DigDir!N553</f>
        <v>54.7</v>
      </c>
      <c r="O553">
        <f>ABS(L553-DigDir!$C$34)</f>
        <v>4.6706650808737438</v>
      </c>
      <c r="P553">
        <f t="shared" si="9"/>
        <v>54.7</v>
      </c>
    </row>
    <row r="554" spans="10:16">
      <c r="J554" s="5"/>
      <c r="L554">
        <f>DigDir!M554</f>
        <v>-8.5955000000000004E-2</v>
      </c>
      <c r="M554">
        <f>DigDir!N554</f>
        <v>54.8</v>
      </c>
      <c r="O554">
        <f>ABS(L554-DigDir!$C$34)</f>
        <v>4.6706650808737438</v>
      </c>
      <c r="P554">
        <f t="shared" si="9"/>
        <v>54.8</v>
      </c>
    </row>
    <row r="555" spans="10:16">
      <c r="J555" s="5"/>
      <c r="L555">
        <f>DigDir!M555</f>
        <v>-7.3850855999998397E-2</v>
      </c>
      <c r="M555">
        <f>DigDir!N555</f>
        <v>54.9</v>
      </c>
      <c r="O555">
        <f>ABS(L555-DigDir!$C$34)</f>
        <v>4.6827692248737458</v>
      </c>
      <c r="P555">
        <f t="shared" si="9"/>
        <v>54.9</v>
      </c>
    </row>
    <row r="556" spans="10:16">
      <c r="J556" s="5"/>
      <c r="L556">
        <f>DigDir!M556</f>
        <v>-5.1039199999998702E-2</v>
      </c>
      <c r="M556">
        <f>DigDir!N556</f>
        <v>55</v>
      </c>
      <c r="O556">
        <f>ABS(L556-DigDir!$C$34)</f>
        <v>4.7055808808737449</v>
      </c>
      <c r="P556">
        <f t="shared" si="9"/>
        <v>55</v>
      </c>
    </row>
    <row r="557" spans="10:16">
      <c r="J557" s="5"/>
      <c r="L557">
        <f>DigDir!M557</f>
        <v>-2.82275439999989E-2</v>
      </c>
      <c r="M557">
        <f>DigDir!N557</f>
        <v>55.1</v>
      </c>
      <c r="O557">
        <f>ABS(L557-DigDir!$C$34)</f>
        <v>4.7283925368737449</v>
      </c>
      <c r="P557">
        <f t="shared" si="9"/>
        <v>55.1</v>
      </c>
    </row>
    <row r="558" spans="10:16">
      <c r="J558" s="5"/>
      <c r="L558">
        <f>DigDir!M558</f>
        <v>-2.7761999999999998E-2</v>
      </c>
      <c r="M558">
        <f>DigDir!N558</f>
        <v>55.2</v>
      </c>
      <c r="O558">
        <f>ABS(L558-DigDir!$C$34)</f>
        <v>4.7288580808737439</v>
      </c>
      <c r="P558">
        <f t="shared" si="9"/>
        <v>55.2</v>
      </c>
    </row>
    <row r="559" spans="10:16">
      <c r="J559" s="5"/>
      <c r="L559">
        <f>DigDir!M559</f>
        <v>-2.7761999999999998E-2</v>
      </c>
      <c r="M559">
        <f>DigDir!N559</f>
        <v>55.3</v>
      </c>
      <c r="O559">
        <f>ABS(L559-DigDir!$C$34)</f>
        <v>4.7288580808737439</v>
      </c>
      <c r="P559">
        <f t="shared" si="9"/>
        <v>55.3</v>
      </c>
    </row>
    <row r="560" spans="10:16">
      <c r="J560" s="5"/>
      <c r="L560">
        <f>DigDir!M560</f>
        <v>-2.7761999999999998E-2</v>
      </c>
      <c r="M560">
        <f>DigDir!N560</f>
        <v>55.4</v>
      </c>
      <c r="O560">
        <f>ABS(L560-DigDir!$C$34)</f>
        <v>4.7288580808737439</v>
      </c>
      <c r="P560">
        <f t="shared" si="9"/>
        <v>55.4</v>
      </c>
    </row>
    <row r="561" spans="10:16">
      <c r="J561" s="5"/>
      <c r="L561">
        <f>DigDir!M561</f>
        <v>-2.7761999999999998E-2</v>
      </c>
      <c r="M561">
        <f>DigDir!N561</f>
        <v>55.5</v>
      </c>
      <c r="O561">
        <f>ABS(L561-DigDir!$C$34)</f>
        <v>4.7288580808737439</v>
      </c>
      <c r="P561">
        <f t="shared" si="9"/>
        <v>55.5</v>
      </c>
    </row>
    <row r="562" spans="10:16">
      <c r="J562" s="5"/>
      <c r="L562">
        <f>DigDir!M562</f>
        <v>-2.7761999999999998E-2</v>
      </c>
      <c r="M562">
        <f>DigDir!N562</f>
        <v>55.6</v>
      </c>
      <c r="O562">
        <f>ABS(L562-DigDir!$C$34)</f>
        <v>4.7288580808737439</v>
      </c>
      <c r="P562">
        <f t="shared" si="9"/>
        <v>55.6</v>
      </c>
    </row>
    <row r="563" spans="10:16">
      <c r="J563" s="5"/>
      <c r="L563">
        <f>DigDir!M563</f>
        <v>-2.7761999999999998E-2</v>
      </c>
      <c r="M563">
        <f>DigDir!N563</f>
        <v>55.7</v>
      </c>
      <c r="O563">
        <f>ABS(L563-DigDir!$C$34)</f>
        <v>4.7288580808737439</v>
      </c>
      <c r="P563">
        <f t="shared" si="9"/>
        <v>55.7</v>
      </c>
    </row>
    <row r="564" spans="10:16">
      <c r="J564" s="5"/>
      <c r="L564">
        <f>DigDir!M564</f>
        <v>-2.7761999999999998E-2</v>
      </c>
      <c r="M564">
        <f>DigDir!N564</f>
        <v>55.8</v>
      </c>
      <c r="O564">
        <f>ABS(L564-DigDir!$C$34)</f>
        <v>4.7288580808737439</v>
      </c>
      <c r="P564">
        <f t="shared" si="9"/>
        <v>55.8</v>
      </c>
    </row>
    <row r="565" spans="10:16">
      <c r="J565" s="5"/>
      <c r="L565">
        <f>DigDir!M565</f>
        <v>-2.7761999999999998E-2</v>
      </c>
      <c r="M565">
        <f>DigDir!N565</f>
        <v>55.9</v>
      </c>
      <c r="O565">
        <f>ABS(L565-DigDir!$C$34)</f>
        <v>4.7288580808737439</v>
      </c>
      <c r="P565">
        <f t="shared" si="9"/>
        <v>55.9</v>
      </c>
    </row>
    <row r="566" spans="10:16">
      <c r="J566" s="5"/>
      <c r="L566">
        <f>DigDir!M566</f>
        <v>-2.7761999999999998E-2</v>
      </c>
      <c r="M566">
        <f>DigDir!N566</f>
        <v>56</v>
      </c>
      <c r="O566">
        <f>ABS(L566-DigDir!$C$34)</f>
        <v>4.7288580808737439</v>
      </c>
      <c r="P566">
        <f t="shared" si="9"/>
        <v>56</v>
      </c>
    </row>
    <row r="567" spans="10:16">
      <c r="J567" s="5"/>
      <c r="L567">
        <f>DigDir!M567</f>
        <v>-2.7761999999999998E-2</v>
      </c>
      <c r="M567">
        <f>DigDir!N567</f>
        <v>56.1</v>
      </c>
      <c r="O567">
        <f>ABS(L567-DigDir!$C$34)</f>
        <v>4.7288580808737439</v>
      </c>
      <c r="P567">
        <f t="shared" si="9"/>
        <v>56.1</v>
      </c>
    </row>
    <row r="568" spans="10:16">
      <c r="J568" s="5"/>
      <c r="L568">
        <f>DigDir!M568</f>
        <v>-1.00716319999982E-2</v>
      </c>
      <c r="M568">
        <f>DigDir!N568</f>
        <v>56.2</v>
      </c>
      <c r="O568">
        <f>ABS(L568-DigDir!$C$34)</f>
        <v>4.7465484488737459</v>
      </c>
      <c r="P568">
        <f t="shared" si="9"/>
        <v>56.2</v>
      </c>
    </row>
    <row r="569" spans="10:16">
      <c r="J569" s="5"/>
      <c r="L569">
        <f>DigDir!M569</f>
        <v>1.27396320000015E-2</v>
      </c>
      <c r="M569">
        <f>DigDir!N569</f>
        <v>56.3</v>
      </c>
      <c r="O569">
        <f>ABS(L569-DigDir!$C$34)</f>
        <v>4.7693597128737455</v>
      </c>
      <c r="P569">
        <f t="shared" si="9"/>
        <v>56.3</v>
      </c>
    </row>
    <row r="570" spans="10:16">
      <c r="J570" s="5"/>
      <c r="L570">
        <f>DigDir!M570</f>
        <v>3.0429999999999999E-2</v>
      </c>
      <c r="M570">
        <f>DigDir!N570</f>
        <v>56.4</v>
      </c>
      <c r="O570">
        <f>ABS(L570-DigDir!$C$34)</f>
        <v>4.787050080873744</v>
      </c>
      <c r="P570">
        <f t="shared" si="9"/>
        <v>56.4</v>
      </c>
    </row>
    <row r="571" spans="10:16">
      <c r="J571" s="5"/>
      <c r="L571">
        <f>DigDir!M571</f>
        <v>3.0429999999999999E-2</v>
      </c>
      <c r="M571">
        <f>DigDir!N571</f>
        <v>56.5</v>
      </c>
      <c r="O571">
        <f>ABS(L571-DigDir!$C$34)</f>
        <v>4.787050080873744</v>
      </c>
      <c r="P571">
        <f t="shared" si="9"/>
        <v>56.5</v>
      </c>
    </row>
    <row r="572" spans="10:16">
      <c r="J572" s="5"/>
      <c r="L572">
        <f>DigDir!M572</f>
        <v>3.0429999999999999E-2</v>
      </c>
      <c r="M572">
        <f>DigDir!N572</f>
        <v>56.6</v>
      </c>
      <c r="O572">
        <f>ABS(L572-DigDir!$C$34)</f>
        <v>4.787050080873744</v>
      </c>
      <c r="P572">
        <f t="shared" si="9"/>
        <v>56.6</v>
      </c>
    </row>
    <row r="573" spans="10:16">
      <c r="J573" s="5"/>
      <c r="L573">
        <f>DigDir!M573</f>
        <v>3.0429999999999999E-2</v>
      </c>
      <c r="M573">
        <f>DigDir!N573</f>
        <v>56.7</v>
      </c>
      <c r="O573">
        <f>ABS(L573-DigDir!$C$34)</f>
        <v>4.787050080873744</v>
      </c>
      <c r="P573">
        <f t="shared" si="9"/>
        <v>56.7</v>
      </c>
    </row>
    <row r="574" spans="10:16">
      <c r="J574" s="5"/>
      <c r="L574">
        <f>DigDir!M574</f>
        <v>3.0429999999999999E-2</v>
      </c>
      <c r="M574">
        <f>DigDir!N574</f>
        <v>56.8</v>
      </c>
      <c r="O574">
        <f>ABS(L574-DigDir!$C$34)</f>
        <v>4.787050080873744</v>
      </c>
      <c r="P574">
        <f t="shared" si="9"/>
        <v>56.8</v>
      </c>
    </row>
    <row r="575" spans="10:16">
      <c r="J575" s="5"/>
      <c r="L575">
        <f>DigDir!M575</f>
        <v>3.3223216000001797E-2</v>
      </c>
      <c r="M575">
        <f>DigDir!N575</f>
        <v>56.9</v>
      </c>
      <c r="O575">
        <f>ABS(L575-DigDir!$C$34)</f>
        <v>4.7898432968737454</v>
      </c>
      <c r="P575">
        <f t="shared" si="9"/>
        <v>56.9</v>
      </c>
    </row>
    <row r="576" spans="10:16">
      <c r="J576" s="5"/>
      <c r="L576">
        <f>DigDir!M576</f>
        <v>5.6034480000001503E-2</v>
      </c>
      <c r="M576">
        <f>DigDir!N576</f>
        <v>57</v>
      </c>
      <c r="O576">
        <f>ABS(L576-DigDir!$C$34)</f>
        <v>4.8126545608737459</v>
      </c>
      <c r="P576">
        <f t="shared" si="9"/>
        <v>57</v>
      </c>
    </row>
    <row r="577" spans="10:16">
      <c r="J577" s="5"/>
      <c r="L577">
        <f>DigDir!M577</f>
        <v>7.88457440000013E-2</v>
      </c>
      <c r="M577">
        <f>DigDir!N577</f>
        <v>57.1</v>
      </c>
      <c r="O577">
        <f>ABS(L577-DigDir!$C$34)</f>
        <v>4.8354658248737454</v>
      </c>
      <c r="P577">
        <f t="shared" si="9"/>
        <v>57.1</v>
      </c>
    </row>
    <row r="578" spans="10:16">
      <c r="J578" s="5"/>
      <c r="L578">
        <f>DigDir!M578</f>
        <v>8.8622000000000006E-2</v>
      </c>
      <c r="M578">
        <f>DigDir!N578</f>
        <v>57.2</v>
      </c>
      <c r="O578">
        <f>ABS(L578-DigDir!$C$34)</f>
        <v>4.845242080873744</v>
      </c>
      <c r="P578">
        <f t="shared" si="9"/>
        <v>57.2</v>
      </c>
    </row>
    <row r="579" spans="10:16">
      <c r="J579" s="5"/>
      <c r="L579">
        <f>DigDir!M579</f>
        <v>8.8622000000000006E-2</v>
      </c>
      <c r="M579">
        <f>DigDir!N579</f>
        <v>57.3</v>
      </c>
      <c r="O579">
        <f>ABS(L579-DigDir!$C$34)</f>
        <v>4.845242080873744</v>
      </c>
      <c r="P579">
        <f t="shared" si="9"/>
        <v>57.3</v>
      </c>
    </row>
    <row r="580" spans="10:16">
      <c r="J580" s="5"/>
      <c r="L580">
        <f>DigDir!M580</f>
        <v>8.8622000000000006E-2</v>
      </c>
      <c r="M580">
        <f>DigDir!N580</f>
        <v>57.4</v>
      </c>
      <c r="O580">
        <f>ABS(L580-DigDir!$C$34)</f>
        <v>4.845242080873744</v>
      </c>
      <c r="P580">
        <f t="shared" si="9"/>
        <v>57.4</v>
      </c>
    </row>
    <row r="581" spans="10:16">
      <c r="J581" s="5"/>
      <c r="L581">
        <f>DigDir!M581</f>
        <v>8.8622000000000006E-2</v>
      </c>
      <c r="M581">
        <f>DigDir!N581</f>
        <v>57.5</v>
      </c>
      <c r="O581">
        <f>ABS(L581-DigDir!$C$34)</f>
        <v>4.845242080873744</v>
      </c>
      <c r="P581">
        <f t="shared" si="9"/>
        <v>57.5</v>
      </c>
    </row>
    <row r="582" spans="10:16">
      <c r="J582" s="5"/>
      <c r="L582">
        <f>DigDir!M582</f>
        <v>8.8622000000000006E-2</v>
      </c>
      <c r="M582">
        <f>DigDir!N582</f>
        <v>57.6</v>
      </c>
      <c r="O582">
        <f>ABS(L582-DigDir!$C$34)</f>
        <v>4.845242080873744</v>
      </c>
      <c r="P582">
        <f t="shared" si="9"/>
        <v>57.6</v>
      </c>
    </row>
    <row r="583" spans="10:16">
      <c r="J583" s="5"/>
      <c r="L583">
        <f>DigDir!M583</f>
        <v>8.8622000000000006E-2</v>
      </c>
      <c r="M583">
        <f>DigDir!N583</f>
        <v>57.7</v>
      </c>
      <c r="O583">
        <f>ABS(L583-DigDir!$C$34)</f>
        <v>4.845242080873744</v>
      </c>
      <c r="P583">
        <f t="shared" ref="P583:P646" si="10">M583</f>
        <v>57.7</v>
      </c>
    </row>
    <row r="584" spans="10:16">
      <c r="J584" s="5"/>
      <c r="L584">
        <f>DigDir!M584</f>
        <v>8.8622000000000006E-2</v>
      </c>
      <c r="M584">
        <f>DigDir!N584</f>
        <v>57.8</v>
      </c>
      <c r="O584">
        <f>ABS(L584-DigDir!$C$34)</f>
        <v>4.845242080873744</v>
      </c>
      <c r="P584">
        <f t="shared" si="10"/>
        <v>57.8</v>
      </c>
    </row>
    <row r="585" spans="10:16">
      <c r="J585" s="5"/>
      <c r="L585">
        <f>DigDir!M585</f>
        <v>8.8622000000000006E-2</v>
      </c>
      <c r="M585">
        <f>DigDir!N585</f>
        <v>57.9</v>
      </c>
      <c r="O585">
        <f>ABS(L585-DigDir!$C$34)</f>
        <v>4.845242080873744</v>
      </c>
      <c r="P585">
        <f t="shared" si="10"/>
        <v>57.9</v>
      </c>
    </row>
    <row r="586" spans="10:16">
      <c r="J586" s="5"/>
      <c r="L586">
        <f>DigDir!M586</f>
        <v>8.8622000000000006E-2</v>
      </c>
      <c r="M586">
        <f>DigDir!N586</f>
        <v>58</v>
      </c>
      <c r="O586">
        <f>ABS(L586-DigDir!$C$34)</f>
        <v>4.845242080873744</v>
      </c>
      <c r="P586">
        <f t="shared" si="10"/>
        <v>58</v>
      </c>
    </row>
    <row r="587" spans="10:16">
      <c r="J587" s="5"/>
      <c r="L587">
        <f>DigDir!M587</f>
        <v>8.8622000000000006E-2</v>
      </c>
      <c r="M587">
        <f>DigDir!N587</f>
        <v>58.1</v>
      </c>
      <c r="O587">
        <f>ABS(L587-DigDir!$C$34)</f>
        <v>4.845242080873744</v>
      </c>
      <c r="P587">
        <f t="shared" si="10"/>
        <v>58.1</v>
      </c>
    </row>
    <row r="588" spans="10:16">
      <c r="J588" s="5"/>
      <c r="L588">
        <f>DigDir!M588</f>
        <v>8.8622000000000006E-2</v>
      </c>
      <c r="M588">
        <f>DigDir!N588</f>
        <v>58.2</v>
      </c>
      <c r="O588">
        <f>ABS(L588-DigDir!$C$34)</f>
        <v>4.845242080873744</v>
      </c>
      <c r="P588">
        <f t="shared" si="10"/>
        <v>58.2</v>
      </c>
    </row>
    <row r="589" spans="10:16">
      <c r="J589" s="5"/>
      <c r="L589">
        <f>DigDir!M589</f>
        <v>8.8622000000000006E-2</v>
      </c>
      <c r="M589">
        <f>DigDir!N589</f>
        <v>58.3</v>
      </c>
      <c r="O589">
        <f>ABS(L589-DigDir!$C$34)</f>
        <v>4.845242080873744</v>
      </c>
      <c r="P589">
        <f t="shared" si="10"/>
        <v>58.3</v>
      </c>
    </row>
    <row r="590" spans="10:16">
      <c r="J590" s="5"/>
      <c r="L590">
        <f>DigDir!M590</f>
        <v>8.8622000000000006E-2</v>
      </c>
      <c r="M590">
        <f>DigDir!N590</f>
        <v>58.4</v>
      </c>
      <c r="O590">
        <f>ABS(L590-DigDir!$C$34)</f>
        <v>4.845242080873744</v>
      </c>
      <c r="P590">
        <f t="shared" si="10"/>
        <v>58.4</v>
      </c>
    </row>
    <row r="591" spans="10:16">
      <c r="J591" s="5"/>
      <c r="L591">
        <f>DigDir!M591</f>
        <v>8.8622000000000006E-2</v>
      </c>
      <c r="M591">
        <f>DigDir!N591</f>
        <v>58.5</v>
      </c>
      <c r="O591">
        <f>ABS(L591-DigDir!$C$34)</f>
        <v>4.845242080873744</v>
      </c>
      <c r="P591">
        <f t="shared" si="10"/>
        <v>58.5</v>
      </c>
    </row>
    <row r="592" spans="10:16">
      <c r="J592" s="5"/>
      <c r="L592">
        <f>DigDir!M592</f>
        <v>8.8622000000000006E-2</v>
      </c>
      <c r="M592">
        <f>DigDir!N592</f>
        <v>58.6</v>
      </c>
      <c r="O592">
        <f>ABS(L592-DigDir!$C$34)</f>
        <v>4.845242080873744</v>
      </c>
      <c r="P592">
        <f t="shared" si="10"/>
        <v>58.6</v>
      </c>
    </row>
    <row r="593" spans="10:16">
      <c r="J593" s="5"/>
      <c r="L593">
        <f>DigDir!M593</f>
        <v>8.8622000000000006E-2</v>
      </c>
      <c r="M593">
        <f>DigDir!N593</f>
        <v>58.7</v>
      </c>
      <c r="O593">
        <f>ABS(L593-DigDir!$C$34)</f>
        <v>4.845242080873744</v>
      </c>
      <c r="P593">
        <f t="shared" si="10"/>
        <v>58.7</v>
      </c>
    </row>
    <row r="594" spans="10:16">
      <c r="J594" s="5"/>
      <c r="L594">
        <f>DigDir!M594</f>
        <v>8.8622000000000006E-2</v>
      </c>
      <c r="M594">
        <f>DigDir!N594</f>
        <v>58.8</v>
      </c>
      <c r="O594">
        <f>ABS(L594-DigDir!$C$34)</f>
        <v>4.845242080873744</v>
      </c>
      <c r="P594">
        <f t="shared" si="10"/>
        <v>58.8</v>
      </c>
    </row>
    <row r="595" spans="10:16">
      <c r="J595" s="5"/>
      <c r="L595">
        <f>DigDir!M595</f>
        <v>8.8622000000000006E-2</v>
      </c>
      <c r="M595">
        <f>DigDir!N595</f>
        <v>58.9</v>
      </c>
      <c r="O595">
        <f>ABS(L595-DigDir!$C$34)</f>
        <v>4.845242080873744</v>
      </c>
      <c r="P595">
        <f t="shared" si="10"/>
        <v>58.9</v>
      </c>
    </row>
    <row r="596" spans="10:16">
      <c r="J596" s="5"/>
      <c r="L596">
        <f>DigDir!M596</f>
        <v>8.8622000000000006E-2</v>
      </c>
      <c r="M596">
        <f>DigDir!N596</f>
        <v>59</v>
      </c>
      <c r="O596">
        <f>ABS(L596-DigDir!$C$34)</f>
        <v>4.845242080873744</v>
      </c>
      <c r="P596">
        <f t="shared" si="10"/>
        <v>59</v>
      </c>
    </row>
    <row r="597" spans="10:16">
      <c r="J597" s="5"/>
      <c r="L597">
        <f>DigDir!M597</f>
        <v>8.8622000000000006E-2</v>
      </c>
      <c r="M597">
        <f>DigDir!N597</f>
        <v>59.1</v>
      </c>
      <c r="O597">
        <f>ABS(L597-DigDir!$C$34)</f>
        <v>4.845242080873744</v>
      </c>
      <c r="P597">
        <f t="shared" si="10"/>
        <v>59.1</v>
      </c>
    </row>
    <row r="598" spans="10:16">
      <c r="J598" s="5"/>
      <c r="L598">
        <f>DigDir!M598</f>
        <v>8.8622000000000006E-2</v>
      </c>
      <c r="M598">
        <f>DigDir!N598</f>
        <v>59.2</v>
      </c>
      <c r="O598">
        <f>ABS(L598-DigDir!$C$34)</f>
        <v>4.845242080873744</v>
      </c>
      <c r="P598">
        <f t="shared" si="10"/>
        <v>59.2</v>
      </c>
    </row>
    <row r="599" spans="10:16">
      <c r="J599" s="5"/>
      <c r="L599">
        <f>DigDir!M599</f>
        <v>8.8622000000000006E-2</v>
      </c>
      <c r="M599">
        <f>DigDir!N599</f>
        <v>59.3</v>
      </c>
      <c r="O599">
        <f>ABS(L599-DigDir!$C$34)</f>
        <v>4.845242080873744</v>
      </c>
      <c r="P599">
        <f t="shared" si="10"/>
        <v>59.3</v>
      </c>
    </row>
    <row r="600" spans="10:16">
      <c r="J600" s="5"/>
      <c r="L600">
        <f>DigDir!M600</f>
        <v>8.8622000000000006E-2</v>
      </c>
      <c r="M600">
        <f>DigDir!N600</f>
        <v>59.4</v>
      </c>
      <c r="O600">
        <f>ABS(L600-DigDir!$C$34)</f>
        <v>4.845242080873744</v>
      </c>
      <c r="P600">
        <f t="shared" si="10"/>
        <v>59.4</v>
      </c>
    </row>
    <row r="601" spans="10:16">
      <c r="J601" s="5"/>
      <c r="L601">
        <f>DigDir!M601</f>
        <v>8.8622000000000006E-2</v>
      </c>
      <c r="M601">
        <f>DigDir!N601</f>
        <v>59.5</v>
      </c>
      <c r="O601">
        <f>ABS(L601-DigDir!$C$34)</f>
        <v>4.845242080873744</v>
      </c>
      <c r="P601">
        <f t="shared" si="10"/>
        <v>59.5</v>
      </c>
    </row>
    <row r="602" spans="10:16">
      <c r="J602" s="5"/>
      <c r="L602">
        <f>DigDir!M602</f>
        <v>8.8622000000000006E-2</v>
      </c>
      <c r="M602">
        <f>DigDir!N602</f>
        <v>59.6</v>
      </c>
      <c r="O602">
        <f>ABS(L602-DigDir!$C$34)</f>
        <v>4.845242080873744</v>
      </c>
      <c r="P602">
        <f t="shared" si="10"/>
        <v>59.6</v>
      </c>
    </row>
    <row r="603" spans="10:16">
      <c r="J603" s="5"/>
      <c r="L603">
        <f>DigDir!M603</f>
        <v>8.8622000000000006E-2</v>
      </c>
      <c r="M603">
        <f>DigDir!N603</f>
        <v>59.7</v>
      </c>
      <c r="O603">
        <f>ABS(L603-DigDir!$C$34)</f>
        <v>4.845242080873744</v>
      </c>
      <c r="P603">
        <f t="shared" si="10"/>
        <v>59.7</v>
      </c>
    </row>
    <row r="604" spans="10:16">
      <c r="J604" s="5"/>
      <c r="L604">
        <f>DigDir!M604</f>
        <v>8.8622000000000006E-2</v>
      </c>
      <c r="M604">
        <f>DigDir!N604</f>
        <v>59.8</v>
      </c>
      <c r="O604">
        <f>ABS(L604-DigDir!$C$34)</f>
        <v>4.845242080873744</v>
      </c>
      <c r="P604">
        <f t="shared" si="10"/>
        <v>59.8</v>
      </c>
    </row>
    <row r="605" spans="10:16">
      <c r="J605" s="5"/>
      <c r="L605">
        <f>DigDir!M605</f>
        <v>8.8622000000000006E-2</v>
      </c>
      <c r="M605">
        <f>DigDir!N605</f>
        <v>59.9</v>
      </c>
      <c r="O605">
        <f>ABS(L605-DigDir!$C$34)</f>
        <v>4.845242080873744</v>
      </c>
      <c r="P605">
        <f t="shared" si="10"/>
        <v>59.9</v>
      </c>
    </row>
    <row r="606" spans="10:16">
      <c r="J606" s="5"/>
      <c r="L606">
        <f>DigDir!M606</f>
        <v>8.8622000000000006E-2</v>
      </c>
      <c r="M606">
        <f>DigDir!N606</f>
        <v>60</v>
      </c>
      <c r="O606">
        <f>ABS(L606-DigDir!$C$34)</f>
        <v>4.845242080873744</v>
      </c>
      <c r="P606">
        <f t="shared" si="10"/>
        <v>60</v>
      </c>
    </row>
    <row r="607" spans="10:16">
      <c r="J607" s="5"/>
      <c r="L607">
        <f>DigDir!M607</f>
        <v>8.8622000000000006E-2</v>
      </c>
      <c r="M607">
        <f>DigDir!N607</f>
        <v>60.1</v>
      </c>
      <c r="O607">
        <f>ABS(L607-DigDir!$C$34)</f>
        <v>4.845242080873744</v>
      </c>
      <c r="P607">
        <f t="shared" si="10"/>
        <v>60.1</v>
      </c>
    </row>
    <row r="608" spans="10:16">
      <c r="J608" s="5"/>
      <c r="L608">
        <f>DigDir!M608</f>
        <v>8.8622000000000006E-2</v>
      </c>
      <c r="M608">
        <f>DigDir!N608</f>
        <v>60.2</v>
      </c>
      <c r="O608">
        <f>ABS(L608-DigDir!$C$34)</f>
        <v>4.845242080873744</v>
      </c>
      <c r="P608">
        <f t="shared" si="10"/>
        <v>60.2</v>
      </c>
    </row>
    <row r="609" spans="10:16">
      <c r="J609" s="5"/>
      <c r="L609">
        <f>DigDir!M609</f>
        <v>8.8622000000000006E-2</v>
      </c>
      <c r="M609">
        <f>DigDir!N609</f>
        <v>60.3</v>
      </c>
      <c r="O609">
        <f>ABS(L609-DigDir!$C$34)</f>
        <v>4.845242080873744</v>
      </c>
      <c r="P609">
        <f t="shared" si="10"/>
        <v>60.3</v>
      </c>
    </row>
    <row r="610" spans="10:16">
      <c r="J610" s="5"/>
      <c r="L610">
        <f>DigDir!M610</f>
        <v>8.8622000000000006E-2</v>
      </c>
      <c r="M610">
        <f>DigDir!N610</f>
        <v>60.4</v>
      </c>
      <c r="O610">
        <f>ABS(L610-DigDir!$C$34)</f>
        <v>4.845242080873744</v>
      </c>
      <c r="P610">
        <f t="shared" si="10"/>
        <v>60.4</v>
      </c>
    </row>
    <row r="611" spans="10:16">
      <c r="J611" s="5"/>
      <c r="L611">
        <f>DigDir!M611</f>
        <v>8.8622000000000006E-2</v>
      </c>
      <c r="M611">
        <f>DigDir!N611</f>
        <v>60.5</v>
      </c>
      <c r="O611">
        <f>ABS(L611-DigDir!$C$34)</f>
        <v>4.845242080873744</v>
      </c>
      <c r="P611">
        <f t="shared" si="10"/>
        <v>60.5</v>
      </c>
    </row>
    <row r="612" spans="10:16">
      <c r="J612" s="5"/>
      <c r="L612">
        <f>DigDir!M612</f>
        <v>8.8622000000000006E-2</v>
      </c>
      <c r="M612">
        <f>DigDir!N612</f>
        <v>60.6</v>
      </c>
      <c r="O612">
        <f>ABS(L612-DigDir!$C$34)</f>
        <v>4.845242080873744</v>
      </c>
      <c r="P612">
        <f t="shared" si="10"/>
        <v>60.6</v>
      </c>
    </row>
    <row r="613" spans="10:16">
      <c r="J613" s="5"/>
      <c r="L613">
        <f>DigDir!M613</f>
        <v>8.8622000000000006E-2</v>
      </c>
      <c r="M613">
        <f>DigDir!N613</f>
        <v>60.7</v>
      </c>
      <c r="O613">
        <f>ABS(L613-DigDir!$C$34)</f>
        <v>4.845242080873744</v>
      </c>
      <c r="P613">
        <f t="shared" si="10"/>
        <v>60.7</v>
      </c>
    </row>
    <row r="614" spans="10:16">
      <c r="J614" s="5"/>
      <c r="L614">
        <f>DigDir!M614</f>
        <v>8.8622000000000006E-2</v>
      </c>
      <c r="M614">
        <f>DigDir!N614</f>
        <v>60.8</v>
      </c>
      <c r="O614">
        <f>ABS(L614-DigDir!$C$34)</f>
        <v>4.845242080873744</v>
      </c>
      <c r="P614">
        <f t="shared" si="10"/>
        <v>60.8</v>
      </c>
    </row>
    <row r="615" spans="10:16">
      <c r="J615" s="5"/>
      <c r="L615">
        <f>DigDir!M615</f>
        <v>8.8622000000000006E-2</v>
      </c>
      <c r="M615">
        <f>DigDir!N615</f>
        <v>60.9</v>
      </c>
      <c r="O615">
        <f>ABS(L615-DigDir!$C$34)</f>
        <v>4.845242080873744</v>
      </c>
      <c r="P615">
        <f t="shared" si="10"/>
        <v>60.9</v>
      </c>
    </row>
    <row r="616" spans="10:16">
      <c r="J616" s="5"/>
      <c r="L616">
        <f>DigDir!M616</f>
        <v>8.8622000000000006E-2</v>
      </c>
      <c r="M616">
        <f>DigDir!N616</f>
        <v>61</v>
      </c>
      <c r="O616">
        <f>ABS(L616-DigDir!$C$34)</f>
        <v>4.845242080873744</v>
      </c>
      <c r="P616">
        <f t="shared" si="10"/>
        <v>61</v>
      </c>
    </row>
    <row r="617" spans="10:16">
      <c r="J617" s="5"/>
      <c r="L617">
        <f>DigDir!M617</f>
        <v>8.8622000000000006E-2</v>
      </c>
      <c r="M617">
        <f>DigDir!N617</f>
        <v>61.1</v>
      </c>
      <c r="O617">
        <f>ABS(L617-DigDir!$C$34)</f>
        <v>4.845242080873744</v>
      </c>
      <c r="P617">
        <f t="shared" si="10"/>
        <v>61.1</v>
      </c>
    </row>
    <row r="618" spans="10:16">
      <c r="J618" s="5"/>
      <c r="L618">
        <f>DigDir!M618</f>
        <v>8.8622000000000006E-2</v>
      </c>
      <c r="M618">
        <f>DigDir!N618</f>
        <v>61.2</v>
      </c>
      <c r="O618">
        <f>ABS(L618-DigDir!$C$34)</f>
        <v>4.845242080873744</v>
      </c>
      <c r="P618">
        <f t="shared" si="10"/>
        <v>61.2</v>
      </c>
    </row>
    <row r="619" spans="10:16">
      <c r="J619" s="5"/>
      <c r="L619">
        <f>DigDir!M619</f>
        <v>8.8622000000000006E-2</v>
      </c>
      <c r="M619">
        <f>DigDir!N619</f>
        <v>61.3</v>
      </c>
      <c r="O619">
        <f>ABS(L619-DigDir!$C$34)</f>
        <v>4.845242080873744</v>
      </c>
      <c r="P619">
        <f t="shared" si="10"/>
        <v>61.3</v>
      </c>
    </row>
    <row r="620" spans="10:16">
      <c r="J620" s="5"/>
      <c r="L620">
        <f>DigDir!M620</f>
        <v>8.8622000000000006E-2</v>
      </c>
      <c r="M620">
        <f>DigDir!N620</f>
        <v>61.4</v>
      </c>
      <c r="O620">
        <f>ABS(L620-DigDir!$C$34)</f>
        <v>4.845242080873744</v>
      </c>
      <c r="P620">
        <f t="shared" si="10"/>
        <v>61.4</v>
      </c>
    </row>
    <row r="621" spans="10:16">
      <c r="J621" s="5"/>
      <c r="L621">
        <f>DigDir!M621</f>
        <v>8.8622000000000006E-2</v>
      </c>
      <c r="M621">
        <f>DigDir!N621</f>
        <v>61.5</v>
      </c>
      <c r="O621">
        <f>ABS(L621-DigDir!$C$34)</f>
        <v>4.845242080873744</v>
      </c>
      <c r="P621">
        <f t="shared" si="10"/>
        <v>61.5</v>
      </c>
    </row>
    <row r="622" spans="10:16">
      <c r="J622" s="5"/>
      <c r="L622">
        <f>DigDir!M622</f>
        <v>8.8622000000000006E-2</v>
      </c>
      <c r="M622">
        <f>DigDir!N622</f>
        <v>61.6</v>
      </c>
      <c r="O622">
        <f>ABS(L622-DigDir!$C$34)</f>
        <v>4.845242080873744</v>
      </c>
      <c r="P622">
        <f t="shared" si="10"/>
        <v>61.6</v>
      </c>
    </row>
    <row r="623" spans="10:16">
      <c r="J623" s="5"/>
      <c r="L623">
        <f>DigDir!M623</f>
        <v>8.8622000000000006E-2</v>
      </c>
      <c r="M623">
        <f>DigDir!N623</f>
        <v>61.7</v>
      </c>
      <c r="O623">
        <f>ABS(L623-DigDir!$C$34)</f>
        <v>4.845242080873744</v>
      </c>
      <c r="P623">
        <f t="shared" si="10"/>
        <v>61.7</v>
      </c>
    </row>
    <row r="624" spans="10:16">
      <c r="J624" s="5"/>
      <c r="L624">
        <f>DigDir!M624</f>
        <v>8.8622000000000006E-2</v>
      </c>
      <c r="M624">
        <f>DigDir!N624</f>
        <v>61.8</v>
      </c>
      <c r="O624">
        <f>ABS(L624-DigDir!$C$34)</f>
        <v>4.845242080873744</v>
      </c>
      <c r="P624">
        <f t="shared" si="10"/>
        <v>61.8</v>
      </c>
    </row>
    <row r="625" spans="10:16">
      <c r="J625" s="5"/>
      <c r="L625">
        <f>DigDir!M625</f>
        <v>8.8622000000000006E-2</v>
      </c>
      <c r="M625">
        <f>DigDir!N625</f>
        <v>61.9</v>
      </c>
      <c r="O625">
        <f>ABS(L625-DigDir!$C$34)</f>
        <v>4.845242080873744</v>
      </c>
      <c r="P625">
        <f t="shared" si="10"/>
        <v>61.9</v>
      </c>
    </row>
    <row r="626" spans="10:16">
      <c r="J626" s="5"/>
      <c r="L626">
        <f>DigDir!M626</f>
        <v>8.8622000000000006E-2</v>
      </c>
      <c r="M626">
        <f>DigDir!N626</f>
        <v>62</v>
      </c>
      <c r="O626">
        <f>ABS(L626-DigDir!$C$34)</f>
        <v>4.845242080873744</v>
      </c>
      <c r="P626">
        <f t="shared" si="10"/>
        <v>62</v>
      </c>
    </row>
    <row r="627" spans="10:16">
      <c r="J627" s="5"/>
      <c r="L627">
        <f>DigDir!M627</f>
        <v>8.8622000000000006E-2</v>
      </c>
      <c r="M627">
        <f>DigDir!N627</f>
        <v>62.1</v>
      </c>
      <c r="O627">
        <f>ABS(L627-DigDir!$C$34)</f>
        <v>4.845242080873744</v>
      </c>
      <c r="P627">
        <f t="shared" si="10"/>
        <v>62.1</v>
      </c>
    </row>
    <row r="628" spans="10:16">
      <c r="J628" s="5"/>
      <c r="L628">
        <f>DigDir!M628</f>
        <v>8.8622000000000006E-2</v>
      </c>
      <c r="M628">
        <f>DigDir!N628</f>
        <v>62.2</v>
      </c>
      <c r="O628">
        <f>ABS(L628-DigDir!$C$34)</f>
        <v>4.845242080873744</v>
      </c>
      <c r="P628">
        <f t="shared" si="10"/>
        <v>62.2</v>
      </c>
    </row>
    <row r="629" spans="10:16">
      <c r="J629" s="5"/>
      <c r="L629">
        <f>DigDir!M629</f>
        <v>8.8622000000000006E-2</v>
      </c>
      <c r="M629">
        <f>DigDir!N629</f>
        <v>62.3</v>
      </c>
      <c r="O629">
        <f>ABS(L629-DigDir!$C$34)</f>
        <v>4.845242080873744</v>
      </c>
      <c r="P629">
        <f t="shared" si="10"/>
        <v>62.3</v>
      </c>
    </row>
    <row r="630" spans="10:16">
      <c r="J630" s="5"/>
      <c r="L630">
        <f>DigDir!M630</f>
        <v>8.8622000000000006E-2</v>
      </c>
      <c r="M630">
        <f>DigDir!N630</f>
        <v>62.4</v>
      </c>
      <c r="O630">
        <f>ABS(L630-DigDir!$C$34)</f>
        <v>4.845242080873744</v>
      </c>
      <c r="P630">
        <f t="shared" si="10"/>
        <v>62.4</v>
      </c>
    </row>
    <row r="631" spans="10:16">
      <c r="J631" s="5"/>
      <c r="L631">
        <f>DigDir!M631</f>
        <v>8.8622000000000006E-2</v>
      </c>
      <c r="M631">
        <f>DigDir!N631</f>
        <v>62.5</v>
      </c>
      <c r="O631">
        <f>ABS(L631-DigDir!$C$34)</f>
        <v>4.845242080873744</v>
      </c>
      <c r="P631">
        <f t="shared" si="10"/>
        <v>62.5</v>
      </c>
    </row>
    <row r="632" spans="10:16">
      <c r="J632" s="5"/>
      <c r="L632">
        <f>DigDir!M632</f>
        <v>8.8622000000000006E-2</v>
      </c>
      <c r="M632">
        <f>DigDir!N632</f>
        <v>62.6</v>
      </c>
      <c r="O632">
        <f>ABS(L632-DigDir!$C$34)</f>
        <v>4.845242080873744</v>
      </c>
      <c r="P632">
        <f t="shared" si="10"/>
        <v>62.6</v>
      </c>
    </row>
    <row r="633" spans="10:16">
      <c r="J633" s="5"/>
      <c r="L633">
        <f>DigDir!M633</f>
        <v>8.8622000000000006E-2</v>
      </c>
      <c r="M633">
        <f>DigDir!N633</f>
        <v>62.7</v>
      </c>
      <c r="O633">
        <f>ABS(L633-DigDir!$C$34)</f>
        <v>4.845242080873744</v>
      </c>
      <c r="P633">
        <f t="shared" si="10"/>
        <v>62.7</v>
      </c>
    </row>
    <row r="634" spans="10:16">
      <c r="J634" s="5"/>
      <c r="L634">
        <f>DigDir!M634</f>
        <v>8.8622000000000006E-2</v>
      </c>
      <c r="M634">
        <f>DigDir!N634</f>
        <v>62.8</v>
      </c>
      <c r="O634">
        <f>ABS(L634-DigDir!$C$34)</f>
        <v>4.845242080873744</v>
      </c>
      <c r="P634">
        <f t="shared" si="10"/>
        <v>62.8</v>
      </c>
    </row>
    <row r="635" spans="10:16">
      <c r="J635" s="5"/>
      <c r="L635">
        <f>DigDir!M635</f>
        <v>8.8622000000000006E-2</v>
      </c>
      <c r="M635">
        <f>DigDir!N635</f>
        <v>62.9</v>
      </c>
      <c r="O635">
        <f>ABS(L635-DigDir!$C$34)</f>
        <v>4.845242080873744</v>
      </c>
      <c r="P635">
        <f t="shared" si="10"/>
        <v>62.9</v>
      </c>
    </row>
    <row r="636" spans="10:16">
      <c r="J636" s="5"/>
      <c r="L636">
        <f>DigDir!M636</f>
        <v>8.8622000000000006E-2</v>
      </c>
      <c r="M636">
        <f>DigDir!N636</f>
        <v>63</v>
      </c>
      <c r="O636">
        <f>ABS(L636-DigDir!$C$34)</f>
        <v>4.845242080873744</v>
      </c>
      <c r="P636">
        <f t="shared" si="10"/>
        <v>63</v>
      </c>
    </row>
    <row r="637" spans="10:16">
      <c r="J637" s="5"/>
      <c r="L637">
        <f>DigDir!M637</f>
        <v>8.8622000000000006E-2</v>
      </c>
      <c r="M637">
        <f>DigDir!N637</f>
        <v>63.1</v>
      </c>
      <c r="O637">
        <f>ABS(L637-DigDir!$C$34)</f>
        <v>4.845242080873744</v>
      </c>
      <c r="P637">
        <f t="shared" si="10"/>
        <v>63.1</v>
      </c>
    </row>
    <row r="638" spans="10:16">
      <c r="J638" s="5"/>
      <c r="L638">
        <f>DigDir!M638</f>
        <v>8.8622000000000006E-2</v>
      </c>
      <c r="M638">
        <f>DigDir!N638</f>
        <v>63.2</v>
      </c>
      <c r="O638">
        <f>ABS(L638-DigDir!$C$34)</f>
        <v>4.845242080873744</v>
      </c>
      <c r="P638">
        <f t="shared" si="10"/>
        <v>63.2</v>
      </c>
    </row>
    <row r="639" spans="10:16">
      <c r="J639" s="5"/>
      <c r="L639">
        <f>DigDir!M639</f>
        <v>8.8622000000000006E-2</v>
      </c>
      <c r="M639">
        <f>DigDir!N639</f>
        <v>63.3</v>
      </c>
      <c r="O639">
        <f>ABS(L639-DigDir!$C$34)</f>
        <v>4.845242080873744</v>
      </c>
      <c r="P639">
        <f t="shared" si="10"/>
        <v>63.3</v>
      </c>
    </row>
    <row r="640" spans="10:16">
      <c r="J640" s="5"/>
      <c r="L640">
        <f>DigDir!M640</f>
        <v>8.8622000000000006E-2</v>
      </c>
      <c r="M640">
        <f>DigDir!N640</f>
        <v>63.4</v>
      </c>
      <c r="O640">
        <f>ABS(L640-DigDir!$C$34)</f>
        <v>4.845242080873744</v>
      </c>
      <c r="P640">
        <f t="shared" si="10"/>
        <v>63.4</v>
      </c>
    </row>
    <row r="641" spans="10:16">
      <c r="J641" s="5"/>
      <c r="L641">
        <f>DigDir!M641</f>
        <v>8.8622000000000006E-2</v>
      </c>
      <c r="M641">
        <f>DigDir!N641</f>
        <v>63.5</v>
      </c>
      <c r="O641">
        <f>ABS(L641-DigDir!$C$34)</f>
        <v>4.845242080873744</v>
      </c>
      <c r="P641">
        <f t="shared" si="10"/>
        <v>63.5</v>
      </c>
    </row>
    <row r="642" spans="10:16">
      <c r="J642" s="5"/>
      <c r="L642">
        <f>DigDir!M642</f>
        <v>8.8622000000000006E-2</v>
      </c>
      <c r="M642">
        <f>DigDir!N642</f>
        <v>63.6</v>
      </c>
      <c r="O642">
        <f>ABS(L642-DigDir!$C$34)</f>
        <v>4.845242080873744</v>
      </c>
      <c r="P642">
        <f t="shared" si="10"/>
        <v>63.6</v>
      </c>
    </row>
    <row r="643" spans="10:16">
      <c r="J643" s="5"/>
      <c r="L643">
        <f>DigDir!M643</f>
        <v>8.8622000000000006E-2</v>
      </c>
      <c r="M643">
        <f>DigDir!N643</f>
        <v>63.7</v>
      </c>
      <c r="O643">
        <f>ABS(L643-DigDir!$C$34)</f>
        <v>4.845242080873744</v>
      </c>
      <c r="P643">
        <f t="shared" si="10"/>
        <v>63.7</v>
      </c>
    </row>
    <row r="644" spans="10:16">
      <c r="J644" s="5"/>
      <c r="L644">
        <f>DigDir!M644</f>
        <v>8.8622000000000006E-2</v>
      </c>
      <c r="M644">
        <f>DigDir!N644</f>
        <v>63.8</v>
      </c>
      <c r="O644">
        <f>ABS(L644-DigDir!$C$34)</f>
        <v>4.845242080873744</v>
      </c>
      <c r="P644">
        <f t="shared" si="10"/>
        <v>63.8</v>
      </c>
    </row>
    <row r="645" spans="10:16">
      <c r="J645" s="5"/>
      <c r="L645">
        <f>DigDir!M645</f>
        <v>8.8622000000000006E-2</v>
      </c>
      <c r="M645">
        <f>DigDir!N645</f>
        <v>63.9</v>
      </c>
      <c r="O645">
        <f>ABS(L645-DigDir!$C$34)</f>
        <v>4.845242080873744</v>
      </c>
      <c r="P645">
        <f t="shared" si="10"/>
        <v>63.9</v>
      </c>
    </row>
    <row r="646" spans="10:16">
      <c r="J646" s="5"/>
      <c r="L646">
        <f>DigDir!M646</f>
        <v>8.8622000000000006E-2</v>
      </c>
      <c r="M646">
        <f>DigDir!N646</f>
        <v>64</v>
      </c>
      <c r="O646">
        <f>ABS(L646-DigDir!$C$34)</f>
        <v>4.845242080873744</v>
      </c>
      <c r="P646">
        <f t="shared" si="10"/>
        <v>64</v>
      </c>
    </row>
    <row r="647" spans="10:16">
      <c r="J647" s="5"/>
      <c r="L647">
        <f>DigDir!M647</f>
        <v>8.8622000000000006E-2</v>
      </c>
      <c r="M647">
        <f>DigDir!N647</f>
        <v>64.099999999999994</v>
      </c>
      <c r="O647">
        <f>ABS(L647-DigDir!$C$34)</f>
        <v>4.845242080873744</v>
      </c>
      <c r="P647">
        <f t="shared" ref="P647:P710" si="11">M647</f>
        <v>64.099999999999994</v>
      </c>
    </row>
    <row r="648" spans="10:16">
      <c r="J648" s="5"/>
      <c r="L648">
        <f>DigDir!M648</f>
        <v>8.8622000000000006E-2</v>
      </c>
      <c r="M648">
        <f>DigDir!N648</f>
        <v>64.2</v>
      </c>
      <c r="O648">
        <f>ABS(L648-DigDir!$C$34)</f>
        <v>4.845242080873744</v>
      </c>
      <c r="P648">
        <f t="shared" si="11"/>
        <v>64.2</v>
      </c>
    </row>
    <row r="649" spans="10:16">
      <c r="J649" s="5"/>
      <c r="L649">
        <f>DigDir!M649</f>
        <v>8.8622000000000006E-2</v>
      </c>
      <c r="M649">
        <f>DigDir!N649</f>
        <v>64.3</v>
      </c>
      <c r="O649">
        <f>ABS(L649-DigDir!$C$34)</f>
        <v>4.845242080873744</v>
      </c>
      <c r="P649">
        <f t="shared" si="11"/>
        <v>64.3</v>
      </c>
    </row>
    <row r="650" spans="10:16">
      <c r="J650" s="5"/>
      <c r="L650">
        <f>DigDir!M650</f>
        <v>8.8622000000000006E-2</v>
      </c>
      <c r="M650">
        <f>DigDir!N650</f>
        <v>64.400000000000006</v>
      </c>
      <c r="O650">
        <f>ABS(L650-DigDir!$C$34)</f>
        <v>4.845242080873744</v>
      </c>
      <c r="P650">
        <f t="shared" si="11"/>
        <v>64.400000000000006</v>
      </c>
    </row>
    <row r="651" spans="10:16">
      <c r="J651" s="5"/>
      <c r="L651">
        <f>DigDir!M651</f>
        <v>8.8622000000000006E-2</v>
      </c>
      <c r="M651">
        <f>DigDir!N651</f>
        <v>64.5</v>
      </c>
      <c r="O651">
        <f>ABS(L651-DigDir!$C$34)</f>
        <v>4.845242080873744</v>
      </c>
      <c r="P651">
        <f t="shared" si="11"/>
        <v>64.5</v>
      </c>
    </row>
    <row r="652" spans="10:16">
      <c r="J652" s="5"/>
      <c r="L652">
        <f>DigDir!M652</f>
        <v>8.8622000000000006E-2</v>
      </c>
      <c r="M652">
        <f>DigDir!N652</f>
        <v>64.599999999999994</v>
      </c>
      <c r="O652">
        <f>ABS(L652-DigDir!$C$34)</f>
        <v>4.845242080873744</v>
      </c>
      <c r="P652">
        <f t="shared" si="11"/>
        <v>64.599999999999994</v>
      </c>
    </row>
    <row r="653" spans="10:16">
      <c r="J653" s="5"/>
      <c r="L653">
        <f>DigDir!M653</f>
        <v>8.8622000000000006E-2</v>
      </c>
      <c r="M653">
        <f>DigDir!N653</f>
        <v>64.7</v>
      </c>
      <c r="O653">
        <f>ABS(L653-DigDir!$C$34)</f>
        <v>4.845242080873744</v>
      </c>
      <c r="P653">
        <f t="shared" si="11"/>
        <v>64.7</v>
      </c>
    </row>
    <row r="654" spans="10:16">
      <c r="J654" s="5"/>
      <c r="L654">
        <f>DigDir!M654</f>
        <v>8.8622000000000006E-2</v>
      </c>
      <c r="M654">
        <f>DigDir!N654</f>
        <v>64.8</v>
      </c>
      <c r="O654">
        <f>ABS(L654-DigDir!$C$34)</f>
        <v>4.845242080873744</v>
      </c>
      <c r="P654">
        <f t="shared" si="11"/>
        <v>64.8</v>
      </c>
    </row>
    <row r="655" spans="10:16">
      <c r="J655" s="5"/>
      <c r="L655">
        <f>DigDir!M655</f>
        <v>8.8622000000000006E-2</v>
      </c>
      <c r="M655">
        <f>DigDir!N655</f>
        <v>64.900000000000006</v>
      </c>
      <c r="O655">
        <f>ABS(L655-DigDir!$C$34)</f>
        <v>4.845242080873744</v>
      </c>
      <c r="P655">
        <f t="shared" si="11"/>
        <v>64.900000000000006</v>
      </c>
    </row>
    <row r="656" spans="10:16">
      <c r="J656" s="5"/>
      <c r="L656">
        <f>DigDir!M656</f>
        <v>8.8622000000000006E-2</v>
      </c>
      <c r="M656">
        <f>DigDir!N656</f>
        <v>65</v>
      </c>
      <c r="O656">
        <f>ABS(L656-DigDir!$C$34)</f>
        <v>4.845242080873744</v>
      </c>
      <c r="P656">
        <f t="shared" si="11"/>
        <v>65</v>
      </c>
    </row>
    <row r="657" spans="10:16">
      <c r="J657" s="5"/>
      <c r="L657">
        <f>DigDir!M657</f>
        <v>8.8622000000000006E-2</v>
      </c>
      <c r="M657">
        <f>DigDir!N657</f>
        <v>65.099999999999994</v>
      </c>
      <c r="O657">
        <f>ABS(L657-DigDir!$C$34)</f>
        <v>4.845242080873744</v>
      </c>
      <c r="P657">
        <f t="shared" si="11"/>
        <v>65.099999999999994</v>
      </c>
    </row>
    <row r="658" spans="10:16">
      <c r="J658" s="5"/>
      <c r="L658">
        <f>DigDir!M658</f>
        <v>8.8622000000000006E-2</v>
      </c>
      <c r="M658">
        <f>DigDir!N658</f>
        <v>65.2</v>
      </c>
      <c r="O658">
        <f>ABS(L658-DigDir!$C$34)</f>
        <v>4.845242080873744</v>
      </c>
      <c r="P658">
        <f t="shared" si="11"/>
        <v>65.2</v>
      </c>
    </row>
    <row r="659" spans="10:16">
      <c r="J659" s="5"/>
      <c r="L659">
        <f>DigDir!M659</f>
        <v>8.8622000000000006E-2</v>
      </c>
      <c r="M659">
        <f>DigDir!N659</f>
        <v>65.3</v>
      </c>
      <c r="O659">
        <f>ABS(L659-DigDir!$C$34)</f>
        <v>4.845242080873744</v>
      </c>
      <c r="P659">
        <f t="shared" si="11"/>
        <v>65.3</v>
      </c>
    </row>
    <row r="660" spans="10:16">
      <c r="J660" s="5"/>
      <c r="L660">
        <f>DigDir!M660</f>
        <v>8.8622000000000006E-2</v>
      </c>
      <c r="M660">
        <f>DigDir!N660</f>
        <v>65.400000000000006</v>
      </c>
      <c r="O660">
        <f>ABS(L660-DigDir!$C$34)</f>
        <v>4.845242080873744</v>
      </c>
      <c r="P660">
        <f t="shared" si="11"/>
        <v>65.400000000000006</v>
      </c>
    </row>
    <row r="661" spans="10:16">
      <c r="J661" s="5"/>
      <c r="L661">
        <f>DigDir!M661</f>
        <v>8.8622000000000006E-2</v>
      </c>
      <c r="M661">
        <f>DigDir!N661</f>
        <v>65.5</v>
      </c>
      <c r="O661">
        <f>ABS(L661-DigDir!$C$34)</f>
        <v>4.845242080873744</v>
      </c>
      <c r="P661">
        <f t="shared" si="11"/>
        <v>65.5</v>
      </c>
    </row>
    <row r="662" spans="10:16">
      <c r="J662" s="5"/>
      <c r="L662">
        <f>DigDir!M662</f>
        <v>8.8622000000000006E-2</v>
      </c>
      <c r="M662">
        <f>DigDir!N662</f>
        <v>65.599999999999994</v>
      </c>
      <c r="O662">
        <f>ABS(L662-DigDir!$C$34)</f>
        <v>4.845242080873744</v>
      </c>
      <c r="P662">
        <f t="shared" si="11"/>
        <v>65.599999999999994</v>
      </c>
    </row>
    <row r="663" spans="10:16">
      <c r="J663" s="5"/>
      <c r="L663">
        <f>DigDir!M663</f>
        <v>8.8622000000000006E-2</v>
      </c>
      <c r="M663">
        <f>DigDir!N663</f>
        <v>65.7</v>
      </c>
      <c r="O663">
        <f>ABS(L663-DigDir!$C$34)</f>
        <v>4.845242080873744</v>
      </c>
      <c r="P663">
        <f t="shared" si="11"/>
        <v>65.7</v>
      </c>
    </row>
    <row r="664" spans="10:16">
      <c r="J664" s="5"/>
      <c r="L664">
        <f>DigDir!M664</f>
        <v>8.8622000000000006E-2</v>
      </c>
      <c r="M664">
        <f>DigDir!N664</f>
        <v>65.8</v>
      </c>
      <c r="O664">
        <f>ABS(L664-DigDir!$C$34)</f>
        <v>4.845242080873744</v>
      </c>
      <c r="P664">
        <f t="shared" si="11"/>
        <v>65.8</v>
      </c>
    </row>
    <row r="665" spans="10:16">
      <c r="J665" s="5"/>
      <c r="L665">
        <f>DigDir!M665</f>
        <v>8.8622000000000006E-2</v>
      </c>
      <c r="M665">
        <f>DigDir!N665</f>
        <v>65.900000000000006</v>
      </c>
      <c r="O665">
        <f>ABS(L665-DigDir!$C$34)</f>
        <v>4.845242080873744</v>
      </c>
      <c r="P665">
        <f t="shared" si="11"/>
        <v>65.900000000000006</v>
      </c>
    </row>
    <row r="666" spans="10:16">
      <c r="J666" s="5"/>
      <c r="L666">
        <f>DigDir!M666</f>
        <v>8.8622000000000006E-2</v>
      </c>
      <c r="M666">
        <f>DigDir!N666</f>
        <v>66</v>
      </c>
      <c r="O666">
        <f>ABS(L666-DigDir!$C$34)</f>
        <v>4.845242080873744</v>
      </c>
      <c r="P666">
        <f t="shared" si="11"/>
        <v>66</v>
      </c>
    </row>
    <row r="667" spans="10:16">
      <c r="J667" s="5"/>
      <c r="L667">
        <f>DigDir!M667</f>
        <v>8.8622000000000006E-2</v>
      </c>
      <c r="M667">
        <f>DigDir!N667</f>
        <v>66.099999999999994</v>
      </c>
      <c r="O667">
        <f>ABS(L667-DigDir!$C$34)</f>
        <v>4.845242080873744</v>
      </c>
      <c r="P667">
        <f t="shared" si="11"/>
        <v>66.099999999999994</v>
      </c>
    </row>
    <row r="668" spans="10:16">
      <c r="J668" s="5"/>
      <c r="L668">
        <f>DigDir!M668</f>
        <v>8.8622000000000006E-2</v>
      </c>
      <c r="M668">
        <f>DigDir!N668</f>
        <v>66.2</v>
      </c>
      <c r="O668">
        <f>ABS(L668-DigDir!$C$34)</f>
        <v>4.845242080873744</v>
      </c>
      <c r="P668">
        <f t="shared" si="11"/>
        <v>66.2</v>
      </c>
    </row>
    <row r="669" spans="10:16">
      <c r="J669" s="5"/>
      <c r="L669">
        <f>DigDir!M669</f>
        <v>8.8622000000000006E-2</v>
      </c>
      <c r="M669">
        <f>DigDir!N669</f>
        <v>66.3</v>
      </c>
      <c r="O669">
        <f>ABS(L669-DigDir!$C$34)</f>
        <v>4.845242080873744</v>
      </c>
      <c r="P669">
        <f t="shared" si="11"/>
        <v>66.3</v>
      </c>
    </row>
    <row r="670" spans="10:16">
      <c r="J670" s="5"/>
      <c r="L670">
        <f>DigDir!M670</f>
        <v>8.8622000000000006E-2</v>
      </c>
      <c r="M670">
        <f>DigDir!N670</f>
        <v>66.400000000000006</v>
      </c>
      <c r="O670">
        <f>ABS(L670-DigDir!$C$34)</f>
        <v>4.845242080873744</v>
      </c>
      <c r="P670">
        <f t="shared" si="11"/>
        <v>66.400000000000006</v>
      </c>
    </row>
    <row r="671" spans="10:16">
      <c r="J671" s="5"/>
      <c r="L671">
        <f>DigDir!M671</f>
        <v>8.8622000000000006E-2</v>
      </c>
      <c r="M671">
        <f>DigDir!N671</f>
        <v>66.5</v>
      </c>
      <c r="O671">
        <f>ABS(L671-DigDir!$C$34)</f>
        <v>4.845242080873744</v>
      </c>
      <c r="P671">
        <f t="shared" si="11"/>
        <v>66.5</v>
      </c>
    </row>
    <row r="672" spans="10:16">
      <c r="J672" s="5"/>
      <c r="L672">
        <f>DigDir!M672</f>
        <v>8.8622000000000006E-2</v>
      </c>
      <c r="M672">
        <f>DigDir!N672</f>
        <v>66.599999999999994</v>
      </c>
      <c r="O672">
        <f>ABS(L672-DigDir!$C$34)</f>
        <v>4.845242080873744</v>
      </c>
      <c r="P672">
        <f t="shared" si="11"/>
        <v>66.599999999999994</v>
      </c>
    </row>
    <row r="673" spans="10:16">
      <c r="J673" s="5"/>
      <c r="L673">
        <f>DigDir!M673</f>
        <v>8.8622000000000006E-2</v>
      </c>
      <c r="M673">
        <f>DigDir!N673</f>
        <v>66.7</v>
      </c>
      <c r="O673">
        <f>ABS(L673-DigDir!$C$34)</f>
        <v>4.845242080873744</v>
      </c>
      <c r="P673">
        <f t="shared" si="11"/>
        <v>66.7</v>
      </c>
    </row>
    <row r="674" spans="10:16">
      <c r="J674" s="5"/>
      <c r="L674">
        <f>DigDir!M674</f>
        <v>8.8622000000000006E-2</v>
      </c>
      <c r="M674">
        <f>DigDir!N674</f>
        <v>66.8</v>
      </c>
      <c r="O674">
        <f>ABS(L674-DigDir!$C$34)</f>
        <v>4.845242080873744</v>
      </c>
      <c r="P674">
        <f t="shared" si="11"/>
        <v>66.8</v>
      </c>
    </row>
    <row r="675" spans="10:16">
      <c r="J675" s="5"/>
      <c r="L675">
        <f>DigDir!M675</f>
        <v>8.8622000000000006E-2</v>
      </c>
      <c r="M675">
        <f>DigDir!N675</f>
        <v>66.900000000000006</v>
      </c>
      <c r="O675">
        <f>ABS(L675-DigDir!$C$34)</f>
        <v>4.845242080873744</v>
      </c>
      <c r="P675">
        <f t="shared" si="11"/>
        <v>66.900000000000006</v>
      </c>
    </row>
    <row r="676" spans="10:16">
      <c r="J676" s="5"/>
      <c r="L676">
        <f>DigDir!M676</f>
        <v>8.8622000000000006E-2</v>
      </c>
      <c r="M676">
        <f>DigDir!N676</f>
        <v>67</v>
      </c>
      <c r="O676">
        <f>ABS(L676-DigDir!$C$34)</f>
        <v>4.845242080873744</v>
      </c>
      <c r="P676">
        <f t="shared" si="11"/>
        <v>67</v>
      </c>
    </row>
    <row r="677" spans="10:16">
      <c r="J677" s="5"/>
      <c r="L677">
        <f>DigDir!M677</f>
        <v>8.8622000000000006E-2</v>
      </c>
      <c r="M677">
        <f>DigDir!N677</f>
        <v>67.099999999999994</v>
      </c>
      <c r="O677">
        <f>ABS(L677-DigDir!$C$34)</f>
        <v>4.845242080873744</v>
      </c>
      <c r="P677">
        <f t="shared" si="11"/>
        <v>67.099999999999994</v>
      </c>
    </row>
    <row r="678" spans="10:16">
      <c r="J678" s="5"/>
      <c r="L678">
        <f>DigDir!M678</f>
        <v>8.8622000000000006E-2</v>
      </c>
      <c r="M678">
        <f>DigDir!N678</f>
        <v>67.2</v>
      </c>
      <c r="O678">
        <f>ABS(L678-DigDir!$C$34)</f>
        <v>4.845242080873744</v>
      </c>
      <c r="P678">
        <f t="shared" si="11"/>
        <v>67.2</v>
      </c>
    </row>
    <row r="679" spans="10:16">
      <c r="J679" s="5"/>
      <c r="L679">
        <f>DigDir!M679</f>
        <v>8.8622000000000006E-2</v>
      </c>
      <c r="M679">
        <f>DigDir!N679</f>
        <v>67.3</v>
      </c>
      <c r="O679">
        <f>ABS(L679-DigDir!$C$34)</f>
        <v>4.845242080873744</v>
      </c>
      <c r="P679">
        <f t="shared" si="11"/>
        <v>67.3</v>
      </c>
    </row>
    <row r="680" spans="10:16">
      <c r="J680" s="5"/>
      <c r="L680">
        <f>DigDir!M680</f>
        <v>0.100726352000002</v>
      </c>
      <c r="M680">
        <f>DigDir!N680</f>
        <v>67.400000000000006</v>
      </c>
      <c r="O680">
        <f>ABS(L680-DigDir!$C$34)</f>
        <v>4.8573464328737463</v>
      </c>
      <c r="P680">
        <f t="shared" si="11"/>
        <v>67.400000000000006</v>
      </c>
    </row>
    <row r="681" spans="10:16">
      <c r="J681" s="5"/>
      <c r="L681">
        <f>DigDir!M681</f>
        <v>0.12353840000000101</v>
      </c>
      <c r="M681">
        <f>DigDir!N681</f>
        <v>67.5</v>
      </c>
      <c r="O681">
        <f>ABS(L681-DigDir!$C$34)</f>
        <v>4.880158480873745</v>
      </c>
      <c r="P681">
        <f t="shared" si="11"/>
        <v>67.5</v>
      </c>
    </row>
    <row r="682" spans="10:16">
      <c r="J682" s="5"/>
      <c r="L682">
        <f>DigDir!M682</f>
        <v>0.14635044800000099</v>
      </c>
      <c r="M682">
        <f>DigDir!N682</f>
        <v>67.599999999999994</v>
      </c>
      <c r="O682">
        <f>ABS(L682-DigDir!$C$34)</f>
        <v>4.9029705288737446</v>
      </c>
      <c r="P682">
        <f t="shared" si="11"/>
        <v>67.599999999999994</v>
      </c>
    </row>
    <row r="683" spans="10:16">
      <c r="J683" s="5"/>
      <c r="L683">
        <f>DigDir!M683</f>
        <v>0.16916172800000101</v>
      </c>
      <c r="M683">
        <f>DigDir!N683</f>
        <v>67.7</v>
      </c>
      <c r="O683">
        <f>ABS(L683-DigDir!$C$34)</f>
        <v>4.9257818088737446</v>
      </c>
      <c r="P683">
        <f t="shared" si="11"/>
        <v>67.7</v>
      </c>
    </row>
    <row r="684" spans="10:16">
      <c r="J684" s="5"/>
      <c r="L684">
        <f>DigDir!M684</f>
        <v>0.19197299200000101</v>
      </c>
      <c r="M684">
        <f>DigDir!N684</f>
        <v>67.8</v>
      </c>
      <c r="O684">
        <f>ABS(L684-DigDir!$C$34)</f>
        <v>4.9485930728737451</v>
      </c>
      <c r="P684">
        <f t="shared" si="11"/>
        <v>67.8</v>
      </c>
    </row>
    <row r="685" spans="10:16">
      <c r="J685" s="5"/>
      <c r="L685">
        <f>DigDir!M685</f>
        <v>0.205008</v>
      </c>
      <c r="M685">
        <f>DigDir!N685</f>
        <v>67.900000000000006</v>
      </c>
      <c r="O685">
        <f>ABS(L685-DigDir!$C$34)</f>
        <v>4.9616280808737443</v>
      </c>
      <c r="P685">
        <f t="shared" si="11"/>
        <v>67.900000000000006</v>
      </c>
    </row>
    <row r="686" spans="10:16">
      <c r="J686" s="5"/>
      <c r="L686">
        <f>DigDir!M686</f>
        <v>0.205008</v>
      </c>
      <c r="M686">
        <f>DigDir!N686</f>
        <v>68</v>
      </c>
      <c r="O686">
        <f>ABS(L686-DigDir!$C$34)</f>
        <v>4.9616280808737443</v>
      </c>
      <c r="P686">
        <f t="shared" si="11"/>
        <v>68</v>
      </c>
    </row>
    <row r="687" spans="10:16">
      <c r="J687" s="5"/>
      <c r="L687">
        <f>DigDir!M687</f>
        <v>0.205008</v>
      </c>
      <c r="M687">
        <f>DigDir!N687</f>
        <v>68.099999999999994</v>
      </c>
      <c r="O687">
        <f>ABS(L687-DigDir!$C$34)</f>
        <v>4.9616280808737443</v>
      </c>
      <c r="P687">
        <f t="shared" si="11"/>
        <v>68.099999999999994</v>
      </c>
    </row>
    <row r="688" spans="10:16">
      <c r="J688" s="5"/>
      <c r="L688">
        <f>DigDir!M688</f>
        <v>0.22502604800000001</v>
      </c>
      <c r="M688">
        <f>DigDir!N688</f>
        <v>68.2</v>
      </c>
      <c r="O688">
        <f>ABS(L688-DigDir!$C$34)</f>
        <v>4.9816461288737441</v>
      </c>
      <c r="P688">
        <f t="shared" si="11"/>
        <v>68.2</v>
      </c>
    </row>
    <row r="689" spans="10:16">
      <c r="J689" s="5"/>
      <c r="L689">
        <f>DigDir!M689</f>
        <v>0.247837312000003</v>
      </c>
      <c r="M689">
        <f>DigDir!N689</f>
        <v>68.3</v>
      </c>
      <c r="O689">
        <f>ABS(L689-DigDir!$C$34)</f>
        <v>5.0044573928737472</v>
      </c>
      <c r="P689">
        <f t="shared" si="11"/>
        <v>68.3</v>
      </c>
    </row>
    <row r="690" spans="10:16">
      <c r="J690" s="5"/>
      <c r="L690">
        <f>DigDir!M690</f>
        <v>0.27064870400000202</v>
      </c>
      <c r="M690">
        <f>DigDir!N690</f>
        <v>68.400000000000006</v>
      </c>
      <c r="O690">
        <f>ABS(L690-DigDir!$C$34)</f>
        <v>5.0272687848737458</v>
      </c>
      <c r="P690">
        <f t="shared" si="11"/>
        <v>68.400000000000006</v>
      </c>
    </row>
    <row r="691" spans="10:16">
      <c r="J691" s="5"/>
      <c r="L691">
        <f>DigDir!M691</f>
        <v>0.29346036000000197</v>
      </c>
      <c r="M691">
        <f>DigDir!N691</f>
        <v>68.5</v>
      </c>
      <c r="O691">
        <f>ABS(L691-DigDir!$C$34)</f>
        <v>5.0500804408737459</v>
      </c>
      <c r="P691">
        <f t="shared" si="11"/>
        <v>68.5</v>
      </c>
    </row>
    <row r="692" spans="10:16">
      <c r="J692" s="5"/>
      <c r="L692">
        <f>DigDir!M692</f>
        <v>0.31627201600000199</v>
      </c>
      <c r="M692">
        <f>DigDir!N692</f>
        <v>68.599999999999994</v>
      </c>
      <c r="O692">
        <f>ABS(L692-DigDir!$C$34)</f>
        <v>5.0728920968737459</v>
      </c>
      <c r="P692">
        <f t="shared" si="11"/>
        <v>68.599999999999994</v>
      </c>
    </row>
    <row r="693" spans="10:16">
      <c r="J693" s="5"/>
      <c r="L693">
        <f>DigDir!M693</f>
        <v>0.33908336800000199</v>
      </c>
      <c r="M693">
        <f>DigDir!N693</f>
        <v>68.7</v>
      </c>
      <c r="O693">
        <f>ABS(L693-DigDir!$C$34)</f>
        <v>5.0957034488737456</v>
      </c>
      <c r="P693">
        <f t="shared" si="11"/>
        <v>68.7</v>
      </c>
    </row>
    <row r="694" spans="10:16">
      <c r="J694" s="5"/>
      <c r="L694">
        <f>DigDir!M694</f>
        <v>0.36189463200000199</v>
      </c>
      <c r="M694">
        <f>DigDir!N694</f>
        <v>68.8</v>
      </c>
      <c r="O694">
        <f>ABS(L694-DigDir!$C$34)</f>
        <v>5.118514712873746</v>
      </c>
      <c r="P694">
        <f t="shared" si="11"/>
        <v>68.8</v>
      </c>
    </row>
    <row r="695" spans="10:16">
      <c r="J695" s="5"/>
      <c r="L695">
        <f>DigDir!M695</f>
        <v>0.37958500000000001</v>
      </c>
      <c r="M695">
        <f>DigDir!N695</f>
        <v>68.900000000000006</v>
      </c>
      <c r="O695">
        <f>ABS(L695-DigDir!$C$34)</f>
        <v>5.1362050808737436</v>
      </c>
      <c r="P695">
        <f t="shared" si="11"/>
        <v>68.900000000000006</v>
      </c>
    </row>
    <row r="696" spans="10:16">
      <c r="J696" s="5"/>
      <c r="L696">
        <f>DigDir!M696</f>
        <v>0.37958500000000001</v>
      </c>
      <c r="M696">
        <f>DigDir!N696</f>
        <v>69</v>
      </c>
      <c r="O696">
        <f>ABS(L696-DigDir!$C$34)</f>
        <v>5.1362050808737436</v>
      </c>
      <c r="P696">
        <f t="shared" si="11"/>
        <v>69</v>
      </c>
    </row>
    <row r="697" spans="10:16">
      <c r="J697" s="5"/>
      <c r="L697">
        <f>DigDir!M697</f>
        <v>0.37958500000000001</v>
      </c>
      <c r="M697">
        <f>DigDir!N697</f>
        <v>69.099999999999994</v>
      </c>
      <c r="O697">
        <f>ABS(L697-DigDir!$C$34)</f>
        <v>5.1362050808737436</v>
      </c>
      <c r="P697">
        <f t="shared" si="11"/>
        <v>69.099999999999994</v>
      </c>
    </row>
    <row r="698" spans="10:16">
      <c r="J698" s="5"/>
      <c r="L698">
        <f>DigDir!M698</f>
        <v>0.39494768800000102</v>
      </c>
      <c r="M698">
        <f>DigDir!N698</f>
        <v>69.2</v>
      </c>
      <c r="O698">
        <f>ABS(L698-DigDir!$C$34)</f>
        <v>5.1515677688737451</v>
      </c>
      <c r="P698">
        <f t="shared" si="11"/>
        <v>69.2</v>
      </c>
    </row>
    <row r="699" spans="10:16">
      <c r="J699" s="5"/>
      <c r="L699">
        <f>DigDir!M699</f>
        <v>0.41775895200000002</v>
      </c>
      <c r="M699">
        <f>DigDir!N699</f>
        <v>69.3</v>
      </c>
      <c r="O699">
        <f>ABS(L699-DigDir!$C$34)</f>
        <v>5.1743790328737438</v>
      </c>
      <c r="P699">
        <f t="shared" si="11"/>
        <v>69.3</v>
      </c>
    </row>
    <row r="700" spans="10:16">
      <c r="J700" s="5"/>
      <c r="L700">
        <f>DigDir!M700</f>
        <v>0.43777700000000003</v>
      </c>
      <c r="M700">
        <f>DigDir!N700</f>
        <v>69.400000000000006</v>
      </c>
      <c r="O700">
        <f>ABS(L700-DigDir!$C$34)</f>
        <v>5.1943970808737436</v>
      </c>
      <c r="P700">
        <f t="shared" si="11"/>
        <v>69.400000000000006</v>
      </c>
    </row>
    <row r="701" spans="10:16">
      <c r="J701" s="5"/>
      <c r="L701">
        <f>DigDir!M701</f>
        <v>0.43777700000000003</v>
      </c>
      <c r="M701">
        <f>DigDir!N701</f>
        <v>69.5</v>
      </c>
      <c r="O701">
        <f>ABS(L701-DigDir!$C$34)</f>
        <v>5.1943970808737436</v>
      </c>
      <c r="P701">
        <f t="shared" si="11"/>
        <v>69.5</v>
      </c>
    </row>
    <row r="702" spans="10:16">
      <c r="J702" s="5"/>
      <c r="L702">
        <f>DigDir!M702</f>
        <v>0.43777700000000003</v>
      </c>
      <c r="M702">
        <f>DigDir!N702</f>
        <v>69.599999999999994</v>
      </c>
      <c r="O702">
        <f>ABS(L702-DigDir!$C$34)</f>
        <v>5.1943970808737436</v>
      </c>
      <c r="P702">
        <f t="shared" si="11"/>
        <v>69.599999999999994</v>
      </c>
    </row>
    <row r="703" spans="10:16">
      <c r="J703" s="5"/>
      <c r="L703">
        <f>DigDir!M703</f>
        <v>0.48538775200001</v>
      </c>
      <c r="M703">
        <f>DigDir!N703</f>
        <v>69.7</v>
      </c>
      <c r="O703">
        <f>ABS(L703-DigDir!$C$34)</f>
        <v>5.242007832873754</v>
      </c>
      <c r="P703">
        <f t="shared" si="11"/>
        <v>69.7</v>
      </c>
    </row>
    <row r="704" spans="10:16">
      <c r="J704" s="5"/>
      <c r="L704">
        <f>DigDir!M704</f>
        <v>0.56870656800000896</v>
      </c>
      <c r="M704">
        <f>DigDir!N704</f>
        <v>69.8</v>
      </c>
      <c r="O704">
        <f>ABS(L704-DigDir!$C$34)</f>
        <v>5.3253266488737534</v>
      </c>
      <c r="P704">
        <f t="shared" si="11"/>
        <v>69.8</v>
      </c>
    </row>
    <row r="705" spans="10:16">
      <c r="J705" s="5"/>
      <c r="L705">
        <f>DigDir!M705</f>
        <v>0.65079053600000203</v>
      </c>
      <c r="M705">
        <f>DigDir!N705</f>
        <v>69.900000000000006</v>
      </c>
      <c r="O705">
        <f>ABS(L705-DigDir!$C$34)</f>
        <v>5.4074106168737464</v>
      </c>
      <c r="P705">
        <f t="shared" si="11"/>
        <v>69.900000000000006</v>
      </c>
    </row>
    <row r="706" spans="10:16">
      <c r="J706" s="5"/>
      <c r="L706">
        <f>DigDir!M706</f>
        <v>0.67360180000000203</v>
      </c>
      <c r="M706">
        <f>DigDir!N706</f>
        <v>70</v>
      </c>
      <c r="O706">
        <f>ABS(L706-DigDir!$C$34)</f>
        <v>5.4302218808737459</v>
      </c>
      <c r="P706">
        <f t="shared" si="11"/>
        <v>70</v>
      </c>
    </row>
    <row r="707" spans="10:16">
      <c r="J707" s="5"/>
      <c r="L707">
        <f>DigDir!M707</f>
        <v>0.69641306400000202</v>
      </c>
      <c r="M707">
        <f>DigDir!N707</f>
        <v>70.099999999999994</v>
      </c>
      <c r="O707">
        <f>ABS(L707-DigDir!$C$34)</f>
        <v>5.4530331448737464</v>
      </c>
      <c r="P707">
        <f t="shared" si="11"/>
        <v>70.099999999999994</v>
      </c>
    </row>
    <row r="708" spans="10:16">
      <c r="J708" s="5"/>
      <c r="L708">
        <f>DigDir!M708</f>
        <v>0.70851699999999995</v>
      </c>
      <c r="M708">
        <f>DigDir!N708</f>
        <v>70.2</v>
      </c>
      <c r="O708">
        <f>ABS(L708-DigDir!$C$34)</f>
        <v>5.4651370808737436</v>
      </c>
      <c r="P708">
        <f t="shared" si="11"/>
        <v>70.2</v>
      </c>
    </row>
    <row r="709" spans="10:16">
      <c r="J709" s="5"/>
      <c r="L709">
        <f>DigDir!M709</f>
        <v>0.70851699999999995</v>
      </c>
      <c r="M709">
        <f>DigDir!N709</f>
        <v>70.3</v>
      </c>
      <c r="O709">
        <f>ABS(L709-DigDir!$C$34)</f>
        <v>5.4651370808737436</v>
      </c>
      <c r="P709">
        <f t="shared" si="11"/>
        <v>70.3</v>
      </c>
    </row>
    <row r="710" spans="10:16">
      <c r="J710" s="5"/>
      <c r="L710">
        <f>DigDir!M710</f>
        <v>0.70851699999999995</v>
      </c>
      <c r="M710">
        <f>DigDir!N710</f>
        <v>70.400000000000006</v>
      </c>
      <c r="O710">
        <f>ABS(L710-DigDir!$C$34)</f>
        <v>5.4651370808737436</v>
      </c>
      <c r="P710">
        <f t="shared" si="11"/>
        <v>70.400000000000006</v>
      </c>
    </row>
    <row r="711" spans="10:16">
      <c r="J711" s="5"/>
      <c r="L711">
        <f>DigDir!M711</f>
        <v>0.70851699999999995</v>
      </c>
      <c r="M711">
        <f>DigDir!N711</f>
        <v>70.5</v>
      </c>
      <c r="O711">
        <f>ABS(L711-DigDir!$C$34)</f>
        <v>5.4651370808737436</v>
      </c>
      <c r="P711">
        <f t="shared" ref="P711:P774" si="12">M711</f>
        <v>70.5</v>
      </c>
    </row>
    <row r="712" spans="10:16">
      <c r="J712" s="5"/>
      <c r="L712">
        <f>DigDir!M712</f>
        <v>0.70851699999999995</v>
      </c>
      <c r="M712">
        <f>DigDir!N712</f>
        <v>70.599999999999994</v>
      </c>
      <c r="O712">
        <f>ABS(L712-DigDir!$C$34)</f>
        <v>5.4651370808737436</v>
      </c>
      <c r="P712">
        <f t="shared" si="12"/>
        <v>70.599999999999994</v>
      </c>
    </row>
    <row r="713" spans="10:16">
      <c r="J713" s="5"/>
      <c r="L713">
        <f>DigDir!M713</f>
        <v>0.70851699999999995</v>
      </c>
      <c r="M713">
        <f>DigDir!N713</f>
        <v>70.7</v>
      </c>
      <c r="O713">
        <f>ABS(L713-DigDir!$C$34)</f>
        <v>5.4651370808737436</v>
      </c>
      <c r="P713">
        <f t="shared" si="12"/>
        <v>70.7</v>
      </c>
    </row>
    <row r="714" spans="10:16">
      <c r="J714" s="5"/>
      <c r="L714">
        <f>DigDir!M714</f>
        <v>0.70851699999999995</v>
      </c>
      <c r="M714">
        <f>DigDir!N714</f>
        <v>70.8</v>
      </c>
      <c r="O714">
        <f>ABS(L714-DigDir!$C$34)</f>
        <v>5.4651370808737436</v>
      </c>
      <c r="P714">
        <f t="shared" si="12"/>
        <v>70.8</v>
      </c>
    </row>
    <row r="715" spans="10:16">
      <c r="J715" s="5"/>
      <c r="L715">
        <f>DigDir!M715</f>
        <v>0.70851699999999995</v>
      </c>
      <c r="M715">
        <f>DigDir!N715</f>
        <v>70.900000000000006</v>
      </c>
      <c r="O715">
        <f>ABS(L715-DigDir!$C$34)</f>
        <v>5.4651370808737436</v>
      </c>
      <c r="P715">
        <f t="shared" si="12"/>
        <v>70.900000000000006</v>
      </c>
    </row>
    <row r="716" spans="10:16">
      <c r="J716" s="5"/>
      <c r="L716">
        <f>DigDir!M716</f>
        <v>0.70851699999999995</v>
      </c>
      <c r="M716">
        <f>DigDir!N716</f>
        <v>71</v>
      </c>
      <c r="O716">
        <f>ABS(L716-DigDir!$C$34)</f>
        <v>5.4651370808737436</v>
      </c>
      <c r="P716">
        <f t="shared" si="12"/>
        <v>71</v>
      </c>
    </row>
    <row r="717" spans="10:16">
      <c r="J717" s="5"/>
      <c r="L717">
        <f>DigDir!M717</f>
        <v>0.70851699999999995</v>
      </c>
      <c r="M717">
        <f>DigDir!N717</f>
        <v>71.099999999999994</v>
      </c>
      <c r="O717">
        <f>ABS(L717-DigDir!$C$34)</f>
        <v>5.4651370808737436</v>
      </c>
      <c r="P717">
        <f t="shared" si="12"/>
        <v>71.099999999999994</v>
      </c>
    </row>
    <row r="718" spans="10:16">
      <c r="J718" s="5"/>
      <c r="L718">
        <f>DigDir!M718</f>
        <v>0.70851699999999995</v>
      </c>
      <c r="M718">
        <f>DigDir!N718</f>
        <v>71.2</v>
      </c>
      <c r="O718">
        <f>ABS(L718-DigDir!$C$34)</f>
        <v>5.4651370808737436</v>
      </c>
      <c r="P718">
        <f t="shared" si="12"/>
        <v>71.2</v>
      </c>
    </row>
    <row r="719" spans="10:16">
      <c r="J719" s="5"/>
      <c r="L719">
        <f>DigDir!M719</f>
        <v>0.70851699999999995</v>
      </c>
      <c r="M719">
        <f>DigDir!N719</f>
        <v>71.3</v>
      </c>
      <c r="O719">
        <f>ABS(L719-DigDir!$C$34)</f>
        <v>5.4651370808737436</v>
      </c>
      <c r="P719">
        <f t="shared" si="12"/>
        <v>71.3</v>
      </c>
    </row>
    <row r="720" spans="10:16">
      <c r="J720" s="5"/>
      <c r="L720">
        <f>DigDir!M720</f>
        <v>0.70851699999999995</v>
      </c>
      <c r="M720">
        <f>DigDir!N720</f>
        <v>71.400000000000006</v>
      </c>
      <c r="O720">
        <f>ABS(L720-DigDir!$C$34)</f>
        <v>5.4651370808737436</v>
      </c>
      <c r="P720">
        <f t="shared" si="12"/>
        <v>71.400000000000006</v>
      </c>
    </row>
    <row r="721" spans="10:16">
      <c r="J721" s="5"/>
      <c r="L721">
        <f>DigDir!M721</f>
        <v>0.70851699999999995</v>
      </c>
      <c r="M721">
        <f>DigDir!N721</f>
        <v>71.5</v>
      </c>
      <c r="O721">
        <f>ABS(L721-DigDir!$C$34)</f>
        <v>5.4651370808737436</v>
      </c>
      <c r="P721">
        <f t="shared" si="12"/>
        <v>71.5</v>
      </c>
    </row>
    <row r="722" spans="10:16">
      <c r="J722" s="5"/>
      <c r="L722">
        <f>DigDir!M722</f>
        <v>0.70851699999999995</v>
      </c>
      <c r="M722">
        <f>DigDir!N722</f>
        <v>71.599999999999994</v>
      </c>
      <c r="O722">
        <f>ABS(L722-DigDir!$C$34)</f>
        <v>5.4651370808737436</v>
      </c>
      <c r="P722">
        <f t="shared" si="12"/>
        <v>71.599999999999994</v>
      </c>
    </row>
    <row r="723" spans="10:16">
      <c r="J723" s="5"/>
      <c r="L723">
        <f>DigDir!M723</f>
        <v>0.70851699999999995</v>
      </c>
      <c r="M723">
        <f>DigDir!N723</f>
        <v>71.7</v>
      </c>
      <c r="O723">
        <f>ABS(L723-DigDir!$C$34)</f>
        <v>5.4651370808737436</v>
      </c>
      <c r="P723">
        <f t="shared" si="12"/>
        <v>71.7</v>
      </c>
    </row>
    <row r="724" spans="10:16">
      <c r="J724" s="5"/>
      <c r="L724">
        <f>DigDir!M724</f>
        <v>0.70851699999999995</v>
      </c>
      <c r="M724">
        <f>DigDir!N724</f>
        <v>71.8</v>
      </c>
      <c r="O724">
        <f>ABS(L724-DigDir!$C$34)</f>
        <v>5.4651370808737436</v>
      </c>
      <c r="P724">
        <f t="shared" si="12"/>
        <v>71.8</v>
      </c>
    </row>
    <row r="725" spans="10:16">
      <c r="J725" s="5"/>
      <c r="L725">
        <f>DigDir!M725</f>
        <v>0.70851699999999995</v>
      </c>
      <c r="M725">
        <f>DigDir!N725</f>
        <v>71.900000000000006</v>
      </c>
      <c r="O725">
        <f>ABS(L725-DigDir!$C$34)</f>
        <v>5.4651370808737436</v>
      </c>
      <c r="P725">
        <f t="shared" si="12"/>
        <v>71.900000000000006</v>
      </c>
    </row>
    <row r="726" spans="10:16">
      <c r="J726" s="5"/>
      <c r="L726">
        <f>DigDir!M726</f>
        <v>0.70851699999999995</v>
      </c>
      <c r="M726">
        <f>DigDir!N726</f>
        <v>72</v>
      </c>
      <c r="O726">
        <f>ABS(L726-DigDir!$C$34)</f>
        <v>5.4651370808737436</v>
      </c>
      <c r="P726">
        <f t="shared" si="12"/>
        <v>72</v>
      </c>
    </row>
    <row r="727" spans="10:16">
      <c r="J727" s="5"/>
      <c r="L727">
        <f>DigDir!M727</f>
        <v>0.70851699999999995</v>
      </c>
      <c r="M727">
        <f>DigDir!N727</f>
        <v>72.099999999999994</v>
      </c>
      <c r="O727">
        <f>ABS(L727-DigDir!$C$34)</f>
        <v>5.4651370808737436</v>
      </c>
      <c r="P727">
        <f t="shared" si="12"/>
        <v>72.099999999999994</v>
      </c>
    </row>
    <row r="728" spans="10:16">
      <c r="J728" s="5"/>
      <c r="L728">
        <f>DigDir!M728</f>
        <v>0.70851699999999995</v>
      </c>
      <c r="M728">
        <f>DigDir!N728</f>
        <v>72.2</v>
      </c>
      <c r="O728">
        <f>ABS(L728-DigDir!$C$34)</f>
        <v>5.4651370808737436</v>
      </c>
      <c r="P728">
        <f t="shared" si="12"/>
        <v>72.2</v>
      </c>
    </row>
    <row r="729" spans="10:16">
      <c r="J729" s="5"/>
      <c r="L729">
        <f>DigDir!M729</f>
        <v>0.70851699999999995</v>
      </c>
      <c r="M729">
        <f>DigDir!N729</f>
        <v>72.3</v>
      </c>
      <c r="O729">
        <f>ABS(L729-DigDir!$C$34)</f>
        <v>5.4651370808737436</v>
      </c>
      <c r="P729">
        <f t="shared" si="12"/>
        <v>72.3</v>
      </c>
    </row>
    <row r="730" spans="10:16">
      <c r="J730" s="5"/>
      <c r="L730">
        <f>DigDir!M730</f>
        <v>0.70851699999999995</v>
      </c>
      <c r="M730">
        <f>DigDir!N730</f>
        <v>72.400000000000006</v>
      </c>
      <c r="O730">
        <f>ABS(L730-DigDir!$C$34)</f>
        <v>5.4651370808737436</v>
      </c>
      <c r="P730">
        <f t="shared" si="12"/>
        <v>72.400000000000006</v>
      </c>
    </row>
    <row r="731" spans="10:16">
      <c r="J731" s="5"/>
      <c r="L731">
        <f>DigDir!M731</f>
        <v>0.70851699999999995</v>
      </c>
      <c r="M731">
        <f>DigDir!N731</f>
        <v>72.5</v>
      </c>
      <c r="O731">
        <f>ABS(L731-DigDir!$C$34)</f>
        <v>5.4651370808737436</v>
      </c>
      <c r="P731">
        <f t="shared" si="12"/>
        <v>72.5</v>
      </c>
    </row>
    <row r="732" spans="10:16">
      <c r="J732" s="5"/>
      <c r="L732">
        <f>DigDir!M732</f>
        <v>0.70851699999999995</v>
      </c>
      <c r="M732">
        <f>DigDir!N732</f>
        <v>72.599999999999994</v>
      </c>
      <c r="O732">
        <f>ABS(L732-DigDir!$C$34)</f>
        <v>5.4651370808737436</v>
      </c>
      <c r="P732">
        <f t="shared" si="12"/>
        <v>72.599999999999994</v>
      </c>
    </row>
    <row r="733" spans="10:16">
      <c r="J733" s="5"/>
      <c r="L733">
        <f>DigDir!M733</f>
        <v>0.70851699999999995</v>
      </c>
      <c r="M733">
        <f>DigDir!N733</f>
        <v>72.7</v>
      </c>
      <c r="O733">
        <f>ABS(L733-DigDir!$C$34)</f>
        <v>5.4651370808737436</v>
      </c>
      <c r="P733">
        <f t="shared" si="12"/>
        <v>72.7</v>
      </c>
    </row>
    <row r="734" spans="10:16">
      <c r="J734" s="5"/>
      <c r="L734">
        <f>DigDir!M734</f>
        <v>0.70851699999999995</v>
      </c>
      <c r="M734">
        <f>DigDir!N734</f>
        <v>72.8</v>
      </c>
      <c r="O734">
        <f>ABS(L734-DigDir!$C$34)</f>
        <v>5.4651370808737436</v>
      </c>
      <c r="P734">
        <f t="shared" si="12"/>
        <v>72.8</v>
      </c>
    </row>
    <row r="735" spans="10:16">
      <c r="J735" s="5"/>
      <c r="L735">
        <f>DigDir!M735</f>
        <v>0.70851699999999995</v>
      </c>
      <c r="M735">
        <f>DigDir!N735</f>
        <v>72.900000000000006</v>
      </c>
      <c r="O735">
        <f>ABS(L735-DigDir!$C$34)</f>
        <v>5.4651370808737436</v>
      </c>
      <c r="P735">
        <f t="shared" si="12"/>
        <v>72.900000000000006</v>
      </c>
    </row>
    <row r="736" spans="10:16">
      <c r="J736" s="5"/>
      <c r="L736">
        <f>DigDir!M736</f>
        <v>0.70851699999999995</v>
      </c>
      <c r="M736">
        <f>DigDir!N736</f>
        <v>73</v>
      </c>
      <c r="O736">
        <f>ABS(L736-DigDir!$C$34)</f>
        <v>5.4651370808737436</v>
      </c>
      <c r="P736">
        <f t="shared" si="12"/>
        <v>73</v>
      </c>
    </row>
    <row r="737" spans="10:16">
      <c r="J737" s="5"/>
      <c r="L737">
        <f>DigDir!M737</f>
        <v>0.70851699999999995</v>
      </c>
      <c r="M737">
        <f>DigDir!N737</f>
        <v>73.099999999999994</v>
      </c>
      <c r="O737">
        <f>ABS(L737-DigDir!$C$34)</f>
        <v>5.4651370808737436</v>
      </c>
      <c r="P737">
        <f t="shared" si="12"/>
        <v>73.099999999999994</v>
      </c>
    </row>
    <row r="738" spans="10:16">
      <c r="J738" s="5"/>
      <c r="L738">
        <f>DigDir!M738</f>
        <v>0.70851699999999995</v>
      </c>
      <c r="M738">
        <f>DigDir!N738</f>
        <v>73.2</v>
      </c>
      <c r="O738">
        <f>ABS(L738-DigDir!$C$34)</f>
        <v>5.4651370808737436</v>
      </c>
      <c r="P738">
        <f t="shared" si="12"/>
        <v>73.2</v>
      </c>
    </row>
    <row r="739" spans="10:16">
      <c r="J739" s="5"/>
      <c r="L739">
        <f>DigDir!M739</f>
        <v>0.70851699999999995</v>
      </c>
      <c r="M739">
        <f>DigDir!N739</f>
        <v>73.3</v>
      </c>
      <c r="O739">
        <f>ABS(L739-DigDir!$C$34)</f>
        <v>5.4651370808737436</v>
      </c>
      <c r="P739">
        <f t="shared" si="12"/>
        <v>73.3</v>
      </c>
    </row>
    <row r="740" spans="10:16">
      <c r="J740" s="5"/>
      <c r="L740">
        <f>DigDir!M740</f>
        <v>0.70851699999999995</v>
      </c>
      <c r="M740">
        <f>DigDir!N740</f>
        <v>73.400000000000006</v>
      </c>
      <c r="O740">
        <f>ABS(L740-DigDir!$C$34)</f>
        <v>5.4651370808737436</v>
      </c>
      <c r="P740">
        <f t="shared" si="12"/>
        <v>73.400000000000006</v>
      </c>
    </row>
    <row r="741" spans="10:16">
      <c r="J741" s="5"/>
      <c r="L741">
        <f>DigDir!M741</f>
        <v>0.70851699999999995</v>
      </c>
      <c r="M741">
        <f>DigDir!N741</f>
        <v>73.5</v>
      </c>
      <c r="O741">
        <f>ABS(L741-DigDir!$C$34)</f>
        <v>5.4651370808737436</v>
      </c>
      <c r="P741">
        <f t="shared" si="12"/>
        <v>73.5</v>
      </c>
    </row>
    <row r="742" spans="10:16">
      <c r="J742" s="5"/>
      <c r="L742">
        <f>DigDir!M742</f>
        <v>0.70851699999999995</v>
      </c>
      <c r="M742">
        <f>DigDir!N742</f>
        <v>73.599999999999994</v>
      </c>
      <c r="O742">
        <f>ABS(L742-DigDir!$C$34)</f>
        <v>5.4651370808737436</v>
      </c>
      <c r="P742">
        <f t="shared" si="12"/>
        <v>73.599999999999994</v>
      </c>
    </row>
    <row r="743" spans="10:16">
      <c r="J743" s="5"/>
      <c r="L743">
        <f>DigDir!M743</f>
        <v>0.70851699999999995</v>
      </c>
      <c r="M743">
        <f>DigDir!N743</f>
        <v>73.7</v>
      </c>
      <c r="O743">
        <f>ABS(L743-DigDir!$C$34)</f>
        <v>5.4651370808737436</v>
      </c>
      <c r="P743">
        <f t="shared" si="12"/>
        <v>73.7</v>
      </c>
    </row>
    <row r="744" spans="10:16">
      <c r="J744" s="5"/>
      <c r="L744">
        <f>DigDir!M744</f>
        <v>0.70851699999999995</v>
      </c>
      <c r="M744">
        <f>DigDir!N744</f>
        <v>73.8</v>
      </c>
      <c r="O744">
        <f>ABS(L744-DigDir!$C$34)</f>
        <v>5.4651370808737436</v>
      </c>
      <c r="P744">
        <f t="shared" si="12"/>
        <v>73.8</v>
      </c>
    </row>
    <row r="745" spans="10:16">
      <c r="J745" s="5"/>
      <c r="L745">
        <f>DigDir!M745</f>
        <v>0.70851699999999995</v>
      </c>
      <c r="M745">
        <f>DigDir!N745</f>
        <v>73.900000000000006</v>
      </c>
      <c r="O745">
        <f>ABS(L745-DigDir!$C$34)</f>
        <v>5.4651370808737436</v>
      </c>
      <c r="P745">
        <f t="shared" si="12"/>
        <v>73.900000000000006</v>
      </c>
    </row>
    <row r="746" spans="10:16">
      <c r="J746" s="5"/>
      <c r="L746">
        <f>DigDir!M746</f>
        <v>0.70851699999999995</v>
      </c>
      <c r="M746">
        <f>DigDir!N746</f>
        <v>74</v>
      </c>
      <c r="O746">
        <f>ABS(L746-DigDir!$C$34)</f>
        <v>5.4651370808737436</v>
      </c>
      <c r="P746">
        <f t="shared" si="12"/>
        <v>74</v>
      </c>
    </row>
    <row r="747" spans="10:16">
      <c r="J747" s="5"/>
      <c r="L747">
        <f>DigDir!M747</f>
        <v>0.70851699999999995</v>
      </c>
      <c r="M747">
        <f>DigDir!N747</f>
        <v>74.099999999999994</v>
      </c>
      <c r="O747">
        <f>ABS(L747-DigDir!$C$34)</f>
        <v>5.4651370808737436</v>
      </c>
      <c r="P747">
        <f t="shared" si="12"/>
        <v>74.099999999999994</v>
      </c>
    </row>
    <row r="748" spans="10:16">
      <c r="J748" s="5"/>
      <c r="L748">
        <f>DigDir!M748</f>
        <v>0.70851699999999995</v>
      </c>
      <c r="M748">
        <f>DigDir!N748</f>
        <v>74.2</v>
      </c>
      <c r="O748">
        <f>ABS(L748-DigDir!$C$34)</f>
        <v>5.4651370808737436</v>
      </c>
      <c r="P748">
        <f t="shared" si="12"/>
        <v>74.2</v>
      </c>
    </row>
    <row r="749" spans="10:16">
      <c r="J749" s="5"/>
      <c r="L749">
        <f>DigDir!M749</f>
        <v>0.70851699999999995</v>
      </c>
      <c r="M749">
        <f>DigDir!N749</f>
        <v>74.3</v>
      </c>
      <c r="O749">
        <f>ABS(L749-DigDir!$C$34)</f>
        <v>5.4651370808737436</v>
      </c>
      <c r="P749">
        <f t="shared" si="12"/>
        <v>74.3</v>
      </c>
    </row>
    <row r="750" spans="10:16">
      <c r="J750" s="5"/>
      <c r="L750">
        <f>DigDir!M750</f>
        <v>0.70851699999999995</v>
      </c>
      <c r="M750">
        <f>DigDir!N750</f>
        <v>74.400000000000006</v>
      </c>
      <c r="O750">
        <f>ABS(L750-DigDir!$C$34)</f>
        <v>5.4651370808737436</v>
      </c>
      <c r="P750">
        <f t="shared" si="12"/>
        <v>74.400000000000006</v>
      </c>
    </row>
    <row r="751" spans="10:16">
      <c r="J751" s="5"/>
      <c r="L751">
        <f>DigDir!M751</f>
        <v>0.70851699999999995</v>
      </c>
      <c r="M751">
        <f>DigDir!N751</f>
        <v>74.5</v>
      </c>
      <c r="O751">
        <f>ABS(L751-DigDir!$C$34)</f>
        <v>5.4651370808737436</v>
      </c>
      <c r="P751">
        <f t="shared" si="12"/>
        <v>74.5</v>
      </c>
    </row>
    <row r="752" spans="10:16">
      <c r="J752" s="5"/>
      <c r="L752">
        <f>DigDir!M752</f>
        <v>0.70851699999999995</v>
      </c>
      <c r="M752">
        <f>DigDir!N752</f>
        <v>74.599999999999994</v>
      </c>
      <c r="O752">
        <f>ABS(L752-DigDir!$C$34)</f>
        <v>5.4651370808737436</v>
      </c>
      <c r="P752">
        <f t="shared" si="12"/>
        <v>74.599999999999994</v>
      </c>
    </row>
    <row r="753" spans="10:16">
      <c r="J753" s="5"/>
      <c r="L753">
        <f>DigDir!M753</f>
        <v>0.70851699999999995</v>
      </c>
      <c r="M753">
        <f>DigDir!N753</f>
        <v>74.7</v>
      </c>
      <c r="O753">
        <f>ABS(L753-DigDir!$C$34)</f>
        <v>5.4651370808737436</v>
      </c>
      <c r="P753">
        <f t="shared" si="12"/>
        <v>74.7</v>
      </c>
    </row>
    <row r="754" spans="10:16">
      <c r="J754" s="5"/>
      <c r="L754">
        <f>DigDir!M754</f>
        <v>0.70851699999999995</v>
      </c>
      <c r="M754">
        <f>DigDir!N754</f>
        <v>74.8</v>
      </c>
      <c r="O754">
        <f>ABS(L754-DigDir!$C$34)</f>
        <v>5.4651370808737436</v>
      </c>
      <c r="P754">
        <f t="shared" si="12"/>
        <v>74.8</v>
      </c>
    </row>
    <row r="755" spans="10:16">
      <c r="J755" s="5"/>
      <c r="L755">
        <f>DigDir!M755</f>
        <v>0.70851699999999995</v>
      </c>
      <c r="M755">
        <f>DigDir!N755</f>
        <v>74.900000000000006</v>
      </c>
      <c r="O755">
        <f>ABS(L755-DigDir!$C$34)</f>
        <v>5.4651370808737436</v>
      </c>
      <c r="P755">
        <f t="shared" si="12"/>
        <v>74.900000000000006</v>
      </c>
    </row>
    <row r="756" spans="10:16">
      <c r="J756" s="5"/>
      <c r="L756">
        <f>DigDir!M756</f>
        <v>0.70851699999999995</v>
      </c>
      <c r="M756">
        <f>DigDir!N756</f>
        <v>75</v>
      </c>
      <c r="O756">
        <f>ABS(L756-DigDir!$C$34)</f>
        <v>5.4651370808737436</v>
      </c>
      <c r="P756">
        <f t="shared" si="12"/>
        <v>75</v>
      </c>
    </row>
    <row r="757" spans="10:16">
      <c r="J757" s="5"/>
      <c r="L757">
        <f>DigDir!M757</f>
        <v>0.70851699999999995</v>
      </c>
      <c r="M757">
        <f>DigDir!N757</f>
        <v>75.099999999999994</v>
      </c>
      <c r="O757">
        <f>ABS(L757-DigDir!$C$34)</f>
        <v>5.4651370808737436</v>
      </c>
      <c r="P757">
        <f t="shared" si="12"/>
        <v>75.099999999999994</v>
      </c>
    </row>
    <row r="758" spans="10:16">
      <c r="J758" s="5"/>
      <c r="L758">
        <f>DigDir!M758</f>
        <v>0.70851699999999995</v>
      </c>
      <c r="M758">
        <f>DigDir!N758</f>
        <v>75.2</v>
      </c>
      <c r="O758">
        <f>ABS(L758-DigDir!$C$34)</f>
        <v>5.4651370808737436</v>
      </c>
      <c r="P758">
        <f t="shared" si="12"/>
        <v>75.2</v>
      </c>
    </row>
    <row r="759" spans="10:16">
      <c r="J759" s="5"/>
      <c r="L759">
        <f>DigDir!M759</f>
        <v>0.70851699999999995</v>
      </c>
      <c r="M759">
        <f>DigDir!N759</f>
        <v>75.3</v>
      </c>
      <c r="O759">
        <f>ABS(L759-DigDir!$C$34)</f>
        <v>5.4651370808737436</v>
      </c>
      <c r="P759">
        <f t="shared" si="12"/>
        <v>75.3</v>
      </c>
    </row>
    <row r="760" spans="10:16">
      <c r="J760" s="5"/>
      <c r="L760">
        <f>DigDir!M760</f>
        <v>0.70851699999999995</v>
      </c>
      <c r="M760">
        <f>DigDir!N760</f>
        <v>75.400000000000006</v>
      </c>
      <c r="O760">
        <f>ABS(L760-DigDir!$C$34)</f>
        <v>5.4651370808737436</v>
      </c>
      <c r="P760">
        <f t="shared" si="12"/>
        <v>75.400000000000006</v>
      </c>
    </row>
    <row r="761" spans="10:16">
      <c r="J761" s="5"/>
      <c r="L761">
        <f>DigDir!M761</f>
        <v>0.70851699999999995</v>
      </c>
      <c r="M761">
        <f>DigDir!N761</f>
        <v>75.5</v>
      </c>
      <c r="O761">
        <f>ABS(L761-DigDir!$C$34)</f>
        <v>5.4651370808737436</v>
      </c>
      <c r="P761">
        <f t="shared" si="12"/>
        <v>75.5</v>
      </c>
    </row>
    <row r="762" spans="10:16">
      <c r="J762" s="5"/>
      <c r="L762">
        <f>DigDir!M762</f>
        <v>0.70851699999999995</v>
      </c>
      <c r="M762">
        <f>DigDir!N762</f>
        <v>75.599999999999994</v>
      </c>
      <c r="O762">
        <f>ABS(L762-DigDir!$C$34)</f>
        <v>5.4651370808737436</v>
      </c>
      <c r="P762">
        <f t="shared" si="12"/>
        <v>75.599999999999994</v>
      </c>
    </row>
    <row r="763" spans="10:16">
      <c r="J763" s="5"/>
      <c r="L763">
        <f>DigDir!M763</f>
        <v>0.70851699999999995</v>
      </c>
      <c r="M763">
        <f>DigDir!N763</f>
        <v>75.7</v>
      </c>
      <c r="O763">
        <f>ABS(L763-DigDir!$C$34)</f>
        <v>5.4651370808737436</v>
      </c>
      <c r="P763">
        <f t="shared" si="12"/>
        <v>75.7</v>
      </c>
    </row>
    <row r="764" spans="10:16">
      <c r="J764" s="5"/>
      <c r="L764">
        <f>DigDir!M764</f>
        <v>0.70851699999999995</v>
      </c>
      <c r="M764">
        <f>DigDir!N764</f>
        <v>75.8</v>
      </c>
      <c r="O764">
        <f>ABS(L764-DigDir!$C$34)</f>
        <v>5.4651370808737436</v>
      </c>
      <c r="P764">
        <f t="shared" si="12"/>
        <v>75.8</v>
      </c>
    </row>
    <row r="765" spans="10:16">
      <c r="J765" s="5"/>
      <c r="L765">
        <f>DigDir!M765</f>
        <v>0.70851699999999995</v>
      </c>
      <c r="M765">
        <f>DigDir!N765</f>
        <v>75.900000000000006</v>
      </c>
      <c r="O765">
        <f>ABS(L765-DigDir!$C$34)</f>
        <v>5.4651370808737436</v>
      </c>
      <c r="P765">
        <f t="shared" si="12"/>
        <v>75.900000000000006</v>
      </c>
    </row>
    <row r="766" spans="10:16">
      <c r="J766" s="5"/>
      <c r="L766">
        <f>DigDir!M766</f>
        <v>0.70851699999999995</v>
      </c>
      <c r="M766">
        <f>DigDir!N766</f>
        <v>76</v>
      </c>
      <c r="O766">
        <f>ABS(L766-DigDir!$C$34)</f>
        <v>5.4651370808737436</v>
      </c>
      <c r="P766">
        <f t="shared" si="12"/>
        <v>76</v>
      </c>
    </row>
    <row r="767" spans="10:16">
      <c r="J767" s="5"/>
      <c r="L767">
        <f>DigDir!M767</f>
        <v>0.72667290400000095</v>
      </c>
      <c r="M767">
        <f>DigDir!N767</f>
        <v>76.099999999999994</v>
      </c>
      <c r="O767">
        <f>ABS(L767-DigDir!$C$34)</f>
        <v>5.4832929848737448</v>
      </c>
      <c r="P767">
        <f t="shared" si="12"/>
        <v>76.099999999999994</v>
      </c>
    </row>
    <row r="768" spans="10:16">
      <c r="J768" s="5"/>
      <c r="L768">
        <f>DigDir!M768</f>
        <v>0.74948416799999995</v>
      </c>
      <c r="M768">
        <f>DigDir!N768</f>
        <v>76.2</v>
      </c>
      <c r="O768">
        <f>ABS(L768-DigDir!$C$34)</f>
        <v>5.5061042488737435</v>
      </c>
      <c r="P768">
        <f t="shared" si="12"/>
        <v>76.2</v>
      </c>
    </row>
    <row r="769" spans="10:16">
      <c r="J769" s="5"/>
      <c r="L769">
        <f>DigDir!M769</f>
        <v>0.76670899999999997</v>
      </c>
      <c r="M769">
        <f>DigDir!N769</f>
        <v>76.3</v>
      </c>
      <c r="O769">
        <f>ABS(L769-DigDir!$C$34)</f>
        <v>5.5233290808737436</v>
      </c>
      <c r="P769">
        <f t="shared" si="12"/>
        <v>76.3</v>
      </c>
    </row>
    <row r="770" spans="10:16">
      <c r="J770" s="5"/>
      <c r="L770">
        <f>DigDir!M770</f>
        <v>0.76670899999999997</v>
      </c>
      <c r="M770">
        <f>DigDir!N770</f>
        <v>76.400000000000006</v>
      </c>
      <c r="O770">
        <f>ABS(L770-DigDir!$C$34)</f>
        <v>5.5233290808737436</v>
      </c>
      <c r="P770">
        <f t="shared" si="12"/>
        <v>76.400000000000006</v>
      </c>
    </row>
    <row r="771" spans="10:16">
      <c r="J771" s="5"/>
      <c r="L771">
        <f>DigDir!M771</f>
        <v>0.76670899999999997</v>
      </c>
      <c r="M771">
        <f>DigDir!N771</f>
        <v>76.5</v>
      </c>
      <c r="O771">
        <f>ABS(L771-DigDir!$C$34)</f>
        <v>5.5233290808737436</v>
      </c>
      <c r="P771">
        <f t="shared" si="12"/>
        <v>76.5</v>
      </c>
    </row>
    <row r="772" spans="10:16">
      <c r="J772" s="5"/>
      <c r="L772">
        <f>DigDir!M772</f>
        <v>0.76670899999999997</v>
      </c>
      <c r="M772">
        <f>DigDir!N772</f>
        <v>76.599999999999994</v>
      </c>
      <c r="O772">
        <f>ABS(L772-DigDir!$C$34)</f>
        <v>5.5233290808737436</v>
      </c>
      <c r="P772">
        <f t="shared" si="12"/>
        <v>76.599999999999994</v>
      </c>
    </row>
    <row r="773" spans="10:16">
      <c r="J773" s="5"/>
      <c r="L773">
        <f>DigDir!M773</f>
        <v>0.76670899999999997</v>
      </c>
      <c r="M773">
        <f>DigDir!N773</f>
        <v>76.7</v>
      </c>
      <c r="O773">
        <f>ABS(L773-DigDir!$C$34)</f>
        <v>5.5233290808737436</v>
      </c>
      <c r="P773">
        <f t="shared" si="12"/>
        <v>76.7</v>
      </c>
    </row>
    <row r="774" spans="10:16">
      <c r="J774" s="5"/>
      <c r="L774">
        <f>DigDir!M774</f>
        <v>0.76670899999999997</v>
      </c>
      <c r="M774">
        <f>DigDir!N774</f>
        <v>76.8</v>
      </c>
      <c r="O774">
        <f>ABS(L774-DigDir!$C$34)</f>
        <v>5.5233290808737436</v>
      </c>
      <c r="P774">
        <f t="shared" si="12"/>
        <v>76.8</v>
      </c>
    </row>
    <row r="775" spans="10:16">
      <c r="J775" s="5"/>
      <c r="L775">
        <f>DigDir!M775</f>
        <v>0.76670899999999997</v>
      </c>
      <c r="M775">
        <f>DigDir!N775</f>
        <v>76.900000000000006</v>
      </c>
      <c r="O775">
        <f>ABS(L775-DigDir!$C$34)</f>
        <v>5.5233290808737436</v>
      </c>
      <c r="P775">
        <f t="shared" ref="P775:P838" si="13">M775</f>
        <v>76.900000000000006</v>
      </c>
    </row>
    <row r="776" spans="10:16">
      <c r="J776" s="5"/>
      <c r="L776">
        <f>DigDir!M776</f>
        <v>0.76670899999999997</v>
      </c>
      <c r="M776">
        <f>DigDir!N776</f>
        <v>77</v>
      </c>
      <c r="O776">
        <f>ABS(L776-DigDir!$C$34)</f>
        <v>5.5233290808737436</v>
      </c>
      <c r="P776">
        <f t="shared" si="13"/>
        <v>77</v>
      </c>
    </row>
    <row r="777" spans="10:16">
      <c r="J777" s="5"/>
      <c r="L777">
        <f>DigDir!M777</f>
        <v>0.76670899999999997</v>
      </c>
      <c r="M777">
        <f>DigDir!N777</f>
        <v>77.099999999999994</v>
      </c>
      <c r="O777">
        <f>ABS(L777-DigDir!$C$34)</f>
        <v>5.5233290808737436</v>
      </c>
      <c r="P777">
        <f t="shared" si="13"/>
        <v>77.099999999999994</v>
      </c>
    </row>
    <row r="778" spans="10:16">
      <c r="J778" s="5"/>
      <c r="L778">
        <f>DigDir!M778</f>
        <v>0.76670899999999997</v>
      </c>
      <c r="M778">
        <f>DigDir!N778</f>
        <v>77.2</v>
      </c>
      <c r="O778">
        <f>ABS(L778-DigDir!$C$34)</f>
        <v>5.5233290808737436</v>
      </c>
      <c r="P778">
        <f t="shared" si="13"/>
        <v>77.2</v>
      </c>
    </row>
    <row r="779" spans="10:16">
      <c r="J779" s="5"/>
      <c r="L779">
        <f>DigDir!M779</f>
        <v>0.76670899999999997</v>
      </c>
      <c r="M779">
        <f>DigDir!N779</f>
        <v>77.3</v>
      </c>
      <c r="O779">
        <f>ABS(L779-DigDir!$C$34)</f>
        <v>5.5233290808737436</v>
      </c>
      <c r="P779">
        <f t="shared" si="13"/>
        <v>77.3</v>
      </c>
    </row>
    <row r="780" spans="10:16">
      <c r="J780" s="5"/>
      <c r="L780">
        <f>DigDir!M780</f>
        <v>0.76670899999999997</v>
      </c>
      <c r="M780">
        <f>DigDir!N780</f>
        <v>77.400000000000006</v>
      </c>
      <c r="O780">
        <f>ABS(L780-DigDir!$C$34)</f>
        <v>5.5233290808737436</v>
      </c>
      <c r="P780">
        <f t="shared" si="13"/>
        <v>77.400000000000006</v>
      </c>
    </row>
    <row r="781" spans="10:16">
      <c r="J781" s="5"/>
      <c r="L781">
        <f>DigDir!M781</f>
        <v>0.76670899999999997</v>
      </c>
      <c r="M781">
        <f>DigDir!N781</f>
        <v>77.5</v>
      </c>
      <c r="O781">
        <f>ABS(L781-DigDir!$C$34)</f>
        <v>5.5233290808737436</v>
      </c>
      <c r="P781">
        <f t="shared" si="13"/>
        <v>77.5</v>
      </c>
    </row>
    <row r="782" spans="10:16">
      <c r="J782" s="5"/>
      <c r="L782">
        <f>DigDir!M782</f>
        <v>0.76670899999999997</v>
      </c>
      <c r="M782">
        <f>DigDir!N782</f>
        <v>77.599999999999994</v>
      </c>
      <c r="O782">
        <f>ABS(L782-DigDir!$C$34)</f>
        <v>5.5233290808737436</v>
      </c>
      <c r="P782">
        <f t="shared" si="13"/>
        <v>77.599999999999994</v>
      </c>
    </row>
    <row r="783" spans="10:16">
      <c r="J783" s="5"/>
      <c r="L783">
        <f>DigDir!M783</f>
        <v>0.76670899999999997</v>
      </c>
      <c r="M783">
        <f>DigDir!N783</f>
        <v>77.7</v>
      </c>
      <c r="O783">
        <f>ABS(L783-DigDir!$C$34)</f>
        <v>5.5233290808737436</v>
      </c>
      <c r="P783">
        <f t="shared" si="13"/>
        <v>77.7</v>
      </c>
    </row>
    <row r="784" spans="10:16">
      <c r="J784" s="5"/>
      <c r="L784">
        <f>DigDir!M784</f>
        <v>0.76670899999999997</v>
      </c>
      <c r="M784">
        <f>DigDir!N784</f>
        <v>77.8</v>
      </c>
      <c r="O784">
        <f>ABS(L784-DigDir!$C$34)</f>
        <v>5.5233290808737436</v>
      </c>
      <c r="P784">
        <f t="shared" si="13"/>
        <v>77.8</v>
      </c>
    </row>
    <row r="785" spans="10:16">
      <c r="J785" s="5"/>
      <c r="L785">
        <f>DigDir!M785</f>
        <v>0.76670899999999997</v>
      </c>
      <c r="M785">
        <f>DigDir!N785</f>
        <v>77.900000000000006</v>
      </c>
      <c r="O785">
        <f>ABS(L785-DigDir!$C$34)</f>
        <v>5.5233290808737436</v>
      </c>
      <c r="P785">
        <f t="shared" si="13"/>
        <v>77.900000000000006</v>
      </c>
    </row>
    <row r="786" spans="10:16">
      <c r="J786" s="5"/>
      <c r="L786">
        <f>DigDir!M786</f>
        <v>0.76670899999999997</v>
      </c>
      <c r="M786">
        <f>DigDir!N786</f>
        <v>78</v>
      </c>
      <c r="O786">
        <f>ABS(L786-DigDir!$C$34)</f>
        <v>5.5233290808737436</v>
      </c>
      <c r="P786">
        <f t="shared" si="13"/>
        <v>78</v>
      </c>
    </row>
    <row r="787" spans="10:16">
      <c r="J787" s="5"/>
      <c r="L787">
        <f>DigDir!M787</f>
        <v>0.76670899999999997</v>
      </c>
      <c r="M787">
        <f>DigDir!N787</f>
        <v>78.099999999999994</v>
      </c>
      <c r="O787">
        <f>ABS(L787-DigDir!$C$34)</f>
        <v>5.5233290808737436</v>
      </c>
      <c r="P787">
        <f t="shared" si="13"/>
        <v>78.099999999999994</v>
      </c>
    </row>
    <row r="788" spans="10:16">
      <c r="J788" s="5"/>
      <c r="L788">
        <f>DigDir!M788</f>
        <v>0.76670899999999997</v>
      </c>
      <c r="M788">
        <f>DigDir!N788</f>
        <v>78.2</v>
      </c>
      <c r="O788">
        <f>ABS(L788-DigDir!$C$34)</f>
        <v>5.5233290808737436</v>
      </c>
      <c r="P788">
        <f t="shared" si="13"/>
        <v>78.2</v>
      </c>
    </row>
    <row r="789" spans="10:16">
      <c r="J789" s="5"/>
      <c r="L789">
        <f>DigDir!M789</f>
        <v>0.76670899999999997</v>
      </c>
      <c r="M789">
        <f>DigDir!N789</f>
        <v>78.3</v>
      </c>
      <c r="O789">
        <f>ABS(L789-DigDir!$C$34)</f>
        <v>5.5233290808737436</v>
      </c>
      <c r="P789">
        <f t="shared" si="13"/>
        <v>78.3</v>
      </c>
    </row>
    <row r="790" spans="10:16">
      <c r="J790" s="5"/>
      <c r="L790">
        <f>DigDir!M790</f>
        <v>0.76670899999999997</v>
      </c>
      <c r="M790">
        <f>DigDir!N790</f>
        <v>78.400000000000006</v>
      </c>
      <c r="O790">
        <f>ABS(L790-DigDir!$C$34)</f>
        <v>5.5233290808737436</v>
      </c>
      <c r="P790">
        <f t="shared" si="13"/>
        <v>78.400000000000006</v>
      </c>
    </row>
    <row r="791" spans="10:16">
      <c r="J791" s="5"/>
      <c r="L791">
        <f>DigDir!M791</f>
        <v>0.76670899999999997</v>
      </c>
      <c r="M791">
        <f>DigDir!N791</f>
        <v>78.5</v>
      </c>
      <c r="O791">
        <f>ABS(L791-DigDir!$C$34)</f>
        <v>5.5233290808737436</v>
      </c>
      <c r="P791">
        <f t="shared" si="13"/>
        <v>78.5</v>
      </c>
    </row>
    <row r="792" spans="10:16">
      <c r="J792" s="5"/>
      <c r="L792">
        <f>DigDir!M792</f>
        <v>0.76670899999999997</v>
      </c>
      <c r="M792">
        <f>DigDir!N792</f>
        <v>78.599999999999994</v>
      </c>
      <c r="O792">
        <f>ABS(L792-DigDir!$C$34)</f>
        <v>5.5233290808737436</v>
      </c>
      <c r="P792">
        <f t="shared" si="13"/>
        <v>78.599999999999994</v>
      </c>
    </row>
    <row r="793" spans="10:16">
      <c r="J793" s="5"/>
      <c r="L793">
        <f>DigDir!M793</f>
        <v>0.76670899999999997</v>
      </c>
      <c r="M793">
        <f>DigDir!N793</f>
        <v>78.7</v>
      </c>
      <c r="O793">
        <f>ABS(L793-DigDir!$C$34)</f>
        <v>5.5233290808737436</v>
      </c>
      <c r="P793">
        <f t="shared" si="13"/>
        <v>78.7</v>
      </c>
    </row>
    <row r="794" spans="10:16">
      <c r="J794" s="5"/>
      <c r="L794">
        <f>DigDir!M794</f>
        <v>0.76670899999999997</v>
      </c>
      <c r="M794">
        <f>DigDir!N794</f>
        <v>78.8</v>
      </c>
      <c r="O794">
        <f>ABS(L794-DigDir!$C$34)</f>
        <v>5.5233290808737436</v>
      </c>
      <c r="P794">
        <f t="shared" si="13"/>
        <v>78.8</v>
      </c>
    </row>
    <row r="795" spans="10:16">
      <c r="J795" s="5"/>
      <c r="L795">
        <f>DigDir!M795</f>
        <v>0.76670899999999997</v>
      </c>
      <c r="M795">
        <f>DigDir!N795</f>
        <v>78.900000000000006</v>
      </c>
      <c r="O795">
        <f>ABS(L795-DigDir!$C$34)</f>
        <v>5.5233290808737436</v>
      </c>
      <c r="P795">
        <f t="shared" si="13"/>
        <v>78.900000000000006</v>
      </c>
    </row>
    <row r="796" spans="10:16">
      <c r="J796" s="5"/>
      <c r="L796">
        <f>DigDir!M796</f>
        <v>0.76670899999999997</v>
      </c>
      <c r="M796">
        <f>DigDir!N796</f>
        <v>79</v>
      </c>
      <c r="O796">
        <f>ABS(L796-DigDir!$C$34)</f>
        <v>5.5233290808737436</v>
      </c>
      <c r="P796">
        <f t="shared" si="13"/>
        <v>79</v>
      </c>
    </row>
    <row r="797" spans="10:16">
      <c r="J797" s="5"/>
      <c r="L797">
        <f>DigDir!M797</f>
        <v>0.76670899999999997</v>
      </c>
      <c r="M797">
        <f>DigDir!N797</f>
        <v>79.099999999999994</v>
      </c>
      <c r="O797">
        <f>ABS(L797-DigDir!$C$34)</f>
        <v>5.5233290808737436</v>
      </c>
      <c r="P797">
        <f t="shared" si="13"/>
        <v>79.099999999999994</v>
      </c>
    </row>
    <row r="798" spans="10:16">
      <c r="J798" s="5"/>
      <c r="L798">
        <f>DigDir!M798</f>
        <v>0.76670899999999997</v>
      </c>
      <c r="M798">
        <f>DigDir!N798</f>
        <v>79.2</v>
      </c>
      <c r="O798">
        <f>ABS(L798-DigDir!$C$34)</f>
        <v>5.5233290808737436</v>
      </c>
      <c r="P798">
        <f t="shared" si="13"/>
        <v>79.2</v>
      </c>
    </row>
    <row r="799" spans="10:16">
      <c r="J799" s="5"/>
      <c r="L799">
        <f>DigDir!M799</f>
        <v>0.76670899999999997</v>
      </c>
      <c r="M799">
        <f>DigDir!N799</f>
        <v>79.3</v>
      </c>
      <c r="O799">
        <f>ABS(L799-DigDir!$C$34)</f>
        <v>5.5233290808737436</v>
      </c>
      <c r="P799">
        <f t="shared" si="13"/>
        <v>79.3</v>
      </c>
    </row>
    <row r="800" spans="10:16">
      <c r="J800" s="5"/>
      <c r="L800">
        <f>DigDir!M800</f>
        <v>0.78114086399999905</v>
      </c>
      <c r="M800">
        <f>DigDir!N800</f>
        <v>79.400000000000006</v>
      </c>
      <c r="O800">
        <f>ABS(L800-DigDir!$C$34)</f>
        <v>5.5377609448737433</v>
      </c>
      <c r="P800">
        <f t="shared" si="13"/>
        <v>79.400000000000006</v>
      </c>
    </row>
    <row r="801" spans="10:16">
      <c r="J801" s="5"/>
      <c r="L801">
        <f>DigDir!M801</f>
        <v>0.80395252000000295</v>
      </c>
      <c r="M801">
        <f>DigDir!N801</f>
        <v>79.5</v>
      </c>
      <c r="O801">
        <f>ABS(L801-DigDir!$C$34)</f>
        <v>5.5605726008737468</v>
      </c>
      <c r="P801">
        <f t="shared" si="13"/>
        <v>79.5</v>
      </c>
    </row>
    <row r="802" spans="10:16">
      <c r="J802" s="5"/>
      <c r="L802">
        <f>DigDir!M802</f>
        <v>0.82490200000000002</v>
      </c>
      <c r="M802">
        <f>DigDir!N802</f>
        <v>79.599999999999994</v>
      </c>
      <c r="O802">
        <f>ABS(L802-DigDir!$C$34)</f>
        <v>5.5815220808737438</v>
      </c>
      <c r="P802">
        <f t="shared" si="13"/>
        <v>79.599999999999994</v>
      </c>
    </row>
    <row r="803" spans="10:16">
      <c r="J803" s="5"/>
      <c r="L803">
        <f>DigDir!M803</f>
        <v>0.82490200000000002</v>
      </c>
      <c r="M803">
        <f>DigDir!N803</f>
        <v>79.7</v>
      </c>
      <c r="O803">
        <f>ABS(L803-DigDir!$C$34)</f>
        <v>5.5815220808737438</v>
      </c>
      <c r="P803">
        <f t="shared" si="13"/>
        <v>79.7</v>
      </c>
    </row>
    <row r="804" spans="10:16">
      <c r="J804" s="5"/>
      <c r="L804">
        <f>DigDir!M804</f>
        <v>0.82490200000000002</v>
      </c>
      <c r="M804">
        <f>DigDir!N804</f>
        <v>79.8</v>
      </c>
      <c r="O804">
        <f>ABS(L804-DigDir!$C$34)</f>
        <v>5.5815220808737438</v>
      </c>
      <c r="P804">
        <f t="shared" si="13"/>
        <v>79.8</v>
      </c>
    </row>
    <row r="805" spans="10:16">
      <c r="J805" s="5"/>
      <c r="L805">
        <f>DigDir!M805</f>
        <v>0.82490200000000002</v>
      </c>
      <c r="M805">
        <f>DigDir!N805</f>
        <v>79.900000000000006</v>
      </c>
      <c r="O805">
        <f>ABS(L805-DigDir!$C$34)</f>
        <v>5.5815220808737438</v>
      </c>
      <c r="P805">
        <f t="shared" si="13"/>
        <v>79.900000000000006</v>
      </c>
    </row>
    <row r="806" spans="10:16">
      <c r="J806" s="5"/>
      <c r="L806">
        <f>DigDir!M806</f>
        <v>0.82490200000000002</v>
      </c>
      <c r="M806">
        <f>DigDir!N806</f>
        <v>80</v>
      </c>
      <c r="O806">
        <f>ABS(L806-DigDir!$C$34)</f>
        <v>5.5815220808737438</v>
      </c>
      <c r="P806">
        <f t="shared" si="13"/>
        <v>80</v>
      </c>
    </row>
    <row r="807" spans="10:16">
      <c r="J807" s="5"/>
      <c r="L807">
        <f>DigDir!M807</f>
        <v>0.82490200000000002</v>
      </c>
      <c r="M807">
        <f>DigDir!N807</f>
        <v>80.099999999999994</v>
      </c>
      <c r="O807">
        <f>ABS(L807-DigDir!$C$34)</f>
        <v>5.5815220808737438</v>
      </c>
      <c r="P807">
        <f t="shared" si="13"/>
        <v>80.099999999999994</v>
      </c>
    </row>
    <row r="808" spans="10:16">
      <c r="J808" s="5"/>
      <c r="L808">
        <f>DigDir!M808</f>
        <v>0.82490200000000002</v>
      </c>
      <c r="M808">
        <f>DigDir!N808</f>
        <v>80.2</v>
      </c>
      <c r="O808">
        <f>ABS(L808-DigDir!$C$34)</f>
        <v>5.5815220808737438</v>
      </c>
      <c r="P808">
        <f t="shared" si="13"/>
        <v>80.2</v>
      </c>
    </row>
    <row r="809" spans="10:16">
      <c r="J809" s="5"/>
      <c r="L809">
        <f>DigDir!M809</f>
        <v>0.82490200000000002</v>
      </c>
      <c r="M809">
        <f>DigDir!N809</f>
        <v>80.3</v>
      </c>
      <c r="O809">
        <f>ABS(L809-DigDir!$C$34)</f>
        <v>5.5815220808737438</v>
      </c>
      <c r="P809">
        <f t="shared" si="13"/>
        <v>80.3</v>
      </c>
    </row>
    <row r="810" spans="10:16">
      <c r="J810" s="5"/>
      <c r="L810">
        <f>DigDir!M810</f>
        <v>0.82490200000000002</v>
      </c>
      <c r="M810">
        <f>DigDir!N810</f>
        <v>80.400000000000006</v>
      </c>
      <c r="O810">
        <f>ABS(L810-DigDir!$C$34)</f>
        <v>5.5815220808737438</v>
      </c>
      <c r="P810">
        <f t="shared" si="13"/>
        <v>80.400000000000006</v>
      </c>
    </row>
    <row r="811" spans="10:16">
      <c r="J811" s="5"/>
      <c r="L811">
        <f>DigDir!M811</f>
        <v>0.82490200000000002</v>
      </c>
      <c r="M811">
        <f>DigDir!N811</f>
        <v>80.5</v>
      </c>
      <c r="O811">
        <f>ABS(L811-DigDir!$C$34)</f>
        <v>5.5815220808737438</v>
      </c>
      <c r="P811">
        <f t="shared" si="13"/>
        <v>80.5</v>
      </c>
    </row>
    <row r="812" spans="10:16">
      <c r="J812" s="5"/>
      <c r="L812">
        <f>DigDir!M812</f>
        <v>0.82490200000000002</v>
      </c>
      <c r="M812">
        <f>DigDir!N812</f>
        <v>80.599999999999994</v>
      </c>
      <c r="O812">
        <f>ABS(L812-DigDir!$C$34)</f>
        <v>5.5815220808737438</v>
      </c>
      <c r="P812">
        <f t="shared" si="13"/>
        <v>80.599999999999994</v>
      </c>
    </row>
    <row r="813" spans="10:16">
      <c r="J813" s="5"/>
      <c r="L813">
        <f>DigDir!M813</f>
        <v>0.84492004799999998</v>
      </c>
      <c r="M813">
        <f>DigDir!N813</f>
        <v>80.7</v>
      </c>
      <c r="O813">
        <f>ABS(L813-DigDir!$C$34)</f>
        <v>5.6015401288737436</v>
      </c>
      <c r="P813">
        <f t="shared" si="13"/>
        <v>80.7</v>
      </c>
    </row>
    <row r="814" spans="10:16">
      <c r="J814" s="5"/>
      <c r="L814">
        <f>DigDir!M814</f>
        <v>0.86773131200000297</v>
      </c>
      <c r="M814">
        <f>DigDir!N814</f>
        <v>80.8</v>
      </c>
      <c r="O814">
        <f>ABS(L814-DigDir!$C$34)</f>
        <v>5.6243513928737467</v>
      </c>
      <c r="P814">
        <f t="shared" si="13"/>
        <v>80.8</v>
      </c>
    </row>
    <row r="815" spans="10:16">
      <c r="J815" s="5"/>
      <c r="L815">
        <f>DigDir!M815</f>
        <v>0.88309400000000005</v>
      </c>
      <c r="M815">
        <f>DigDir!N815</f>
        <v>80.900000000000006</v>
      </c>
      <c r="O815">
        <f>ABS(L815-DigDir!$C$34)</f>
        <v>5.6397140808737438</v>
      </c>
      <c r="P815">
        <f t="shared" si="13"/>
        <v>80.900000000000006</v>
      </c>
    </row>
    <row r="816" spans="10:16">
      <c r="J816" s="5"/>
      <c r="L816">
        <f>DigDir!M816</f>
        <v>0.88309400000000005</v>
      </c>
      <c r="M816">
        <f>DigDir!N816</f>
        <v>81</v>
      </c>
      <c r="O816">
        <f>ABS(L816-DigDir!$C$34)</f>
        <v>5.6397140808737438</v>
      </c>
      <c r="P816">
        <f t="shared" si="13"/>
        <v>81</v>
      </c>
    </row>
    <row r="817" spans="10:16">
      <c r="J817" s="5"/>
      <c r="L817">
        <f>DigDir!M817</f>
        <v>0.88309400000000005</v>
      </c>
      <c r="M817">
        <f>DigDir!N817</f>
        <v>81.099999999999994</v>
      </c>
      <c r="O817">
        <f>ABS(L817-DigDir!$C$34)</f>
        <v>5.6397140808737438</v>
      </c>
      <c r="P817">
        <f t="shared" si="13"/>
        <v>81.099999999999994</v>
      </c>
    </row>
    <row r="818" spans="10:16">
      <c r="J818" s="5"/>
      <c r="L818">
        <f>DigDir!M818</f>
        <v>0.88309400000000005</v>
      </c>
      <c r="M818">
        <f>DigDir!N818</f>
        <v>81.2</v>
      </c>
      <c r="O818">
        <f>ABS(L818-DigDir!$C$34)</f>
        <v>5.6397140808737438</v>
      </c>
      <c r="P818">
        <f t="shared" si="13"/>
        <v>81.2</v>
      </c>
    </row>
    <row r="819" spans="10:16">
      <c r="J819" s="5"/>
      <c r="L819">
        <f>DigDir!M819</f>
        <v>0.88309400000000005</v>
      </c>
      <c r="M819">
        <f>DigDir!N819</f>
        <v>81.3</v>
      </c>
      <c r="O819">
        <f>ABS(L819-DigDir!$C$34)</f>
        <v>5.6397140808737438</v>
      </c>
      <c r="P819">
        <f t="shared" si="13"/>
        <v>81.3</v>
      </c>
    </row>
    <row r="820" spans="10:16">
      <c r="J820" s="5"/>
      <c r="L820">
        <f>DigDir!M820</f>
        <v>0.88309400000000005</v>
      </c>
      <c r="M820">
        <f>DigDir!N820</f>
        <v>81.400000000000006</v>
      </c>
      <c r="O820">
        <f>ABS(L820-DigDir!$C$34)</f>
        <v>5.6397140808737438</v>
      </c>
      <c r="P820">
        <f t="shared" si="13"/>
        <v>81.400000000000006</v>
      </c>
    </row>
    <row r="821" spans="10:16">
      <c r="J821" s="5"/>
      <c r="L821">
        <f>DigDir!M821</f>
        <v>0.88309400000000005</v>
      </c>
      <c r="M821">
        <f>DigDir!N821</f>
        <v>81.5</v>
      </c>
      <c r="O821">
        <f>ABS(L821-DigDir!$C$34)</f>
        <v>5.6397140808737438</v>
      </c>
      <c r="P821">
        <f t="shared" si="13"/>
        <v>81.5</v>
      </c>
    </row>
    <row r="822" spans="10:16">
      <c r="J822" s="5"/>
      <c r="L822">
        <f>DigDir!M822</f>
        <v>0.88309400000000005</v>
      </c>
      <c r="M822">
        <f>DigDir!N822</f>
        <v>81.599999999999994</v>
      </c>
      <c r="O822">
        <f>ABS(L822-DigDir!$C$34)</f>
        <v>5.6397140808737438</v>
      </c>
      <c r="P822">
        <f t="shared" si="13"/>
        <v>81.599999999999994</v>
      </c>
    </row>
    <row r="823" spans="10:16">
      <c r="J823" s="5"/>
      <c r="L823">
        <f>DigDir!M823</f>
        <v>0.88309400000000005</v>
      </c>
      <c r="M823">
        <f>DigDir!N823</f>
        <v>81.7</v>
      </c>
      <c r="O823">
        <f>ABS(L823-DigDir!$C$34)</f>
        <v>5.6397140808737438</v>
      </c>
      <c r="P823">
        <f t="shared" si="13"/>
        <v>81.7</v>
      </c>
    </row>
    <row r="824" spans="10:16">
      <c r="J824" s="5"/>
      <c r="L824">
        <f>DigDir!M824</f>
        <v>0.88309400000000005</v>
      </c>
      <c r="M824">
        <f>DigDir!N824</f>
        <v>81.8</v>
      </c>
      <c r="O824">
        <f>ABS(L824-DigDir!$C$34)</f>
        <v>5.6397140808737438</v>
      </c>
      <c r="P824">
        <f t="shared" si="13"/>
        <v>81.8</v>
      </c>
    </row>
    <row r="825" spans="10:16">
      <c r="J825" s="5"/>
      <c r="L825">
        <f>DigDir!M825</f>
        <v>0.88309400000000005</v>
      </c>
      <c r="M825">
        <f>DigDir!N825</f>
        <v>81.900000000000006</v>
      </c>
      <c r="O825">
        <f>ABS(L825-DigDir!$C$34)</f>
        <v>5.6397140808737438</v>
      </c>
      <c r="P825">
        <f t="shared" si="13"/>
        <v>81.900000000000006</v>
      </c>
    </row>
    <row r="826" spans="10:16">
      <c r="J826" s="5"/>
      <c r="L826">
        <f>DigDir!M826</f>
        <v>0.88309400000000005</v>
      </c>
      <c r="M826">
        <f>DigDir!N826</f>
        <v>82</v>
      </c>
      <c r="O826">
        <f>ABS(L826-DigDir!$C$34)</f>
        <v>5.6397140808737438</v>
      </c>
      <c r="P826">
        <f t="shared" si="13"/>
        <v>82</v>
      </c>
    </row>
    <row r="827" spans="10:16">
      <c r="J827" s="5"/>
      <c r="L827">
        <f>DigDir!M827</f>
        <v>0.88309400000000005</v>
      </c>
      <c r="M827">
        <f>DigDir!N827</f>
        <v>82.1</v>
      </c>
      <c r="O827">
        <f>ABS(L827-DigDir!$C$34)</f>
        <v>5.6397140808737438</v>
      </c>
      <c r="P827">
        <f t="shared" si="13"/>
        <v>82.1</v>
      </c>
    </row>
    <row r="828" spans="10:16">
      <c r="J828" s="5"/>
      <c r="L828">
        <f>DigDir!M828</f>
        <v>0.88309400000000005</v>
      </c>
      <c r="M828">
        <f>DigDir!N828</f>
        <v>82.2</v>
      </c>
      <c r="O828">
        <f>ABS(L828-DigDir!$C$34)</f>
        <v>5.6397140808737438</v>
      </c>
      <c r="P828">
        <f t="shared" si="13"/>
        <v>82.2</v>
      </c>
    </row>
    <row r="829" spans="10:16">
      <c r="J829" s="5"/>
      <c r="L829">
        <f>DigDir!M829</f>
        <v>0.88309400000000005</v>
      </c>
      <c r="M829">
        <f>DigDir!N829</f>
        <v>82.3</v>
      </c>
      <c r="O829">
        <f>ABS(L829-DigDir!$C$34)</f>
        <v>5.6397140808737438</v>
      </c>
      <c r="P829">
        <f t="shared" si="13"/>
        <v>82.3</v>
      </c>
    </row>
    <row r="830" spans="10:16">
      <c r="J830" s="5"/>
      <c r="L830">
        <f>DigDir!M830</f>
        <v>0.88309400000000005</v>
      </c>
      <c r="M830">
        <f>DigDir!N830</f>
        <v>82.4</v>
      </c>
      <c r="O830">
        <f>ABS(L830-DigDir!$C$34)</f>
        <v>5.6397140808737438</v>
      </c>
      <c r="P830">
        <f t="shared" si="13"/>
        <v>82.4</v>
      </c>
    </row>
    <row r="831" spans="10:16">
      <c r="J831" s="5"/>
      <c r="L831">
        <f>DigDir!M831</f>
        <v>0.88309400000000005</v>
      </c>
      <c r="M831">
        <f>DigDir!N831</f>
        <v>82.5</v>
      </c>
      <c r="O831">
        <f>ABS(L831-DigDir!$C$34)</f>
        <v>5.6397140808737438</v>
      </c>
      <c r="P831">
        <f t="shared" si="13"/>
        <v>82.5</v>
      </c>
    </row>
    <row r="832" spans="10:16">
      <c r="J832" s="5"/>
      <c r="L832">
        <f>DigDir!M832</f>
        <v>0.88309400000000005</v>
      </c>
      <c r="M832">
        <f>DigDir!N832</f>
        <v>82.6</v>
      </c>
      <c r="O832">
        <f>ABS(L832-DigDir!$C$34)</f>
        <v>5.6397140808737438</v>
      </c>
      <c r="P832">
        <f t="shared" si="13"/>
        <v>82.6</v>
      </c>
    </row>
    <row r="833" spans="10:16">
      <c r="J833" s="5"/>
      <c r="L833">
        <f>DigDir!M833</f>
        <v>0.88309400000000005</v>
      </c>
      <c r="M833">
        <f>DigDir!N833</f>
        <v>82.7</v>
      </c>
      <c r="O833">
        <f>ABS(L833-DigDir!$C$34)</f>
        <v>5.6397140808737438</v>
      </c>
      <c r="P833">
        <f t="shared" si="13"/>
        <v>82.7</v>
      </c>
    </row>
    <row r="834" spans="10:16">
      <c r="J834" s="5"/>
      <c r="L834">
        <f>DigDir!M834</f>
        <v>0.88309400000000005</v>
      </c>
      <c r="M834">
        <f>DigDir!N834</f>
        <v>82.8</v>
      </c>
      <c r="O834">
        <f>ABS(L834-DigDir!$C$34)</f>
        <v>5.6397140808737438</v>
      </c>
      <c r="P834">
        <f t="shared" si="13"/>
        <v>82.8</v>
      </c>
    </row>
    <row r="835" spans="10:16">
      <c r="J835" s="5"/>
      <c r="L835">
        <f>DigDir!M835</f>
        <v>0.88309400000000005</v>
      </c>
      <c r="M835">
        <f>DigDir!N835</f>
        <v>82.9</v>
      </c>
      <c r="O835">
        <f>ABS(L835-DigDir!$C$34)</f>
        <v>5.6397140808737438</v>
      </c>
      <c r="P835">
        <f t="shared" si="13"/>
        <v>82.9</v>
      </c>
    </row>
    <row r="836" spans="10:16">
      <c r="J836" s="5"/>
      <c r="L836">
        <f>DigDir!M836</f>
        <v>0.88309400000000005</v>
      </c>
      <c r="M836">
        <f>DigDir!N836</f>
        <v>83</v>
      </c>
      <c r="O836">
        <f>ABS(L836-DigDir!$C$34)</f>
        <v>5.6397140808737438</v>
      </c>
      <c r="P836">
        <f t="shared" si="13"/>
        <v>83</v>
      </c>
    </row>
    <row r="837" spans="10:16">
      <c r="J837" s="5"/>
      <c r="L837">
        <f>DigDir!M837</f>
        <v>0.88309400000000005</v>
      </c>
      <c r="M837">
        <f>DigDir!N837</f>
        <v>83.1</v>
      </c>
      <c r="O837">
        <f>ABS(L837-DigDir!$C$34)</f>
        <v>5.6397140808737438</v>
      </c>
      <c r="P837">
        <f t="shared" si="13"/>
        <v>83.1</v>
      </c>
    </row>
    <row r="838" spans="10:16">
      <c r="J838" s="5"/>
      <c r="L838">
        <f>DigDir!M838</f>
        <v>0.88309400000000005</v>
      </c>
      <c r="M838">
        <f>DigDir!N838</f>
        <v>83.2</v>
      </c>
      <c r="O838">
        <f>ABS(L838-DigDir!$C$34)</f>
        <v>5.6397140808737438</v>
      </c>
      <c r="P838">
        <f t="shared" si="13"/>
        <v>83.2</v>
      </c>
    </row>
    <row r="839" spans="10:16">
      <c r="J839" s="5"/>
      <c r="L839">
        <f>DigDir!M839</f>
        <v>0.88309400000000005</v>
      </c>
      <c r="M839">
        <f>DigDir!N839</f>
        <v>83.3</v>
      </c>
      <c r="O839">
        <f>ABS(L839-DigDir!$C$34)</f>
        <v>5.6397140808737438</v>
      </c>
      <c r="P839">
        <f t="shared" ref="P839:P902" si="14">M839</f>
        <v>83.3</v>
      </c>
    </row>
    <row r="840" spans="10:16">
      <c r="J840" s="5"/>
      <c r="L840">
        <f>DigDir!M840</f>
        <v>0.88309400000000005</v>
      </c>
      <c r="M840">
        <f>DigDir!N840</f>
        <v>83.4</v>
      </c>
      <c r="O840">
        <f>ABS(L840-DigDir!$C$34)</f>
        <v>5.6397140808737438</v>
      </c>
      <c r="P840">
        <f t="shared" si="14"/>
        <v>83.4</v>
      </c>
    </row>
    <row r="841" spans="10:16">
      <c r="J841" s="5"/>
      <c r="L841">
        <f>DigDir!M841</f>
        <v>0.88309400000000005</v>
      </c>
      <c r="M841">
        <f>DigDir!N841</f>
        <v>83.5</v>
      </c>
      <c r="O841">
        <f>ABS(L841-DigDir!$C$34)</f>
        <v>5.6397140808737438</v>
      </c>
      <c r="P841">
        <f t="shared" si="14"/>
        <v>83.5</v>
      </c>
    </row>
    <row r="842" spans="10:16">
      <c r="J842" s="5"/>
      <c r="L842">
        <f>DigDir!M842</f>
        <v>0.88309400000000005</v>
      </c>
      <c r="M842">
        <f>DigDir!N842</f>
        <v>83.6</v>
      </c>
      <c r="O842">
        <f>ABS(L842-DigDir!$C$34)</f>
        <v>5.6397140808737438</v>
      </c>
      <c r="P842">
        <f t="shared" si="14"/>
        <v>83.6</v>
      </c>
    </row>
    <row r="843" spans="10:16">
      <c r="J843" s="5"/>
      <c r="L843">
        <f>DigDir!M843</f>
        <v>0.88309400000000005</v>
      </c>
      <c r="M843">
        <f>DigDir!N843</f>
        <v>83.7</v>
      </c>
      <c r="O843">
        <f>ABS(L843-DigDir!$C$34)</f>
        <v>5.6397140808737438</v>
      </c>
      <c r="P843">
        <f t="shared" si="14"/>
        <v>83.7</v>
      </c>
    </row>
    <row r="844" spans="10:16">
      <c r="J844" s="5"/>
      <c r="L844">
        <f>DigDir!M844</f>
        <v>0.88309400000000005</v>
      </c>
      <c r="M844">
        <f>DigDir!N844</f>
        <v>83.8</v>
      </c>
      <c r="O844">
        <f>ABS(L844-DigDir!$C$34)</f>
        <v>5.6397140808737438</v>
      </c>
      <c r="P844">
        <f t="shared" si="14"/>
        <v>83.8</v>
      </c>
    </row>
    <row r="845" spans="10:16">
      <c r="J845" s="5"/>
      <c r="L845">
        <f>DigDir!M845</f>
        <v>0.88309400000000005</v>
      </c>
      <c r="M845">
        <f>DigDir!N845</f>
        <v>83.9</v>
      </c>
      <c r="O845">
        <f>ABS(L845-DigDir!$C$34)</f>
        <v>5.6397140808737438</v>
      </c>
      <c r="P845">
        <f t="shared" si="14"/>
        <v>83.9</v>
      </c>
    </row>
    <row r="846" spans="10:16">
      <c r="J846" s="5"/>
      <c r="L846">
        <f>DigDir!M846</f>
        <v>0.88309400000000005</v>
      </c>
      <c r="M846">
        <f>DigDir!N846</f>
        <v>84</v>
      </c>
      <c r="O846">
        <f>ABS(L846-DigDir!$C$34)</f>
        <v>5.6397140808737438</v>
      </c>
      <c r="P846">
        <f t="shared" si="14"/>
        <v>84</v>
      </c>
    </row>
    <row r="847" spans="10:16">
      <c r="J847" s="5"/>
      <c r="L847">
        <f>DigDir!M847</f>
        <v>0.88309400000000005</v>
      </c>
      <c r="M847">
        <f>DigDir!N847</f>
        <v>84.1</v>
      </c>
      <c r="O847">
        <f>ABS(L847-DigDir!$C$34)</f>
        <v>5.6397140808737438</v>
      </c>
      <c r="P847">
        <f t="shared" si="14"/>
        <v>84.1</v>
      </c>
    </row>
    <row r="848" spans="10:16">
      <c r="J848" s="5"/>
      <c r="L848">
        <f>DigDir!M848</f>
        <v>0.88309400000000005</v>
      </c>
      <c r="M848">
        <f>DigDir!N848</f>
        <v>84.2</v>
      </c>
      <c r="O848">
        <f>ABS(L848-DigDir!$C$34)</f>
        <v>5.6397140808737438</v>
      </c>
      <c r="P848">
        <f t="shared" si="14"/>
        <v>84.2</v>
      </c>
    </row>
    <row r="849" spans="10:16">
      <c r="J849" s="5"/>
      <c r="L849">
        <f>DigDir!M849</f>
        <v>0.88309400000000005</v>
      </c>
      <c r="M849">
        <f>DigDir!N849</f>
        <v>84.3</v>
      </c>
      <c r="O849">
        <f>ABS(L849-DigDir!$C$34)</f>
        <v>5.6397140808737438</v>
      </c>
      <c r="P849">
        <f t="shared" si="14"/>
        <v>84.3</v>
      </c>
    </row>
    <row r="850" spans="10:16">
      <c r="J850" s="5"/>
      <c r="L850">
        <f>DigDir!M850</f>
        <v>0.88309400000000005</v>
      </c>
      <c r="M850">
        <f>DigDir!N850</f>
        <v>84.4</v>
      </c>
      <c r="O850">
        <f>ABS(L850-DigDir!$C$34)</f>
        <v>5.6397140808737438</v>
      </c>
      <c r="P850">
        <f t="shared" si="14"/>
        <v>84.4</v>
      </c>
    </row>
    <row r="851" spans="10:16">
      <c r="J851" s="5"/>
      <c r="L851">
        <f>DigDir!M851</f>
        <v>0.89706008000000104</v>
      </c>
      <c r="M851">
        <f>DigDir!N851</f>
        <v>84.5</v>
      </c>
      <c r="O851">
        <f>ABS(L851-DigDir!$C$34)</f>
        <v>5.653680160873745</v>
      </c>
      <c r="P851">
        <f t="shared" si="14"/>
        <v>84.5</v>
      </c>
    </row>
    <row r="852" spans="10:16">
      <c r="J852" s="5"/>
      <c r="L852">
        <f>DigDir!M852</f>
        <v>0.91987134400000004</v>
      </c>
      <c r="M852">
        <f>DigDir!N852</f>
        <v>84.6</v>
      </c>
      <c r="O852">
        <f>ABS(L852-DigDir!$C$34)</f>
        <v>5.6764914248737437</v>
      </c>
      <c r="P852">
        <f t="shared" si="14"/>
        <v>84.6</v>
      </c>
    </row>
    <row r="853" spans="10:16">
      <c r="J853" s="5"/>
      <c r="L853">
        <f>DigDir!M853</f>
        <v>0.94407923999999999</v>
      </c>
      <c r="M853">
        <f>DigDir!N853</f>
        <v>84.7</v>
      </c>
      <c r="O853">
        <f>ABS(L853-DigDir!$C$34)</f>
        <v>5.7006993208737438</v>
      </c>
      <c r="P853">
        <f t="shared" si="14"/>
        <v>84.7</v>
      </c>
    </row>
    <row r="854" spans="10:16">
      <c r="J854" s="5"/>
      <c r="L854">
        <f>DigDir!M854</f>
        <v>0.98970216</v>
      </c>
      <c r="M854">
        <f>DigDir!N854</f>
        <v>84.8</v>
      </c>
      <c r="O854">
        <f>ABS(L854-DigDir!$C$34)</f>
        <v>5.7463222408737442</v>
      </c>
      <c r="P854">
        <f t="shared" si="14"/>
        <v>84.8</v>
      </c>
    </row>
    <row r="855" spans="10:16">
      <c r="J855" s="5"/>
      <c r="L855">
        <f>DigDir!M855</f>
        <v>1.03532508</v>
      </c>
      <c r="M855">
        <f>DigDir!N855</f>
        <v>84.9</v>
      </c>
      <c r="O855">
        <f>ABS(L855-DigDir!$C$34)</f>
        <v>5.7919451608737438</v>
      </c>
      <c r="P855">
        <f t="shared" si="14"/>
        <v>84.9</v>
      </c>
    </row>
    <row r="856" spans="10:16">
      <c r="J856" s="5"/>
      <c r="L856">
        <f>DigDir!M856</f>
        <v>1.057671</v>
      </c>
      <c r="M856">
        <f>DigDir!N856</f>
        <v>85</v>
      </c>
      <c r="O856">
        <f>ABS(L856-DigDir!$C$34)</f>
        <v>5.814291080873744</v>
      </c>
      <c r="P856">
        <f t="shared" si="14"/>
        <v>85</v>
      </c>
    </row>
    <row r="857" spans="10:16">
      <c r="J857" s="5"/>
      <c r="L857">
        <f>DigDir!M857</f>
        <v>1.057671</v>
      </c>
      <c r="M857">
        <f>DigDir!N857</f>
        <v>85.1</v>
      </c>
      <c r="O857">
        <f>ABS(L857-DigDir!$C$34)</f>
        <v>5.814291080873744</v>
      </c>
      <c r="P857">
        <f t="shared" si="14"/>
        <v>85.1</v>
      </c>
    </row>
    <row r="858" spans="10:16">
      <c r="J858" s="5"/>
      <c r="L858">
        <f>DigDir!M858</f>
        <v>1.057671</v>
      </c>
      <c r="M858">
        <f>DigDir!N858</f>
        <v>85.2</v>
      </c>
      <c r="O858">
        <f>ABS(L858-DigDir!$C$34)</f>
        <v>5.814291080873744</v>
      </c>
      <c r="P858">
        <f t="shared" si="14"/>
        <v>85.2</v>
      </c>
    </row>
    <row r="859" spans="10:16">
      <c r="J859" s="5"/>
      <c r="L859">
        <f>DigDir!M859</f>
        <v>1.057671</v>
      </c>
      <c r="M859">
        <f>DigDir!N859</f>
        <v>85.3</v>
      </c>
      <c r="O859">
        <f>ABS(L859-DigDir!$C$34)</f>
        <v>5.814291080873744</v>
      </c>
      <c r="P859">
        <f t="shared" si="14"/>
        <v>85.3</v>
      </c>
    </row>
    <row r="860" spans="10:16">
      <c r="J860" s="5"/>
      <c r="L860">
        <f>DigDir!M860</f>
        <v>1.057671</v>
      </c>
      <c r="M860">
        <f>DigDir!N860</f>
        <v>85.4</v>
      </c>
      <c r="O860">
        <f>ABS(L860-DigDir!$C$34)</f>
        <v>5.814291080873744</v>
      </c>
      <c r="P860">
        <f t="shared" si="14"/>
        <v>85.4</v>
      </c>
    </row>
    <row r="861" spans="10:16">
      <c r="J861" s="5"/>
      <c r="L861">
        <f>DigDir!M861</f>
        <v>1.057671</v>
      </c>
      <c r="M861">
        <f>DigDir!N861</f>
        <v>85.5</v>
      </c>
      <c r="O861">
        <f>ABS(L861-DigDir!$C$34)</f>
        <v>5.814291080873744</v>
      </c>
      <c r="P861">
        <f t="shared" si="14"/>
        <v>85.5</v>
      </c>
    </row>
    <row r="862" spans="10:16">
      <c r="J862" s="5"/>
      <c r="L862">
        <f>DigDir!M862</f>
        <v>1.057671</v>
      </c>
      <c r="M862">
        <f>DigDir!N862</f>
        <v>85.6</v>
      </c>
      <c r="O862">
        <f>ABS(L862-DigDir!$C$34)</f>
        <v>5.814291080873744</v>
      </c>
      <c r="P862">
        <f t="shared" si="14"/>
        <v>85.6</v>
      </c>
    </row>
    <row r="863" spans="10:16">
      <c r="J863" s="5"/>
      <c r="L863">
        <f>DigDir!M863</f>
        <v>1.057671</v>
      </c>
      <c r="M863">
        <f>DigDir!N863</f>
        <v>85.7</v>
      </c>
      <c r="O863">
        <f>ABS(L863-DigDir!$C$34)</f>
        <v>5.814291080873744</v>
      </c>
      <c r="P863">
        <f t="shared" si="14"/>
        <v>85.7</v>
      </c>
    </row>
    <row r="864" spans="10:16">
      <c r="J864" s="5"/>
      <c r="L864">
        <f>DigDir!M864</f>
        <v>1.057671</v>
      </c>
      <c r="M864">
        <f>DigDir!N864</f>
        <v>85.8</v>
      </c>
      <c r="O864">
        <f>ABS(L864-DigDir!$C$34)</f>
        <v>5.814291080873744</v>
      </c>
      <c r="P864">
        <f t="shared" si="14"/>
        <v>85.8</v>
      </c>
    </row>
    <row r="865" spans="10:16">
      <c r="J865" s="5"/>
      <c r="L865">
        <f>DigDir!M865</f>
        <v>1.057671</v>
      </c>
      <c r="M865">
        <f>DigDir!N865</f>
        <v>85.9</v>
      </c>
      <c r="O865">
        <f>ABS(L865-DigDir!$C$34)</f>
        <v>5.814291080873744</v>
      </c>
      <c r="P865">
        <f t="shared" si="14"/>
        <v>85.9</v>
      </c>
    </row>
    <row r="866" spans="10:16">
      <c r="J866" s="5"/>
      <c r="L866">
        <f>DigDir!M866</f>
        <v>1.057671</v>
      </c>
      <c r="M866">
        <f>DigDir!N866</f>
        <v>86</v>
      </c>
      <c r="O866">
        <f>ABS(L866-DigDir!$C$34)</f>
        <v>5.814291080873744</v>
      </c>
      <c r="P866">
        <f t="shared" si="14"/>
        <v>86</v>
      </c>
    </row>
    <row r="867" spans="10:16">
      <c r="J867" s="5"/>
      <c r="L867">
        <f>DigDir!M867</f>
        <v>1.057671</v>
      </c>
      <c r="M867">
        <f>DigDir!N867</f>
        <v>86.1</v>
      </c>
      <c r="O867">
        <f>ABS(L867-DigDir!$C$34)</f>
        <v>5.814291080873744</v>
      </c>
      <c r="P867">
        <f t="shared" si="14"/>
        <v>86.1</v>
      </c>
    </row>
    <row r="868" spans="10:16">
      <c r="J868" s="5"/>
      <c r="L868">
        <f>DigDir!M868</f>
        <v>1.057671</v>
      </c>
      <c r="M868">
        <f>DigDir!N868</f>
        <v>86.2</v>
      </c>
      <c r="O868">
        <f>ABS(L868-DigDir!$C$34)</f>
        <v>5.814291080873744</v>
      </c>
      <c r="P868">
        <f t="shared" si="14"/>
        <v>86.2</v>
      </c>
    </row>
    <row r="869" spans="10:16">
      <c r="J869" s="5"/>
      <c r="L869">
        <f>DigDir!M869</f>
        <v>1.057671</v>
      </c>
      <c r="M869">
        <f>DigDir!N869</f>
        <v>86.3</v>
      </c>
      <c r="O869">
        <f>ABS(L869-DigDir!$C$34)</f>
        <v>5.814291080873744</v>
      </c>
      <c r="P869">
        <f t="shared" si="14"/>
        <v>86.3</v>
      </c>
    </row>
    <row r="870" spans="10:16">
      <c r="J870" s="5"/>
      <c r="L870">
        <f>DigDir!M870</f>
        <v>1.057671</v>
      </c>
      <c r="M870">
        <f>DigDir!N870</f>
        <v>86.4</v>
      </c>
      <c r="O870">
        <f>ABS(L870-DigDir!$C$34)</f>
        <v>5.814291080873744</v>
      </c>
      <c r="P870">
        <f t="shared" si="14"/>
        <v>86.4</v>
      </c>
    </row>
    <row r="871" spans="10:16">
      <c r="J871" s="5"/>
      <c r="L871">
        <f>DigDir!M871</f>
        <v>1.057671</v>
      </c>
      <c r="M871">
        <f>DigDir!N871</f>
        <v>86.5</v>
      </c>
      <c r="O871">
        <f>ABS(L871-DigDir!$C$34)</f>
        <v>5.814291080873744</v>
      </c>
      <c r="P871">
        <f t="shared" si="14"/>
        <v>86.5</v>
      </c>
    </row>
    <row r="872" spans="10:16">
      <c r="J872" s="5"/>
      <c r="L872">
        <f>DigDir!M872</f>
        <v>1.057671</v>
      </c>
      <c r="M872">
        <f>DigDir!N872</f>
        <v>86.6</v>
      </c>
      <c r="O872">
        <f>ABS(L872-DigDir!$C$34)</f>
        <v>5.814291080873744</v>
      </c>
      <c r="P872">
        <f t="shared" si="14"/>
        <v>86.6</v>
      </c>
    </row>
    <row r="873" spans="10:16">
      <c r="J873" s="5"/>
      <c r="L873">
        <f>DigDir!M873</f>
        <v>1.057671</v>
      </c>
      <c r="M873">
        <f>DigDir!N873</f>
        <v>86.7</v>
      </c>
      <c r="O873">
        <f>ABS(L873-DigDir!$C$34)</f>
        <v>5.814291080873744</v>
      </c>
      <c r="P873">
        <f t="shared" si="14"/>
        <v>86.7</v>
      </c>
    </row>
    <row r="874" spans="10:16">
      <c r="J874" s="5"/>
      <c r="L874">
        <f>DigDir!M874</f>
        <v>1.057671</v>
      </c>
      <c r="M874">
        <f>DigDir!N874</f>
        <v>86.8</v>
      </c>
      <c r="O874">
        <f>ABS(L874-DigDir!$C$34)</f>
        <v>5.814291080873744</v>
      </c>
      <c r="P874">
        <f t="shared" si="14"/>
        <v>86.8</v>
      </c>
    </row>
    <row r="875" spans="10:16">
      <c r="J875" s="5"/>
      <c r="L875">
        <f>DigDir!M875</f>
        <v>1.057671</v>
      </c>
      <c r="M875">
        <f>DigDir!N875</f>
        <v>86.9</v>
      </c>
      <c r="O875">
        <f>ABS(L875-DigDir!$C$34)</f>
        <v>5.814291080873744</v>
      </c>
      <c r="P875">
        <f t="shared" si="14"/>
        <v>86.9</v>
      </c>
    </row>
    <row r="876" spans="10:16">
      <c r="J876" s="5"/>
      <c r="L876">
        <f>DigDir!M876</f>
        <v>1.057671</v>
      </c>
      <c r="M876">
        <f>DigDir!N876</f>
        <v>87</v>
      </c>
      <c r="O876">
        <f>ABS(L876-DigDir!$C$34)</f>
        <v>5.814291080873744</v>
      </c>
      <c r="P876">
        <f t="shared" si="14"/>
        <v>87</v>
      </c>
    </row>
    <row r="877" spans="10:16">
      <c r="J877" s="5"/>
      <c r="L877">
        <f>DigDir!M877</f>
        <v>1.057671</v>
      </c>
      <c r="M877">
        <f>DigDir!N877</f>
        <v>87.1</v>
      </c>
      <c r="O877">
        <f>ABS(L877-DigDir!$C$34)</f>
        <v>5.814291080873744</v>
      </c>
      <c r="P877">
        <f t="shared" si="14"/>
        <v>87.1</v>
      </c>
    </row>
    <row r="878" spans="10:16">
      <c r="J878" s="5"/>
      <c r="L878">
        <f>DigDir!M878</f>
        <v>1.057671</v>
      </c>
      <c r="M878">
        <f>DigDir!N878</f>
        <v>87.2</v>
      </c>
      <c r="O878">
        <f>ABS(L878-DigDir!$C$34)</f>
        <v>5.814291080873744</v>
      </c>
      <c r="P878">
        <f t="shared" si="14"/>
        <v>87.2</v>
      </c>
    </row>
    <row r="879" spans="10:16">
      <c r="J879" s="5"/>
      <c r="L879">
        <f>DigDir!M879</f>
        <v>1.057671</v>
      </c>
      <c r="M879">
        <f>DigDir!N879</f>
        <v>87.3</v>
      </c>
      <c r="O879">
        <f>ABS(L879-DigDir!$C$34)</f>
        <v>5.814291080873744</v>
      </c>
      <c r="P879">
        <f t="shared" si="14"/>
        <v>87.3</v>
      </c>
    </row>
    <row r="880" spans="10:16">
      <c r="J880" s="5"/>
      <c r="L880">
        <f>DigDir!M880</f>
        <v>1.057671</v>
      </c>
      <c r="M880">
        <f>DigDir!N880</f>
        <v>87.4</v>
      </c>
      <c r="O880">
        <f>ABS(L880-DigDir!$C$34)</f>
        <v>5.814291080873744</v>
      </c>
      <c r="P880">
        <f t="shared" si="14"/>
        <v>87.4</v>
      </c>
    </row>
    <row r="881" spans="10:16">
      <c r="J881" s="5"/>
      <c r="L881">
        <f>DigDir!M881</f>
        <v>1.057671</v>
      </c>
      <c r="M881">
        <f>DigDir!N881</f>
        <v>87.5</v>
      </c>
      <c r="O881">
        <f>ABS(L881-DigDir!$C$34)</f>
        <v>5.814291080873744</v>
      </c>
      <c r="P881">
        <f t="shared" si="14"/>
        <v>87.5</v>
      </c>
    </row>
    <row r="882" spans="10:16">
      <c r="J882" s="5"/>
      <c r="L882">
        <f>DigDir!M882</f>
        <v>1.057671</v>
      </c>
      <c r="M882">
        <f>DigDir!N882</f>
        <v>87.6</v>
      </c>
      <c r="O882">
        <f>ABS(L882-DigDir!$C$34)</f>
        <v>5.814291080873744</v>
      </c>
      <c r="P882">
        <f t="shared" si="14"/>
        <v>87.6</v>
      </c>
    </row>
    <row r="883" spans="10:16">
      <c r="J883" s="5"/>
      <c r="L883">
        <f>DigDir!M883</f>
        <v>1.057671</v>
      </c>
      <c r="M883">
        <f>DigDir!N883</f>
        <v>87.7</v>
      </c>
      <c r="O883">
        <f>ABS(L883-DigDir!$C$34)</f>
        <v>5.814291080873744</v>
      </c>
      <c r="P883">
        <f t="shared" si="14"/>
        <v>87.7</v>
      </c>
    </row>
    <row r="884" spans="10:16">
      <c r="J884" s="5"/>
      <c r="L884">
        <f>DigDir!M884</f>
        <v>1.057671</v>
      </c>
      <c r="M884">
        <f>DigDir!N884</f>
        <v>87.8</v>
      </c>
      <c r="O884">
        <f>ABS(L884-DigDir!$C$34)</f>
        <v>5.814291080873744</v>
      </c>
      <c r="P884">
        <f t="shared" si="14"/>
        <v>87.8</v>
      </c>
    </row>
    <row r="885" spans="10:16">
      <c r="J885" s="5"/>
      <c r="L885">
        <f>DigDir!M885</f>
        <v>1.057671</v>
      </c>
      <c r="M885">
        <f>DigDir!N885</f>
        <v>87.9</v>
      </c>
      <c r="O885">
        <f>ABS(L885-DigDir!$C$34)</f>
        <v>5.814291080873744</v>
      </c>
      <c r="P885">
        <f t="shared" si="14"/>
        <v>87.9</v>
      </c>
    </row>
    <row r="886" spans="10:16">
      <c r="J886" s="5"/>
      <c r="L886">
        <f>DigDir!M886</f>
        <v>1.057671</v>
      </c>
      <c r="M886">
        <f>DigDir!N886</f>
        <v>88</v>
      </c>
      <c r="O886">
        <f>ABS(L886-DigDir!$C$34)</f>
        <v>5.814291080873744</v>
      </c>
      <c r="P886">
        <f t="shared" si="14"/>
        <v>88</v>
      </c>
    </row>
    <row r="887" spans="10:16">
      <c r="J887" s="5"/>
      <c r="L887">
        <f>DigDir!M887</f>
        <v>1.057671</v>
      </c>
      <c r="M887">
        <f>DigDir!N887</f>
        <v>88.1</v>
      </c>
      <c r="O887">
        <f>ABS(L887-DigDir!$C$34)</f>
        <v>5.814291080873744</v>
      </c>
      <c r="P887">
        <f t="shared" si="14"/>
        <v>88.1</v>
      </c>
    </row>
    <row r="888" spans="10:16">
      <c r="J888" s="5"/>
      <c r="L888">
        <f>DigDir!M888</f>
        <v>1.057671</v>
      </c>
      <c r="M888">
        <f>DigDir!N888</f>
        <v>88.2</v>
      </c>
      <c r="O888">
        <f>ABS(L888-DigDir!$C$34)</f>
        <v>5.814291080873744</v>
      </c>
      <c r="P888">
        <f t="shared" si="14"/>
        <v>88.2</v>
      </c>
    </row>
    <row r="889" spans="10:16">
      <c r="J889" s="5"/>
      <c r="L889">
        <f>DigDir!M889</f>
        <v>1.057671</v>
      </c>
      <c r="M889">
        <f>DigDir!N889</f>
        <v>88.3</v>
      </c>
      <c r="O889">
        <f>ABS(L889-DigDir!$C$34)</f>
        <v>5.814291080873744</v>
      </c>
      <c r="P889">
        <f t="shared" si="14"/>
        <v>88.3</v>
      </c>
    </row>
    <row r="890" spans="10:16">
      <c r="J890" s="5"/>
      <c r="L890">
        <f>DigDir!M890</f>
        <v>1.057671</v>
      </c>
      <c r="M890">
        <f>DigDir!N890</f>
        <v>88.4</v>
      </c>
      <c r="O890">
        <f>ABS(L890-DigDir!$C$34)</f>
        <v>5.814291080873744</v>
      </c>
      <c r="P890">
        <f t="shared" si="14"/>
        <v>88.4</v>
      </c>
    </row>
    <row r="891" spans="10:16">
      <c r="J891" s="5"/>
      <c r="L891">
        <f>DigDir!M891</f>
        <v>1.057671</v>
      </c>
      <c r="M891">
        <f>DigDir!N891</f>
        <v>88.5</v>
      </c>
      <c r="O891">
        <f>ABS(L891-DigDir!$C$34)</f>
        <v>5.814291080873744</v>
      </c>
      <c r="P891">
        <f t="shared" si="14"/>
        <v>88.5</v>
      </c>
    </row>
    <row r="892" spans="10:16">
      <c r="J892" s="5"/>
      <c r="L892">
        <f>DigDir!M892</f>
        <v>1.057671</v>
      </c>
      <c r="M892">
        <f>DigDir!N892</f>
        <v>88.6</v>
      </c>
      <c r="O892">
        <f>ABS(L892-DigDir!$C$34)</f>
        <v>5.814291080873744</v>
      </c>
      <c r="P892">
        <f t="shared" si="14"/>
        <v>88.6</v>
      </c>
    </row>
    <row r="893" spans="10:16">
      <c r="J893" s="5"/>
      <c r="L893">
        <f>DigDir!M893</f>
        <v>1.057671</v>
      </c>
      <c r="M893">
        <f>DigDir!N893</f>
        <v>88.7</v>
      </c>
      <c r="O893">
        <f>ABS(L893-DigDir!$C$34)</f>
        <v>5.814291080873744</v>
      </c>
      <c r="P893">
        <f t="shared" si="14"/>
        <v>88.7</v>
      </c>
    </row>
    <row r="894" spans="10:16">
      <c r="J894" s="5"/>
      <c r="L894">
        <f>DigDir!M894</f>
        <v>1.057671</v>
      </c>
      <c r="M894">
        <f>DigDir!N894</f>
        <v>88.8</v>
      </c>
      <c r="O894">
        <f>ABS(L894-DigDir!$C$34)</f>
        <v>5.814291080873744</v>
      </c>
      <c r="P894">
        <f t="shared" si="14"/>
        <v>88.8</v>
      </c>
    </row>
    <row r="895" spans="10:16">
      <c r="J895" s="5"/>
      <c r="L895">
        <f>DigDir!M895</f>
        <v>1.057671</v>
      </c>
      <c r="M895">
        <f>DigDir!N895</f>
        <v>88.9</v>
      </c>
      <c r="O895">
        <f>ABS(L895-DigDir!$C$34)</f>
        <v>5.814291080873744</v>
      </c>
      <c r="P895">
        <f t="shared" si="14"/>
        <v>88.9</v>
      </c>
    </row>
    <row r="896" spans="10:16">
      <c r="J896" s="5"/>
      <c r="L896">
        <f>DigDir!M896</f>
        <v>1.057671</v>
      </c>
      <c r="M896">
        <f>DigDir!N896</f>
        <v>89</v>
      </c>
      <c r="O896">
        <f>ABS(L896-DigDir!$C$34)</f>
        <v>5.814291080873744</v>
      </c>
      <c r="P896">
        <f t="shared" si="14"/>
        <v>89</v>
      </c>
    </row>
    <row r="897" spans="10:16">
      <c r="J897" s="5"/>
      <c r="L897">
        <f>DigDir!M897</f>
        <v>1.057671</v>
      </c>
      <c r="M897">
        <f>DigDir!N897</f>
        <v>89.1</v>
      </c>
      <c r="O897">
        <f>ABS(L897-DigDir!$C$34)</f>
        <v>5.814291080873744</v>
      </c>
      <c r="P897">
        <f t="shared" si="14"/>
        <v>89.1</v>
      </c>
    </row>
    <row r="898" spans="10:16">
      <c r="J898" s="5"/>
      <c r="L898">
        <f>DigDir!M898</f>
        <v>1.057671</v>
      </c>
      <c r="M898">
        <f>DigDir!N898</f>
        <v>89.2</v>
      </c>
      <c r="O898">
        <f>ABS(L898-DigDir!$C$34)</f>
        <v>5.814291080873744</v>
      </c>
      <c r="P898">
        <f t="shared" si="14"/>
        <v>89.2</v>
      </c>
    </row>
    <row r="899" spans="10:16">
      <c r="J899" s="5"/>
      <c r="L899">
        <f>DigDir!M899</f>
        <v>1.060929808</v>
      </c>
      <c r="M899">
        <f>DigDir!N899</f>
        <v>89.3</v>
      </c>
      <c r="O899">
        <f>ABS(L899-DigDir!$C$34)</f>
        <v>5.817549888873744</v>
      </c>
      <c r="P899">
        <f t="shared" si="14"/>
        <v>89.3</v>
      </c>
    </row>
    <row r="900" spans="10:16">
      <c r="J900" s="5"/>
      <c r="L900">
        <f>DigDir!M900</f>
        <v>1.083741464</v>
      </c>
      <c r="M900">
        <f>DigDir!N900</f>
        <v>89.4</v>
      </c>
      <c r="O900">
        <f>ABS(L900-DigDir!$C$34)</f>
        <v>5.840361544873744</v>
      </c>
      <c r="P900">
        <f t="shared" si="14"/>
        <v>89.4</v>
      </c>
    </row>
    <row r="901" spans="10:16">
      <c r="J901" s="5"/>
      <c r="L901">
        <f>DigDir!M901</f>
        <v>1.1065531200000001</v>
      </c>
      <c r="M901">
        <f>DigDir!N901</f>
        <v>89.5</v>
      </c>
      <c r="O901">
        <f>ABS(L901-DigDir!$C$34)</f>
        <v>5.8631732008737441</v>
      </c>
      <c r="P901">
        <f t="shared" si="14"/>
        <v>89.5</v>
      </c>
    </row>
    <row r="902" spans="10:16">
      <c r="J902" s="5"/>
      <c r="L902">
        <f>DigDir!M902</f>
        <v>1.1293647760000001</v>
      </c>
      <c r="M902">
        <f>DigDir!N902</f>
        <v>89.6</v>
      </c>
      <c r="O902">
        <f>ABS(L902-DigDir!$C$34)</f>
        <v>5.8859848568737441</v>
      </c>
      <c r="P902">
        <f t="shared" si="14"/>
        <v>89.6</v>
      </c>
    </row>
    <row r="903" spans="10:16">
      <c r="J903" s="5"/>
      <c r="L903">
        <f>DigDir!M903</f>
        <v>1.1521764320000001</v>
      </c>
      <c r="M903">
        <f>DigDir!N903</f>
        <v>89.7</v>
      </c>
      <c r="O903">
        <f>ABS(L903-DigDir!$C$34)</f>
        <v>5.9087965128737441</v>
      </c>
      <c r="P903">
        <f t="shared" ref="P903:P966" si="15">M903</f>
        <v>89.7</v>
      </c>
    </row>
    <row r="904" spans="10:16">
      <c r="J904" s="5"/>
      <c r="L904">
        <f>DigDir!M904</f>
        <v>1.1749880720000001</v>
      </c>
      <c r="M904">
        <f>DigDir!N904</f>
        <v>89.8</v>
      </c>
      <c r="O904">
        <f>ABS(L904-DigDir!$C$34)</f>
        <v>5.9316081528737445</v>
      </c>
      <c r="P904">
        <f t="shared" si="15"/>
        <v>89.8</v>
      </c>
    </row>
    <row r="905" spans="10:16">
      <c r="J905" s="5"/>
      <c r="L905">
        <f>DigDir!M905</f>
        <v>1.1977993360000001</v>
      </c>
      <c r="M905">
        <f>DigDir!N905</f>
        <v>89.9</v>
      </c>
      <c r="O905">
        <f>ABS(L905-DigDir!$C$34)</f>
        <v>5.9544194168737441</v>
      </c>
      <c r="P905">
        <f t="shared" si="15"/>
        <v>89.9</v>
      </c>
    </row>
    <row r="906" spans="10:16">
      <c r="J906" s="5"/>
      <c r="L906">
        <f>DigDir!M906</f>
        <v>1.2206106000000001</v>
      </c>
      <c r="M906">
        <f>DigDir!N906</f>
        <v>90</v>
      </c>
      <c r="O906">
        <f>ABS(L906-DigDir!$C$34)</f>
        <v>5.9772306808737437</v>
      </c>
      <c r="P906">
        <f t="shared" si="15"/>
        <v>90</v>
      </c>
    </row>
    <row r="907" spans="10:16">
      <c r="J907" s="5"/>
      <c r="L907">
        <f>DigDir!M907</f>
        <v>1.2545949199999999</v>
      </c>
      <c r="M907">
        <f>DigDir!N907</f>
        <v>90.1</v>
      </c>
      <c r="O907">
        <f>ABS(L907-DigDir!$C$34)</f>
        <v>6.0112150008737437</v>
      </c>
      <c r="P907">
        <f t="shared" si="15"/>
        <v>90.1</v>
      </c>
    </row>
    <row r="908" spans="10:16">
      <c r="J908" s="5"/>
      <c r="L908">
        <f>DigDir!M908</f>
        <v>1.30021784</v>
      </c>
      <c r="M908">
        <f>DigDir!N908</f>
        <v>90.2</v>
      </c>
      <c r="O908">
        <f>ABS(L908-DigDir!$C$34)</f>
        <v>6.0568379208737442</v>
      </c>
      <c r="P908">
        <f t="shared" si="15"/>
        <v>90.2</v>
      </c>
    </row>
    <row r="909" spans="10:16">
      <c r="J909" s="5"/>
      <c r="L909">
        <f>DigDir!M909</f>
        <v>1.34584076</v>
      </c>
      <c r="M909">
        <f>DigDir!N909</f>
        <v>90.3</v>
      </c>
      <c r="O909">
        <f>ABS(L909-DigDir!$C$34)</f>
        <v>6.1024608408737437</v>
      </c>
      <c r="P909">
        <f t="shared" si="15"/>
        <v>90.3</v>
      </c>
    </row>
    <row r="910" spans="10:16">
      <c r="J910" s="5"/>
      <c r="L910">
        <f>DigDir!M910</f>
        <v>1.3486340000000001</v>
      </c>
      <c r="M910">
        <f>DigDir!N910</f>
        <v>90.4</v>
      </c>
      <c r="O910">
        <f>ABS(L910-DigDir!$C$34)</f>
        <v>6.1052540808737437</v>
      </c>
      <c r="P910">
        <f t="shared" si="15"/>
        <v>90.4</v>
      </c>
    </row>
    <row r="911" spans="10:16">
      <c r="J911" s="5"/>
      <c r="L911">
        <f>DigDir!M911</f>
        <v>1.3486340000000001</v>
      </c>
      <c r="M911">
        <f>DigDir!N911</f>
        <v>90.5</v>
      </c>
      <c r="O911">
        <f>ABS(L911-DigDir!$C$34)</f>
        <v>6.1052540808737437</v>
      </c>
      <c r="P911">
        <f t="shared" si="15"/>
        <v>90.5</v>
      </c>
    </row>
    <row r="912" spans="10:16">
      <c r="J912" s="5"/>
      <c r="L912">
        <f>DigDir!M912</f>
        <v>1.357479184</v>
      </c>
      <c r="M912">
        <f>DigDir!N912</f>
        <v>90.6</v>
      </c>
      <c r="O912">
        <f>ABS(L912-DigDir!$C$34)</f>
        <v>6.1140992648737438</v>
      </c>
      <c r="P912">
        <f t="shared" si="15"/>
        <v>90.6</v>
      </c>
    </row>
    <row r="913" spans="10:16">
      <c r="J913" s="5"/>
      <c r="L913">
        <f>DigDir!M913</f>
        <v>1.380290448</v>
      </c>
      <c r="M913">
        <f>DigDir!N913</f>
        <v>90.7</v>
      </c>
      <c r="O913">
        <f>ABS(L913-DigDir!$C$34)</f>
        <v>6.1369105288737442</v>
      </c>
      <c r="P913">
        <f t="shared" si="15"/>
        <v>90.7</v>
      </c>
    </row>
    <row r="914" spans="10:16">
      <c r="J914" s="5"/>
      <c r="L914">
        <f>DigDir!M914</f>
        <v>1.403101712</v>
      </c>
      <c r="M914">
        <f>DigDir!N914</f>
        <v>90.8</v>
      </c>
      <c r="O914">
        <f>ABS(L914-DigDir!$C$34)</f>
        <v>6.1597217928737438</v>
      </c>
      <c r="P914">
        <f t="shared" si="15"/>
        <v>90.8</v>
      </c>
    </row>
    <row r="915" spans="10:16">
      <c r="J915" s="5"/>
      <c r="L915">
        <f>DigDir!M915</f>
        <v>1.49562872000001</v>
      </c>
      <c r="M915">
        <f>DigDir!N915</f>
        <v>90.9</v>
      </c>
      <c r="O915">
        <f>ABS(L915-DigDir!$C$34)</f>
        <v>6.2522488008737538</v>
      </c>
      <c r="P915">
        <f t="shared" si="15"/>
        <v>90.9</v>
      </c>
    </row>
    <row r="916" spans="10:16">
      <c r="J916" s="5"/>
      <c r="L916">
        <f>DigDir!M916</f>
        <v>1.60175880000001</v>
      </c>
      <c r="M916">
        <f>DigDir!N916</f>
        <v>91</v>
      </c>
      <c r="O916">
        <f>ABS(L916-DigDir!$C$34)</f>
        <v>6.3583788808737545</v>
      </c>
      <c r="P916">
        <f t="shared" si="15"/>
        <v>91</v>
      </c>
    </row>
    <row r="917" spans="10:16">
      <c r="J917" s="5"/>
      <c r="L917">
        <f>DigDir!M917</f>
        <v>1.6775659999999999</v>
      </c>
      <c r="M917">
        <f>DigDir!N917</f>
        <v>91.1</v>
      </c>
      <c r="O917">
        <f>ABS(L917-DigDir!$C$34)</f>
        <v>6.4341860808737437</v>
      </c>
      <c r="P917">
        <f t="shared" si="15"/>
        <v>91.1</v>
      </c>
    </row>
    <row r="918" spans="10:16">
      <c r="J918" s="5"/>
      <c r="L918">
        <f>DigDir!M918</f>
        <v>1.6775659999999999</v>
      </c>
      <c r="M918">
        <f>DigDir!N918</f>
        <v>91.2</v>
      </c>
      <c r="O918">
        <f>ABS(L918-DigDir!$C$34)</f>
        <v>6.4341860808737437</v>
      </c>
      <c r="P918">
        <f t="shared" si="15"/>
        <v>91.2</v>
      </c>
    </row>
    <row r="919" spans="10:16">
      <c r="J919" s="5"/>
      <c r="L919">
        <f>DigDir!M919</f>
        <v>1.6775659999999999</v>
      </c>
      <c r="M919">
        <f>DigDir!N919</f>
        <v>91.3</v>
      </c>
      <c r="O919">
        <f>ABS(L919-DigDir!$C$34)</f>
        <v>6.4341860808737437</v>
      </c>
      <c r="P919">
        <f t="shared" si="15"/>
        <v>91.3</v>
      </c>
    </row>
    <row r="920" spans="10:16">
      <c r="J920" s="5"/>
      <c r="L920">
        <f>DigDir!M920</f>
        <v>1.6775659999999999</v>
      </c>
      <c r="M920">
        <f>DigDir!N920</f>
        <v>91.4</v>
      </c>
      <c r="O920">
        <f>ABS(L920-DigDir!$C$34)</f>
        <v>6.4341860808737437</v>
      </c>
      <c r="P920">
        <f t="shared" si="15"/>
        <v>91.4</v>
      </c>
    </row>
    <row r="921" spans="10:16">
      <c r="J921" s="5"/>
      <c r="L921">
        <f>DigDir!M921</f>
        <v>1.6775659999999999</v>
      </c>
      <c r="M921">
        <f>DigDir!N921</f>
        <v>91.5</v>
      </c>
      <c r="O921">
        <f>ABS(L921-DigDir!$C$34)</f>
        <v>6.4341860808737437</v>
      </c>
      <c r="P921">
        <f t="shared" si="15"/>
        <v>91.5</v>
      </c>
    </row>
    <row r="922" spans="10:16">
      <c r="J922" s="5"/>
      <c r="L922">
        <f>DigDir!M922</f>
        <v>1.6775659999999999</v>
      </c>
      <c r="M922">
        <f>DigDir!N922</f>
        <v>91.6</v>
      </c>
      <c r="O922">
        <f>ABS(L922-DigDir!$C$34)</f>
        <v>6.4341860808737437</v>
      </c>
      <c r="P922">
        <f t="shared" si="15"/>
        <v>91.6</v>
      </c>
    </row>
    <row r="923" spans="10:16">
      <c r="J923" s="5"/>
      <c r="L923">
        <f>DigDir!M923</f>
        <v>1.6775659999999999</v>
      </c>
      <c r="M923">
        <f>DigDir!N923</f>
        <v>91.7</v>
      </c>
      <c r="O923">
        <f>ABS(L923-DigDir!$C$34)</f>
        <v>6.4341860808737437</v>
      </c>
      <c r="P923">
        <f t="shared" si="15"/>
        <v>91.7</v>
      </c>
    </row>
    <row r="924" spans="10:16">
      <c r="J924" s="5"/>
      <c r="L924">
        <f>DigDir!M924</f>
        <v>1.6775659999999999</v>
      </c>
      <c r="M924">
        <f>DigDir!N924</f>
        <v>91.8</v>
      </c>
      <c r="O924">
        <f>ABS(L924-DigDir!$C$34)</f>
        <v>6.4341860808737437</v>
      </c>
      <c r="P924">
        <f t="shared" si="15"/>
        <v>91.8</v>
      </c>
    </row>
    <row r="925" spans="10:16">
      <c r="J925" s="5"/>
      <c r="L925">
        <f>DigDir!M925</f>
        <v>1.6775659999999999</v>
      </c>
      <c r="M925">
        <f>DigDir!N925</f>
        <v>91.9</v>
      </c>
      <c r="O925">
        <f>ABS(L925-DigDir!$C$34)</f>
        <v>6.4341860808737437</v>
      </c>
      <c r="P925">
        <f t="shared" si="15"/>
        <v>91.9</v>
      </c>
    </row>
    <row r="926" spans="10:16">
      <c r="J926" s="5"/>
      <c r="L926">
        <f>DigDir!M926</f>
        <v>1.6775659999999999</v>
      </c>
      <c r="M926">
        <f>DigDir!N926</f>
        <v>92</v>
      </c>
      <c r="O926">
        <f>ABS(L926-DigDir!$C$34)</f>
        <v>6.4341860808737437</v>
      </c>
      <c r="P926">
        <f t="shared" si="15"/>
        <v>92</v>
      </c>
    </row>
    <row r="927" spans="10:16">
      <c r="J927" s="5"/>
      <c r="L927">
        <f>DigDir!M927</f>
        <v>1.6775659999999999</v>
      </c>
      <c r="M927">
        <f>DigDir!N927</f>
        <v>92.1</v>
      </c>
      <c r="O927">
        <f>ABS(L927-DigDir!$C$34)</f>
        <v>6.4341860808737437</v>
      </c>
      <c r="P927">
        <f t="shared" si="15"/>
        <v>92.1</v>
      </c>
    </row>
    <row r="928" spans="10:16">
      <c r="J928" s="5"/>
      <c r="L928">
        <f>DigDir!M928</f>
        <v>1.6775659999999999</v>
      </c>
      <c r="M928">
        <f>DigDir!N928</f>
        <v>92.2</v>
      </c>
      <c r="O928">
        <f>ABS(L928-DigDir!$C$34)</f>
        <v>6.4341860808737437</v>
      </c>
      <c r="P928">
        <f t="shared" si="15"/>
        <v>92.2</v>
      </c>
    </row>
    <row r="929" spans="10:16">
      <c r="J929" s="5"/>
      <c r="L929">
        <f>DigDir!M929</f>
        <v>1.6775659999999999</v>
      </c>
      <c r="M929">
        <f>DigDir!N929</f>
        <v>92.3</v>
      </c>
      <c r="O929">
        <f>ABS(L929-DigDir!$C$34)</f>
        <v>6.4341860808737437</v>
      </c>
      <c r="P929">
        <f t="shared" si="15"/>
        <v>92.3</v>
      </c>
    </row>
    <row r="930" spans="10:16">
      <c r="J930" s="5"/>
      <c r="L930">
        <f>DigDir!M930</f>
        <v>1.6775659999999999</v>
      </c>
      <c r="M930">
        <f>DigDir!N930</f>
        <v>92.4</v>
      </c>
      <c r="O930">
        <f>ABS(L930-DigDir!$C$34)</f>
        <v>6.4341860808737437</v>
      </c>
      <c r="P930">
        <f t="shared" si="15"/>
        <v>92.4</v>
      </c>
    </row>
    <row r="931" spans="10:16">
      <c r="J931" s="5"/>
      <c r="L931">
        <f>DigDir!M931</f>
        <v>1.6775659999999999</v>
      </c>
      <c r="M931">
        <f>DigDir!N931</f>
        <v>92.5</v>
      </c>
      <c r="O931">
        <f>ABS(L931-DigDir!$C$34)</f>
        <v>6.4341860808737437</v>
      </c>
      <c r="P931">
        <f t="shared" si="15"/>
        <v>92.5</v>
      </c>
    </row>
    <row r="932" spans="10:16">
      <c r="J932" s="5"/>
      <c r="L932">
        <f>DigDir!M932</f>
        <v>1.6775659999999999</v>
      </c>
      <c r="M932">
        <f>DigDir!N932</f>
        <v>92.6</v>
      </c>
      <c r="O932">
        <f>ABS(L932-DigDir!$C$34)</f>
        <v>6.4341860808737437</v>
      </c>
      <c r="P932">
        <f t="shared" si="15"/>
        <v>92.6</v>
      </c>
    </row>
    <row r="933" spans="10:16">
      <c r="J933" s="5"/>
      <c r="L933">
        <f>DigDir!M933</f>
        <v>1.6775659999999999</v>
      </c>
      <c r="M933">
        <f>DigDir!N933</f>
        <v>92.7</v>
      </c>
      <c r="O933">
        <f>ABS(L933-DigDir!$C$34)</f>
        <v>6.4341860808737437</v>
      </c>
      <c r="P933">
        <f t="shared" si="15"/>
        <v>92.7</v>
      </c>
    </row>
    <row r="934" spans="10:16">
      <c r="J934" s="5"/>
      <c r="L934">
        <f>DigDir!M934</f>
        <v>1.6775659999999999</v>
      </c>
      <c r="M934">
        <f>DigDir!N934</f>
        <v>92.8</v>
      </c>
      <c r="O934">
        <f>ABS(L934-DigDir!$C$34)</f>
        <v>6.4341860808737437</v>
      </c>
      <c r="P934">
        <f t="shared" si="15"/>
        <v>92.8</v>
      </c>
    </row>
    <row r="935" spans="10:16">
      <c r="J935" s="5"/>
      <c r="L935">
        <f>DigDir!M935</f>
        <v>1.6775659999999999</v>
      </c>
      <c r="M935">
        <f>DigDir!N935</f>
        <v>92.9</v>
      </c>
      <c r="O935">
        <f>ABS(L935-DigDir!$C$34)</f>
        <v>6.4341860808737437</v>
      </c>
      <c r="P935">
        <f t="shared" si="15"/>
        <v>92.9</v>
      </c>
    </row>
    <row r="936" spans="10:16">
      <c r="J936" s="5"/>
      <c r="L936">
        <f>DigDir!M936</f>
        <v>1.6775659999999999</v>
      </c>
      <c r="M936">
        <f>DigDir!N936</f>
        <v>93</v>
      </c>
      <c r="O936">
        <f>ABS(L936-DigDir!$C$34)</f>
        <v>6.4341860808737437</v>
      </c>
      <c r="P936">
        <f t="shared" si="15"/>
        <v>93</v>
      </c>
    </row>
    <row r="937" spans="10:16">
      <c r="J937" s="5"/>
      <c r="L937">
        <f>DigDir!M937</f>
        <v>1.6775659999999999</v>
      </c>
      <c r="M937">
        <f>DigDir!N937</f>
        <v>93.1</v>
      </c>
      <c r="O937">
        <f>ABS(L937-DigDir!$C$34)</f>
        <v>6.4341860808737437</v>
      </c>
      <c r="P937">
        <f t="shared" si="15"/>
        <v>93.1</v>
      </c>
    </row>
    <row r="938" spans="10:16">
      <c r="J938" s="5"/>
      <c r="L938">
        <f>DigDir!M938</f>
        <v>1.6775659999999999</v>
      </c>
      <c r="M938">
        <f>DigDir!N938</f>
        <v>93.2</v>
      </c>
      <c r="O938">
        <f>ABS(L938-DigDir!$C$34)</f>
        <v>6.4341860808737437</v>
      </c>
      <c r="P938">
        <f t="shared" si="15"/>
        <v>93.2</v>
      </c>
    </row>
    <row r="939" spans="10:16">
      <c r="J939" s="5"/>
      <c r="L939">
        <f>DigDir!M939</f>
        <v>1.6775659999999999</v>
      </c>
      <c r="M939">
        <f>DigDir!N939</f>
        <v>93.3</v>
      </c>
      <c r="O939">
        <f>ABS(L939-DigDir!$C$34)</f>
        <v>6.4341860808737437</v>
      </c>
      <c r="P939">
        <f t="shared" si="15"/>
        <v>93.3</v>
      </c>
    </row>
    <row r="940" spans="10:16">
      <c r="J940" s="5"/>
      <c r="L940">
        <f>DigDir!M940</f>
        <v>1.6775659999999999</v>
      </c>
      <c r="M940">
        <f>DigDir!N940</f>
        <v>93.4</v>
      </c>
      <c r="O940">
        <f>ABS(L940-DigDir!$C$34)</f>
        <v>6.4341860808737437</v>
      </c>
      <c r="P940">
        <f t="shared" si="15"/>
        <v>93.4</v>
      </c>
    </row>
    <row r="941" spans="10:16">
      <c r="J941" s="5"/>
      <c r="L941">
        <f>DigDir!M941</f>
        <v>1.6775659999999999</v>
      </c>
      <c r="M941">
        <f>DigDir!N941</f>
        <v>93.5</v>
      </c>
      <c r="O941">
        <f>ABS(L941-DigDir!$C$34)</f>
        <v>6.4341860808737437</v>
      </c>
      <c r="P941">
        <f t="shared" si="15"/>
        <v>93.5</v>
      </c>
    </row>
    <row r="942" spans="10:16">
      <c r="J942" s="5"/>
      <c r="L942">
        <f>DigDir!M942</f>
        <v>1.6775659999999999</v>
      </c>
      <c r="M942">
        <f>DigDir!N942</f>
        <v>93.6</v>
      </c>
      <c r="O942">
        <f>ABS(L942-DigDir!$C$34)</f>
        <v>6.4341860808737437</v>
      </c>
      <c r="P942">
        <f t="shared" si="15"/>
        <v>93.6</v>
      </c>
    </row>
    <row r="943" spans="10:16">
      <c r="J943" s="5"/>
      <c r="L943">
        <f>DigDir!M943</f>
        <v>1.6775659999999999</v>
      </c>
      <c r="M943">
        <f>DigDir!N943</f>
        <v>93.7</v>
      </c>
      <c r="O943">
        <f>ABS(L943-DigDir!$C$34)</f>
        <v>6.4341860808737437</v>
      </c>
      <c r="P943">
        <f t="shared" si="15"/>
        <v>93.7</v>
      </c>
    </row>
    <row r="944" spans="10:16">
      <c r="J944" s="5"/>
      <c r="L944">
        <f>DigDir!M944</f>
        <v>1.6775659999999999</v>
      </c>
      <c r="M944">
        <f>DigDir!N944</f>
        <v>93.8</v>
      </c>
      <c r="O944">
        <f>ABS(L944-DigDir!$C$34)</f>
        <v>6.4341860808737437</v>
      </c>
      <c r="P944">
        <f t="shared" si="15"/>
        <v>93.8</v>
      </c>
    </row>
    <row r="945" spans="10:16">
      <c r="J945" s="5"/>
      <c r="L945">
        <f>DigDir!M945</f>
        <v>1.6775659999999999</v>
      </c>
      <c r="M945">
        <f>DigDir!N945</f>
        <v>93.9</v>
      </c>
      <c r="O945">
        <f>ABS(L945-DigDir!$C$34)</f>
        <v>6.4341860808737437</v>
      </c>
      <c r="P945">
        <f t="shared" si="15"/>
        <v>93.9</v>
      </c>
    </row>
    <row r="946" spans="10:16">
      <c r="J946" s="5"/>
      <c r="L946">
        <f>DigDir!M946</f>
        <v>1.6775659999999999</v>
      </c>
      <c r="M946">
        <f>DigDir!N946</f>
        <v>94</v>
      </c>
      <c r="O946">
        <f>ABS(L946-DigDir!$C$34)</f>
        <v>6.4341860808737437</v>
      </c>
      <c r="P946">
        <f t="shared" si="15"/>
        <v>94</v>
      </c>
    </row>
    <row r="947" spans="10:16">
      <c r="J947" s="5"/>
      <c r="L947">
        <f>DigDir!M947</f>
        <v>1.6775659999999999</v>
      </c>
      <c r="M947">
        <f>DigDir!N947</f>
        <v>94.1</v>
      </c>
      <c r="O947">
        <f>ABS(L947-DigDir!$C$34)</f>
        <v>6.4341860808737437</v>
      </c>
      <c r="P947">
        <f t="shared" si="15"/>
        <v>94.1</v>
      </c>
    </row>
    <row r="948" spans="10:16">
      <c r="J948" s="5"/>
      <c r="L948">
        <f>DigDir!M948</f>
        <v>1.6775659999999999</v>
      </c>
      <c r="M948">
        <f>DigDir!N948</f>
        <v>94.2</v>
      </c>
      <c r="O948">
        <f>ABS(L948-DigDir!$C$34)</f>
        <v>6.4341860808737437</v>
      </c>
      <c r="P948">
        <f t="shared" si="15"/>
        <v>94.2</v>
      </c>
    </row>
    <row r="949" spans="10:16">
      <c r="J949" s="5"/>
      <c r="L949">
        <f>DigDir!M949</f>
        <v>1.6775659999999999</v>
      </c>
      <c r="M949">
        <f>DigDir!N949</f>
        <v>94.3</v>
      </c>
      <c r="O949">
        <f>ABS(L949-DigDir!$C$34)</f>
        <v>6.4341860808737437</v>
      </c>
      <c r="P949">
        <f t="shared" si="15"/>
        <v>94.3</v>
      </c>
    </row>
    <row r="950" spans="10:16">
      <c r="J950" s="5"/>
      <c r="L950">
        <f>DigDir!M950</f>
        <v>1.6775659999999999</v>
      </c>
      <c r="M950">
        <f>DigDir!N950</f>
        <v>94.4</v>
      </c>
      <c r="O950">
        <f>ABS(L950-DigDir!$C$34)</f>
        <v>6.4341860808737437</v>
      </c>
      <c r="P950">
        <f t="shared" si="15"/>
        <v>94.4</v>
      </c>
    </row>
    <row r="951" spans="10:16">
      <c r="J951" s="5"/>
      <c r="L951">
        <f>DigDir!M951</f>
        <v>1.6775659999999999</v>
      </c>
      <c r="M951">
        <f>DigDir!N951</f>
        <v>94.5</v>
      </c>
      <c r="O951">
        <f>ABS(L951-DigDir!$C$34)</f>
        <v>6.4341860808737437</v>
      </c>
      <c r="P951">
        <f t="shared" si="15"/>
        <v>94.5</v>
      </c>
    </row>
    <row r="952" spans="10:16">
      <c r="J952" s="5"/>
      <c r="L952">
        <f>DigDir!M952</f>
        <v>1.6775659999999999</v>
      </c>
      <c r="M952">
        <f>DigDir!N952</f>
        <v>94.6</v>
      </c>
      <c r="O952">
        <f>ABS(L952-DigDir!$C$34)</f>
        <v>6.4341860808737437</v>
      </c>
      <c r="P952">
        <f t="shared" si="15"/>
        <v>94.6</v>
      </c>
    </row>
    <row r="953" spans="10:16">
      <c r="J953" s="5"/>
      <c r="L953">
        <f>DigDir!M953</f>
        <v>1.6775659999999999</v>
      </c>
      <c r="M953">
        <f>DigDir!N953</f>
        <v>94.7</v>
      </c>
      <c r="O953">
        <f>ABS(L953-DigDir!$C$34)</f>
        <v>6.4341860808737437</v>
      </c>
      <c r="P953">
        <f t="shared" si="15"/>
        <v>94.7</v>
      </c>
    </row>
    <row r="954" spans="10:16">
      <c r="J954" s="5"/>
      <c r="L954">
        <f>DigDir!M954</f>
        <v>1.6775659999999999</v>
      </c>
      <c r="M954">
        <f>DigDir!N954</f>
        <v>94.8</v>
      </c>
      <c r="O954">
        <f>ABS(L954-DigDir!$C$34)</f>
        <v>6.4341860808737437</v>
      </c>
      <c r="P954">
        <f t="shared" si="15"/>
        <v>94.8</v>
      </c>
    </row>
    <row r="955" spans="10:16">
      <c r="J955" s="5"/>
      <c r="L955">
        <f>DigDir!M955</f>
        <v>1.678031536</v>
      </c>
      <c r="M955">
        <f>DigDir!N955</f>
        <v>94.9</v>
      </c>
      <c r="O955">
        <f>ABS(L955-DigDir!$C$34)</f>
        <v>6.4346516168737438</v>
      </c>
      <c r="P955">
        <f t="shared" si="15"/>
        <v>94.9</v>
      </c>
    </row>
    <row r="956" spans="10:16">
      <c r="J956" s="5"/>
      <c r="L956">
        <f>DigDir!M956</f>
        <v>1.7008428</v>
      </c>
      <c r="M956">
        <f>DigDir!N956</f>
        <v>95</v>
      </c>
      <c r="O956">
        <f>ABS(L956-DigDir!$C$34)</f>
        <v>6.4574628808737442</v>
      </c>
      <c r="P956">
        <f t="shared" si="15"/>
        <v>95</v>
      </c>
    </row>
    <row r="957" spans="10:16">
      <c r="J957" s="5"/>
      <c r="L957">
        <f>DigDir!M957</f>
        <v>1.723654064</v>
      </c>
      <c r="M957">
        <f>DigDir!N957</f>
        <v>95.1</v>
      </c>
      <c r="O957">
        <f>ABS(L957-DigDir!$C$34)</f>
        <v>6.4802741448737438</v>
      </c>
      <c r="P957">
        <f t="shared" si="15"/>
        <v>95.1</v>
      </c>
    </row>
    <row r="958" spans="10:16">
      <c r="J958" s="5"/>
      <c r="L958">
        <f>DigDir!M958</f>
        <v>1.7357579999999999</v>
      </c>
      <c r="M958">
        <f>DigDir!N958</f>
        <v>95.2</v>
      </c>
      <c r="O958">
        <f>ABS(L958-DigDir!$C$34)</f>
        <v>6.4923780808737437</v>
      </c>
      <c r="P958">
        <f t="shared" si="15"/>
        <v>95.2</v>
      </c>
    </row>
    <row r="959" spans="10:16">
      <c r="J959" s="5"/>
      <c r="L959">
        <f>DigDir!M959</f>
        <v>1.7357579999999999</v>
      </c>
      <c r="M959">
        <f>DigDir!N959</f>
        <v>95.3</v>
      </c>
      <c r="O959">
        <f>ABS(L959-DigDir!$C$34)</f>
        <v>6.4923780808737437</v>
      </c>
      <c r="P959">
        <f t="shared" si="15"/>
        <v>95.3</v>
      </c>
    </row>
    <row r="960" spans="10:16">
      <c r="J960" s="5"/>
      <c r="L960">
        <f>DigDir!M960</f>
        <v>1.7357579999999999</v>
      </c>
      <c r="M960">
        <f>DigDir!N960</f>
        <v>95.4</v>
      </c>
      <c r="O960">
        <f>ABS(L960-DigDir!$C$34)</f>
        <v>6.4923780808737437</v>
      </c>
      <c r="P960">
        <f t="shared" si="15"/>
        <v>95.4</v>
      </c>
    </row>
    <row r="961" spans="10:16">
      <c r="J961" s="5"/>
      <c r="L961">
        <f>DigDir!M961</f>
        <v>1.7357579999999999</v>
      </c>
      <c r="M961">
        <f>DigDir!N961</f>
        <v>95.5</v>
      </c>
      <c r="O961">
        <f>ABS(L961-DigDir!$C$34)</f>
        <v>6.4923780808737437</v>
      </c>
      <c r="P961">
        <f t="shared" si="15"/>
        <v>95.5</v>
      </c>
    </row>
    <row r="962" spans="10:16">
      <c r="J962" s="5"/>
      <c r="L962">
        <f>DigDir!M962</f>
        <v>1.7357579999999999</v>
      </c>
      <c r="M962">
        <f>DigDir!N962</f>
        <v>95.6</v>
      </c>
      <c r="O962">
        <f>ABS(L962-DigDir!$C$34)</f>
        <v>6.4923780808737437</v>
      </c>
      <c r="P962">
        <f t="shared" si="15"/>
        <v>95.6</v>
      </c>
    </row>
    <row r="963" spans="10:16">
      <c r="J963" s="5"/>
      <c r="L963">
        <f>DigDir!M963</f>
        <v>1.7357579999999999</v>
      </c>
      <c r="M963">
        <f>DigDir!N963</f>
        <v>95.7</v>
      </c>
      <c r="O963">
        <f>ABS(L963-DigDir!$C$34)</f>
        <v>6.4923780808737437</v>
      </c>
      <c r="P963">
        <f t="shared" si="15"/>
        <v>95.7</v>
      </c>
    </row>
    <row r="964" spans="10:16">
      <c r="J964" s="5"/>
      <c r="L964">
        <f>DigDir!M964</f>
        <v>1.7357579999999999</v>
      </c>
      <c r="M964">
        <f>DigDir!N964</f>
        <v>95.8</v>
      </c>
      <c r="O964">
        <f>ABS(L964-DigDir!$C$34)</f>
        <v>6.4923780808737437</v>
      </c>
      <c r="P964">
        <f t="shared" si="15"/>
        <v>95.8</v>
      </c>
    </row>
    <row r="965" spans="10:16">
      <c r="J965" s="5"/>
      <c r="L965">
        <f>DigDir!M965</f>
        <v>1.7357579999999999</v>
      </c>
      <c r="M965">
        <f>DigDir!N965</f>
        <v>95.9</v>
      </c>
      <c r="O965">
        <f>ABS(L965-DigDir!$C$34)</f>
        <v>6.4923780808737437</v>
      </c>
      <c r="P965">
        <f t="shared" si="15"/>
        <v>95.9</v>
      </c>
    </row>
    <row r="966" spans="10:16">
      <c r="J966" s="5"/>
      <c r="L966">
        <f>DigDir!M966</f>
        <v>1.7730011999999999</v>
      </c>
      <c r="M966">
        <f>DigDir!N966</f>
        <v>96</v>
      </c>
      <c r="O966">
        <f>ABS(L966-DigDir!$C$34)</f>
        <v>6.5296212808737444</v>
      </c>
      <c r="P966">
        <f t="shared" si="15"/>
        <v>96</v>
      </c>
    </row>
    <row r="967" spans="10:16">
      <c r="J967" s="5"/>
      <c r="L967">
        <f>DigDir!M967</f>
        <v>1.81862412</v>
      </c>
      <c r="M967">
        <f>DigDir!N967</f>
        <v>96.1</v>
      </c>
      <c r="O967">
        <f>ABS(L967-DigDir!$C$34)</f>
        <v>6.5752442008737439</v>
      </c>
      <c r="P967">
        <f t="shared" ref="P967:P1006" si="16">M967</f>
        <v>96.1</v>
      </c>
    </row>
    <row r="968" spans="10:16">
      <c r="J968" s="5"/>
      <c r="L968">
        <f>DigDir!M968</f>
        <v>1.8581949680000001</v>
      </c>
      <c r="M968">
        <f>DigDir!N968</f>
        <v>96.2</v>
      </c>
      <c r="O968">
        <f>ABS(L968-DigDir!$C$34)</f>
        <v>6.6148150488737443</v>
      </c>
      <c r="P968">
        <f t="shared" si="16"/>
        <v>96.2</v>
      </c>
    </row>
    <row r="969" spans="10:16">
      <c r="J969" s="5"/>
      <c r="L969">
        <f>DigDir!M969</f>
        <v>1.8810062320000001</v>
      </c>
      <c r="M969">
        <f>DigDir!N969</f>
        <v>96.3</v>
      </c>
      <c r="O969">
        <f>ABS(L969-DigDir!$C$34)</f>
        <v>6.6376263128737438</v>
      </c>
      <c r="P969">
        <f t="shared" si="16"/>
        <v>96.3</v>
      </c>
    </row>
    <row r="970" spans="10:16">
      <c r="J970" s="5"/>
      <c r="L970">
        <f>DigDir!M970</f>
        <v>1.9038174960000001</v>
      </c>
      <c r="M970">
        <f>DigDir!N970</f>
        <v>96.4</v>
      </c>
      <c r="O970">
        <f>ABS(L970-DigDir!$C$34)</f>
        <v>6.6604375768737443</v>
      </c>
      <c r="P970">
        <f t="shared" si="16"/>
        <v>96.4</v>
      </c>
    </row>
    <row r="971" spans="10:16">
      <c r="J971" s="5"/>
      <c r="L971">
        <f>DigDir!M971</f>
        <v>1.9266287600000001</v>
      </c>
      <c r="M971">
        <f>DigDir!N971</f>
        <v>96.5</v>
      </c>
      <c r="O971">
        <f>ABS(L971-DigDir!$C$34)</f>
        <v>6.6832488408737438</v>
      </c>
      <c r="P971">
        <f t="shared" si="16"/>
        <v>96.5</v>
      </c>
    </row>
    <row r="972" spans="10:16">
      <c r="J972" s="5"/>
      <c r="L972">
        <f>DigDir!M972</f>
        <v>1.949440024</v>
      </c>
      <c r="M972">
        <f>DigDir!N972</f>
        <v>96.6</v>
      </c>
      <c r="O972">
        <f>ABS(L972-DigDir!$C$34)</f>
        <v>6.7060601048737443</v>
      </c>
      <c r="P972">
        <f t="shared" si="16"/>
        <v>96.6</v>
      </c>
    </row>
    <row r="973" spans="10:16">
      <c r="J973" s="5"/>
      <c r="L973">
        <f>DigDir!M973</f>
        <v>1.972251352</v>
      </c>
      <c r="M973">
        <f>DigDir!N973</f>
        <v>96.7</v>
      </c>
      <c r="O973">
        <f>ABS(L973-DigDir!$C$34)</f>
        <v>6.7288714328737438</v>
      </c>
      <c r="P973">
        <f t="shared" si="16"/>
        <v>96.7</v>
      </c>
    </row>
    <row r="974" spans="10:16">
      <c r="J974" s="5"/>
      <c r="L974">
        <f>DigDir!M974</f>
        <v>1.995063008</v>
      </c>
      <c r="M974">
        <f>DigDir!N974</f>
        <v>96.8</v>
      </c>
      <c r="O974">
        <f>ABS(L974-DigDir!$C$34)</f>
        <v>6.7516830888737438</v>
      </c>
      <c r="P974">
        <f t="shared" si="16"/>
        <v>96.8</v>
      </c>
    </row>
    <row r="975" spans="10:16">
      <c r="J975" s="5"/>
      <c r="L975">
        <f>DigDir!M975</f>
        <v>2.0178746639999998</v>
      </c>
      <c r="M975">
        <f>DigDir!N975</f>
        <v>96.9</v>
      </c>
      <c r="O975">
        <f>ABS(L975-DigDir!$C$34)</f>
        <v>6.7744947448737438</v>
      </c>
      <c r="P975">
        <f t="shared" si="16"/>
        <v>96.9</v>
      </c>
    </row>
    <row r="976" spans="10:16">
      <c r="J976" s="5"/>
      <c r="L976">
        <f>DigDir!M976</f>
        <v>2.0267200000000001</v>
      </c>
      <c r="M976">
        <f>DigDir!N976</f>
        <v>97</v>
      </c>
      <c r="O976">
        <f>ABS(L976-DigDir!$C$34)</f>
        <v>6.7833400808737441</v>
      </c>
      <c r="P976">
        <f t="shared" si="16"/>
        <v>97</v>
      </c>
    </row>
    <row r="977" spans="10:16">
      <c r="J977" s="5"/>
      <c r="L977">
        <f>DigDir!M977</f>
        <v>2.0267200000000001</v>
      </c>
      <c r="M977">
        <f>DigDir!N977</f>
        <v>97.1</v>
      </c>
      <c r="O977">
        <f>ABS(L977-DigDir!$C$34)</f>
        <v>6.7833400808737441</v>
      </c>
      <c r="P977">
        <f t="shared" si="16"/>
        <v>97.1</v>
      </c>
    </row>
    <row r="978" spans="10:16">
      <c r="J978" s="5"/>
      <c r="L978">
        <f>DigDir!M978</f>
        <v>2.0267200000000001</v>
      </c>
      <c r="M978">
        <f>DigDir!N978</f>
        <v>97.2</v>
      </c>
      <c r="O978">
        <f>ABS(L978-DigDir!$C$34)</f>
        <v>6.7833400808737441</v>
      </c>
      <c r="P978">
        <f t="shared" si="16"/>
        <v>97.2</v>
      </c>
    </row>
    <row r="979" spans="10:16">
      <c r="J979" s="5"/>
      <c r="L979">
        <f>DigDir!M979</f>
        <v>2.0267200000000001</v>
      </c>
      <c r="M979">
        <f>DigDir!N979</f>
        <v>97.3</v>
      </c>
      <c r="O979">
        <f>ABS(L979-DigDir!$C$34)</f>
        <v>6.7833400808737441</v>
      </c>
      <c r="P979">
        <f t="shared" si="16"/>
        <v>97.3</v>
      </c>
    </row>
    <row r="980" spans="10:16">
      <c r="J980" s="5"/>
      <c r="L980">
        <f>DigDir!M980</f>
        <v>2.0267200000000001</v>
      </c>
      <c r="M980">
        <f>DigDir!N980</f>
        <v>97.4</v>
      </c>
      <c r="O980">
        <f>ABS(L980-DigDir!$C$34)</f>
        <v>6.7833400808737441</v>
      </c>
      <c r="P980">
        <f t="shared" si="16"/>
        <v>97.4</v>
      </c>
    </row>
    <row r="981" spans="10:16">
      <c r="J981" s="5"/>
      <c r="L981">
        <f>DigDir!M981</f>
        <v>2.0267200000000001</v>
      </c>
      <c r="M981">
        <f>DigDir!N981</f>
        <v>97.5</v>
      </c>
      <c r="O981">
        <f>ABS(L981-DigDir!$C$34)</f>
        <v>6.7833400808737441</v>
      </c>
      <c r="P981">
        <f t="shared" si="16"/>
        <v>97.5</v>
      </c>
    </row>
    <row r="982" spans="10:16">
      <c r="J982" s="5"/>
      <c r="L982">
        <f>DigDir!M982</f>
        <v>2.0267200000000001</v>
      </c>
      <c r="M982">
        <f>DigDir!N982</f>
        <v>97.6</v>
      </c>
      <c r="O982">
        <f>ABS(L982-DigDir!$C$34)</f>
        <v>6.7833400808737441</v>
      </c>
      <c r="P982">
        <f t="shared" si="16"/>
        <v>97.6</v>
      </c>
    </row>
    <row r="983" spans="10:16">
      <c r="J983" s="5"/>
      <c r="L983">
        <f>DigDir!M983</f>
        <v>2.0267200000000001</v>
      </c>
      <c r="M983">
        <f>DigDir!N983</f>
        <v>97.7</v>
      </c>
      <c r="O983">
        <f>ABS(L983-DigDir!$C$34)</f>
        <v>6.7833400808737441</v>
      </c>
      <c r="P983">
        <f t="shared" si="16"/>
        <v>97.7</v>
      </c>
    </row>
    <row r="984" spans="10:16">
      <c r="J984" s="5"/>
      <c r="L984">
        <f>DigDir!M984</f>
        <v>2.0267200000000001</v>
      </c>
      <c r="M984">
        <f>DigDir!N984</f>
        <v>97.8</v>
      </c>
      <c r="O984">
        <f>ABS(L984-DigDir!$C$34)</f>
        <v>6.7833400808737441</v>
      </c>
      <c r="P984">
        <f t="shared" si="16"/>
        <v>97.8</v>
      </c>
    </row>
    <row r="985" spans="10:16">
      <c r="J985" s="5"/>
      <c r="L985">
        <f>DigDir!M985</f>
        <v>2.0267200000000001</v>
      </c>
      <c r="M985">
        <f>DigDir!N985</f>
        <v>97.9</v>
      </c>
      <c r="O985">
        <f>ABS(L985-DigDir!$C$34)</f>
        <v>6.7833400808737441</v>
      </c>
      <c r="P985">
        <f t="shared" si="16"/>
        <v>97.9</v>
      </c>
    </row>
    <row r="986" spans="10:16">
      <c r="J986" s="5"/>
      <c r="L986">
        <f>DigDir!M986</f>
        <v>2.0267200000000001</v>
      </c>
      <c r="M986">
        <f>DigDir!N986</f>
        <v>98</v>
      </c>
      <c r="O986">
        <f>ABS(L986-DigDir!$C$34)</f>
        <v>6.7833400808737441</v>
      </c>
      <c r="P986">
        <f t="shared" si="16"/>
        <v>98</v>
      </c>
    </row>
    <row r="987" spans="10:16">
      <c r="J987" s="5"/>
      <c r="L987">
        <f>DigDir!M987</f>
        <v>2.0267200000000001</v>
      </c>
      <c r="M987">
        <f>DigDir!N987</f>
        <v>98.1</v>
      </c>
      <c r="O987">
        <f>ABS(L987-DigDir!$C$34)</f>
        <v>6.7833400808737441</v>
      </c>
      <c r="P987">
        <f t="shared" si="16"/>
        <v>98.1</v>
      </c>
    </row>
    <row r="988" spans="10:16">
      <c r="J988" s="5"/>
      <c r="L988">
        <f>DigDir!M988</f>
        <v>2.0267200000000001</v>
      </c>
      <c r="M988">
        <f>DigDir!N988</f>
        <v>98.2</v>
      </c>
      <c r="O988">
        <f>ABS(L988-DigDir!$C$34)</f>
        <v>6.7833400808737441</v>
      </c>
      <c r="P988">
        <f t="shared" si="16"/>
        <v>98.2</v>
      </c>
    </row>
    <row r="989" spans="10:16">
      <c r="J989" s="5"/>
      <c r="L989">
        <f>DigDir!M989</f>
        <v>2.0267200000000001</v>
      </c>
      <c r="M989">
        <f>DigDir!N989</f>
        <v>98.3</v>
      </c>
      <c r="O989">
        <f>ABS(L989-DigDir!$C$34)</f>
        <v>6.7833400808737441</v>
      </c>
      <c r="P989">
        <f t="shared" si="16"/>
        <v>98.3</v>
      </c>
    </row>
    <row r="990" spans="10:16">
      <c r="J990" s="5"/>
      <c r="L990">
        <f>DigDir!M990</f>
        <v>2.0267200000000001</v>
      </c>
      <c r="M990">
        <f>DigDir!N990</f>
        <v>98.4</v>
      </c>
      <c r="O990">
        <f>ABS(L990-DigDir!$C$34)</f>
        <v>6.7833400808737441</v>
      </c>
      <c r="P990">
        <f t="shared" si="16"/>
        <v>98.4</v>
      </c>
    </row>
    <row r="991" spans="10:16">
      <c r="J991" s="5"/>
      <c r="L991">
        <f>DigDir!M991</f>
        <v>2.1011072799999999</v>
      </c>
      <c r="M991">
        <f>DigDir!N991</f>
        <v>98.5</v>
      </c>
      <c r="O991">
        <f>ABS(L991-DigDir!$C$34)</f>
        <v>6.8577273608737439</v>
      </c>
      <c r="P991">
        <f t="shared" si="16"/>
        <v>98.5</v>
      </c>
    </row>
    <row r="992" spans="10:16">
      <c r="J992" s="5"/>
      <c r="L992">
        <f>DigDir!M992</f>
        <v>2.3441057280000002</v>
      </c>
      <c r="M992">
        <f>DigDir!N992</f>
        <v>98.6</v>
      </c>
      <c r="O992">
        <f>ABS(L992-DigDir!$C$34)</f>
        <v>7.1007258088737437</v>
      </c>
      <c r="P992">
        <f t="shared" si="16"/>
        <v>98.6</v>
      </c>
    </row>
    <row r="993" spans="10:16">
      <c r="J993" s="5"/>
      <c r="L993">
        <f>DigDir!M993</f>
        <v>2.587104176</v>
      </c>
      <c r="M993">
        <f>DigDir!N993</f>
        <v>98.7</v>
      </c>
      <c r="O993">
        <f>ABS(L993-DigDir!$C$34)</f>
        <v>7.3437242568737435</v>
      </c>
      <c r="P993">
        <f t="shared" si="16"/>
        <v>98.7</v>
      </c>
    </row>
    <row r="994" spans="10:16">
      <c r="J994" s="5"/>
      <c r="L994">
        <f>DigDir!M994</f>
        <v>2.646614</v>
      </c>
      <c r="M994">
        <f>DigDir!N994</f>
        <v>98.8</v>
      </c>
      <c r="O994">
        <f>ABS(L994-DigDir!$C$34)</f>
        <v>7.4032340808737445</v>
      </c>
      <c r="P994">
        <f t="shared" si="16"/>
        <v>98.8</v>
      </c>
    </row>
    <row r="995" spans="10:16">
      <c r="J995" s="5"/>
      <c r="L995">
        <f>DigDir!M995</f>
        <v>2.646614</v>
      </c>
      <c r="M995">
        <f>DigDir!N995</f>
        <v>98.9</v>
      </c>
      <c r="O995">
        <f>ABS(L995-DigDir!$C$34)</f>
        <v>7.4032340808737445</v>
      </c>
      <c r="P995">
        <f t="shared" si="16"/>
        <v>98.9</v>
      </c>
    </row>
    <row r="996" spans="10:16">
      <c r="J996" s="5"/>
      <c r="L996">
        <f>DigDir!M996</f>
        <v>2.646614</v>
      </c>
      <c r="M996">
        <f>DigDir!N996</f>
        <v>99</v>
      </c>
      <c r="O996">
        <f>ABS(L996-DigDir!$C$34)</f>
        <v>7.4032340808737445</v>
      </c>
      <c r="P996">
        <f t="shared" si="16"/>
        <v>99</v>
      </c>
    </row>
    <row r="997" spans="10:16">
      <c r="J997" s="5"/>
      <c r="L997">
        <f>DigDir!M997</f>
        <v>2.646614</v>
      </c>
      <c r="M997">
        <f>DigDir!N997</f>
        <v>99.1</v>
      </c>
      <c r="O997">
        <f>ABS(L997-DigDir!$C$34)</f>
        <v>7.4032340808737445</v>
      </c>
      <c r="P997">
        <f t="shared" si="16"/>
        <v>99.1</v>
      </c>
    </row>
    <row r="998" spans="10:16">
      <c r="J998" s="5"/>
      <c r="L998">
        <f>DigDir!M998</f>
        <v>2.646614</v>
      </c>
      <c r="M998">
        <f>DigDir!N998</f>
        <v>99.2</v>
      </c>
      <c r="O998">
        <f>ABS(L998-DigDir!$C$34)</f>
        <v>7.4032340808737445</v>
      </c>
      <c r="P998">
        <f t="shared" si="16"/>
        <v>99.2</v>
      </c>
    </row>
    <row r="999" spans="10:16">
      <c r="J999" s="5"/>
      <c r="L999">
        <f>DigDir!M999</f>
        <v>2.646614</v>
      </c>
      <c r="M999">
        <f>DigDir!N999</f>
        <v>99.3</v>
      </c>
      <c r="O999">
        <f>ABS(L999-DigDir!$C$34)</f>
        <v>7.4032340808737445</v>
      </c>
      <c r="P999">
        <f t="shared" si="16"/>
        <v>99.3</v>
      </c>
    </row>
    <row r="1000" spans="10:16">
      <c r="J1000" s="5"/>
      <c r="L1000">
        <f>DigDir!M1000</f>
        <v>2.646614</v>
      </c>
      <c r="M1000">
        <f>DigDir!N1000</f>
        <v>99.4</v>
      </c>
      <c r="O1000">
        <f>ABS(L1000-DigDir!$C$34)</f>
        <v>7.4032340808737445</v>
      </c>
      <c r="P1000">
        <f t="shared" si="16"/>
        <v>99.4</v>
      </c>
    </row>
    <row r="1001" spans="10:16">
      <c r="J1001" s="5"/>
      <c r="L1001">
        <f>DigDir!M1001</f>
        <v>2.6489416800000001</v>
      </c>
      <c r="M1001">
        <f>DigDir!N1001</f>
        <v>99.5</v>
      </c>
      <c r="O1001">
        <f>ABS(L1001-DigDir!$C$34)</f>
        <v>7.4055617608737441</v>
      </c>
      <c r="P1001">
        <f t="shared" si="16"/>
        <v>99.5</v>
      </c>
    </row>
    <row r="1002" spans="10:16">
      <c r="J1002" s="5"/>
      <c r="L1002">
        <f>DigDir!M1002</f>
        <v>2.6717529440000001</v>
      </c>
      <c r="M1002">
        <f>DigDir!N1002</f>
        <v>99.6</v>
      </c>
      <c r="O1002">
        <f>ABS(L1002-DigDir!$C$34)</f>
        <v>7.4283730248737445</v>
      </c>
      <c r="P1002">
        <f t="shared" si="16"/>
        <v>99.6</v>
      </c>
    </row>
    <row r="1003" spans="10:16">
      <c r="J1003" s="5"/>
      <c r="L1003">
        <f>DigDir!M1003</f>
        <v>2.6945642080000001</v>
      </c>
      <c r="M1003">
        <f>DigDir!N1003</f>
        <v>99.7</v>
      </c>
      <c r="O1003">
        <f>ABS(L1003-DigDir!$C$34)</f>
        <v>7.4511842888737441</v>
      </c>
      <c r="P1003">
        <f t="shared" si="16"/>
        <v>99.7</v>
      </c>
    </row>
    <row r="1004" spans="10:16">
      <c r="J1004" s="5"/>
      <c r="L1004">
        <f>DigDir!M1004</f>
        <v>2.7299451600000002</v>
      </c>
      <c r="M1004">
        <f>DigDir!N1004</f>
        <v>99.8</v>
      </c>
      <c r="O1004">
        <f>ABS(L1004-DigDir!$C$34)</f>
        <v>7.4865652408737446</v>
      </c>
      <c r="P1004">
        <f t="shared" si="16"/>
        <v>99.8</v>
      </c>
    </row>
    <row r="1005" spans="10:16">
      <c r="J1005" s="5"/>
      <c r="L1005">
        <f>DigDir!M1005</f>
        <v>2.7755680800000002</v>
      </c>
      <c r="M1005">
        <f>DigDir!N1005</f>
        <v>99.9</v>
      </c>
      <c r="O1005">
        <f>ABS(L1005-DigDir!$C$34)</f>
        <v>7.5321881608737442</v>
      </c>
      <c r="P1005">
        <f t="shared" si="16"/>
        <v>99.9</v>
      </c>
    </row>
    <row r="1006" spans="10:16">
      <c r="J1006" s="5"/>
      <c r="L1006">
        <f>DigDir!M1006</f>
        <v>2.8211909999999998</v>
      </c>
      <c r="M1006">
        <f>DigDir!N1006</f>
        <v>100</v>
      </c>
      <c r="O1006">
        <f>ABS(L1006-DigDir!$C$34)</f>
        <v>7.5778110808737438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zoomScaleNormal="100" workbookViewId="0">
      <selection activeCell="J34" sqref="J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e">
        <f>#REF!</f>
        <v>#REF!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12.266165415190001</v>
      </c>
      <c r="I6" s="10" t="s">
        <v>36</v>
      </c>
      <c r="M6">
        <v>-3.3768419999999999</v>
      </c>
      <c r="N6">
        <v>0</v>
      </c>
    </row>
    <row r="7" spans="1:14">
      <c r="B7" t="s">
        <v>64</v>
      </c>
      <c r="C7">
        <v>-5.3962566053069198E-2</v>
      </c>
      <c r="M7">
        <v>-3.1789388459999999</v>
      </c>
      <c r="N7">
        <v>0.1</v>
      </c>
    </row>
    <row r="8" spans="1:14">
      <c r="I8" s="9"/>
      <c r="J8" s="9"/>
      <c r="M8">
        <v>-2.9810356919999998</v>
      </c>
      <c r="N8">
        <v>0.2</v>
      </c>
    </row>
    <row r="9" spans="1:14">
      <c r="H9" s="9" t="s">
        <v>34</v>
      </c>
      <c r="I9" s="56" t="s">
        <v>37</v>
      </c>
      <c r="J9" s="57"/>
      <c r="M9">
        <v>-2.8361230000000002</v>
      </c>
      <c r="N9">
        <v>0.3</v>
      </c>
    </row>
    <row r="10" spans="1:14">
      <c r="I10" s="12" t="s">
        <v>3</v>
      </c>
      <c r="J10" s="13" t="s">
        <v>36</v>
      </c>
      <c r="M10">
        <v>-2.8361230000000002</v>
      </c>
      <c r="N10">
        <v>0.4</v>
      </c>
    </row>
    <row r="11" spans="1:14">
      <c r="B11" s="29"/>
      <c r="C11" s="30"/>
      <c r="I11" s="14"/>
      <c r="J11" s="15"/>
      <c r="M11">
        <v>-2.8361230000000002</v>
      </c>
      <c r="N11">
        <v>0.5</v>
      </c>
    </row>
    <row r="12" spans="1:14">
      <c r="B12" s="29"/>
      <c r="C12" s="30"/>
      <c r="I12" s="14"/>
      <c r="J12" s="15"/>
      <c r="M12">
        <v>-2.8310479719999999</v>
      </c>
      <c r="N12">
        <v>0.6</v>
      </c>
    </row>
    <row r="13" spans="1:14">
      <c r="B13" s="29"/>
      <c r="C13" s="30"/>
      <c r="I13" s="14"/>
      <c r="J13" s="15"/>
      <c r="M13">
        <v>-2.821571134</v>
      </c>
      <c r="N13">
        <v>0.7</v>
      </c>
    </row>
    <row r="14" spans="1:14">
      <c r="B14" s="29"/>
      <c r="C14" s="30"/>
      <c r="I14" s="14"/>
      <c r="J14" s="15"/>
      <c r="M14">
        <v>-2.8120942960000002</v>
      </c>
      <c r="N14">
        <v>0.8</v>
      </c>
    </row>
    <row r="15" spans="1:14">
      <c r="B15" s="29"/>
      <c r="C15" s="30"/>
      <c r="I15" s="14"/>
      <c r="J15" s="15"/>
      <c r="M15">
        <v>-2.8070289279999998</v>
      </c>
      <c r="N15">
        <v>0.9</v>
      </c>
    </row>
    <row r="16" spans="1:14">
      <c r="B16" s="29"/>
      <c r="C16" s="30"/>
      <c r="I16" s="14"/>
      <c r="J16" s="15"/>
      <c r="M16">
        <v>-2.8030439199999999</v>
      </c>
      <c r="N16">
        <v>1</v>
      </c>
    </row>
    <row r="17" spans="1:14">
      <c r="B17" s="29"/>
      <c r="C17" s="30"/>
      <c r="I17" s="14"/>
      <c r="J17" s="15"/>
      <c r="M17">
        <v>-2.7980566379999998</v>
      </c>
      <c r="N17">
        <v>1.1000000000000001</v>
      </c>
    </row>
    <row r="18" spans="1:14">
      <c r="B18" s="29"/>
      <c r="C18" s="30"/>
      <c r="I18" s="14"/>
      <c r="J18" s="15"/>
      <c r="M18">
        <v>-2.7799626960000001</v>
      </c>
      <c r="N18">
        <v>1.2</v>
      </c>
    </row>
    <row r="19" spans="1:14">
      <c r="B19" s="29"/>
      <c r="C19" s="30"/>
      <c r="I19" s="14"/>
      <c r="J19" s="15"/>
      <c r="M19">
        <v>-2.761868754</v>
      </c>
      <c r="N19">
        <v>1.3</v>
      </c>
    </row>
    <row r="20" spans="1:14">
      <c r="B20" s="29"/>
      <c r="C20" s="30"/>
      <c r="I20" s="14"/>
      <c r="J20" s="15"/>
      <c r="M20">
        <v>-2.7280026319999999</v>
      </c>
      <c r="N20">
        <v>1.4</v>
      </c>
    </row>
    <row r="21" spans="1:14">
      <c r="B21" s="29"/>
      <c r="C21" s="30"/>
      <c r="I21" s="14"/>
      <c r="J21" s="15"/>
      <c r="M21">
        <v>-2.66335532</v>
      </c>
      <c r="N21">
        <v>1.5</v>
      </c>
    </row>
    <row r="22" spans="1:14">
      <c r="B22" s="29"/>
      <c r="C22" s="30"/>
      <c r="I22" s="16"/>
      <c r="J22" s="17"/>
      <c r="M22">
        <v>-2.598708008</v>
      </c>
      <c r="N22">
        <v>1.6</v>
      </c>
    </row>
    <row r="23" spans="1:14">
      <c r="B23" s="29"/>
      <c r="C23" s="30"/>
      <c r="M23">
        <v>-2.534177246</v>
      </c>
      <c r="N23">
        <v>1.7</v>
      </c>
    </row>
    <row r="24" spans="1:14">
      <c r="B24" s="31"/>
      <c r="C24" s="11"/>
      <c r="M24">
        <v>-2.4697220839999998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-2.405266922</v>
      </c>
      <c r="N25">
        <v>1.9</v>
      </c>
    </row>
    <row r="26" spans="1:14">
      <c r="I26" t="s">
        <v>1</v>
      </c>
      <c r="J26" t="s">
        <v>17</v>
      </c>
      <c r="M26">
        <v>-2.3969426399999998</v>
      </c>
      <c r="N26">
        <v>2</v>
      </c>
    </row>
    <row r="27" spans="1:14">
      <c r="A27" s="34">
        <v>4</v>
      </c>
      <c r="B27" s="2" t="s">
        <v>2</v>
      </c>
      <c r="C27" s="32">
        <f>C6+(C7*('Normative data'!C6-71.20708447))</f>
        <v>12.870928451164701</v>
      </c>
      <c r="I27" t="s">
        <v>63</v>
      </c>
      <c r="J27">
        <v>12426.3302809098</v>
      </c>
      <c r="M27">
        <v>-2.396687172</v>
      </c>
      <c r="N27">
        <v>2.1</v>
      </c>
    </row>
    <row r="28" spans="1:14">
      <c r="B28" s="2" t="s">
        <v>6</v>
      </c>
      <c r="C28" s="2"/>
      <c r="D28" s="2"/>
      <c r="E28" s="2"/>
      <c r="F28" s="2"/>
      <c r="I28" t="s">
        <v>67</v>
      </c>
      <c r="J28">
        <v>-3071.3826801369401</v>
      </c>
      <c r="M28">
        <v>-2.3960220479999998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I29" t="s">
        <v>68</v>
      </c>
      <c r="J29">
        <v>252.938866623953</v>
      </c>
      <c r="M29">
        <v>-2.392883232</v>
      </c>
      <c r="N29">
        <v>2.2999999999999998</v>
      </c>
    </row>
    <row r="30" spans="1:14">
      <c r="B30" s="2" t="s">
        <v>8</v>
      </c>
      <c r="I30" t="s">
        <v>69</v>
      </c>
      <c r="J30">
        <v>-6.9378657214228303</v>
      </c>
      <c r="M30">
        <v>-2.3897444160000001</v>
      </c>
      <c r="N30">
        <v>2.4</v>
      </c>
    </row>
    <row r="31" spans="1:14">
      <c r="I31" s="14"/>
      <c r="J31" s="15"/>
      <c r="M31">
        <v>-2.3856358499999999</v>
      </c>
      <c r="N31">
        <v>2.5</v>
      </c>
    </row>
    <row r="32" spans="1:14">
      <c r="I32" s="35"/>
      <c r="J32" s="17"/>
      <c r="M32">
        <v>-2.380130844</v>
      </c>
      <c r="N32">
        <v>2.6</v>
      </c>
    </row>
    <row r="33" spans="2:14">
      <c r="B33" t="s">
        <v>9</v>
      </c>
      <c r="C33" t="e">
        <f>'Normative data'!#REF!-RAVLT_Rec!C27</f>
        <v>#REF!</v>
      </c>
      <c r="M33">
        <v>-2.374625838</v>
      </c>
      <c r="N33">
        <v>2.7</v>
      </c>
    </row>
    <row r="34" spans="2:14">
      <c r="B34" t="s">
        <v>12</v>
      </c>
      <c r="C34" t="e">
        <f>C33/SD_PERC_RAVLTR!I38</f>
        <v>#REF!</v>
      </c>
      <c r="I34" t="s">
        <v>41</v>
      </c>
      <c r="J34">
        <f>SD_PERC_RAVLTR!I38</f>
        <v>15.35375800426714</v>
      </c>
      <c r="M34">
        <v>-2.3710105920000002</v>
      </c>
      <c r="N34">
        <v>2.8</v>
      </c>
    </row>
    <row r="35" spans="2:14">
      <c r="M35">
        <v>-2.3682945059999998</v>
      </c>
      <c r="N35">
        <v>2.9</v>
      </c>
    </row>
    <row r="36" spans="2:14">
      <c r="M36">
        <v>-2.3655784199999998</v>
      </c>
      <c r="N36">
        <v>3</v>
      </c>
    </row>
    <row r="37" spans="2:14">
      <c r="M37">
        <v>-2.3411788599999999</v>
      </c>
      <c r="N37">
        <v>3.1</v>
      </c>
    </row>
    <row r="38" spans="2:14">
      <c r="M38">
        <v>-2.3155259199999998</v>
      </c>
      <c r="N38">
        <v>3.2</v>
      </c>
    </row>
    <row r="39" spans="2:14">
      <c r="M39">
        <v>-2.2820020780000001</v>
      </c>
      <c r="N39">
        <v>3.3</v>
      </c>
    </row>
    <row r="40" spans="2:14">
      <c r="M40">
        <v>-2.2194164440000002</v>
      </c>
      <c r="N40">
        <v>3.4</v>
      </c>
    </row>
    <row r="41" spans="2:14">
      <c r="M41">
        <v>-2.1568308100000002</v>
      </c>
      <c r="N41">
        <v>3.5</v>
      </c>
    </row>
    <row r="42" spans="2:14">
      <c r="M42">
        <v>-2.0952219759999999</v>
      </c>
      <c r="N42">
        <v>3.6</v>
      </c>
    </row>
    <row r="43" spans="2:14">
      <c r="M43">
        <v>-2.0346676420000001</v>
      </c>
      <c r="N43">
        <v>3.7</v>
      </c>
    </row>
    <row r="44" spans="2:14">
      <c r="M44">
        <v>-1.974113308</v>
      </c>
      <c r="N44">
        <v>3.8</v>
      </c>
    </row>
    <row r="45" spans="2:14">
      <c r="M45">
        <v>-1.9506278859999999</v>
      </c>
      <c r="N45">
        <v>3.9</v>
      </c>
    </row>
    <row r="46" spans="2:14">
      <c r="M46">
        <v>-1.93958896</v>
      </c>
      <c r="N46">
        <v>4</v>
      </c>
    </row>
    <row r="47" spans="2:14">
      <c r="M47">
        <v>-1.9287051040000001</v>
      </c>
      <c r="N47">
        <v>4.0999999999999996</v>
      </c>
    </row>
    <row r="48" spans="2:14">
      <c r="M48">
        <v>-1.927125448</v>
      </c>
      <c r="N48">
        <v>4.2</v>
      </c>
    </row>
    <row r="49" spans="13:14">
      <c r="M49">
        <v>-1.9255457920000001</v>
      </c>
      <c r="N49">
        <v>4.3</v>
      </c>
    </row>
    <row r="50" spans="13:14">
      <c r="M50">
        <v>-1.924391808</v>
      </c>
      <c r="N50">
        <v>4.4000000000000004</v>
      </c>
    </row>
    <row r="51" spans="13:14">
      <c r="M51">
        <v>-1.9243101899999999</v>
      </c>
      <c r="N51">
        <v>4.5</v>
      </c>
    </row>
    <row r="52" spans="13:14">
      <c r="M52">
        <v>-1.9242285720000001</v>
      </c>
      <c r="N52">
        <v>4.5999999999999996</v>
      </c>
    </row>
    <row r="53" spans="13:14">
      <c r="M53">
        <v>-1.923711038</v>
      </c>
      <c r="N53">
        <v>4.7</v>
      </c>
    </row>
    <row r="54" spans="13:14">
      <c r="M54">
        <v>-1.9228395920000001</v>
      </c>
      <c r="N54">
        <v>4.8</v>
      </c>
    </row>
    <row r="55" spans="13:14">
      <c r="M55">
        <v>-1.921968146</v>
      </c>
      <c r="N55">
        <v>4.9000000000000004</v>
      </c>
    </row>
    <row r="56" spans="13:14">
      <c r="M56">
        <v>-1.9049777000000001</v>
      </c>
      <c r="N56">
        <v>5</v>
      </c>
    </row>
    <row r="57" spans="13:14">
      <c r="M57">
        <v>-1.8844410739999999</v>
      </c>
      <c r="N57">
        <v>5.0999999999999996</v>
      </c>
    </row>
    <row r="58" spans="13:14">
      <c r="M58">
        <v>-1.8644885440000001</v>
      </c>
      <c r="N58">
        <v>5.2</v>
      </c>
    </row>
    <row r="59" spans="13:14">
      <c r="M59">
        <v>-1.8506325159999999</v>
      </c>
      <c r="N59">
        <v>5.3</v>
      </c>
    </row>
    <row r="60" spans="13:14">
      <c r="M60">
        <v>-1.8367764879999999</v>
      </c>
      <c r="N60">
        <v>5.4</v>
      </c>
    </row>
    <row r="61" spans="13:14">
      <c r="M61">
        <v>-1.8215513000000001</v>
      </c>
      <c r="N61">
        <v>5.5</v>
      </c>
    </row>
    <row r="62" spans="13:14">
      <c r="M62">
        <v>-1.80384056</v>
      </c>
      <c r="N62">
        <v>5.6</v>
      </c>
    </row>
    <row r="63" spans="13:14">
      <c r="M63">
        <v>-1.78612982</v>
      </c>
      <c r="N63">
        <v>5.7</v>
      </c>
    </row>
    <row r="64" spans="13:14">
      <c r="M64">
        <v>-1.779452</v>
      </c>
      <c r="N64">
        <v>5.8</v>
      </c>
    </row>
    <row r="65" spans="13:14">
      <c r="M65">
        <v>-1.779452</v>
      </c>
      <c r="N65">
        <v>5.9</v>
      </c>
    </row>
    <row r="66" spans="13:14">
      <c r="M66">
        <v>-1.779452</v>
      </c>
      <c r="N66">
        <v>6</v>
      </c>
    </row>
    <row r="67" spans="13:14">
      <c r="M67">
        <v>-1.7430902859999999</v>
      </c>
      <c r="N67">
        <v>6.1</v>
      </c>
    </row>
    <row r="68" spans="13:14">
      <c r="M68">
        <v>-1.7022670120000001</v>
      </c>
      <c r="N68">
        <v>6.2</v>
      </c>
    </row>
    <row r="69" spans="13:14">
      <c r="M69">
        <v>-1.6670591239999999</v>
      </c>
      <c r="N69">
        <v>6.3</v>
      </c>
    </row>
    <row r="70" spans="13:14">
      <c r="M70">
        <v>-1.661670872</v>
      </c>
      <c r="N70">
        <v>6.4</v>
      </c>
    </row>
    <row r="71" spans="13:14">
      <c r="M71">
        <v>-1.65628262</v>
      </c>
      <c r="N71">
        <v>6.5</v>
      </c>
    </row>
    <row r="72" spans="13:14">
      <c r="M72">
        <v>-1.6414735279999999</v>
      </c>
      <c r="N72">
        <v>6.6</v>
      </c>
    </row>
    <row r="73" spans="13:14">
      <c r="M73">
        <v>-1.613982536</v>
      </c>
      <c r="N73">
        <v>6.7</v>
      </c>
    </row>
    <row r="74" spans="13:14">
      <c r="M74">
        <v>-1.586491544</v>
      </c>
      <c r="N74">
        <v>6.8</v>
      </c>
    </row>
    <row r="75" spans="13:14">
      <c r="M75">
        <v>-1.5712674820000001</v>
      </c>
      <c r="N75">
        <v>6.9</v>
      </c>
    </row>
    <row r="76" spans="13:14">
      <c r="M76">
        <v>-1.5614524599999999</v>
      </c>
      <c r="N76">
        <v>7</v>
      </c>
    </row>
    <row r="77" spans="13:14">
      <c r="M77">
        <v>-1.551637438</v>
      </c>
      <c r="N77">
        <v>7.1</v>
      </c>
    </row>
    <row r="78" spans="13:14">
      <c r="M78">
        <v>-1.53237544</v>
      </c>
      <c r="N78">
        <v>7.2</v>
      </c>
    </row>
    <row r="79" spans="13:14">
      <c r="M79">
        <v>-1.5127377099999999</v>
      </c>
      <c r="N79">
        <v>7.3</v>
      </c>
    </row>
    <row r="80" spans="13:14">
      <c r="M80">
        <v>-1.4968487319999999</v>
      </c>
      <c r="N80">
        <v>7.4</v>
      </c>
    </row>
    <row r="81" spans="13:14">
      <c r="M81">
        <v>-1.4935448499999999</v>
      </c>
      <c r="N81">
        <v>7.5</v>
      </c>
    </row>
    <row r="82" spans="13:14">
      <c r="M82">
        <v>-1.4902409679999999</v>
      </c>
      <c r="N82">
        <v>7.6</v>
      </c>
    </row>
    <row r="83" spans="13:14">
      <c r="M83">
        <v>-1.4866984839999999</v>
      </c>
      <c r="N83">
        <v>7.7</v>
      </c>
    </row>
    <row r="84" spans="13:14">
      <c r="M84">
        <v>-1.4829147760000001</v>
      </c>
      <c r="N84">
        <v>7.8</v>
      </c>
    </row>
    <row r="85" spans="13:14">
      <c r="M85">
        <v>-1.479131068</v>
      </c>
      <c r="N85">
        <v>7.9</v>
      </c>
    </row>
    <row r="86" spans="13:14">
      <c r="M86">
        <v>-1.4660026399999999</v>
      </c>
      <c r="N86">
        <v>8</v>
      </c>
    </row>
    <row r="87" spans="13:14">
      <c r="M87">
        <v>-1.450004048</v>
      </c>
      <c r="N87">
        <v>8.1</v>
      </c>
    </row>
    <row r="88" spans="13:14">
      <c r="M88">
        <v>-1.434351092</v>
      </c>
      <c r="N88">
        <v>8.1999999999999993</v>
      </c>
    </row>
    <row r="89" spans="13:14">
      <c r="M89">
        <v>-1.428894398</v>
      </c>
      <c r="N89">
        <v>8.3000000000000007</v>
      </c>
    </row>
    <row r="90" spans="13:14">
      <c r="M90">
        <v>-1.4234377039999999</v>
      </c>
      <c r="N90">
        <v>8.4</v>
      </c>
    </row>
    <row r="91" spans="13:14">
      <c r="M91">
        <v>-1.419621</v>
      </c>
      <c r="N91">
        <v>8.5</v>
      </c>
    </row>
    <row r="92" spans="13:14">
      <c r="M92">
        <v>-1.419621</v>
      </c>
      <c r="N92">
        <v>8.6</v>
      </c>
    </row>
    <row r="93" spans="13:14">
      <c r="M93">
        <v>-1.419621</v>
      </c>
      <c r="N93">
        <v>8.6999999999999993</v>
      </c>
    </row>
    <row r="94" spans="13:14">
      <c r="M94">
        <v>-1.419621</v>
      </c>
      <c r="N94">
        <v>8.8000000000000007</v>
      </c>
    </row>
    <row r="95" spans="13:14">
      <c r="M95">
        <v>-1.419621</v>
      </c>
      <c r="N95">
        <v>8.9</v>
      </c>
    </row>
    <row r="96" spans="13:14">
      <c r="M96">
        <v>-1.419621</v>
      </c>
      <c r="N96">
        <v>9</v>
      </c>
    </row>
    <row r="97" spans="13:14">
      <c r="M97">
        <v>-1.419621</v>
      </c>
      <c r="N97">
        <v>9.1</v>
      </c>
    </row>
    <row r="98" spans="13:14">
      <c r="M98">
        <v>-1.419621</v>
      </c>
      <c r="N98">
        <v>9.1999999999999993</v>
      </c>
    </row>
    <row r="99" spans="13:14">
      <c r="M99">
        <v>-1.4177923640000001</v>
      </c>
      <c r="N99">
        <v>9.3000000000000007</v>
      </c>
    </row>
    <row r="100" spans="13:14">
      <c r="M100">
        <v>-1.4001797119999999</v>
      </c>
      <c r="N100">
        <v>9.4</v>
      </c>
    </row>
    <row r="101" spans="13:14">
      <c r="M101">
        <v>-1.38256706</v>
      </c>
      <c r="N101">
        <v>9.5</v>
      </c>
    </row>
    <row r="102" spans="13:14">
      <c r="M102">
        <v>-1.3667592639999999</v>
      </c>
      <c r="N102">
        <v>9.6</v>
      </c>
    </row>
    <row r="103" spans="13:14">
      <c r="M103">
        <v>-1.3540037979999999</v>
      </c>
      <c r="N103">
        <v>9.6999999999999993</v>
      </c>
    </row>
    <row r="104" spans="13:14">
      <c r="M104">
        <v>-1.3412483319999999</v>
      </c>
      <c r="N104">
        <v>9.8000000000000007</v>
      </c>
    </row>
    <row r="105" spans="13:14">
      <c r="M105">
        <v>-1.3366480000000001</v>
      </c>
      <c r="N105">
        <v>9.9</v>
      </c>
    </row>
    <row r="106" spans="13:14">
      <c r="M106">
        <v>-1.3366480000000001</v>
      </c>
      <c r="N106">
        <v>10</v>
      </c>
    </row>
    <row r="107" spans="13:14">
      <c r="M107">
        <v>-1.3366480000000001</v>
      </c>
      <c r="N107">
        <v>10.1</v>
      </c>
    </row>
    <row r="108" spans="13:14">
      <c r="M108">
        <v>-1.3341838960000001</v>
      </c>
      <c r="N108">
        <v>10.199999999999999</v>
      </c>
    </row>
    <row r="109" spans="13:14">
      <c r="M109">
        <v>-1.3314674440000001</v>
      </c>
      <c r="N109">
        <v>10.3</v>
      </c>
    </row>
    <row r="110" spans="13:14">
      <c r="M110">
        <v>-1.32384904</v>
      </c>
      <c r="N110">
        <v>10.4</v>
      </c>
    </row>
    <row r="111" spans="13:14">
      <c r="M111">
        <v>-1.29309955</v>
      </c>
      <c r="N111">
        <v>10.5</v>
      </c>
    </row>
    <row r="112" spans="13:14">
      <c r="M112">
        <v>-1.2623500599999999</v>
      </c>
      <c r="N112">
        <v>10.6</v>
      </c>
    </row>
    <row r="113" spans="13:14">
      <c r="M113">
        <v>-1.245114286</v>
      </c>
      <c r="N113">
        <v>10.7</v>
      </c>
    </row>
    <row r="114" spans="13:14">
      <c r="M114">
        <v>-1.2448957839999999</v>
      </c>
      <c r="N114">
        <v>10.8</v>
      </c>
    </row>
    <row r="115" spans="13:14">
      <c r="M115">
        <v>-1.2446772820000001</v>
      </c>
      <c r="N115">
        <v>10.9</v>
      </c>
    </row>
    <row r="116" spans="13:14">
      <c r="M116">
        <v>-1.2446140000000001</v>
      </c>
      <c r="N116">
        <v>11</v>
      </c>
    </row>
    <row r="117" spans="13:14">
      <c r="M117">
        <v>-1.2446140000000001</v>
      </c>
      <c r="N117">
        <v>11.1</v>
      </c>
    </row>
    <row r="118" spans="13:14">
      <c r="M118">
        <v>-1.2446140000000001</v>
      </c>
      <c r="N118">
        <v>11.2</v>
      </c>
    </row>
    <row r="119" spans="13:14">
      <c r="M119">
        <v>-1.2246057379999999</v>
      </c>
      <c r="N119">
        <v>11.3</v>
      </c>
    </row>
    <row r="120" spans="13:14">
      <c r="M120">
        <v>-1.204150364</v>
      </c>
      <c r="N120">
        <v>11.4</v>
      </c>
    </row>
    <row r="121" spans="13:14">
      <c r="M121">
        <v>-1.188725</v>
      </c>
      <c r="N121">
        <v>11.5</v>
      </c>
    </row>
    <row r="122" spans="13:14">
      <c r="M122">
        <v>-1.188725</v>
      </c>
      <c r="N122">
        <v>11.6</v>
      </c>
    </row>
    <row r="123" spans="13:14">
      <c r="M123">
        <v>-1.188725</v>
      </c>
      <c r="N123">
        <v>11.7</v>
      </c>
    </row>
    <row r="124" spans="13:14">
      <c r="M124">
        <v>-1.1790407439999999</v>
      </c>
      <c r="N124">
        <v>11.8</v>
      </c>
    </row>
    <row r="125" spans="13:14">
      <c r="M125">
        <v>-1.1601873519999999</v>
      </c>
      <c r="N125">
        <v>11.9</v>
      </c>
    </row>
    <row r="126" spans="13:14">
      <c r="M126">
        <v>-1.1413339600000001</v>
      </c>
      <c r="N126">
        <v>12</v>
      </c>
    </row>
    <row r="127" spans="13:14">
      <c r="M127">
        <v>-1.134546622</v>
      </c>
      <c r="N127">
        <v>12.1</v>
      </c>
    </row>
    <row r="128" spans="13:14">
      <c r="M128">
        <v>-1.131134404</v>
      </c>
      <c r="N128">
        <v>12.2</v>
      </c>
    </row>
    <row r="129" spans="13:14">
      <c r="M129">
        <v>-1.1271134620000001</v>
      </c>
      <c r="N129">
        <v>12.3</v>
      </c>
    </row>
    <row r="130" spans="13:14">
      <c r="M130">
        <v>-1.1113238560000001</v>
      </c>
      <c r="N130">
        <v>12.4</v>
      </c>
    </row>
    <row r="131" spans="13:14">
      <c r="M131">
        <v>-1.09553425</v>
      </c>
      <c r="N131">
        <v>12.5</v>
      </c>
    </row>
    <row r="132" spans="13:14">
      <c r="M132">
        <v>-1.082306736</v>
      </c>
      <c r="N132">
        <v>12.6</v>
      </c>
    </row>
    <row r="133" spans="13:14">
      <c r="M133">
        <v>-1.074600972</v>
      </c>
      <c r="N133">
        <v>12.7</v>
      </c>
    </row>
    <row r="134" spans="13:14">
      <c r="M134">
        <v>-1.066895208</v>
      </c>
      <c r="N134">
        <v>12.8</v>
      </c>
    </row>
    <row r="135" spans="13:14">
      <c r="M135">
        <v>-1.0636950000000001</v>
      </c>
      <c r="N135">
        <v>12.9</v>
      </c>
    </row>
    <row r="136" spans="13:14">
      <c r="M136">
        <v>-1.0636950000000001</v>
      </c>
      <c r="N136">
        <v>13</v>
      </c>
    </row>
    <row r="137" spans="13:14">
      <c r="M137">
        <v>-1.0636950000000001</v>
      </c>
      <c r="N137">
        <v>13.1</v>
      </c>
    </row>
    <row r="138" spans="13:14">
      <c r="M138">
        <v>-1.0636950000000001</v>
      </c>
      <c r="N138">
        <v>13.2</v>
      </c>
    </row>
    <row r="139" spans="13:14">
      <c r="M139">
        <v>-1.0636950000000001</v>
      </c>
      <c r="N139">
        <v>13.3</v>
      </c>
    </row>
    <row r="140" spans="13:14">
      <c r="M140">
        <v>-1.063691612</v>
      </c>
      <c r="N140">
        <v>13.4</v>
      </c>
    </row>
    <row r="141" spans="13:14">
      <c r="M141">
        <v>-1.0636634300000001</v>
      </c>
      <c r="N141">
        <v>13.5</v>
      </c>
    </row>
    <row r="142" spans="13:14">
      <c r="M142">
        <v>-1.063635248</v>
      </c>
      <c r="N142">
        <v>13.6</v>
      </c>
    </row>
    <row r="143" spans="13:14">
      <c r="M143">
        <v>-1.063618</v>
      </c>
      <c r="N143">
        <v>13.7</v>
      </c>
    </row>
    <row r="144" spans="13:14">
      <c r="M144">
        <v>-1.063618</v>
      </c>
      <c r="N144">
        <v>13.8</v>
      </c>
    </row>
    <row r="145" spans="13:14">
      <c r="M145">
        <v>-1.063618</v>
      </c>
      <c r="N145">
        <v>13.9</v>
      </c>
    </row>
    <row r="146" spans="13:14">
      <c r="M146">
        <v>-1.063618</v>
      </c>
      <c r="N146">
        <v>14</v>
      </c>
    </row>
    <row r="147" spans="13:14">
      <c r="M147">
        <v>-1.063618</v>
      </c>
      <c r="N147">
        <v>14.1</v>
      </c>
    </row>
    <row r="148" spans="13:14">
      <c r="M148">
        <v>-1.063618</v>
      </c>
      <c r="N148">
        <v>14.2</v>
      </c>
    </row>
    <row r="149" spans="13:14">
      <c r="M149">
        <v>-1.063618</v>
      </c>
      <c r="N149">
        <v>14.3</v>
      </c>
    </row>
    <row r="150" spans="13:14">
      <c r="M150">
        <v>-1.063618</v>
      </c>
      <c r="N150">
        <v>14.4</v>
      </c>
    </row>
    <row r="151" spans="13:14">
      <c r="M151">
        <v>-1.063618</v>
      </c>
      <c r="N151">
        <v>14.5</v>
      </c>
    </row>
    <row r="152" spans="13:14">
      <c r="M152">
        <v>-1.063618</v>
      </c>
      <c r="N152">
        <v>14.6</v>
      </c>
    </row>
    <row r="153" spans="13:14">
      <c r="M153">
        <v>-1.063618</v>
      </c>
      <c r="N153">
        <v>14.7</v>
      </c>
    </row>
    <row r="154" spans="13:14">
      <c r="M154">
        <v>-1.0607764479999999</v>
      </c>
      <c r="N154">
        <v>14.8</v>
      </c>
    </row>
    <row r="155" spans="13:14">
      <c r="M155">
        <v>-1.054585924</v>
      </c>
      <c r="N155">
        <v>14.9</v>
      </c>
    </row>
    <row r="156" spans="13:14">
      <c r="M156">
        <v>-1.0483954</v>
      </c>
      <c r="N156">
        <v>15</v>
      </c>
    </row>
    <row r="157" spans="13:14">
      <c r="M157">
        <v>-1.0428701419999999</v>
      </c>
      <c r="N157">
        <v>15.1</v>
      </c>
    </row>
    <row r="158" spans="13:14">
      <c r="M158">
        <v>-1.0375949840000001</v>
      </c>
      <c r="N158">
        <v>15.2</v>
      </c>
    </row>
    <row r="159" spans="13:14">
      <c r="M159">
        <v>-1.0323198259999999</v>
      </c>
      <c r="N159">
        <v>15.3</v>
      </c>
    </row>
    <row r="160" spans="13:14">
      <c r="M160">
        <v>-1.0277195240000001</v>
      </c>
      <c r="N160">
        <v>15.4</v>
      </c>
    </row>
    <row r="161" spans="13:14">
      <c r="M161">
        <v>-1.02312293</v>
      </c>
      <c r="N161">
        <v>15.5</v>
      </c>
    </row>
    <row r="162" spans="13:14">
      <c r="M162">
        <v>-1.018643744</v>
      </c>
      <c r="N162">
        <v>15.6</v>
      </c>
    </row>
    <row r="163" spans="13:14">
      <c r="M163">
        <v>-1.014494768</v>
      </c>
      <c r="N163">
        <v>15.7</v>
      </c>
    </row>
    <row r="164" spans="13:14">
      <c r="M164">
        <v>-1.0103457920000001</v>
      </c>
      <c r="N164">
        <v>15.8</v>
      </c>
    </row>
    <row r="165" spans="13:14">
      <c r="M165">
        <v>-1.0063091420000001</v>
      </c>
      <c r="N165">
        <v>15.9</v>
      </c>
    </row>
    <row r="166" spans="13:14">
      <c r="M166">
        <v>-1.00237208</v>
      </c>
      <c r="N166">
        <v>16</v>
      </c>
    </row>
    <row r="167" spans="13:14">
      <c r="M167">
        <v>-0.99843501800000001</v>
      </c>
      <c r="N167">
        <v>16.100000000000001</v>
      </c>
    </row>
    <row r="168" spans="13:14">
      <c r="M168">
        <v>-0.994468464</v>
      </c>
      <c r="N168">
        <v>16.2</v>
      </c>
    </row>
    <row r="169" spans="13:14">
      <c r="M169">
        <v>-0.99049443599999998</v>
      </c>
      <c r="N169">
        <v>16.3</v>
      </c>
    </row>
    <row r="170" spans="13:14">
      <c r="M170">
        <v>-0.98650048800000001</v>
      </c>
      <c r="N170">
        <v>16.399999999999999</v>
      </c>
    </row>
    <row r="171" spans="13:14">
      <c r="M171">
        <v>-0.98222268000000001</v>
      </c>
      <c r="N171">
        <v>16.5</v>
      </c>
    </row>
    <row r="172" spans="13:14">
      <c r="M172">
        <v>-0.97794487200000002</v>
      </c>
      <c r="N172">
        <v>16.600000000000001</v>
      </c>
    </row>
    <row r="173" spans="13:14">
      <c r="M173">
        <v>-0.97509299999999999</v>
      </c>
      <c r="N173">
        <v>16.7</v>
      </c>
    </row>
    <row r="174" spans="13:14">
      <c r="M174">
        <v>-0.97509299999999999</v>
      </c>
      <c r="N174">
        <v>16.8</v>
      </c>
    </row>
    <row r="175" spans="13:14">
      <c r="M175">
        <v>-0.97509299999999999</v>
      </c>
      <c r="N175">
        <v>16.899999999999999</v>
      </c>
    </row>
    <row r="176" spans="13:14">
      <c r="M176">
        <v>-0.97216897999999996</v>
      </c>
      <c r="N176">
        <v>17</v>
      </c>
    </row>
    <row r="177" spans="13:14">
      <c r="M177">
        <v>-0.96730447399999997</v>
      </c>
      <c r="N177">
        <v>17.100000000000001</v>
      </c>
    </row>
    <row r="178" spans="13:14">
      <c r="M178">
        <v>-0.96243996799999998</v>
      </c>
      <c r="N178">
        <v>17.2</v>
      </c>
    </row>
    <row r="179" spans="13:14">
      <c r="M179">
        <v>-0.96180200000000005</v>
      </c>
      <c r="N179">
        <v>17.3</v>
      </c>
    </row>
    <row r="180" spans="13:14">
      <c r="M180">
        <v>-0.96180200000000005</v>
      </c>
      <c r="N180">
        <v>17.399999999999999</v>
      </c>
    </row>
    <row r="181" spans="13:14">
      <c r="M181">
        <v>-0.96101729999999996</v>
      </c>
      <c r="N181">
        <v>17.5</v>
      </c>
    </row>
    <row r="182" spans="13:14">
      <c r="M182">
        <v>-0.95527329599999999</v>
      </c>
      <c r="N182">
        <v>17.600000000000001</v>
      </c>
    </row>
    <row r="183" spans="13:14">
      <c r="M183">
        <v>-0.94952929200000002</v>
      </c>
      <c r="N183">
        <v>17.7</v>
      </c>
    </row>
    <row r="184" spans="13:14">
      <c r="M184">
        <v>-0.94610799999999995</v>
      </c>
      <c r="N184">
        <v>17.8</v>
      </c>
    </row>
    <row r="185" spans="13:14">
      <c r="M185">
        <v>-0.94610799999999995</v>
      </c>
      <c r="N185">
        <v>17.899999999999999</v>
      </c>
    </row>
    <row r="186" spans="13:14">
      <c r="M186">
        <v>-0.94610799999999995</v>
      </c>
      <c r="N186">
        <v>18</v>
      </c>
    </row>
    <row r="187" spans="13:14">
      <c r="M187">
        <v>-0.94610799999999995</v>
      </c>
      <c r="N187">
        <v>18.100000000000001</v>
      </c>
    </row>
    <row r="188" spans="13:14">
      <c r="M188">
        <v>-0.94610799999999995</v>
      </c>
      <c r="N188">
        <v>18.2</v>
      </c>
    </row>
    <row r="189" spans="13:14">
      <c r="M189">
        <v>-0.94610799999999995</v>
      </c>
      <c r="N189">
        <v>18.3</v>
      </c>
    </row>
    <row r="190" spans="13:14">
      <c r="M190">
        <v>-0.94610799999999995</v>
      </c>
      <c r="N190">
        <v>18.399999999999999</v>
      </c>
    </row>
    <row r="191" spans="13:14">
      <c r="M191">
        <v>-0.94610799999999995</v>
      </c>
      <c r="N191">
        <v>18.5</v>
      </c>
    </row>
    <row r="192" spans="13:14">
      <c r="M192">
        <v>-0.94562608400000003</v>
      </c>
      <c r="N192">
        <v>18.600000000000001</v>
      </c>
    </row>
    <row r="193" spans="13:14">
      <c r="M193">
        <v>-0.94330527799999997</v>
      </c>
      <c r="N193">
        <v>18.7</v>
      </c>
    </row>
    <row r="194" spans="13:14">
      <c r="M194">
        <v>-0.94098447200000002</v>
      </c>
      <c r="N194">
        <v>18.8</v>
      </c>
    </row>
    <row r="195" spans="13:14">
      <c r="M195">
        <v>-0.93835794800000005</v>
      </c>
      <c r="N195">
        <v>18.899999999999999</v>
      </c>
    </row>
    <row r="196" spans="13:14">
      <c r="M196">
        <v>-0.93539408000000002</v>
      </c>
      <c r="N196">
        <v>19</v>
      </c>
    </row>
    <row r="197" spans="13:14">
      <c r="M197">
        <v>-0.93243021199999998</v>
      </c>
      <c r="N197">
        <v>19.100000000000001</v>
      </c>
    </row>
    <row r="198" spans="13:14">
      <c r="M198">
        <v>-0.93046132000000004</v>
      </c>
      <c r="N198">
        <v>19.2</v>
      </c>
    </row>
    <row r="199" spans="13:14">
      <c r="M199">
        <v>-0.92883627999999996</v>
      </c>
      <c r="N199">
        <v>19.3</v>
      </c>
    </row>
    <row r="200" spans="13:14">
      <c r="M200">
        <v>-0.92713795200000004</v>
      </c>
      <c r="N200">
        <v>19.399999999999999</v>
      </c>
    </row>
    <row r="201" spans="13:14">
      <c r="M201">
        <v>-0.91880706000000001</v>
      </c>
      <c r="N201">
        <v>19.5</v>
      </c>
    </row>
    <row r="202" spans="13:14">
      <c r="M202">
        <v>-0.91047616799999997</v>
      </c>
      <c r="N202">
        <v>19.600000000000001</v>
      </c>
    </row>
    <row r="203" spans="13:14">
      <c r="M203">
        <v>-0.90446700000000002</v>
      </c>
      <c r="N203">
        <v>19.7</v>
      </c>
    </row>
    <row r="204" spans="13:14">
      <c r="M204">
        <v>-0.90446700000000002</v>
      </c>
      <c r="N204">
        <v>19.8</v>
      </c>
    </row>
    <row r="205" spans="13:14">
      <c r="M205">
        <v>-0.90446700000000002</v>
      </c>
      <c r="N205">
        <v>19.899999999999999</v>
      </c>
    </row>
    <row r="206" spans="13:14">
      <c r="M206">
        <v>-0.90446700000000002</v>
      </c>
      <c r="N206">
        <v>20</v>
      </c>
    </row>
    <row r="207" spans="13:14">
      <c r="M207">
        <v>-0.90446700000000002</v>
      </c>
      <c r="N207">
        <v>20.100000000000001</v>
      </c>
    </row>
    <row r="208" spans="13:14">
      <c r="M208">
        <v>-0.90446700000000002</v>
      </c>
      <c r="N208">
        <v>20.2</v>
      </c>
    </row>
    <row r="209" spans="13:14">
      <c r="M209">
        <v>-0.90446700000000002</v>
      </c>
      <c r="N209">
        <v>20.3</v>
      </c>
    </row>
    <row r="210" spans="13:14">
      <c r="M210">
        <v>-0.90446700000000002</v>
      </c>
      <c r="N210">
        <v>20.399999999999999</v>
      </c>
    </row>
    <row r="211" spans="13:14">
      <c r="M211">
        <v>-0.90365192999999999</v>
      </c>
      <c r="N211">
        <v>20.5</v>
      </c>
    </row>
    <row r="212" spans="13:14">
      <c r="M212">
        <v>-0.89370807600000002</v>
      </c>
      <c r="N212">
        <v>20.6</v>
      </c>
    </row>
    <row r="213" spans="13:14">
      <c r="M213">
        <v>-0.88376422200000004</v>
      </c>
      <c r="N213">
        <v>20.7</v>
      </c>
    </row>
    <row r="214" spans="13:14">
      <c r="M214">
        <v>-0.87729800000000002</v>
      </c>
      <c r="N214">
        <v>20.8</v>
      </c>
    </row>
    <row r="215" spans="13:14">
      <c r="M215">
        <v>-0.87729800000000002</v>
      </c>
      <c r="N215">
        <v>20.9</v>
      </c>
    </row>
    <row r="216" spans="13:14">
      <c r="M216">
        <v>-0.87729800000000002</v>
      </c>
      <c r="N216">
        <v>21</v>
      </c>
    </row>
    <row r="217" spans="13:14">
      <c r="M217">
        <v>-0.87729800000000002</v>
      </c>
      <c r="N217">
        <v>21.1</v>
      </c>
    </row>
    <row r="218" spans="13:14">
      <c r="M218">
        <v>-0.87729800000000002</v>
      </c>
      <c r="N218">
        <v>21.2</v>
      </c>
    </row>
    <row r="219" spans="13:14">
      <c r="M219">
        <v>-0.87729800000000002</v>
      </c>
      <c r="N219">
        <v>21.3</v>
      </c>
    </row>
    <row r="220" spans="13:14">
      <c r="M220">
        <v>-0.855169124</v>
      </c>
      <c r="N220">
        <v>21.4</v>
      </c>
    </row>
    <row r="221" spans="13:14">
      <c r="M221">
        <v>-0.83017169000000002</v>
      </c>
      <c r="N221">
        <v>21.5</v>
      </c>
    </row>
    <row r="222" spans="13:14">
      <c r="M222">
        <v>-0.80425350399999995</v>
      </c>
      <c r="N222">
        <v>21.6</v>
      </c>
    </row>
    <row r="223" spans="13:14">
      <c r="M223">
        <v>-0.77323829799999999</v>
      </c>
      <c r="N223">
        <v>21.7</v>
      </c>
    </row>
    <row r="224" spans="13:14">
      <c r="M224">
        <v>-0.74222309200000003</v>
      </c>
      <c r="N224">
        <v>21.8</v>
      </c>
    </row>
    <row r="225" spans="13:14">
      <c r="M225">
        <v>-0.72425799999999996</v>
      </c>
      <c r="N225">
        <v>21.9</v>
      </c>
    </row>
    <row r="226" spans="13:14">
      <c r="M226">
        <v>-0.72425799999999996</v>
      </c>
      <c r="N226">
        <v>22</v>
      </c>
    </row>
    <row r="227" spans="13:14">
      <c r="M227">
        <v>-0.72425799999999996</v>
      </c>
      <c r="N227">
        <v>22.1</v>
      </c>
    </row>
    <row r="228" spans="13:14">
      <c r="M228">
        <v>-0.71252563599999996</v>
      </c>
      <c r="N228">
        <v>22.2</v>
      </c>
    </row>
    <row r="229" spans="13:14">
      <c r="M229">
        <v>-0.695485774</v>
      </c>
      <c r="N229">
        <v>22.3</v>
      </c>
    </row>
    <row r="230" spans="13:14">
      <c r="M230">
        <v>-0.67844591200000004</v>
      </c>
      <c r="N230">
        <v>22.4</v>
      </c>
    </row>
    <row r="231" spans="13:14">
      <c r="M231">
        <v>-0.67504240000000004</v>
      </c>
      <c r="N231">
        <v>22.5</v>
      </c>
    </row>
    <row r="232" spans="13:14">
      <c r="M232">
        <v>-0.672262264</v>
      </c>
      <c r="N232">
        <v>22.6</v>
      </c>
    </row>
    <row r="233" spans="13:14">
      <c r="M233">
        <v>-0.66814208399999997</v>
      </c>
      <c r="N233">
        <v>22.7</v>
      </c>
    </row>
    <row r="234" spans="13:14">
      <c r="M234">
        <v>-0.659380776</v>
      </c>
      <c r="N234">
        <v>22.8</v>
      </c>
    </row>
    <row r="235" spans="13:14">
      <c r="M235">
        <v>-0.65061946800000003</v>
      </c>
      <c r="N235">
        <v>22.9</v>
      </c>
    </row>
    <row r="236" spans="13:14">
      <c r="M236">
        <v>-0.64228547999999996</v>
      </c>
      <c r="N236">
        <v>23</v>
      </c>
    </row>
    <row r="237" spans="13:14">
      <c r="M237">
        <v>-0.63439305599999996</v>
      </c>
      <c r="N237">
        <v>23.1</v>
      </c>
    </row>
    <row r="238" spans="13:14">
      <c r="M238">
        <v>-0.62650063199999995</v>
      </c>
      <c r="N238">
        <v>23.2</v>
      </c>
    </row>
    <row r="239" spans="13:14">
      <c r="M239">
        <v>-0.61910555</v>
      </c>
      <c r="N239">
        <v>23.3</v>
      </c>
    </row>
    <row r="240" spans="13:14">
      <c r="M240">
        <v>-0.61186790000000002</v>
      </c>
      <c r="N240">
        <v>23.4</v>
      </c>
    </row>
    <row r="241" spans="13:14">
      <c r="M241">
        <v>-0.60464311999999998</v>
      </c>
      <c r="N241">
        <v>23.5</v>
      </c>
    </row>
    <row r="242" spans="13:14">
      <c r="M242">
        <v>-0.59787651200000003</v>
      </c>
      <c r="N242">
        <v>23.6</v>
      </c>
    </row>
    <row r="243" spans="13:14">
      <c r="M243">
        <v>-0.59110990399999996</v>
      </c>
      <c r="N243">
        <v>23.7</v>
      </c>
    </row>
    <row r="244" spans="13:14">
      <c r="M244">
        <v>-0.58633999999999997</v>
      </c>
      <c r="N244">
        <v>23.8</v>
      </c>
    </row>
    <row r="245" spans="13:14">
      <c r="M245">
        <v>-0.58633999999999997</v>
      </c>
      <c r="N245">
        <v>23.9</v>
      </c>
    </row>
    <row r="246" spans="13:14">
      <c r="M246">
        <v>-0.58633999999999997</v>
      </c>
      <c r="N246">
        <v>24</v>
      </c>
    </row>
    <row r="247" spans="13:14">
      <c r="M247">
        <v>-0.58633999999999997</v>
      </c>
      <c r="N247">
        <v>24.1</v>
      </c>
    </row>
    <row r="248" spans="13:14">
      <c r="M248">
        <v>-0.58633999999999997</v>
      </c>
      <c r="N248">
        <v>24.2</v>
      </c>
    </row>
    <row r="249" spans="13:14">
      <c r="M249">
        <v>-0.58633999999999997</v>
      </c>
      <c r="N249">
        <v>24.3</v>
      </c>
    </row>
    <row r="250" spans="13:14">
      <c r="M250">
        <v>-0.58633999999999997</v>
      </c>
      <c r="N250">
        <v>24.4</v>
      </c>
    </row>
    <row r="251" spans="13:14">
      <c r="M251">
        <v>-0.58633999999999997</v>
      </c>
      <c r="N251">
        <v>24.5</v>
      </c>
    </row>
    <row r="252" spans="13:14">
      <c r="M252">
        <v>-0.58616914399999998</v>
      </c>
      <c r="N252">
        <v>24.6</v>
      </c>
    </row>
    <row r="253" spans="13:14">
      <c r="M253">
        <v>-0.58443210800000001</v>
      </c>
      <c r="N253">
        <v>24.7</v>
      </c>
    </row>
    <row r="254" spans="13:14">
      <c r="M254">
        <v>-0.58269507200000004</v>
      </c>
      <c r="N254">
        <v>24.8</v>
      </c>
    </row>
    <row r="255" spans="13:14">
      <c r="M255">
        <v>-0.58159400000000006</v>
      </c>
      <c r="N255">
        <v>24.9</v>
      </c>
    </row>
    <row r="256" spans="13:14">
      <c r="M256">
        <v>-0.58159400000000006</v>
      </c>
      <c r="N256">
        <v>25</v>
      </c>
    </row>
    <row r="257" spans="13:14">
      <c r="M257">
        <v>-0.58159400000000006</v>
      </c>
      <c r="N257">
        <v>25.1</v>
      </c>
    </row>
    <row r="258" spans="13:14">
      <c r="M258">
        <v>-0.58159400000000006</v>
      </c>
      <c r="N258">
        <v>25.2</v>
      </c>
    </row>
    <row r="259" spans="13:14">
      <c r="M259">
        <v>-0.58159400000000006</v>
      </c>
      <c r="N259">
        <v>25.3</v>
      </c>
    </row>
    <row r="260" spans="13:14">
      <c r="M260">
        <v>-0.58159400000000006</v>
      </c>
      <c r="N260">
        <v>25.4</v>
      </c>
    </row>
    <row r="261" spans="13:14">
      <c r="M261">
        <v>-0.58159400000000006</v>
      </c>
      <c r="N261">
        <v>25.5</v>
      </c>
    </row>
    <row r="262" spans="13:14">
      <c r="M262">
        <v>-0.58159400000000006</v>
      </c>
      <c r="N262">
        <v>25.6</v>
      </c>
    </row>
    <row r="263" spans="13:14">
      <c r="M263">
        <v>-0.58159400000000006</v>
      </c>
      <c r="N263">
        <v>25.7</v>
      </c>
    </row>
    <row r="264" spans="13:14">
      <c r="M264">
        <v>-0.58159400000000006</v>
      </c>
      <c r="N264">
        <v>25.8</v>
      </c>
    </row>
    <row r="265" spans="13:14">
      <c r="M265">
        <v>-0.58159400000000006</v>
      </c>
      <c r="N265">
        <v>25.9</v>
      </c>
    </row>
    <row r="266" spans="13:14">
      <c r="M266">
        <v>-0.58159400000000006</v>
      </c>
      <c r="N266">
        <v>26</v>
      </c>
    </row>
    <row r="267" spans="13:14">
      <c r="M267">
        <v>-0.58159400000000006</v>
      </c>
      <c r="N267">
        <v>26.1</v>
      </c>
    </row>
    <row r="268" spans="13:14">
      <c r="M268">
        <v>-0.58159400000000006</v>
      </c>
      <c r="N268">
        <v>26.2</v>
      </c>
    </row>
    <row r="269" spans="13:14">
      <c r="M269">
        <v>-0.57826528399999999</v>
      </c>
      <c r="N269">
        <v>26.3</v>
      </c>
    </row>
    <row r="270" spans="13:14">
      <c r="M270">
        <v>-0.57354315199999995</v>
      </c>
      <c r="N270">
        <v>26.4</v>
      </c>
    </row>
    <row r="271" spans="13:14">
      <c r="M271">
        <v>-0.56882102000000001</v>
      </c>
      <c r="N271">
        <v>26.5</v>
      </c>
    </row>
    <row r="272" spans="13:14">
      <c r="M272">
        <v>-0.56869199999999998</v>
      </c>
      <c r="N272">
        <v>26.6</v>
      </c>
    </row>
    <row r="273" spans="13:14">
      <c r="M273">
        <v>-0.56869199999999998</v>
      </c>
      <c r="N273">
        <v>26.7</v>
      </c>
    </row>
    <row r="274" spans="13:14">
      <c r="M274">
        <v>-0.56717593600000005</v>
      </c>
      <c r="N274">
        <v>26.8</v>
      </c>
    </row>
    <row r="275" spans="13:14">
      <c r="M275">
        <v>-0.56087048799999994</v>
      </c>
      <c r="N275">
        <v>26.9</v>
      </c>
    </row>
    <row r="276" spans="13:14">
      <c r="M276">
        <v>-0.55456503999999995</v>
      </c>
      <c r="N276">
        <v>27</v>
      </c>
    </row>
    <row r="277" spans="13:14">
      <c r="M277">
        <v>-0.55146399999999995</v>
      </c>
      <c r="N277">
        <v>27.1</v>
      </c>
    </row>
    <row r="278" spans="13:14">
      <c r="M278">
        <v>-0.55146399999999995</v>
      </c>
      <c r="N278">
        <v>27.2</v>
      </c>
    </row>
    <row r="279" spans="13:14">
      <c r="M279">
        <v>-0.55146399999999995</v>
      </c>
      <c r="N279">
        <v>27.3</v>
      </c>
    </row>
    <row r="280" spans="13:14">
      <c r="M280">
        <v>-0.546536032</v>
      </c>
      <c r="N280">
        <v>27.4</v>
      </c>
    </row>
    <row r="281" spans="13:14">
      <c r="M281">
        <v>-0.54018520000000003</v>
      </c>
      <c r="N281">
        <v>27.5</v>
      </c>
    </row>
    <row r="282" spans="13:14">
      <c r="M282">
        <v>-0.53383263999999997</v>
      </c>
      <c r="N282">
        <v>27.6</v>
      </c>
    </row>
    <row r="283" spans="13:14">
      <c r="M283">
        <v>-0.52744228000000004</v>
      </c>
      <c r="N283">
        <v>27.7</v>
      </c>
    </row>
    <row r="284" spans="13:14">
      <c r="M284">
        <v>-0.52105192</v>
      </c>
      <c r="N284">
        <v>27.8</v>
      </c>
    </row>
    <row r="285" spans="13:14">
      <c r="M285">
        <v>-0.51455690799999998</v>
      </c>
      <c r="N285">
        <v>27.9</v>
      </c>
    </row>
    <row r="286" spans="13:14">
      <c r="M286">
        <v>-0.50783056000000004</v>
      </c>
      <c r="N286">
        <v>28</v>
      </c>
    </row>
    <row r="287" spans="13:14">
      <c r="M287">
        <v>-0.50110421199999999</v>
      </c>
      <c r="N287">
        <v>28.1</v>
      </c>
    </row>
    <row r="288" spans="13:14">
      <c r="M288">
        <v>-0.49827399999999999</v>
      </c>
      <c r="N288">
        <v>28.2</v>
      </c>
    </row>
    <row r="289" spans="13:14">
      <c r="M289">
        <v>-0.49827399999999999</v>
      </c>
      <c r="N289">
        <v>28.3</v>
      </c>
    </row>
    <row r="290" spans="13:14">
      <c r="M290">
        <v>-0.49827399999999999</v>
      </c>
      <c r="N290">
        <v>28.4</v>
      </c>
    </row>
    <row r="291" spans="13:14">
      <c r="M291">
        <v>-0.49827399999999999</v>
      </c>
      <c r="N291">
        <v>28.5</v>
      </c>
    </row>
    <row r="292" spans="13:14">
      <c r="M292">
        <v>-0.49827399999999999</v>
      </c>
      <c r="N292">
        <v>28.6</v>
      </c>
    </row>
    <row r="293" spans="13:14">
      <c r="M293">
        <v>-0.49827399999999999</v>
      </c>
      <c r="N293">
        <v>28.7</v>
      </c>
    </row>
    <row r="294" spans="13:14">
      <c r="M294">
        <v>-0.49827399999999999</v>
      </c>
      <c r="N294">
        <v>28.8</v>
      </c>
    </row>
    <row r="295" spans="13:14">
      <c r="M295">
        <v>-0.49827399999999999</v>
      </c>
      <c r="N295">
        <v>28.9</v>
      </c>
    </row>
    <row r="296" spans="13:14">
      <c r="M296">
        <v>-0.49553868000000001</v>
      </c>
      <c r="N296">
        <v>29</v>
      </c>
    </row>
    <row r="297" spans="13:14">
      <c r="M297">
        <v>-0.488387772</v>
      </c>
      <c r="N297">
        <v>29.1</v>
      </c>
    </row>
    <row r="298" spans="13:14">
      <c r="M298">
        <v>-0.48123686399999999</v>
      </c>
      <c r="N298">
        <v>29.2</v>
      </c>
    </row>
    <row r="299" spans="13:14">
      <c r="M299">
        <v>-0.47873599999999999</v>
      </c>
      <c r="N299">
        <v>29.3</v>
      </c>
    </row>
    <row r="300" spans="13:14">
      <c r="M300">
        <v>-0.47873599999999999</v>
      </c>
      <c r="N300">
        <v>29.4</v>
      </c>
    </row>
    <row r="301" spans="13:14">
      <c r="M301">
        <v>-0.47873599999999999</v>
      </c>
      <c r="N301">
        <v>29.5</v>
      </c>
    </row>
    <row r="302" spans="13:14">
      <c r="M302">
        <v>-0.47873599999999999</v>
      </c>
      <c r="N302">
        <v>29.6</v>
      </c>
    </row>
    <row r="303" spans="13:14">
      <c r="M303">
        <v>-0.47873599999999999</v>
      </c>
      <c r="N303">
        <v>29.7</v>
      </c>
    </row>
    <row r="304" spans="13:14">
      <c r="M304">
        <v>-0.47873599999999999</v>
      </c>
      <c r="N304">
        <v>29.8</v>
      </c>
    </row>
    <row r="305" spans="13:14">
      <c r="M305">
        <v>-0.47873599999999999</v>
      </c>
      <c r="N305">
        <v>29.9</v>
      </c>
    </row>
    <row r="306" spans="13:14">
      <c r="M306">
        <v>-0.47873599999999999</v>
      </c>
      <c r="N306">
        <v>30</v>
      </c>
    </row>
    <row r="307" spans="13:14">
      <c r="M307">
        <v>-0.47873599999999999</v>
      </c>
      <c r="N307">
        <v>30.1</v>
      </c>
    </row>
    <row r="308" spans="13:14">
      <c r="M308">
        <v>-0.47873599999999999</v>
      </c>
      <c r="N308">
        <v>30.2</v>
      </c>
    </row>
    <row r="309" spans="13:14">
      <c r="M309">
        <v>-0.47873599999999999</v>
      </c>
      <c r="N309">
        <v>30.3</v>
      </c>
    </row>
    <row r="310" spans="13:14">
      <c r="M310">
        <v>-0.47317880000000001</v>
      </c>
      <c r="N310">
        <v>30.4</v>
      </c>
    </row>
    <row r="311" spans="13:14">
      <c r="M311">
        <v>-0.46547450000000001</v>
      </c>
      <c r="N311">
        <v>30.5</v>
      </c>
    </row>
    <row r="312" spans="13:14">
      <c r="M312">
        <v>-0.45777020000000002</v>
      </c>
      <c r="N312">
        <v>30.6</v>
      </c>
    </row>
    <row r="313" spans="13:14">
      <c r="M313">
        <v>-0.45282289199999998</v>
      </c>
      <c r="N313">
        <v>30.7</v>
      </c>
    </row>
    <row r="314" spans="13:14">
      <c r="M314">
        <v>-0.447906048</v>
      </c>
      <c r="N314">
        <v>30.8</v>
      </c>
    </row>
    <row r="315" spans="13:14">
      <c r="M315">
        <v>-0.44425199999999998</v>
      </c>
      <c r="N315">
        <v>30.9</v>
      </c>
    </row>
    <row r="316" spans="13:14">
      <c r="M316">
        <v>-0.44425199999999998</v>
      </c>
      <c r="N316">
        <v>31</v>
      </c>
    </row>
    <row r="317" spans="13:14">
      <c r="M317">
        <v>-0.44425199999999998</v>
      </c>
      <c r="N317">
        <v>31.1</v>
      </c>
    </row>
    <row r="318" spans="13:14">
      <c r="M318">
        <v>-0.43251023999999999</v>
      </c>
      <c r="N318">
        <v>31.2</v>
      </c>
    </row>
    <row r="319" spans="13:14">
      <c r="M319">
        <v>-0.41012750999999997</v>
      </c>
      <c r="N319">
        <v>31.3</v>
      </c>
    </row>
    <row r="320" spans="13:14">
      <c r="M320">
        <v>-0.38774478000000001</v>
      </c>
      <c r="N320">
        <v>31.4</v>
      </c>
    </row>
    <row r="321" spans="13:14">
      <c r="M321">
        <v>-0.38309700000000002</v>
      </c>
      <c r="N321">
        <v>31.5</v>
      </c>
    </row>
    <row r="322" spans="13:14">
      <c r="M322">
        <v>-0.38309700000000002</v>
      </c>
      <c r="N322">
        <v>31.6</v>
      </c>
    </row>
    <row r="323" spans="13:14">
      <c r="M323">
        <v>-0.38309700000000002</v>
      </c>
      <c r="N323">
        <v>31.7</v>
      </c>
    </row>
    <row r="324" spans="13:14">
      <c r="M324">
        <v>-0.38309700000000002</v>
      </c>
      <c r="N324">
        <v>31.8</v>
      </c>
    </row>
    <row r="325" spans="13:14">
      <c r="M325">
        <v>-0.38309700000000002</v>
      </c>
      <c r="N325">
        <v>31.9</v>
      </c>
    </row>
    <row r="326" spans="13:14">
      <c r="M326">
        <v>-0.38309700000000002</v>
      </c>
      <c r="N326">
        <v>32</v>
      </c>
    </row>
    <row r="327" spans="13:14">
      <c r="M327">
        <v>-0.38309700000000002</v>
      </c>
      <c r="N327">
        <v>32.1</v>
      </c>
    </row>
    <row r="328" spans="13:14">
      <c r="M328">
        <v>-0.38309700000000002</v>
      </c>
      <c r="N328">
        <v>32.200000000000003</v>
      </c>
    </row>
    <row r="329" spans="13:14">
      <c r="M329">
        <v>-0.37897134999999998</v>
      </c>
      <c r="N329">
        <v>32.299999999999997</v>
      </c>
    </row>
    <row r="330" spans="13:14">
      <c r="M330">
        <v>-0.37204480000000001</v>
      </c>
      <c r="N330">
        <v>32.4</v>
      </c>
    </row>
    <row r="331" spans="13:14">
      <c r="M331">
        <v>-0.36511824999999998</v>
      </c>
      <c r="N331">
        <v>32.5</v>
      </c>
    </row>
    <row r="332" spans="13:14">
      <c r="M332">
        <v>-0.35140559999999998</v>
      </c>
      <c r="N332">
        <v>32.6</v>
      </c>
    </row>
    <row r="333" spans="13:14">
      <c r="M333">
        <v>-0.33661920000000001</v>
      </c>
      <c r="N333">
        <v>32.700000000000003</v>
      </c>
    </row>
    <row r="334" spans="13:14">
      <c r="M334">
        <v>-0.32225126399999998</v>
      </c>
      <c r="N334">
        <v>32.799999999999997</v>
      </c>
    </row>
    <row r="335" spans="13:14">
      <c r="M335">
        <v>-0.310655652</v>
      </c>
      <c r="N335">
        <v>32.9</v>
      </c>
    </row>
    <row r="336" spans="13:14">
      <c r="M336">
        <v>-0.29906004000000003</v>
      </c>
      <c r="N336">
        <v>33</v>
      </c>
    </row>
    <row r="337" spans="13:14">
      <c r="M337">
        <v>-0.29209000000000002</v>
      </c>
      <c r="N337">
        <v>33.1</v>
      </c>
    </row>
    <row r="338" spans="13:14">
      <c r="M338">
        <v>-0.29209000000000002</v>
      </c>
      <c r="N338">
        <v>33.200000000000003</v>
      </c>
    </row>
    <row r="339" spans="13:14">
      <c r="M339">
        <v>-0.29209000000000002</v>
      </c>
      <c r="N339">
        <v>33.299999999999997</v>
      </c>
    </row>
    <row r="340" spans="13:14">
      <c r="M340">
        <v>-0.29209000000000002</v>
      </c>
      <c r="N340">
        <v>33.4</v>
      </c>
    </row>
    <row r="341" spans="13:14">
      <c r="M341">
        <v>-0.29209000000000002</v>
      </c>
      <c r="N341">
        <v>33.5</v>
      </c>
    </row>
    <row r="342" spans="13:14">
      <c r="M342">
        <v>-0.29209000000000002</v>
      </c>
      <c r="N342">
        <v>33.6</v>
      </c>
    </row>
    <row r="343" spans="13:14">
      <c r="M343">
        <v>-0.29209000000000002</v>
      </c>
      <c r="N343">
        <v>33.700000000000003</v>
      </c>
    </row>
    <row r="344" spans="13:14">
      <c r="M344">
        <v>-0.29209000000000002</v>
      </c>
      <c r="N344">
        <v>33.799999999999997</v>
      </c>
    </row>
    <row r="345" spans="13:14">
      <c r="M345">
        <v>-0.29147580000000001</v>
      </c>
      <c r="N345">
        <v>33.9</v>
      </c>
    </row>
    <row r="346" spans="13:14">
      <c r="M346">
        <v>-0.28843800000000003</v>
      </c>
      <c r="N346">
        <v>34</v>
      </c>
    </row>
    <row r="347" spans="13:14">
      <c r="M347">
        <v>-0.28540019999999999</v>
      </c>
      <c r="N347">
        <v>34.1</v>
      </c>
    </row>
    <row r="348" spans="13:14">
      <c r="M348">
        <v>-0.27966234400000001</v>
      </c>
      <c r="N348">
        <v>34.200000000000003</v>
      </c>
    </row>
    <row r="349" spans="13:14">
      <c r="M349">
        <v>-0.270879076</v>
      </c>
      <c r="N349">
        <v>34.299999999999997</v>
      </c>
    </row>
    <row r="350" spans="13:14">
      <c r="M350">
        <v>-0.26209580799999999</v>
      </c>
      <c r="N350">
        <v>34.4</v>
      </c>
    </row>
    <row r="351" spans="13:14">
      <c r="M351">
        <v>-0.25979200000000002</v>
      </c>
      <c r="N351">
        <v>34.5</v>
      </c>
    </row>
    <row r="352" spans="13:14">
      <c r="M352">
        <v>-0.25979200000000002</v>
      </c>
      <c r="N352">
        <v>34.6</v>
      </c>
    </row>
    <row r="353" spans="13:14">
      <c r="M353">
        <v>-0.25979200000000002</v>
      </c>
      <c r="N353">
        <v>34.700000000000003</v>
      </c>
    </row>
    <row r="354" spans="13:14">
      <c r="M354">
        <v>-0.25979200000000002</v>
      </c>
      <c r="N354">
        <v>34.799999999999997</v>
      </c>
    </row>
    <row r="355" spans="13:14">
      <c r="M355">
        <v>-0.25979200000000002</v>
      </c>
      <c r="N355">
        <v>34.9</v>
      </c>
    </row>
    <row r="356" spans="13:14">
      <c r="M356">
        <v>-0.25953270000000001</v>
      </c>
      <c r="N356">
        <v>35</v>
      </c>
    </row>
    <row r="357" spans="13:14">
      <c r="M357">
        <v>-0.25858366199999999</v>
      </c>
      <c r="N357">
        <v>35.1</v>
      </c>
    </row>
    <row r="358" spans="13:14">
      <c r="M358">
        <v>-0.25763462399999998</v>
      </c>
      <c r="N358">
        <v>35.200000000000003</v>
      </c>
    </row>
    <row r="359" spans="13:14">
      <c r="M359">
        <v>-0.25719900000000001</v>
      </c>
      <c r="N359">
        <v>35.299999999999997</v>
      </c>
    </row>
    <row r="360" spans="13:14">
      <c r="M360">
        <v>-0.25719900000000001</v>
      </c>
      <c r="N360">
        <v>35.4</v>
      </c>
    </row>
    <row r="361" spans="13:14">
      <c r="M361">
        <v>-0.25719900000000001</v>
      </c>
      <c r="N361">
        <v>35.5</v>
      </c>
    </row>
    <row r="362" spans="13:14">
      <c r="M362">
        <v>-0.24983392800000001</v>
      </c>
      <c r="N362">
        <v>35.6</v>
      </c>
    </row>
    <row r="363" spans="13:14">
      <c r="M363">
        <v>-0.24072711599999999</v>
      </c>
      <c r="N363">
        <v>35.700000000000003</v>
      </c>
    </row>
    <row r="364" spans="13:14">
      <c r="M364">
        <v>-0.23218246000000001</v>
      </c>
      <c r="N364">
        <v>35.799999999999997</v>
      </c>
    </row>
    <row r="365" spans="13:14">
      <c r="M365">
        <v>-0.23042383</v>
      </c>
      <c r="N365">
        <v>35.9</v>
      </c>
    </row>
    <row r="366" spans="13:14">
      <c r="M366">
        <v>-0.22866520000000001</v>
      </c>
      <c r="N366">
        <v>36</v>
      </c>
    </row>
    <row r="367" spans="13:14">
      <c r="M367">
        <v>-0.22512795399999999</v>
      </c>
      <c r="N367">
        <v>36.1</v>
      </c>
    </row>
    <row r="368" spans="13:14">
      <c r="M368">
        <v>-0.21820286799999999</v>
      </c>
      <c r="N368">
        <v>36.200000000000003</v>
      </c>
    </row>
    <row r="369" spans="13:14">
      <c r="M369">
        <v>-0.211277782</v>
      </c>
      <c r="N369">
        <v>36.299999999999997</v>
      </c>
    </row>
    <row r="370" spans="13:14">
      <c r="M370">
        <v>-0.208591</v>
      </c>
      <c r="N370">
        <v>36.4</v>
      </c>
    </row>
    <row r="371" spans="13:14">
      <c r="M371">
        <v>-0.208591</v>
      </c>
      <c r="N371">
        <v>36.5</v>
      </c>
    </row>
    <row r="372" spans="13:14">
      <c r="M372">
        <v>-0.208591</v>
      </c>
      <c r="N372">
        <v>36.6</v>
      </c>
    </row>
    <row r="373" spans="13:14">
      <c r="M373">
        <v>-0.20449548200000001</v>
      </c>
      <c r="N373">
        <v>36.700000000000003</v>
      </c>
    </row>
    <row r="374" spans="13:14">
      <c r="M374">
        <v>-0.19984032800000001</v>
      </c>
      <c r="N374">
        <v>36.799999999999997</v>
      </c>
    </row>
    <row r="375" spans="13:14">
      <c r="M375">
        <v>-0.19543184599999999</v>
      </c>
      <c r="N375">
        <v>36.9</v>
      </c>
    </row>
    <row r="376" spans="13:14">
      <c r="M376">
        <v>-0.19244858000000001</v>
      </c>
      <c r="N376">
        <v>37</v>
      </c>
    </row>
    <row r="377" spans="13:14">
      <c r="M377">
        <v>-0.189465314</v>
      </c>
      <c r="N377">
        <v>37.1</v>
      </c>
    </row>
    <row r="378" spans="13:14">
      <c r="M378">
        <v>-0.18739663200000001</v>
      </c>
      <c r="N378">
        <v>37.200000000000003</v>
      </c>
    </row>
    <row r="379" spans="13:14">
      <c r="M379">
        <v>-0.186615588</v>
      </c>
      <c r="N379">
        <v>37.299999999999997</v>
      </c>
    </row>
    <row r="380" spans="13:14">
      <c r="M380">
        <v>-0.18583454399999999</v>
      </c>
      <c r="N380">
        <v>37.4</v>
      </c>
    </row>
    <row r="381" spans="13:14">
      <c r="M381">
        <v>-0.185587</v>
      </c>
      <c r="N381">
        <v>37.5</v>
      </c>
    </row>
    <row r="382" spans="13:14">
      <c r="M382">
        <v>-0.185587</v>
      </c>
      <c r="N382">
        <v>37.6</v>
      </c>
    </row>
    <row r="383" spans="13:14">
      <c r="M383">
        <v>-0.185587</v>
      </c>
      <c r="N383">
        <v>37.700000000000003</v>
      </c>
    </row>
    <row r="384" spans="13:14">
      <c r="M384">
        <v>-0.185587</v>
      </c>
      <c r="N384">
        <v>37.799999999999997</v>
      </c>
    </row>
    <row r="385" spans="13:14">
      <c r="M385">
        <v>-0.185587</v>
      </c>
      <c r="N385">
        <v>37.9</v>
      </c>
    </row>
    <row r="386" spans="13:14">
      <c r="M386">
        <v>-0.18397284</v>
      </c>
      <c r="N386">
        <v>38</v>
      </c>
    </row>
    <row r="387" spans="13:14">
      <c r="M387">
        <v>-0.17658805799999999</v>
      </c>
      <c r="N387">
        <v>38.1</v>
      </c>
    </row>
    <row r="388" spans="13:14">
      <c r="M388">
        <v>-0.16920327600000001</v>
      </c>
      <c r="N388">
        <v>38.200000000000003</v>
      </c>
    </row>
    <row r="389" spans="13:14">
      <c r="M389">
        <v>-0.16541</v>
      </c>
      <c r="N389">
        <v>38.299999999999997</v>
      </c>
    </row>
    <row r="390" spans="13:14">
      <c r="M390">
        <v>-0.16541</v>
      </c>
      <c r="N390">
        <v>38.4</v>
      </c>
    </row>
    <row r="391" spans="13:14">
      <c r="M391">
        <v>-0.16541</v>
      </c>
      <c r="N391">
        <v>38.5</v>
      </c>
    </row>
    <row r="392" spans="13:14">
      <c r="M392">
        <v>-0.16541</v>
      </c>
      <c r="N392">
        <v>38.6</v>
      </c>
    </row>
    <row r="393" spans="13:14">
      <c r="M393">
        <v>-0.16541</v>
      </c>
      <c r="N393">
        <v>38.700000000000003</v>
      </c>
    </row>
    <row r="394" spans="13:14">
      <c r="M394">
        <v>-0.16541</v>
      </c>
      <c r="N394">
        <v>38.799999999999997</v>
      </c>
    </row>
    <row r="395" spans="13:14">
      <c r="M395">
        <v>-0.16541</v>
      </c>
      <c r="N395">
        <v>38.9</v>
      </c>
    </row>
    <row r="396" spans="13:14">
      <c r="M396">
        <v>-0.16541</v>
      </c>
      <c r="N396">
        <v>39</v>
      </c>
    </row>
    <row r="397" spans="13:14">
      <c r="M397">
        <v>-0.16541</v>
      </c>
      <c r="N397">
        <v>39.1</v>
      </c>
    </row>
    <row r="398" spans="13:14">
      <c r="M398">
        <v>-0.16541</v>
      </c>
      <c r="N398">
        <v>39.200000000000003</v>
      </c>
    </row>
    <row r="399" spans="13:14">
      <c r="M399">
        <v>-0.16541</v>
      </c>
      <c r="N399">
        <v>39.299999999999997</v>
      </c>
    </row>
    <row r="400" spans="13:14">
      <c r="M400">
        <v>-0.16541</v>
      </c>
      <c r="N400">
        <v>39.4</v>
      </c>
    </row>
    <row r="401" spans="13:14">
      <c r="M401">
        <v>-0.16541</v>
      </c>
      <c r="N401">
        <v>39.5</v>
      </c>
    </row>
    <row r="402" spans="13:14">
      <c r="M402">
        <v>-0.16541</v>
      </c>
      <c r="N402">
        <v>39.6</v>
      </c>
    </row>
    <row r="403" spans="13:14">
      <c r="M403">
        <v>-0.16466768400000001</v>
      </c>
      <c r="N403">
        <v>39.700000000000003</v>
      </c>
    </row>
    <row r="404" spans="13:14">
      <c r="M404">
        <v>-0.163768056</v>
      </c>
      <c r="N404">
        <v>39.799999999999997</v>
      </c>
    </row>
    <row r="405" spans="13:14">
      <c r="M405">
        <v>-0.162184892</v>
      </c>
      <c r="N405">
        <v>39.9</v>
      </c>
    </row>
    <row r="406" spans="13:14">
      <c r="M406">
        <v>-0.15392719999999999</v>
      </c>
      <c r="N406">
        <v>40</v>
      </c>
    </row>
    <row r="407" spans="13:14">
      <c r="M407">
        <v>-0.145669508</v>
      </c>
      <c r="N407">
        <v>40.1</v>
      </c>
    </row>
    <row r="408" spans="13:14">
      <c r="M408">
        <v>-0.13988378000000001</v>
      </c>
      <c r="N408">
        <v>40.200000000000003</v>
      </c>
    </row>
    <row r="409" spans="13:14">
      <c r="M409">
        <v>-0.13848017000000001</v>
      </c>
      <c r="N409">
        <v>40.299999999999997</v>
      </c>
    </row>
    <row r="410" spans="13:14">
      <c r="M410">
        <v>-0.13707655999999999</v>
      </c>
      <c r="N410">
        <v>40.4</v>
      </c>
    </row>
    <row r="411" spans="13:14">
      <c r="M411">
        <v>-0.13655500000000001</v>
      </c>
      <c r="N411">
        <v>40.5</v>
      </c>
    </row>
    <row r="412" spans="13:14">
      <c r="M412">
        <v>-0.13655500000000001</v>
      </c>
      <c r="N412">
        <v>40.6</v>
      </c>
    </row>
    <row r="413" spans="13:14">
      <c r="M413">
        <v>-0.13655500000000001</v>
      </c>
      <c r="N413">
        <v>40.700000000000003</v>
      </c>
    </row>
    <row r="414" spans="13:14">
      <c r="M414">
        <v>-0.13655500000000001</v>
      </c>
      <c r="N414">
        <v>40.799999999999997</v>
      </c>
    </row>
    <row r="415" spans="13:14">
      <c r="M415">
        <v>-0.13655500000000001</v>
      </c>
      <c r="N415">
        <v>40.9</v>
      </c>
    </row>
    <row r="416" spans="13:14">
      <c r="M416">
        <v>-0.13655500000000001</v>
      </c>
      <c r="N416">
        <v>41</v>
      </c>
    </row>
    <row r="417" spans="13:14">
      <c r="M417">
        <v>-0.13655500000000001</v>
      </c>
      <c r="N417">
        <v>41.1</v>
      </c>
    </row>
    <row r="418" spans="13:14">
      <c r="M418">
        <v>-0.13655500000000001</v>
      </c>
      <c r="N418">
        <v>41.2</v>
      </c>
    </row>
    <row r="419" spans="13:14">
      <c r="M419">
        <v>-0.13356832599999999</v>
      </c>
      <c r="N419">
        <v>41.3</v>
      </c>
    </row>
    <row r="420" spans="13:14">
      <c r="M420">
        <v>-0.12664982799999999</v>
      </c>
      <c r="N420">
        <v>41.4</v>
      </c>
    </row>
    <row r="421" spans="13:14">
      <c r="M421">
        <v>-0.11973133</v>
      </c>
      <c r="N421">
        <v>41.5</v>
      </c>
    </row>
    <row r="422" spans="13:14">
      <c r="M422">
        <v>-0.11173328</v>
      </c>
      <c r="N422">
        <v>41.6</v>
      </c>
    </row>
    <row r="423" spans="13:14">
      <c r="M423">
        <v>-0.10327136000000001</v>
      </c>
      <c r="N423">
        <v>41.7</v>
      </c>
    </row>
    <row r="424" spans="13:14">
      <c r="M424">
        <v>-9.4809439999999995E-2</v>
      </c>
      <c r="N424">
        <v>41.8</v>
      </c>
    </row>
    <row r="425" spans="13:14">
      <c r="M425">
        <v>-9.4532000000000005E-2</v>
      </c>
      <c r="N425">
        <v>41.9</v>
      </c>
    </row>
    <row r="426" spans="13:14">
      <c r="M426">
        <v>-9.4532000000000005E-2</v>
      </c>
      <c r="N426">
        <v>42</v>
      </c>
    </row>
    <row r="427" spans="13:14">
      <c r="M427">
        <v>-9.0403312000000804E-2</v>
      </c>
      <c r="N427">
        <v>42.1</v>
      </c>
    </row>
    <row r="428" spans="13:14">
      <c r="M428">
        <v>-7.2832384000000097E-2</v>
      </c>
      <c r="N428">
        <v>42.2</v>
      </c>
    </row>
    <row r="429" spans="13:14">
      <c r="M429">
        <v>-5.5261456000000798E-2</v>
      </c>
      <c r="N429">
        <v>42.3</v>
      </c>
    </row>
    <row r="430" spans="13:14">
      <c r="M430">
        <v>-4.6524000000000003E-2</v>
      </c>
      <c r="N430">
        <v>42.4</v>
      </c>
    </row>
    <row r="431" spans="13:14">
      <c r="M431">
        <v>-4.6524000000000003E-2</v>
      </c>
      <c r="N431">
        <v>42.5</v>
      </c>
    </row>
    <row r="432" spans="13:14">
      <c r="M432">
        <v>-4.6524000000000003E-2</v>
      </c>
      <c r="N432">
        <v>42.6</v>
      </c>
    </row>
    <row r="433" spans="13:14">
      <c r="M433">
        <v>-4.50279899999999E-2</v>
      </c>
      <c r="N433">
        <v>42.7</v>
      </c>
    </row>
    <row r="434" spans="13:14">
      <c r="M434">
        <v>-4.3086359999999997E-2</v>
      </c>
      <c r="N434">
        <v>42.8</v>
      </c>
    </row>
    <row r="435" spans="13:14">
      <c r="M435">
        <v>-4.0942303999999798E-2</v>
      </c>
      <c r="N435">
        <v>42.9</v>
      </c>
    </row>
    <row r="436" spans="13:14">
      <c r="M436">
        <v>-3.3708680000000102E-2</v>
      </c>
      <c r="N436">
        <v>43</v>
      </c>
    </row>
    <row r="437" spans="13:14">
      <c r="M437">
        <v>-2.6475055999999799E-2</v>
      </c>
      <c r="N437">
        <v>43.1</v>
      </c>
    </row>
    <row r="438" spans="13:14">
      <c r="M438">
        <v>-2.1454999999999998E-2</v>
      </c>
      <c r="N438">
        <v>43.2</v>
      </c>
    </row>
    <row r="439" spans="13:14">
      <c r="M439">
        <v>-2.1454999999999998E-2</v>
      </c>
      <c r="N439">
        <v>43.3</v>
      </c>
    </row>
    <row r="440" spans="13:14">
      <c r="M440">
        <v>-2.1454999999999998E-2</v>
      </c>
      <c r="N440">
        <v>43.4</v>
      </c>
    </row>
    <row r="441" spans="13:14">
      <c r="M441">
        <v>-2.1454999999999998E-2</v>
      </c>
      <c r="N441">
        <v>43.5</v>
      </c>
    </row>
    <row r="442" spans="13:14">
      <c r="M442">
        <v>-2.1454999999999998E-2</v>
      </c>
      <c r="N442">
        <v>43.6</v>
      </c>
    </row>
    <row r="443" spans="13:14">
      <c r="M443">
        <v>-2.1454999999999998E-2</v>
      </c>
      <c r="N443">
        <v>43.7</v>
      </c>
    </row>
    <row r="444" spans="13:14">
      <c r="M444">
        <v>-2.1454999999999998E-2</v>
      </c>
      <c r="N444">
        <v>43.8</v>
      </c>
    </row>
    <row r="445" spans="13:14">
      <c r="M445">
        <v>-2.1454999999999998E-2</v>
      </c>
      <c r="N445">
        <v>43.9</v>
      </c>
    </row>
    <row r="446" spans="13:14">
      <c r="M446">
        <v>-2.1454999999999998E-2</v>
      </c>
      <c r="N446">
        <v>44</v>
      </c>
    </row>
    <row r="447" spans="13:14">
      <c r="M447">
        <v>-2.1454999999999998E-2</v>
      </c>
      <c r="N447">
        <v>44.1</v>
      </c>
    </row>
    <row r="448" spans="13:14">
      <c r="M448">
        <v>-2.1454999999999998E-2</v>
      </c>
      <c r="N448">
        <v>44.2</v>
      </c>
    </row>
    <row r="449" spans="13:14">
      <c r="M449">
        <v>-1.7896531999999899E-2</v>
      </c>
      <c r="N449">
        <v>44.3</v>
      </c>
    </row>
    <row r="450" spans="13:14">
      <c r="M450">
        <v>-8.4588560000002401E-3</v>
      </c>
      <c r="N450">
        <v>44.4</v>
      </c>
    </row>
    <row r="451" spans="13:14">
      <c r="M451">
        <v>9.7882000000011691E-4</v>
      </c>
      <c r="N451">
        <v>44.5</v>
      </c>
    </row>
    <row r="452" spans="13:14">
      <c r="M452">
        <v>5.5242159999999499E-3</v>
      </c>
      <c r="N452">
        <v>44.6</v>
      </c>
    </row>
    <row r="453" spans="13:14">
      <c r="M453">
        <v>7.3747120000000202E-3</v>
      </c>
      <c r="N453">
        <v>44.7</v>
      </c>
    </row>
    <row r="454" spans="13:14">
      <c r="M454">
        <v>9.2252079999999501E-3</v>
      </c>
      <c r="N454">
        <v>44.8</v>
      </c>
    </row>
    <row r="455" spans="13:14">
      <c r="M455">
        <v>1.65172320000001E-2</v>
      </c>
      <c r="N455">
        <v>44.9</v>
      </c>
    </row>
    <row r="456" spans="13:14">
      <c r="M456">
        <v>2.43306000000004E-2</v>
      </c>
      <c r="N456">
        <v>45</v>
      </c>
    </row>
    <row r="457" spans="13:14">
      <c r="M457">
        <v>3.0734999999999998E-2</v>
      </c>
      <c r="N457">
        <v>45.1</v>
      </c>
    </row>
    <row r="458" spans="13:14">
      <c r="M458">
        <v>3.0734999999999998E-2</v>
      </c>
      <c r="N458">
        <v>45.2</v>
      </c>
    </row>
    <row r="459" spans="13:14">
      <c r="M459">
        <v>3.0734999999999998E-2</v>
      </c>
      <c r="N459">
        <v>45.3</v>
      </c>
    </row>
    <row r="460" spans="13:14">
      <c r="M460">
        <v>3.0734999999999998E-2</v>
      </c>
      <c r="N460">
        <v>45.4</v>
      </c>
    </row>
    <row r="461" spans="13:14">
      <c r="M461">
        <v>3.0734999999999998E-2</v>
      </c>
      <c r="N461">
        <v>45.5</v>
      </c>
    </row>
    <row r="462" spans="13:14">
      <c r="M462">
        <v>3.0734999999999998E-2</v>
      </c>
      <c r="N462">
        <v>45.6</v>
      </c>
    </row>
    <row r="463" spans="13:14">
      <c r="M463">
        <v>3.7762101999999999E-2</v>
      </c>
      <c r="N463">
        <v>45.7</v>
      </c>
    </row>
    <row r="464" spans="13:14">
      <c r="M464">
        <v>4.7578588000000401E-2</v>
      </c>
      <c r="N464">
        <v>45.8</v>
      </c>
    </row>
    <row r="465" spans="13:14">
      <c r="M465">
        <v>5.7395073999999997E-2</v>
      </c>
      <c r="N465">
        <v>45.9</v>
      </c>
    </row>
    <row r="466" spans="13:14">
      <c r="M466">
        <v>5.7556000000000003E-2</v>
      </c>
      <c r="N466">
        <v>46</v>
      </c>
    </row>
    <row r="467" spans="13:14">
      <c r="M467">
        <v>5.7556000000000003E-2</v>
      </c>
      <c r="N467">
        <v>46.1</v>
      </c>
    </row>
    <row r="468" spans="13:14">
      <c r="M468">
        <v>5.7556000000000003E-2</v>
      </c>
      <c r="N468">
        <v>46.2</v>
      </c>
    </row>
    <row r="469" spans="13:14">
      <c r="M469">
        <v>5.7556000000000003E-2</v>
      </c>
      <c r="N469">
        <v>46.3</v>
      </c>
    </row>
    <row r="470" spans="13:14">
      <c r="M470">
        <v>5.7556000000000003E-2</v>
      </c>
      <c r="N470">
        <v>46.4</v>
      </c>
    </row>
    <row r="471" spans="13:14">
      <c r="M471">
        <v>6.2672129999999895E-2</v>
      </c>
      <c r="N471">
        <v>46.5</v>
      </c>
    </row>
    <row r="472" spans="13:14">
      <c r="M472">
        <v>7.2527412000000305E-2</v>
      </c>
      <c r="N472">
        <v>46.6</v>
      </c>
    </row>
    <row r="473" spans="13:14">
      <c r="M473">
        <v>8.2382693999999895E-2</v>
      </c>
      <c r="N473">
        <v>46.7</v>
      </c>
    </row>
    <row r="474" spans="13:14">
      <c r="M474">
        <v>8.4483000000000003E-2</v>
      </c>
      <c r="N474">
        <v>46.8</v>
      </c>
    </row>
    <row r="475" spans="13:14">
      <c r="M475">
        <v>8.4483000000000003E-2</v>
      </c>
      <c r="N475">
        <v>46.9</v>
      </c>
    </row>
    <row r="476" spans="13:14">
      <c r="M476">
        <v>8.4483000000000003E-2</v>
      </c>
      <c r="N476">
        <v>47</v>
      </c>
    </row>
    <row r="477" spans="13:14">
      <c r="M477">
        <v>8.4483000000000003E-2</v>
      </c>
      <c r="N477">
        <v>47.1</v>
      </c>
    </row>
    <row r="478" spans="13:14">
      <c r="M478">
        <v>8.4483000000000003E-2</v>
      </c>
      <c r="N478">
        <v>47.2</v>
      </c>
    </row>
    <row r="479" spans="13:14">
      <c r="M479">
        <v>9.0672218000001206E-2</v>
      </c>
      <c r="N479">
        <v>47.3</v>
      </c>
    </row>
    <row r="480" spans="13:14">
      <c r="M480">
        <v>0.109869284</v>
      </c>
      <c r="N480">
        <v>47.4</v>
      </c>
    </row>
    <row r="481" spans="13:14">
      <c r="M481">
        <v>0.129066350000001</v>
      </c>
      <c r="N481">
        <v>47.5</v>
      </c>
    </row>
    <row r="482" spans="13:14">
      <c r="M482">
        <v>0.136934</v>
      </c>
      <c r="N482">
        <v>47.6</v>
      </c>
    </row>
    <row r="483" spans="13:14">
      <c r="M483">
        <v>0.136934</v>
      </c>
      <c r="N483">
        <v>47.7</v>
      </c>
    </row>
    <row r="484" spans="13:14">
      <c r="M484">
        <v>0.136934</v>
      </c>
      <c r="N484">
        <v>47.8</v>
      </c>
    </row>
    <row r="485" spans="13:14">
      <c r="M485">
        <v>0.144633594000001</v>
      </c>
      <c r="N485">
        <v>47.9</v>
      </c>
    </row>
    <row r="486" spans="13:14">
      <c r="M486">
        <v>0.15360828000000001</v>
      </c>
      <c r="N486">
        <v>48</v>
      </c>
    </row>
    <row r="487" spans="13:14">
      <c r="M487">
        <v>0.16145499999999999</v>
      </c>
      <c r="N487">
        <v>48.1</v>
      </c>
    </row>
    <row r="488" spans="13:14">
      <c r="M488">
        <v>0.16145499999999999</v>
      </c>
      <c r="N488">
        <v>48.2</v>
      </c>
    </row>
    <row r="489" spans="13:14">
      <c r="M489">
        <v>0.16145499999999999</v>
      </c>
      <c r="N489">
        <v>48.3</v>
      </c>
    </row>
    <row r="490" spans="13:14">
      <c r="M490">
        <v>0.16145499999999999</v>
      </c>
      <c r="N490">
        <v>48.4</v>
      </c>
    </row>
    <row r="491" spans="13:14">
      <c r="M491">
        <v>0.16145499999999999</v>
      </c>
      <c r="N491">
        <v>48.5</v>
      </c>
    </row>
    <row r="492" spans="13:14">
      <c r="M492">
        <v>0.16145499999999999</v>
      </c>
      <c r="N492">
        <v>48.6</v>
      </c>
    </row>
    <row r="493" spans="13:14">
      <c r="M493">
        <v>0.16145499999999999</v>
      </c>
      <c r="N493">
        <v>48.7</v>
      </c>
    </row>
    <row r="494" spans="13:14">
      <c r="M494">
        <v>0.16145499999999999</v>
      </c>
      <c r="N494">
        <v>48.8</v>
      </c>
    </row>
    <row r="495" spans="13:14">
      <c r="M495">
        <v>0.16145499999999999</v>
      </c>
      <c r="N495">
        <v>48.9</v>
      </c>
    </row>
    <row r="496" spans="13:14">
      <c r="M496">
        <v>0.16145499999999999</v>
      </c>
      <c r="N496">
        <v>49</v>
      </c>
    </row>
    <row r="497" spans="13:14">
      <c r="M497">
        <v>0.16145499999999999</v>
      </c>
      <c r="N497">
        <v>49.1</v>
      </c>
    </row>
    <row r="498" spans="13:14">
      <c r="M498">
        <v>0.16145499999999999</v>
      </c>
      <c r="N498">
        <v>49.2</v>
      </c>
    </row>
    <row r="499" spans="13:14">
      <c r="M499">
        <v>0.16145499999999999</v>
      </c>
      <c r="N499">
        <v>49.3</v>
      </c>
    </row>
    <row r="500" spans="13:14">
      <c r="M500">
        <v>0.16145499999999999</v>
      </c>
      <c r="N500">
        <v>49.4</v>
      </c>
    </row>
    <row r="501" spans="13:14">
      <c r="M501">
        <v>0.16145499999999999</v>
      </c>
      <c r="N501">
        <v>49.5</v>
      </c>
    </row>
    <row r="502" spans="13:14">
      <c r="M502">
        <v>0.16145499999999999</v>
      </c>
      <c r="N502">
        <v>49.6</v>
      </c>
    </row>
    <row r="503" spans="13:14">
      <c r="M503">
        <v>0.16145499999999999</v>
      </c>
      <c r="N503">
        <v>49.7</v>
      </c>
    </row>
    <row r="504" spans="13:14">
      <c r="M504">
        <v>0.16145499999999999</v>
      </c>
      <c r="N504">
        <v>49.8</v>
      </c>
    </row>
    <row r="505" spans="13:14">
      <c r="M505">
        <v>0.16145499999999999</v>
      </c>
      <c r="N505">
        <v>49.9</v>
      </c>
    </row>
    <row r="506" spans="13:14">
      <c r="M506">
        <v>0.16145499999999999</v>
      </c>
      <c r="N506">
        <v>50</v>
      </c>
    </row>
    <row r="507" spans="13:14">
      <c r="M507">
        <v>0.16924567600000001</v>
      </c>
      <c r="N507">
        <v>50.1</v>
      </c>
    </row>
    <row r="508" spans="13:14">
      <c r="M508">
        <v>0.17703635200000001</v>
      </c>
      <c r="N508">
        <v>50.2</v>
      </c>
    </row>
    <row r="509" spans="13:14">
      <c r="M509">
        <v>0.182881238</v>
      </c>
      <c r="N509">
        <v>50.3</v>
      </c>
    </row>
    <row r="510" spans="13:14">
      <c r="M510">
        <v>0.18340498399999999</v>
      </c>
      <c r="N510">
        <v>50.4</v>
      </c>
    </row>
    <row r="511" spans="13:14">
      <c r="M511">
        <v>0.18392873000000001</v>
      </c>
      <c r="N511">
        <v>50.5</v>
      </c>
    </row>
    <row r="512" spans="13:14">
      <c r="M512">
        <v>0.184172</v>
      </c>
      <c r="N512">
        <v>50.6</v>
      </c>
    </row>
    <row r="513" spans="13:14">
      <c r="M513">
        <v>0.184172</v>
      </c>
      <c r="N513">
        <v>50.7</v>
      </c>
    </row>
    <row r="514" spans="13:14">
      <c r="M514">
        <v>0.184172</v>
      </c>
      <c r="N514">
        <v>50.8</v>
      </c>
    </row>
    <row r="515" spans="13:14">
      <c r="M515">
        <v>0.184172</v>
      </c>
      <c r="N515">
        <v>50.9</v>
      </c>
    </row>
    <row r="516" spans="13:14">
      <c r="M516">
        <v>0.184172</v>
      </c>
      <c r="N516">
        <v>51</v>
      </c>
    </row>
    <row r="517" spans="13:14">
      <c r="M517">
        <v>0.184172</v>
      </c>
      <c r="N517">
        <v>51.1</v>
      </c>
    </row>
    <row r="518" spans="13:14">
      <c r="M518">
        <v>0.184172</v>
      </c>
      <c r="N518">
        <v>51.2</v>
      </c>
    </row>
    <row r="519" spans="13:14">
      <c r="M519">
        <v>0.184172</v>
      </c>
      <c r="N519">
        <v>51.3</v>
      </c>
    </row>
    <row r="520" spans="13:14">
      <c r="M520">
        <v>0.184172</v>
      </c>
      <c r="N520">
        <v>51.4</v>
      </c>
    </row>
    <row r="521" spans="13:14">
      <c r="M521">
        <v>0.184172</v>
      </c>
      <c r="N521">
        <v>51.5</v>
      </c>
    </row>
    <row r="522" spans="13:14">
      <c r="M522">
        <v>0.184172</v>
      </c>
      <c r="N522">
        <v>51.6</v>
      </c>
    </row>
    <row r="523" spans="13:14">
      <c r="M523">
        <v>0.184172</v>
      </c>
      <c r="N523">
        <v>51.7</v>
      </c>
    </row>
    <row r="524" spans="13:14">
      <c r="M524">
        <v>0.184172</v>
      </c>
      <c r="N524">
        <v>51.8</v>
      </c>
    </row>
    <row r="525" spans="13:14">
      <c r="M525">
        <v>0.184172</v>
      </c>
      <c r="N525">
        <v>51.9</v>
      </c>
    </row>
    <row r="526" spans="13:14">
      <c r="M526">
        <v>0.19073296000000001</v>
      </c>
      <c r="N526">
        <v>52</v>
      </c>
    </row>
    <row r="527" spans="13:14">
      <c r="M527">
        <v>0.19823705799999999</v>
      </c>
      <c r="N527">
        <v>52.1</v>
      </c>
    </row>
    <row r="528" spans="13:14">
      <c r="M528">
        <v>0.204675</v>
      </c>
      <c r="N528">
        <v>52.2</v>
      </c>
    </row>
    <row r="529" spans="13:14">
      <c r="M529">
        <v>0.204675</v>
      </c>
      <c r="N529">
        <v>52.3</v>
      </c>
    </row>
    <row r="530" spans="13:14">
      <c r="M530">
        <v>0.204675</v>
      </c>
      <c r="N530">
        <v>52.4</v>
      </c>
    </row>
    <row r="531" spans="13:14">
      <c r="M531">
        <v>0.204675</v>
      </c>
      <c r="N531">
        <v>52.5</v>
      </c>
    </row>
    <row r="532" spans="13:14">
      <c r="M532">
        <v>0.204675</v>
      </c>
      <c r="N532">
        <v>52.6</v>
      </c>
    </row>
    <row r="533" spans="13:14">
      <c r="M533">
        <v>0.204675</v>
      </c>
      <c r="N533">
        <v>52.7</v>
      </c>
    </row>
    <row r="534" spans="13:14">
      <c r="M534">
        <v>0.20487265599999999</v>
      </c>
      <c r="N534">
        <v>52.8</v>
      </c>
    </row>
    <row r="535" spans="13:14">
      <c r="M535">
        <v>0.20516435799999999</v>
      </c>
      <c r="N535">
        <v>52.9</v>
      </c>
    </row>
    <row r="536" spans="13:14">
      <c r="M536">
        <v>0.20545606</v>
      </c>
      <c r="N536">
        <v>53</v>
      </c>
    </row>
    <row r="537" spans="13:14">
      <c r="M537">
        <v>0.21142493000000001</v>
      </c>
      <c r="N537">
        <v>53.1</v>
      </c>
    </row>
    <row r="538" spans="13:14">
      <c r="M538">
        <v>0.21772195999999999</v>
      </c>
      <c r="N538">
        <v>53.2</v>
      </c>
    </row>
    <row r="539" spans="13:14">
      <c r="M539">
        <v>0.22267700000000001</v>
      </c>
      <c r="N539">
        <v>53.3</v>
      </c>
    </row>
    <row r="540" spans="13:14">
      <c r="M540">
        <v>0.22267700000000001</v>
      </c>
      <c r="N540">
        <v>53.4</v>
      </c>
    </row>
    <row r="541" spans="13:14">
      <c r="M541">
        <v>0.22267700000000001</v>
      </c>
      <c r="N541">
        <v>53.5</v>
      </c>
    </row>
    <row r="542" spans="13:14">
      <c r="M542">
        <v>0.223787032</v>
      </c>
      <c r="N542">
        <v>53.6</v>
      </c>
    </row>
    <row r="543" spans="13:14">
      <c r="M543">
        <v>0.22609539400000001</v>
      </c>
      <c r="N543">
        <v>53.7</v>
      </c>
    </row>
    <row r="544" spans="13:14">
      <c r="M544">
        <v>0.22840375600000001</v>
      </c>
      <c r="N544">
        <v>53.8</v>
      </c>
    </row>
    <row r="545" spans="13:14">
      <c r="M545">
        <v>0.22898399999999999</v>
      </c>
      <c r="N545">
        <v>53.9</v>
      </c>
    </row>
    <row r="546" spans="13:14">
      <c r="M546">
        <v>0.22898399999999999</v>
      </c>
      <c r="N546">
        <v>54</v>
      </c>
    </row>
    <row r="547" spans="13:14">
      <c r="M547">
        <v>0.22898399999999999</v>
      </c>
      <c r="N547">
        <v>54.1</v>
      </c>
    </row>
    <row r="548" spans="13:14">
      <c r="M548">
        <v>0.22898399999999999</v>
      </c>
      <c r="N548">
        <v>54.2</v>
      </c>
    </row>
    <row r="549" spans="13:14">
      <c r="M549">
        <v>0.22898399999999999</v>
      </c>
      <c r="N549">
        <v>54.3</v>
      </c>
    </row>
    <row r="550" spans="13:14">
      <c r="M550">
        <v>0.22898399999999999</v>
      </c>
      <c r="N550">
        <v>54.4</v>
      </c>
    </row>
    <row r="551" spans="13:14">
      <c r="M551">
        <v>0.22898399999999999</v>
      </c>
      <c r="N551">
        <v>54.5</v>
      </c>
    </row>
    <row r="552" spans="13:14">
      <c r="M552">
        <v>0.22898399999999999</v>
      </c>
      <c r="N552">
        <v>54.6</v>
      </c>
    </row>
    <row r="553" spans="13:14">
      <c r="M553">
        <v>0.23081331199999999</v>
      </c>
      <c r="N553">
        <v>54.7</v>
      </c>
    </row>
    <row r="554" spans="13:14">
      <c r="M554">
        <v>0.23412780799999999</v>
      </c>
      <c r="N554">
        <v>54.8</v>
      </c>
    </row>
    <row r="555" spans="13:14">
      <c r="M555">
        <v>0.23744230399999999</v>
      </c>
      <c r="N555">
        <v>54.9</v>
      </c>
    </row>
    <row r="556" spans="13:14">
      <c r="M556">
        <v>0.23804</v>
      </c>
      <c r="N556">
        <v>55</v>
      </c>
    </row>
    <row r="557" spans="13:14">
      <c r="M557">
        <v>0.23804</v>
      </c>
      <c r="N557">
        <v>55.1</v>
      </c>
    </row>
    <row r="558" spans="13:14">
      <c r="M558">
        <v>0.23804</v>
      </c>
      <c r="N558">
        <v>55.2</v>
      </c>
    </row>
    <row r="559" spans="13:14">
      <c r="M559">
        <v>0.23804</v>
      </c>
      <c r="N559">
        <v>55.3</v>
      </c>
    </row>
    <row r="560" spans="13:14">
      <c r="M560">
        <v>0.23804</v>
      </c>
      <c r="N560">
        <v>55.4</v>
      </c>
    </row>
    <row r="561" spans="13:14">
      <c r="M561">
        <v>0.23804</v>
      </c>
      <c r="N561">
        <v>55.5</v>
      </c>
    </row>
    <row r="562" spans="13:14">
      <c r="M562">
        <v>0.23804</v>
      </c>
      <c r="N562">
        <v>55.6</v>
      </c>
    </row>
    <row r="563" spans="13:14">
      <c r="M563">
        <v>0.23804</v>
      </c>
      <c r="N563">
        <v>55.7</v>
      </c>
    </row>
    <row r="564" spans="13:14">
      <c r="M564">
        <v>0.24094312400000001</v>
      </c>
      <c r="N564">
        <v>55.8</v>
      </c>
    </row>
    <row r="565" spans="13:14">
      <c r="M565">
        <v>0.245603402</v>
      </c>
      <c r="N565">
        <v>55.9</v>
      </c>
    </row>
    <row r="566" spans="13:14">
      <c r="M566">
        <v>0.25026367999999999</v>
      </c>
      <c r="N566">
        <v>56</v>
      </c>
    </row>
    <row r="567" spans="13:14">
      <c r="M567">
        <v>0.25077300000000002</v>
      </c>
      <c r="N567">
        <v>56.1</v>
      </c>
    </row>
    <row r="568" spans="13:14">
      <c r="M568">
        <v>0.25077300000000002</v>
      </c>
      <c r="N568">
        <v>56.2</v>
      </c>
    </row>
    <row r="569" spans="13:14">
      <c r="M569">
        <v>0.25077300000000002</v>
      </c>
      <c r="N569">
        <v>56.3</v>
      </c>
    </row>
    <row r="570" spans="13:14">
      <c r="M570">
        <v>0.25077300000000002</v>
      </c>
      <c r="N570">
        <v>56.4</v>
      </c>
    </row>
    <row r="571" spans="13:14">
      <c r="M571">
        <v>0.25077300000000002</v>
      </c>
      <c r="N571">
        <v>56.5</v>
      </c>
    </row>
    <row r="572" spans="13:14">
      <c r="M572">
        <v>0.253607676000001</v>
      </c>
      <c r="N572">
        <v>56.6</v>
      </c>
    </row>
    <row r="573" spans="13:14">
      <c r="M573">
        <v>0.26025826200000002</v>
      </c>
      <c r="N573">
        <v>56.7</v>
      </c>
    </row>
    <row r="574" spans="13:14">
      <c r="M574">
        <v>0.26690884800000098</v>
      </c>
      <c r="N574">
        <v>56.8</v>
      </c>
    </row>
    <row r="575" spans="13:14">
      <c r="M575">
        <v>0.26894400000000002</v>
      </c>
      <c r="N575">
        <v>56.9</v>
      </c>
    </row>
    <row r="576" spans="13:14">
      <c r="M576">
        <v>0.26894400000000002</v>
      </c>
      <c r="N576">
        <v>57</v>
      </c>
    </row>
    <row r="577" spans="13:14">
      <c r="M577">
        <v>0.26894400000000002</v>
      </c>
      <c r="N577">
        <v>57.1</v>
      </c>
    </row>
    <row r="578" spans="13:14">
      <c r="M578">
        <v>0.27102608</v>
      </c>
      <c r="N578">
        <v>57.2</v>
      </c>
    </row>
    <row r="579" spans="13:14">
      <c r="M579">
        <v>0.27319096999999998</v>
      </c>
      <c r="N579">
        <v>57.3</v>
      </c>
    </row>
    <row r="580" spans="13:14">
      <c r="M580">
        <v>0.27520045999999998</v>
      </c>
      <c r="N580">
        <v>57.4</v>
      </c>
    </row>
    <row r="581" spans="13:14">
      <c r="M581">
        <v>0.27668825000000002</v>
      </c>
      <c r="N581">
        <v>57.5</v>
      </c>
    </row>
    <row r="582" spans="13:14">
      <c r="M582">
        <v>0.27817604000000001</v>
      </c>
      <c r="N582">
        <v>57.6</v>
      </c>
    </row>
    <row r="583" spans="13:14">
      <c r="M583">
        <v>0.27892400000000001</v>
      </c>
      <c r="N583">
        <v>57.7</v>
      </c>
    </row>
    <row r="584" spans="13:14">
      <c r="M584">
        <v>0.27892400000000001</v>
      </c>
      <c r="N584">
        <v>57.8</v>
      </c>
    </row>
    <row r="585" spans="13:14">
      <c r="M585">
        <v>0.27892400000000001</v>
      </c>
      <c r="N585">
        <v>57.9</v>
      </c>
    </row>
    <row r="586" spans="13:14">
      <c r="M586">
        <v>0.27993087999999999</v>
      </c>
      <c r="N586">
        <v>58</v>
      </c>
    </row>
    <row r="587" spans="13:14">
      <c r="M587">
        <v>0.28124701600000002</v>
      </c>
      <c r="N587">
        <v>58.1</v>
      </c>
    </row>
    <row r="588" spans="13:14">
      <c r="M588">
        <v>0.28251999999999999</v>
      </c>
      <c r="N588">
        <v>58.2</v>
      </c>
    </row>
    <row r="589" spans="13:14">
      <c r="M589">
        <v>0.28251999999999999</v>
      </c>
      <c r="N589">
        <v>58.3</v>
      </c>
    </row>
    <row r="590" spans="13:14">
      <c r="M590">
        <v>0.28251999999999999</v>
      </c>
      <c r="N590">
        <v>58.4</v>
      </c>
    </row>
    <row r="591" spans="13:14">
      <c r="M591">
        <v>0.28505450999999998</v>
      </c>
      <c r="N591">
        <v>58.5</v>
      </c>
    </row>
    <row r="592" spans="13:14">
      <c r="M592">
        <v>0.293487516</v>
      </c>
      <c r="N592">
        <v>58.6</v>
      </c>
    </row>
    <row r="593" spans="13:14">
      <c r="M593">
        <v>0.30192052200000002</v>
      </c>
      <c r="N593">
        <v>58.7</v>
      </c>
    </row>
    <row r="594" spans="13:14">
      <c r="M594">
        <v>0.30556100000000003</v>
      </c>
      <c r="N594">
        <v>58.8</v>
      </c>
    </row>
    <row r="595" spans="13:14">
      <c r="M595">
        <v>0.30556100000000003</v>
      </c>
      <c r="N595">
        <v>58.9</v>
      </c>
    </row>
    <row r="596" spans="13:14">
      <c r="M596">
        <v>0.30556100000000003</v>
      </c>
      <c r="N596">
        <v>59</v>
      </c>
    </row>
    <row r="597" spans="13:14">
      <c r="M597">
        <v>0.31407575599999998</v>
      </c>
      <c r="N597">
        <v>59.1</v>
      </c>
    </row>
    <row r="598" spans="13:14">
      <c r="M598">
        <v>0.32426007200000001</v>
      </c>
      <c r="N598">
        <v>59.2</v>
      </c>
    </row>
    <row r="599" spans="13:14">
      <c r="M599">
        <v>0.33448945600000002</v>
      </c>
      <c r="N599">
        <v>59.3</v>
      </c>
    </row>
    <row r="600" spans="13:14">
      <c r="M600">
        <v>0.34510784799999999</v>
      </c>
      <c r="N600">
        <v>59.4</v>
      </c>
    </row>
    <row r="601" spans="13:14">
      <c r="M601">
        <v>0.35572623999999903</v>
      </c>
      <c r="N601">
        <v>59.5</v>
      </c>
    </row>
    <row r="602" spans="13:14">
      <c r="M602">
        <v>0.36239900000000003</v>
      </c>
      <c r="N602">
        <v>59.6</v>
      </c>
    </row>
    <row r="603" spans="13:14">
      <c r="M603">
        <v>0.36239900000000003</v>
      </c>
      <c r="N603">
        <v>59.7</v>
      </c>
    </row>
    <row r="604" spans="13:14">
      <c r="M604">
        <v>0.36239900000000003</v>
      </c>
      <c r="N604">
        <v>59.8</v>
      </c>
    </row>
    <row r="605" spans="13:14">
      <c r="M605">
        <v>0.36239900000000003</v>
      </c>
      <c r="N605">
        <v>59.9</v>
      </c>
    </row>
    <row r="606" spans="13:14">
      <c r="M606">
        <v>0.36239900000000003</v>
      </c>
      <c r="N606">
        <v>60</v>
      </c>
    </row>
    <row r="607" spans="13:14">
      <c r="M607">
        <v>0.36239900000000003</v>
      </c>
      <c r="N607">
        <v>60.1</v>
      </c>
    </row>
    <row r="608" spans="13:14">
      <c r="M608">
        <v>0.37240116400000001</v>
      </c>
      <c r="N608">
        <v>60.2</v>
      </c>
    </row>
    <row r="609" spans="13:14">
      <c r="M609">
        <v>0.38342764599999901</v>
      </c>
      <c r="N609">
        <v>60.3</v>
      </c>
    </row>
    <row r="610" spans="13:14">
      <c r="M610">
        <v>0.39252599999999999</v>
      </c>
      <c r="N610">
        <v>60.4</v>
      </c>
    </row>
    <row r="611" spans="13:14">
      <c r="M611">
        <v>0.39252599999999999</v>
      </c>
      <c r="N611">
        <v>60.5</v>
      </c>
    </row>
    <row r="612" spans="13:14">
      <c r="M612">
        <v>0.39252599999999999</v>
      </c>
      <c r="N612">
        <v>60.6</v>
      </c>
    </row>
    <row r="613" spans="13:14">
      <c r="M613">
        <v>0.39252599999999999</v>
      </c>
      <c r="N613">
        <v>60.7</v>
      </c>
    </row>
    <row r="614" spans="13:14">
      <c r="M614">
        <v>0.39252599999999999</v>
      </c>
      <c r="N614">
        <v>60.8</v>
      </c>
    </row>
    <row r="615" spans="13:14">
      <c r="M615">
        <v>0.39252599999999999</v>
      </c>
      <c r="N615">
        <v>60.9</v>
      </c>
    </row>
    <row r="616" spans="13:14">
      <c r="M616">
        <v>0.39252599999999999</v>
      </c>
      <c r="N616">
        <v>61</v>
      </c>
    </row>
    <row r="617" spans="13:14">
      <c r="M617">
        <v>0.39252599999999999</v>
      </c>
      <c r="N617">
        <v>61.1</v>
      </c>
    </row>
    <row r="618" spans="13:14">
      <c r="M618">
        <v>0.39252599999999999</v>
      </c>
      <c r="N618">
        <v>61.2</v>
      </c>
    </row>
    <row r="619" spans="13:14">
      <c r="M619">
        <v>0.403651924</v>
      </c>
      <c r="N619">
        <v>61.3</v>
      </c>
    </row>
    <row r="620" spans="13:14">
      <c r="M620">
        <v>0.41502647199999998</v>
      </c>
      <c r="N620">
        <v>61.4</v>
      </c>
    </row>
    <row r="621" spans="13:14">
      <c r="M621">
        <v>0.42360399999999998</v>
      </c>
      <c r="N621">
        <v>61.5</v>
      </c>
    </row>
    <row r="622" spans="13:14">
      <c r="M622">
        <v>0.42360399999999998</v>
      </c>
      <c r="N622">
        <v>61.6</v>
      </c>
    </row>
    <row r="623" spans="13:14">
      <c r="M623">
        <v>0.42360399999999998</v>
      </c>
      <c r="N623">
        <v>61.7</v>
      </c>
    </row>
    <row r="624" spans="13:14">
      <c r="M624">
        <v>0.42360399999999998</v>
      </c>
      <c r="N624">
        <v>61.8</v>
      </c>
    </row>
    <row r="625" spans="13:14">
      <c r="M625">
        <v>0.42360399999999998</v>
      </c>
      <c r="N625">
        <v>61.9</v>
      </c>
    </row>
    <row r="626" spans="13:14">
      <c r="M626">
        <v>0.42360399999999998</v>
      </c>
      <c r="N626">
        <v>62</v>
      </c>
    </row>
    <row r="627" spans="13:14">
      <c r="M627">
        <v>0.42360399999999998</v>
      </c>
      <c r="N627">
        <v>62.1</v>
      </c>
    </row>
    <row r="628" spans="13:14">
      <c r="M628">
        <v>0.42360399999999998</v>
      </c>
      <c r="N628">
        <v>62.2</v>
      </c>
    </row>
    <row r="629" spans="13:14">
      <c r="M629">
        <v>0.42417566200000001</v>
      </c>
      <c r="N629">
        <v>62.3</v>
      </c>
    </row>
    <row r="630" spans="13:14">
      <c r="M630">
        <v>0.43579945599999997</v>
      </c>
      <c r="N630">
        <v>62.4</v>
      </c>
    </row>
    <row r="631" spans="13:14">
      <c r="M631">
        <v>0.44742324999999999</v>
      </c>
      <c r="N631">
        <v>62.5</v>
      </c>
    </row>
    <row r="632" spans="13:14">
      <c r="M632">
        <v>0.45536300000000002</v>
      </c>
      <c r="N632">
        <v>62.6</v>
      </c>
    </row>
    <row r="633" spans="13:14">
      <c r="M633">
        <v>0.45536300000000002</v>
      </c>
      <c r="N633">
        <v>62.7</v>
      </c>
    </row>
    <row r="634" spans="13:14">
      <c r="M634">
        <v>0.45536300000000002</v>
      </c>
      <c r="N634">
        <v>62.8</v>
      </c>
    </row>
    <row r="635" spans="13:14">
      <c r="M635">
        <v>0.45536300000000002</v>
      </c>
      <c r="N635">
        <v>62.9</v>
      </c>
    </row>
    <row r="636" spans="13:14">
      <c r="M636">
        <v>0.45536300000000002</v>
      </c>
      <c r="N636">
        <v>63</v>
      </c>
    </row>
    <row r="637" spans="13:14">
      <c r="M637">
        <v>0.45536300000000002</v>
      </c>
      <c r="N637">
        <v>63.1</v>
      </c>
    </row>
    <row r="638" spans="13:14">
      <c r="M638">
        <v>0.46535760799999998</v>
      </c>
      <c r="N638">
        <v>63.2</v>
      </c>
    </row>
    <row r="639" spans="13:14">
      <c r="M639">
        <v>0.47708205199999998</v>
      </c>
      <c r="N639">
        <v>63.3</v>
      </c>
    </row>
    <row r="640" spans="13:14">
      <c r="M640">
        <v>0.48739700000000002</v>
      </c>
      <c r="N640">
        <v>63.4</v>
      </c>
    </row>
    <row r="641" spans="13:14">
      <c r="M641">
        <v>0.48739700000000002</v>
      </c>
      <c r="N641">
        <v>63.5</v>
      </c>
    </row>
    <row r="642" spans="13:14">
      <c r="M642">
        <v>0.48739700000000002</v>
      </c>
      <c r="N642">
        <v>63.6</v>
      </c>
    </row>
    <row r="643" spans="13:14">
      <c r="M643">
        <v>0.49190692000000003</v>
      </c>
      <c r="N643">
        <v>63.7</v>
      </c>
    </row>
    <row r="644" spans="13:14">
      <c r="M644">
        <v>0.50353108000000002</v>
      </c>
      <c r="N644">
        <v>63.8</v>
      </c>
    </row>
    <row r="645" spans="13:14">
      <c r="M645">
        <v>0.51515524000000001</v>
      </c>
      <c r="N645">
        <v>63.9</v>
      </c>
    </row>
    <row r="646" spans="13:14">
      <c r="M646">
        <v>0.51915699999999998</v>
      </c>
      <c r="N646">
        <v>64</v>
      </c>
    </row>
    <row r="647" spans="13:14">
      <c r="M647">
        <v>0.51915699999999998</v>
      </c>
      <c r="N647">
        <v>64.099999999999994</v>
      </c>
    </row>
    <row r="648" spans="13:14">
      <c r="M648">
        <v>0.51915699999999998</v>
      </c>
      <c r="N648">
        <v>64.2</v>
      </c>
    </row>
    <row r="649" spans="13:14">
      <c r="M649">
        <v>0.51915699999999998</v>
      </c>
      <c r="N649">
        <v>64.3</v>
      </c>
    </row>
    <row r="650" spans="13:14">
      <c r="M650">
        <v>0.51915699999999998</v>
      </c>
      <c r="N650">
        <v>64.400000000000006</v>
      </c>
    </row>
    <row r="651" spans="13:14">
      <c r="M651">
        <v>0.51915699999999998</v>
      </c>
      <c r="N651">
        <v>64.5</v>
      </c>
    </row>
    <row r="652" spans="13:14">
      <c r="M652">
        <v>0.51915699999999998</v>
      </c>
      <c r="N652">
        <v>64.599999999999994</v>
      </c>
    </row>
    <row r="653" spans="13:14">
      <c r="M653">
        <v>0.51915699999999998</v>
      </c>
      <c r="N653">
        <v>64.7</v>
      </c>
    </row>
    <row r="654" spans="13:14">
      <c r="M654">
        <v>0.51915699999999998</v>
      </c>
      <c r="N654">
        <v>64.8</v>
      </c>
    </row>
    <row r="655" spans="13:14">
      <c r="M655">
        <v>0.51915699999999998</v>
      </c>
      <c r="N655">
        <v>64.900000000000006</v>
      </c>
    </row>
    <row r="656" spans="13:14">
      <c r="M656">
        <v>0.51915699999999998</v>
      </c>
      <c r="N656">
        <v>65</v>
      </c>
    </row>
    <row r="657" spans="13:14">
      <c r="M657">
        <v>0.52734767200000099</v>
      </c>
      <c r="N657">
        <v>65.099999999999994</v>
      </c>
    </row>
    <row r="658" spans="13:14">
      <c r="M658">
        <v>0.53861754399999995</v>
      </c>
      <c r="N658">
        <v>65.2</v>
      </c>
    </row>
    <row r="659" spans="13:14">
      <c r="M659">
        <v>0.54988741600000102</v>
      </c>
      <c r="N659">
        <v>65.3</v>
      </c>
    </row>
    <row r="660" spans="13:14">
      <c r="M660">
        <v>0.56050791200000005</v>
      </c>
      <c r="N660">
        <v>65.400000000000006</v>
      </c>
    </row>
    <row r="661" spans="13:14">
      <c r="M661">
        <v>0.57112484000000097</v>
      </c>
      <c r="N661">
        <v>65.5</v>
      </c>
    </row>
    <row r="662" spans="13:14">
      <c r="M662">
        <v>0.57895700000000005</v>
      </c>
      <c r="N662">
        <v>65.599999999999994</v>
      </c>
    </row>
    <row r="663" spans="13:14">
      <c r="M663">
        <v>0.57895700000000005</v>
      </c>
      <c r="N663">
        <v>65.7</v>
      </c>
    </row>
    <row r="664" spans="13:14">
      <c r="M664">
        <v>0.57895700000000005</v>
      </c>
      <c r="N664">
        <v>65.8</v>
      </c>
    </row>
    <row r="665" spans="13:14">
      <c r="M665">
        <v>0.57895700000000005</v>
      </c>
      <c r="N665">
        <v>65.900000000000006</v>
      </c>
    </row>
    <row r="666" spans="13:14">
      <c r="M666">
        <v>0.57895700000000005</v>
      </c>
      <c r="N666">
        <v>66</v>
      </c>
    </row>
    <row r="667" spans="13:14">
      <c r="M667">
        <v>0.57895700000000005</v>
      </c>
      <c r="N667">
        <v>66.099999999999994</v>
      </c>
    </row>
    <row r="668" spans="13:14">
      <c r="M668">
        <v>0.57920987199999996</v>
      </c>
      <c r="N668">
        <v>66.2</v>
      </c>
    </row>
    <row r="669" spans="13:14">
      <c r="M669">
        <v>0.57952682799999999</v>
      </c>
      <c r="N669">
        <v>66.3</v>
      </c>
    </row>
    <row r="670" spans="13:14">
      <c r="M670">
        <v>0.58043456800000004</v>
      </c>
      <c r="N670">
        <v>66.400000000000006</v>
      </c>
    </row>
    <row r="671" spans="13:14">
      <c r="M671">
        <v>0.58976097999999999</v>
      </c>
      <c r="N671">
        <v>66.5</v>
      </c>
    </row>
    <row r="672" spans="13:14">
      <c r="M672">
        <v>0.59908739200000005</v>
      </c>
      <c r="N672">
        <v>66.599999999999994</v>
      </c>
    </row>
    <row r="673" spans="13:14">
      <c r="M673">
        <v>0.60530499999999998</v>
      </c>
      <c r="N673">
        <v>66.7</v>
      </c>
    </row>
    <row r="674" spans="13:14">
      <c r="M674">
        <v>0.60530499999999998</v>
      </c>
      <c r="N674">
        <v>66.8</v>
      </c>
    </row>
    <row r="675" spans="13:14">
      <c r="M675">
        <v>0.60530499999999998</v>
      </c>
      <c r="N675">
        <v>66.900000000000006</v>
      </c>
    </row>
    <row r="676" spans="13:14">
      <c r="M676">
        <v>0.610326060000001</v>
      </c>
      <c r="N676">
        <v>67</v>
      </c>
    </row>
    <row r="677" spans="13:14">
      <c r="M677">
        <v>0.618679278</v>
      </c>
      <c r="N677">
        <v>67.099999999999994</v>
      </c>
    </row>
    <row r="678" spans="13:14">
      <c r="M678">
        <v>0.62703249600000099</v>
      </c>
      <c r="N678">
        <v>67.2</v>
      </c>
    </row>
    <row r="679" spans="13:14">
      <c r="M679">
        <v>0.62812800000000002</v>
      </c>
      <c r="N679">
        <v>67.3</v>
      </c>
    </row>
    <row r="680" spans="13:14">
      <c r="M680">
        <v>0.62812800000000002</v>
      </c>
      <c r="N680">
        <v>67.400000000000006</v>
      </c>
    </row>
    <row r="681" spans="13:14">
      <c r="M681">
        <v>0.62812800000000002</v>
      </c>
      <c r="N681">
        <v>67.5</v>
      </c>
    </row>
    <row r="682" spans="13:14">
      <c r="M682">
        <v>0.62812800000000002</v>
      </c>
      <c r="N682">
        <v>67.599999999999994</v>
      </c>
    </row>
    <row r="683" spans="13:14">
      <c r="M683">
        <v>0.62812800000000002</v>
      </c>
      <c r="N683">
        <v>67.7</v>
      </c>
    </row>
    <row r="684" spans="13:14">
      <c r="M684">
        <v>0.63036753599999995</v>
      </c>
      <c r="N684">
        <v>67.8</v>
      </c>
    </row>
    <row r="685" spans="13:14">
      <c r="M685">
        <v>0.63590584800000005</v>
      </c>
      <c r="N685">
        <v>67.900000000000006</v>
      </c>
    </row>
    <row r="686" spans="13:14">
      <c r="M686">
        <v>0.64144416000000004</v>
      </c>
      <c r="N686">
        <v>68</v>
      </c>
    </row>
    <row r="687" spans="13:14">
      <c r="M687">
        <v>0.64410181200000005</v>
      </c>
      <c r="N687">
        <v>68.099999999999994</v>
      </c>
    </row>
    <row r="688" spans="13:14">
      <c r="M688">
        <v>0.64535426399999996</v>
      </c>
      <c r="N688">
        <v>68.2</v>
      </c>
    </row>
    <row r="689" spans="13:14">
      <c r="M689">
        <v>0.64660671599999997</v>
      </c>
      <c r="N689">
        <v>68.3</v>
      </c>
    </row>
    <row r="690" spans="13:14">
      <c r="M690">
        <v>0.64668199999999998</v>
      </c>
      <c r="N690">
        <v>68.400000000000006</v>
      </c>
    </row>
    <row r="691" spans="13:14">
      <c r="M691">
        <v>0.64668199999999998</v>
      </c>
      <c r="N691">
        <v>68.5</v>
      </c>
    </row>
    <row r="692" spans="13:14">
      <c r="M692">
        <v>0.64668199999999998</v>
      </c>
      <c r="N692">
        <v>68.599999999999994</v>
      </c>
    </row>
    <row r="693" spans="13:14">
      <c r="M693">
        <v>0.64668199999999998</v>
      </c>
      <c r="N693">
        <v>68.7</v>
      </c>
    </row>
    <row r="694" spans="13:14">
      <c r="M694">
        <v>0.64668199999999998</v>
      </c>
      <c r="N694">
        <v>68.8</v>
      </c>
    </row>
    <row r="695" spans="13:14">
      <c r="M695">
        <v>0.64668199999999998</v>
      </c>
      <c r="N695">
        <v>68.900000000000006</v>
      </c>
    </row>
    <row r="696" spans="13:14">
      <c r="M696">
        <v>0.64668199999999998</v>
      </c>
      <c r="N696">
        <v>69</v>
      </c>
    </row>
    <row r="697" spans="13:14">
      <c r="M697">
        <v>0.64668199999999998</v>
      </c>
      <c r="N697">
        <v>69.099999999999994</v>
      </c>
    </row>
    <row r="698" spans="13:14">
      <c r="M698">
        <v>0.64668199999999998</v>
      </c>
      <c r="N698">
        <v>69.2</v>
      </c>
    </row>
    <row r="699" spans="13:14">
      <c r="M699">
        <v>0.64668199999999998</v>
      </c>
      <c r="N699">
        <v>69.3</v>
      </c>
    </row>
    <row r="700" spans="13:14">
      <c r="M700">
        <v>0.64668519999999996</v>
      </c>
      <c r="N700">
        <v>69.400000000000006</v>
      </c>
    </row>
    <row r="701" spans="13:14">
      <c r="M701">
        <v>0.64697800000000005</v>
      </c>
      <c r="N701">
        <v>69.5</v>
      </c>
    </row>
    <row r="702" spans="13:14">
      <c r="M702">
        <v>0.64727080000000004</v>
      </c>
      <c r="N702">
        <v>69.599999999999994</v>
      </c>
    </row>
    <row r="703" spans="13:14">
      <c r="M703">
        <v>0.64880310399999996</v>
      </c>
      <c r="N703">
        <v>69.7</v>
      </c>
    </row>
    <row r="704" spans="13:14">
      <c r="M704">
        <v>0.65354353600000004</v>
      </c>
      <c r="N704">
        <v>69.8</v>
      </c>
    </row>
    <row r="705" spans="13:14">
      <c r="M705">
        <v>0.658283968000001</v>
      </c>
      <c r="N705">
        <v>69.900000000000006</v>
      </c>
    </row>
    <row r="706" spans="13:14">
      <c r="M706">
        <v>0.66043399999999997</v>
      </c>
      <c r="N706">
        <v>70</v>
      </c>
    </row>
    <row r="707" spans="13:14">
      <c r="M707">
        <v>0.66043399999999997</v>
      </c>
      <c r="N707">
        <v>70.099999999999994</v>
      </c>
    </row>
    <row r="708" spans="13:14">
      <c r="M708">
        <v>0.66043399999999997</v>
      </c>
      <c r="N708">
        <v>70.2</v>
      </c>
    </row>
    <row r="709" spans="13:14">
      <c r="M709">
        <v>0.66043399999999997</v>
      </c>
      <c r="N709">
        <v>70.3</v>
      </c>
    </row>
    <row r="710" spans="13:14">
      <c r="M710">
        <v>0.66043399999999997</v>
      </c>
      <c r="N710">
        <v>70.400000000000006</v>
      </c>
    </row>
    <row r="711" spans="13:14">
      <c r="M711">
        <v>0.66043399999999997</v>
      </c>
      <c r="N711">
        <v>70.5</v>
      </c>
    </row>
    <row r="712" spans="13:14">
      <c r="M712">
        <v>0.66043399999999997</v>
      </c>
      <c r="N712">
        <v>70.599999999999994</v>
      </c>
    </row>
    <row r="713" spans="13:14">
      <c r="M713">
        <v>0.66043399999999997</v>
      </c>
      <c r="N713">
        <v>70.7</v>
      </c>
    </row>
    <row r="714" spans="13:14">
      <c r="M714">
        <v>0.66121799999999997</v>
      </c>
      <c r="N714">
        <v>70.8</v>
      </c>
    </row>
    <row r="715" spans="13:14">
      <c r="M715">
        <v>0.66345975000000001</v>
      </c>
      <c r="N715">
        <v>70.900000000000006</v>
      </c>
    </row>
    <row r="716" spans="13:14">
      <c r="M716">
        <v>0.66570149999999995</v>
      </c>
      <c r="N716">
        <v>71</v>
      </c>
    </row>
    <row r="717" spans="13:14">
      <c r="M717">
        <v>0.66655900000000001</v>
      </c>
      <c r="N717">
        <v>71.099999999999994</v>
      </c>
    </row>
    <row r="718" spans="13:14">
      <c r="M718">
        <v>0.66655900000000001</v>
      </c>
      <c r="N718">
        <v>71.2</v>
      </c>
    </row>
    <row r="719" spans="13:14">
      <c r="M719">
        <v>0.66655900000000001</v>
      </c>
      <c r="N719">
        <v>71.3</v>
      </c>
    </row>
    <row r="720" spans="13:14">
      <c r="M720">
        <v>0.66739556799999999</v>
      </c>
      <c r="N720">
        <v>71.400000000000006</v>
      </c>
    </row>
    <row r="721" spans="13:14">
      <c r="M721">
        <v>0.66834057999999996</v>
      </c>
      <c r="N721">
        <v>71.5</v>
      </c>
    </row>
    <row r="722" spans="13:14">
      <c r="M722">
        <v>0.66914099999999999</v>
      </c>
      <c r="N722">
        <v>71.599999999999994</v>
      </c>
    </row>
    <row r="723" spans="13:14">
      <c r="M723">
        <v>0.66914099999999999</v>
      </c>
      <c r="N723">
        <v>71.7</v>
      </c>
    </row>
    <row r="724" spans="13:14">
      <c r="M724">
        <v>0.66914099999999999</v>
      </c>
      <c r="N724">
        <v>71.8</v>
      </c>
    </row>
    <row r="725" spans="13:14">
      <c r="M725">
        <v>0.66914099999999999</v>
      </c>
      <c r="N725">
        <v>71.900000000000006</v>
      </c>
    </row>
    <row r="726" spans="13:14">
      <c r="M726">
        <v>0.66914099999999999</v>
      </c>
      <c r="N726">
        <v>72</v>
      </c>
    </row>
    <row r="727" spans="13:14">
      <c r="M727">
        <v>0.66914099999999999</v>
      </c>
      <c r="N727">
        <v>72.099999999999994</v>
      </c>
    </row>
    <row r="728" spans="13:14">
      <c r="M728">
        <v>0.66914099999999999</v>
      </c>
      <c r="N728">
        <v>72.2</v>
      </c>
    </row>
    <row r="729" spans="13:14">
      <c r="M729">
        <v>0.66914099999999999</v>
      </c>
      <c r="N729">
        <v>72.3</v>
      </c>
    </row>
    <row r="730" spans="13:14">
      <c r="M730">
        <v>0.66914099999999999</v>
      </c>
      <c r="N730">
        <v>72.400000000000006</v>
      </c>
    </row>
    <row r="731" spans="13:14">
      <c r="M731">
        <v>0.66914099999999999</v>
      </c>
      <c r="N731">
        <v>72.5</v>
      </c>
    </row>
    <row r="732" spans="13:14">
      <c r="M732">
        <v>0.66914099999999999</v>
      </c>
      <c r="N732">
        <v>72.599999999999994</v>
      </c>
    </row>
    <row r="733" spans="13:14">
      <c r="M733">
        <v>0.66937150199999995</v>
      </c>
      <c r="N733">
        <v>72.7</v>
      </c>
    </row>
    <row r="734" spans="13:14">
      <c r="M734">
        <v>0.67040032800000005</v>
      </c>
      <c r="N734">
        <v>72.8</v>
      </c>
    </row>
    <row r="735" spans="13:14">
      <c r="M735">
        <v>0.67142915400000003</v>
      </c>
      <c r="N735">
        <v>72.900000000000006</v>
      </c>
    </row>
    <row r="736" spans="13:14">
      <c r="M736">
        <v>0.67195199999999999</v>
      </c>
      <c r="N736">
        <v>73</v>
      </c>
    </row>
    <row r="737" spans="13:14">
      <c r="M737">
        <v>0.67195199999999999</v>
      </c>
      <c r="N737">
        <v>73.099999999999994</v>
      </c>
    </row>
    <row r="738" spans="13:14">
      <c r="M738">
        <v>0.67195199999999999</v>
      </c>
      <c r="N738">
        <v>73.2</v>
      </c>
    </row>
    <row r="739" spans="13:14">
      <c r="M739">
        <v>0.67195199999999999</v>
      </c>
      <c r="N739">
        <v>73.3</v>
      </c>
    </row>
    <row r="740" spans="13:14">
      <c r="M740">
        <v>0.67195199999999999</v>
      </c>
      <c r="N740">
        <v>73.400000000000006</v>
      </c>
    </row>
    <row r="741" spans="13:14">
      <c r="M741">
        <v>0.67196113000000002</v>
      </c>
      <c r="N741">
        <v>73.5</v>
      </c>
    </row>
    <row r="742" spans="13:14">
      <c r="M742">
        <v>0.67229528800000005</v>
      </c>
      <c r="N742">
        <v>73.599999999999994</v>
      </c>
    </row>
    <row r="743" spans="13:14">
      <c r="M743">
        <v>0.67262944599999996</v>
      </c>
      <c r="N743">
        <v>73.7</v>
      </c>
    </row>
    <row r="744" spans="13:14">
      <c r="M744">
        <v>0.67286500000000005</v>
      </c>
      <c r="N744">
        <v>73.8</v>
      </c>
    </row>
    <row r="745" spans="13:14">
      <c r="M745">
        <v>0.67286500000000005</v>
      </c>
      <c r="N745">
        <v>73.900000000000006</v>
      </c>
    </row>
    <row r="746" spans="13:14">
      <c r="M746">
        <v>0.67286500000000005</v>
      </c>
      <c r="N746">
        <v>74</v>
      </c>
    </row>
    <row r="747" spans="13:14">
      <c r="M747">
        <v>0.67689827400000002</v>
      </c>
      <c r="N747">
        <v>74.099999999999994</v>
      </c>
    </row>
    <row r="748" spans="13:14">
      <c r="M748">
        <v>0.68406418800000002</v>
      </c>
      <c r="N748">
        <v>74.2</v>
      </c>
    </row>
    <row r="749" spans="13:14">
      <c r="M749">
        <v>0.69123010200000001</v>
      </c>
      <c r="N749">
        <v>74.3</v>
      </c>
    </row>
    <row r="750" spans="13:14">
      <c r="M750">
        <v>0.69244399999999995</v>
      </c>
      <c r="N750">
        <v>74.400000000000006</v>
      </c>
    </row>
    <row r="751" spans="13:14">
      <c r="M751">
        <v>0.69244399999999995</v>
      </c>
      <c r="N751">
        <v>74.5</v>
      </c>
    </row>
    <row r="752" spans="13:14">
      <c r="M752">
        <v>0.69346481599999998</v>
      </c>
      <c r="N752">
        <v>74.599999999999994</v>
      </c>
    </row>
    <row r="753" spans="13:14">
      <c r="M753">
        <v>0.70384311200000005</v>
      </c>
      <c r="N753">
        <v>74.7</v>
      </c>
    </row>
    <row r="754" spans="13:14">
      <c r="M754">
        <v>0.714221407999999</v>
      </c>
      <c r="N754">
        <v>74.8</v>
      </c>
    </row>
    <row r="755" spans="13:14">
      <c r="M755">
        <v>0.7208</v>
      </c>
      <c r="N755">
        <v>74.900000000000006</v>
      </c>
    </row>
    <row r="756" spans="13:14">
      <c r="M756">
        <v>0.7208</v>
      </c>
      <c r="N756">
        <v>75</v>
      </c>
    </row>
    <row r="757" spans="13:14">
      <c r="M757">
        <v>0.7208</v>
      </c>
      <c r="N757">
        <v>75.099999999999994</v>
      </c>
    </row>
    <row r="758" spans="13:14">
      <c r="M758">
        <v>0.7208</v>
      </c>
      <c r="N758">
        <v>75.2</v>
      </c>
    </row>
    <row r="759" spans="13:14">
      <c r="M759">
        <v>0.7208</v>
      </c>
      <c r="N759">
        <v>75.3</v>
      </c>
    </row>
    <row r="760" spans="13:14">
      <c r="M760">
        <v>0.7208</v>
      </c>
      <c r="N760">
        <v>75.400000000000006</v>
      </c>
    </row>
    <row r="761" spans="13:14">
      <c r="M761">
        <v>0.7208</v>
      </c>
      <c r="N761">
        <v>75.5</v>
      </c>
    </row>
    <row r="762" spans="13:14">
      <c r="M762">
        <v>0.7208</v>
      </c>
      <c r="N762">
        <v>75.599999999999994</v>
      </c>
    </row>
    <row r="763" spans="13:14">
      <c r="M763">
        <v>0.72270414400000005</v>
      </c>
      <c r="N763">
        <v>75.7</v>
      </c>
    </row>
    <row r="764" spans="13:14">
      <c r="M764">
        <v>0.73394473599999999</v>
      </c>
      <c r="N764">
        <v>75.8</v>
      </c>
    </row>
    <row r="765" spans="13:14">
      <c r="M765">
        <v>0.74518532799999904</v>
      </c>
      <c r="N765">
        <v>75.900000000000006</v>
      </c>
    </row>
    <row r="766" spans="13:14">
      <c r="M766">
        <v>0.75677840000000096</v>
      </c>
      <c r="N766">
        <v>76</v>
      </c>
    </row>
    <row r="767" spans="13:14">
      <c r="M767">
        <v>0.76882528999999999</v>
      </c>
      <c r="N767">
        <v>76.099999999999994</v>
      </c>
    </row>
    <row r="768" spans="13:14">
      <c r="M768">
        <v>0.78087218000000003</v>
      </c>
      <c r="N768">
        <v>76.2</v>
      </c>
    </row>
    <row r="769" spans="13:14">
      <c r="M769">
        <v>0.78442699999999999</v>
      </c>
      <c r="N769">
        <v>76.3</v>
      </c>
    </row>
    <row r="770" spans="13:14">
      <c r="M770">
        <v>0.78442699999999999</v>
      </c>
      <c r="N770">
        <v>76.400000000000006</v>
      </c>
    </row>
    <row r="771" spans="13:14">
      <c r="M771">
        <v>0.78442699999999999</v>
      </c>
      <c r="N771">
        <v>76.5</v>
      </c>
    </row>
    <row r="772" spans="13:14">
      <c r="M772">
        <v>0.78442699999999999</v>
      </c>
      <c r="N772">
        <v>76.599999999999994</v>
      </c>
    </row>
    <row r="773" spans="13:14">
      <c r="M773">
        <v>0.78442699999999999</v>
      </c>
      <c r="N773">
        <v>76.7</v>
      </c>
    </row>
    <row r="774" spans="13:14">
      <c r="M774">
        <v>0.78442699999999999</v>
      </c>
      <c r="N774">
        <v>76.8</v>
      </c>
    </row>
    <row r="775" spans="13:14">
      <c r="M775">
        <v>0.78442699999999999</v>
      </c>
      <c r="N775">
        <v>76.900000000000006</v>
      </c>
    </row>
    <row r="776" spans="13:14">
      <c r="M776">
        <v>0.78442699999999999</v>
      </c>
      <c r="N776">
        <v>77</v>
      </c>
    </row>
    <row r="777" spans="13:14">
      <c r="M777">
        <v>0.78442699999999999</v>
      </c>
      <c r="N777">
        <v>77.099999999999994</v>
      </c>
    </row>
    <row r="778" spans="13:14">
      <c r="M778">
        <v>0.78442699999999999</v>
      </c>
      <c r="N778">
        <v>77.2</v>
      </c>
    </row>
    <row r="779" spans="13:14">
      <c r="M779">
        <v>0.78442699999999999</v>
      </c>
      <c r="N779">
        <v>77.3</v>
      </c>
    </row>
    <row r="780" spans="13:14">
      <c r="M780">
        <v>0.79433973599999996</v>
      </c>
      <c r="N780">
        <v>77.400000000000006</v>
      </c>
    </row>
    <row r="781" spans="13:14">
      <c r="M781">
        <v>0.80711460000000101</v>
      </c>
      <c r="N781">
        <v>77.5</v>
      </c>
    </row>
    <row r="782" spans="13:14">
      <c r="M782">
        <v>0.81933100000000003</v>
      </c>
      <c r="N782">
        <v>77.599999999999994</v>
      </c>
    </row>
    <row r="783" spans="13:14">
      <c r="M783">
        <v>0.81933100000000003</v>
      </c>
      <c r="N783">
        <v>77.7</v>
      </c>
    </row>
    <row r="784" spans="13:14">
      <c r="M784">
        <v>0.81933100000000003</v>
      </c>
      <c r="N784">
        <v>77.8</v>
      </c>
    </row>
    <row r="785" spans="13:14">
      <c r="M785">
        <v>0.81933100000000003</v>
      </c>
      <c r="N785">
        <v>77.900000000000006</v>
      </c>
    </row>
    <row r="786" spans="13:14">
      <c r="M786">
        <v>0.81933100000000003</v>
      </c>
      <c r="N786">
        <v>78</v>
      </c>
    </row>
    <row r="787" spans="13:14">
      <c r="M787">
        <v>0.81933100000000003</v>
      </c>
      <c r="N787">
        <v>78.099999999999994</v>
      </c>
    </row>
    <row r="788" spans="13:14">
      <c r="M788">
        <v>0.82708659600000001</v>
      </c>
      <c r="N788">
        <v>78.2</v>
      </c>
    </row>
    <row r="789" spans="13:14">
      <c r="M789">
        <v>0.84047597400000096</v>
      </c>
      <c r="N789">
        <v>78.3</v>
      </c>
    </row>
    <row r="790" spans="13:14">
      <c r="M790">
        <v>0.85386535200000102</v>
      </c>
      <c r="N790">
        <v>78.400000000000006</v>
      </c>
    </row>
    <row r="791" spans="13:14">
      <c r="M791">
        <v>0.85591399999999995</v>
      </c>
      <c r="N791">
        <v>78.5</v>
      </c>
    </row>
    <row r="792" spans="13:14">
      <c r="M792">
        <v>0.85591399999999995</v>
      </c>
      <c r="N792">
        <v>78.599999999999994</v>
      </c>
    </row>
    <row r="793" spans="13:14">
      <c r="M793">
        <v>0.85591399999999995</v>
      </c>
      <c r="N793">
        <v>78.7</v>
      </c>
    </row>
    <row r="794" spans="13:14">
      <c r="M794">
        <v>0.85591399999999995</v>
      </c>
      <c r="N794">
        <v>78.8</v>
      </c>
    </row>
    <row r="795" spans="13:14">
      <c r="M795">
        <v>0.85591399999999995</v>
      </c>
      <c r="N795">
        <v>78.900000000000006</v>
      </c>
    </row>
    <row r="796" spans="13:14">
      <c r="M796">
        <v>0.85591399999999995</v>
      </c>
      <c r="N796">
        <v>79</v>
      </c>
    </row>
    <row r="797" spans="13:14">
      <c r="M797">
        <v>0.85591399999999995</v>
      </c>
      <c r="N797">
        <v>79.099999999999994</v>
      </c>
    </row>
    <row r="798" spans="13:14">
      <c r="M798">
        <v>0.85591399999999995</v>
      </c>
      <c r="N798">
        <v>79.2</v>
      </c>
    </row>
    <row r="799" spans="13:14">
      <c r="M799">
        <v>0.85750146000000005</v>
      </c>
      <c r="N799">
        <v>79.3</v>
      </c>
    </row>
    <row r="800" spans="13:14">
      <c r="M800">
        <v>0.85994267999999996</v>
      </c>
      <c r="N800">
        <v>79.400000000000006</v>
      </c>
    </row>
    <row r="801" spans="13:14">
      <c r="M801">
        <v>0.86238389999999998</v>
      </c>
      <c r="N801">
        <v>79.5</v>
      </c>
    </row>
    <row r="802" spans="13:14">
      <c r="M802">
        <v>0.86258400000000002</v>
      </c>
      <c r="N802">
        <v>79.599999999999994</v>
      </c>
    </row>
    <row r="803" spans="13:14">
      <c r="M803">
        <v>0.86258400000000002</v>
      </c>
      <c r="N803">
        <v>79.7</v>
      </c>
    </row>
    <row r="804" spans="13:14">
      <c r="M804">
        <v>0.86470213200000101</v>
      </c>
      <c r="N804">
        <v>79.8</v>
      </c>
    </row>
    <row r="805" spans="13:14">
      <c r="M805">
        <v>0.87610266600000097</v>
      </c>
      <c r="N805">
        <v>79.900000000000006</v>
      </c>
    </row>
    <row r="806" spans="13:14">
      <c r="M806">
        <v>0.88750320000000005</v>
      </c>
      <c r="N806">
        <v>80</v>
      </c>
    </row>
    <row r="807" spans="13:14">
      <c r="M807">
        <v>0.893733</v>
      </c>
      <c r="N807">
        <v>80.099999999999994</v>
      </c>
    </row>
    <row r="808" spans="13:14">
      <c r="M808">
        <v>0.893733</v>
      </c>
      <c r="N808">
        <v>80.2</v>
      </c>
    </row>
    <row r="809" spans="13:14">
      <c r="M809">
        <v>0.893733</v>
      </c>
      <c r="N809">
        <v>80.3</v>
      </c>
    </row>
    <row r="810" spans="13:14">
      <c r="M810">
        <v>0.893733</v>
      </c>
      <c r="N810">
        <v>80.400000000000006</v>
      </c>
    </row>
    <row r="811" spans="13:14">
      <c r="M811">
        <v>0.893733</v>
      </c>
      <c r="N811">
        <v>80.5</v>
      </c>
    </row>
    <row r="812" spans="13:14">
      <c r="M812">
        <v>0.893733</v>
      </c>
      <c r="N812">
        <v>80.599999999999994</v>
      </c>
    </row>
    <row r="813" spans="13:14">
      <c r="M813">
        <v>0.90600697200000102</v>
      </c>
      <c r="N813">
        <v>80.7</v>
      </c>
    </row>
    <row r="814" spans="13:14">
      <c r="M814">
        <v>0.91841656800000004</v>
      </c>
      <c r="N814">
        <v>80.8</v>
      </c>
    </row>
    <row r="815" spans="13:14">
      <c r="M815">
        <v>0.92806604199999998</v>
      </c>
      <c r="N815">
        <v>80.900000000000006</v>
      </c>
    </row>
    <row r="816" spans="13:14">
      <c r="M816">
        <v>0.92972878000000003</v>
      </c>
      <c r="N816">
        <v>81</v>
      </c>
    </row>
    <row r="817" spans="13:14">
      <c r="M817">
        <v>0.93139151799999997</v>
      </c>
      <c r="N817">
        <v>81.099999999999994</v>
      </c>
    </row>
    <row r="818" spans="13:14">
      <c r="M818">
        <v>0.93218199999999996</v>
      </c>
      <c r="N818">
        <v>81.2</v>
      </c>
    </row>
    <row r="819" spans="13:14">
      <c r="M819">
        <v>0.93218199999999996</v>
      </c>
      <c r="N819">
        <v>81.3</v>
      </c>
    </row>
    <row r="820" spans="13:14">
      <c r="M820">
        <v>0.93218199999999996</v>
      </c>
      <c r="N820">
        <v>81.400000000000006</v>
      </c>
    </row>
    <row r="821" spans="13:14">
      <c r="M821">
        <v>0.94328378000000102</v>
      </c>
      <c r="N821">
        <v>81.5</v>
      </c>
    </row>
    <row r="822" spans="13:14">
      <c r="M822">
        <v>0.95729499200000001</v>
      </c>
      <c r="N822">
        <v>81.599999999999994</v>
      </c>
    </row>
    <row r="823" spans="13:14">
      <c r="M823">
        <v>0.97046399999999999</v>
      </c>
      <c r="N823">
        <v>81.7</v>
      </c>
    </row>
    <row r="824" spans="13:14">
      <c r="M824">
        <v>0.97046399999999999</v>
      </c>
      <c r="N824">
        <v>81.8</v>
      </c>
    </row>
    <row r="825" spans="13:14">
      <c r="M825">
        <v>0.97046399999999999</v>
      </c>
      <c r="N825">
        <v>81.900000000000006</v>
      </c>
    </row>
    <row r="826" spans="13:14">
      <c r="M826">
        <v>0.97491779999999995</v>
      </c>
      <c r="N826">
        <v>82</v>
      </c>
    </row>
    <row r="827" spans="13:14">
      <c r="M827">
        <v>0.98850189000000199</v>
      </c>
      <c r="N827">
        <v>82.1</v>
      </c>
    </row>
    <row r="828" spans="13:14">
      <c r="M828">
        <v>1.0020859799999999</v>
      </c>
      <c r="N828">
        <v>82.2</v>
      </c>
    </row>
    <row r="829" spans="13:14">
      <c r="M829">
        <v>1.007579</v>
      </c>
      <c r="N829">
        <v>82.3</v>
      </c>
    </row>
    <row r="830" spans="13:14">
      <c r="M830">
        <v>1.007579</v>
      </c>
      <c r="N830">
        <v>82.4</v>
      </c>
    </row>
    <row r="831" spans="13:14">
      <c r="M831">
        <v>1.007579</v>
      </c>
      <c r="N831">
        <v>82.5</v>
      </c>
    </row>
    <row r="832" spans="13:14">
      <c r="M832">
        <v>1.007579</v>
      </c>
      <c r="N832">
        <v>82.6</v>
      </c>
    </row>
    <row r="833" spans="13:14">
      <c r="M833">
        <v>1.007579</v>
      </c>
      <c r="N833">
        <v>82.7</v>
      </c>
    </row>
    <row r="834" spans="13:14">
      <c r="M834">
        <v>1.0084642159999999</v>
      </c>
      <c r="N834">
        <v>82.8</v>
      </c>
    </row>
    <row r="835" spans="13:14">
      <c r="M835">
        <v>1.015213988</v>
      </c>
      <c r="N835">
        <v>82.9</v>
      </c>
    </row>
    <row r="836" spans="13:14">
      <c r="M836">
        <v>1.02196376</v>
      </c>
      <c r="N836">
        <v>83</v>
      </c>
    </row>
    <row r="837" spans="13:14">
      <c r="M837">
        <v>1.0260210000000001</v>
      </c>
      <c r="N837">
        <v>83.1</v>
      </c>
    </row>
    <row r="838" spans="13:14">
      <c r="M838">
        <v>1.0260210000000001</v>
      </c>
      <c r="N838">
        <v>83.2</v>
      </c>
    </row>
    <row r="839" spans="13:14">
      <c r="M839">
        <v>1.0260210000000001</v>
      </c>
      <c r="N839">
        <v>83.3</v>
      </c>
    </row>
    <row r="840" spans="13:14">
      <c r="M840">
        <v>1.0260210000000001</v>
      </c>
      <c r="N840">
        <v>83.4</v>
      </c>
    </row>
    <row r="841" spans="13:14">
      <c r="M841">
        <v>1.0260210000000001</v>
      </c>
      <c r="N841">
        <v>83.5</v>
      </c>
    </row>
    <row r="842" spans="13:14">
      <c r="M842">
        <v>1.0260210000000001</v>
      </c>
      <c r="N842">
        <v>83.6</v>
      </c>
    </row>
    <row r="843" spans="13:14">
      <c r="M843">
        <v>1.0316024399999999</v>
      </c>
      <c r="N843">
        <v>83.7</v>
      </c>
    </row>
    <row r="844" spans="13:14">
      <c r="M844">
        <v>1.0375755600000001</v>
      </c>
      <c r="N844">
        <v>83.8</v>
      </c>
    </row>
    <row r="845" spans="13:14">
      <c r="M845">
        <v>1.042341</v>
      </c>
      <c r="N845">
        <v>83.9</v>
      </c>
    </row>
    <row r="846" spans="13:14">
      <c r="M846">
        <v>1.042341</v>
      </c>
      <c r="N846">
        <v>84</v>
      </c>
    </row>
    <row r="847" spans="13:14">
      <c r="M847">
        <v>1.042341</v>
      </c>
      <c r="N847">
        <v>84.1</v>
      </c>
    </row>
    <row r="848" spans="13:14">
      <c r="M848">
        <v>1.0439509199999999</v>
      </c>
      <c r="N848">
        <v>84.2</v>
      </c>
    </row>
    <row r="849" spans="13:14">
      <c r="M849">
        <v>1.0473766799999999</v>
      </c>
      <c r="N849">
        <v>84.3</v>
      </c>
    </row>
    <row r="850" spans="13:14">
      <c r="M850">
        <v>1.05080244</v>
      </c>
      <c r="N850">
        <v>84.4</v>
      </c>
    </row>
    <row r="851" spans="13:14">
      <c r="M851">
        <v>1.05464913</v>
      </c>
      <c r="N851">
        <v>84.5</v>
      </c>
    </row>
    <row r="852" spans="13:14">
      <c r="M852">
        <v>1.0586454839999999</v>
      </c>
      <c r="N852">
        <v>84.6</v>
      </c>
    </row>
    <row r="853" spans="13:14">
      <c r="M853">
        <v>1.0626199999999999</v>
      </c>
      <c r="N853">
        <v>84.7</v>
      </c>
    </row>
    <row r="854" spans="13:14">
      <c r="M854">
        <v>1.0626199999999999</v>
      </c>
      <c r="N854">
        <v>84.8</v>
      </c>
    </row>
    <row r="855" spans="13:14">
      <c r="M855">
        <v>1.0626199999999999</v>
      </c>
      <c r="N855">
        <v>84.9</v>
      </c>
    </row>
    <row r="856" spans="13:14">
      <c r="M856">
        <v>1.0637011999999999</v>
      </c>
      <c r="N856">
        <v>85</v>
      </c>
    </row>
    <row r="857" spans="13:14">
      <c r="M857">
        <v>1.067658392</v>
      </c>
      <c r="N857">
        <v>85.1</v>
      </c>
    </row>
    <row r="858" spans="13:14">
      <c r="M858">
        <v>1.0716155839999999</v>
      </c>
      <c r="N858">
        <v>85.2</v>
      </c>
    </row>
    <row r="859" spans="13:14">
      <c r="M859">
        <v>1.0734319999999999</v>
      </c>
      <c r="N859">
        <v>85.3</v>
      </c>
    </row>
    <row r="860" spans="13:14">
      <c r="M860">
        <v>1.0734319999999999</v>
      </c>
      <c r="N860">
        <v>85.4</v>
      </c>
    </row>
    <row r="861" spans="13:14">
      <c r="M861">
        <v>1.0734319999999999</v>
      </c>
      <c r="N861">
        <v>85.5</v>
      </c>
    </row>
    <row r="862" spans="13:14">
      <c r="M862">
        <v>1.0734319999999999</v>
      </c>
      <c r="N862">
        <v>85.6</v>
      </c>
    </row>
    <row r="863" spans="13:14">
      <c r="M863">
        <v>1.0734319999999999</v>
      </c>
      <c r="N863">
        <v>85.7</v>
      </c>
    </row>
    <row r="864" spans="13:14">
      <c r="M864">
        <v>1.0736452480000001</v>
      </c>
      <c r="N864">
        <v>85.8</v>
      </c>
    </row>
    <row r="865" spans="13:14">
      <c r="M865">
        <v>1.0764327039999999</v>
      </c>
      <c r="N865">
        <v>85.9</v>
      </c>
    </row>
    <row r="866" spans="13:14">
      <c r="M866">
        <v>1.07922016</v>
      </c>
      <c r="N866">
        <v>86</v>
      </c>
    </row>
    <row r="867" spans="13:14">
      <c r="M867">
        <v>1.0833737080000001</v>
      </c>
      <c r="N867">
        <v>86.1</v>
      </c>
    </row>
    <row r="868" spans="13:14">
      <c r="M868">
        <v>1.0901293359999999</v>
      </c>
      <c r="N868">
        <v>86.2</v>
      </c>
    </row>
    <row r="869" spans="13:14">
      <c r="M869">
        <v>1.096884964</v>
      </c>
      <c r="N869">
        <v>86.3</v>
      </c>
    </row>
    <row r="870" spans="13:14">
      <c r="M870">
        <v>1.0995060000000001</v>
      </c>
      <c r="N870">
        <v>86.4</v>
      </c>
    </row>
    <row r="871" spans="13:14">
      <c r="M871">
        <v>1.0995060000000001</v>
      </c>
      <c r="N871">
        <v>86.5</v>
      </c>
    </row>
    <row r="872" spans="13:14">
      <c r="M872">
        <v>1.0995060000000001</v>
      </c>
      <c r="N872">
        <v>86.6</v>
      </c>
    </row>
    <row r="873" spans="13:14">
      <c r="M873">
        <v>1.100996538</v>
      </c>
      <c r="N873">
        <v>86.7</v>
      </c>
    </row>
    <row r="874" spans="13:14">
      <c r="M874">
        <v>1.102690752</v>
      </c>
      <c r="N874">
        <v>86.8</v>
      </c>
    </row>
    <row r="875" spans="13:14">
      <c r="M875">
        <v>1.1042283660000001</v>
      </c>
      <c r="N875">
        <v>86.9</v>
      </c>
    </row>
    <row r="876" spans="13:14">
      <c r="M876">
        <v>1.1048611800000001</v>
      </c>
      <c r="N876">
        <v>87</v>
      </c>
    </row>
    <row r="877" spans="13:14">
      <c r="M877">
        <v>1.1054939939999999</v>
      </c>
      <c r="N877">
        <v>87.1</v>
      </c>
    </row>
    <row r="878" spans="13:14">
      <c r="M878">
        <v>1.105864</v>
      </c>
      <c r="N878">
        <v>87.2</v>
      </c>
    </row>
    <row r="879" spans="13:14">
      <c r="M879">
        <v>1.105864</v>
      </c>
      <c r="N879">
        <v>87.3</v>
      </c>
    </row>
    <row r="880" spans="13:14">
      <c r="M880">
        <v>1.105864</v>
      </c>
      <c r="N880">
        <v>87.4</v>
      </c>
    </row>
    <row r="881" spans="13:14">
      <c r="M881">
        <v>1.1092285</v>
      </c>
      <c r="N881">
        <v>87.5</v>
      </c>
    </row>
    <row r="882" spans="13:14">
      <c r="M882">
        <v>1.114154128</v>
      </c>
      <c r="N882">
        <v>87.6</v>
      </c>
    </row>
    <row r="883" spans="13:14">
      <c r="M883">
        <v>1.1190797560000001</v>
      </c>
      <c r="N883">
        <v>87.7</v>
      </c>
    </row>
    <row r="884" spans="13:14">
      <c r="M884">
        <v>1.1193219999999999</v>
      </c>
      <c r="N884">
        <v>87.8</v>
      </c>
    </row>
    <row r="885" spans="13:14">
      <c r="M885">
        <v>1.1193219999999999</v>
      </c>
      <c r="N885">
        <v>87.9</v>
      </c>
    </row>
    <row r="886" spans="13:14">
      <c r="M886">
        <v>1.1193219999999999</v>
      </c>
      <c r="N886">
        <v>88</v>
      </c>
    </row>
    <row r="887" spans="13:14">
      <c r="M887">
        <v>1.1193219999999999</v>
      </c>
      <c r="N887">
        <v>88.1</v>
      </c>
    </row>
    <row r="888" spans="13:14">
      <c r="M888">
        <v>1.1193219999999999</v>
      </c>
      <c r="N888">
        <v>88.2</v>
      </c>
    </row>
    <row r="889" spans="13:14">
      <c r="M889">
        <v>1.1214823860000001</v>
      </c>
      <c r="N889">
        <v>88.3</v>
      </c>
    </row>
    <row r="890" spans="13:14">
      <c r="M890">
        <v>1.1259245280000001</v>
      </c>
      <c r="N890">
        <v>88.4</v>
      </c>
    </row>
    <row r="891" spans="13:14">
      <c r="M891">
        <v>1.1303666699999999</v>
      </c>
      <c r="N891">
        <v>88.5</v>
      </c>
    </row>
    <row r="892" spans="13:14">
      <c r="M892">
        <v>1.131459</v>
      </c>
      <c r="N892">
        <v>88.6</v>
      </c>
    </row>
    <row r="893" spans="13:14">
      <c r="M893">
        <v>1.131459</v>
      </c>
      <c r="N893">
        <v>88.7</v>
      </c>
    </row>
    <row r="894" spans="13:14">
      <c r="M894">
        <v>1.1314625920000001</v>
      </c>
      <c r="N894">
        <v>88.8</v>
      </c>
    </row>
    <row r="895" spans="13:14">
      <c r="M895">
        <v>1.131626926</v>
      </c>
      <c r="N895">
        <v>88.9</v>
      </c>
    </row>
    <row r="896" spans="13:14">
      <c r="M896">
        <v>1.13179126</v>
      </c>
      <c r="N896">
        <v>89</v>
      </c>
    </row>
    <row r="897" spans="13:14">
      <c r="M897">
        <v>1.1319079999999999</v>
      </c>
      <c r="N897">
        <v>89.1</v>
      </c>
    </row>
    <row r="898" spans="13:14">
      <c r="M898">
        <v>1.1319079999999999</v>
      </c>
      <c r="N898">
        <v>89.2</v>
      </c>
    </row>
    <row r="899" spans="13:14">
      <c r="M899">
        <v>1.1319079999999999</v>
      </c>
      <c r="N899">
        <v>89.3</v>
      </c>
    </row>
    <row r="900" spans="13:14">
      <c r="M900">
        <v>1.1322545959999999</v>
      </c>
      <c r="N900">
        <v>89.4</v>
      </c>
    </row>
    <row r="901" spans="13:14">
      <c r="M901">
        <v>1.13287643</v>
      </c>
      <c r="N901">
        <v>89.5</v>
      </c>
    </row>
    <row r="902" spans="13:14">
      <c r="M902">
        <v>1.133498264</v>
      </c>
      <c r="N902">
        <v>89.6</v>
      </c>
    </row>
    <row r="903" spans="13:14">
      <c r="M903">
        <v>1.133607</v>
      </c>
      <c r="N903">
        <v>89.7</v>
      </c>
    </row>
    <row r="904" spans="13:14">
      <c r="M904">
        <v>1.133607</v>
      </c>
      <c r="N904">
        <v>89.8</v>
      </c>
    </row>
    <row r="905" spans="13:14">
      <c r="M905">
        <v>1.133712026</v>
      </c>
      <c r="N905">
        <v>89.9</v>
      </c>
    </row>
    <row r="906" spans="13:14">
      <c r="M906">
        <v>1.1348426</v>
      </c>
      <c r="N906">
        <v>90</v>
      </c>
    </row>
    <row r="907" spans="13:14">
      <c r="M907">
        <v>1.1359731740000001</v>
      </c>
      <c r="N907">
        <v>90.1</v>
      </c>
    </row>
    <row r="908" spans="13:14">
      <c r="M908">
        <v>1.1425227440000001</v>
      </c>
      <c r="N908">
        <v>90.2</v>
      </c>
    </row>
    <row r="909" spans="13:14">
      <c r="M909">
        <v>1.1586787160000001</v>
      </c>
      <c r="N909">
        <v>90.3</v>
      </c>
    </row>
    <row r="910" spans="13:14">
      <c r="M910">
        <v>1.174834688</v>
      </c>
      <c r="N910">
        <v>90.4</v>
      </c>
    </row>
    <row r="911" spans="13:14">
      <c r="M911">
        <v>1.1846615199999999</v>
      </c>
      <c r="N911">
        <v>90.5</v>
      </c>
    </row>
    <row r="912" spans="13:14">
      <c r="M912">
        <v>1.1907459039999999</v>
      </c>
      <c r="N912">
        <v>90.6</v>
      </c>
    </row>
    <row r="913" spans="13:14">
      <c r="M913">
        <v>1.1968302879999999</v>
      </c>
      <c r="N913">
        <v>90.7</v>
      </c>
    </row>
    <row r="914" spans="13:14">
      <c r="M914">
        <v>1.2099276400000001</v>
      </c>
      <c r="N914">
        <v>90.8</v>
      </c>
    </row>
    <row r="915" spans="13:14">
      <c r="M915">
        <v>1.2238374700000001</v>
      </c>
      <c r="N915">
        <v>90.9</v>
      </c>
    </row>
    <row r="916" spans="13:14">
      <c r="M916">
        <v>1.2354670000000001</v>
      </c>
      <c r="N916">
        <v>91</v>
      </c>
    </row>
    <row r="917" spans="13:14">
      <c r="M917">
        <v>1.2354670000000001</v>
      </c>
      <c r="N917">
        <v>91.1</v>
      </c>
    </row>
    <row r="918" spans="13:14">
      <c r="M918">
        <v>1.2354670000000001</v>
      </c>
      <c r="N918">
        <v>91.2</v>
      </c>
    </row>
    <row r="919" spans="13:14">
      <c r="M919">
        <v>1.2419127679999999</v>
      </c>
      <c r="N919">
        <v>91.3</v>
      </c>
    </row>
    <row r="920" spans="13:14">
      <c r="M920">
        <v>1.256844104</v>
      </c>
      <c r="N920">
        <v>91.4</v>
      </c>
    </row>
    <row r="921" spans="13:14">
      <c r="M921">
        <v>1.2717754400000001</v>
      </c>
      <c r="N921">
        <v>91.5</v>
      </c>
    </row>
    <row r="922" spans="13:14">
      <c r="M922">
        <v>1.2872809839999999</v>
      </c>
      <c r="N922">
        <v>91.6</v>
      </c>
    </row>
    <row r="923" spans="13:14">
      <c r="M923">
        <v>1.3030332579999999</v>
      </c>
      <c r="N923">
        <v>91.7</v>
      </c>
    </row>
    <row r="924" spans="13:14">
      <c r="M924">
        <v>1.3187855319999999</v>
      </c>
      <c r="N924">
        <v>91.8</v>
      </c>
    </row>
    <row r="925" spans="13:14">
      <c r="M925">
        <v>1.319302</v>
      </c>
      <c r="N925">
        <v>91.9</v>
      </c>
    </row>
    <row r="926" spans="13:14">
      <c r="M926">
        <v>1.319302</v>
      </c>
      <c r="N926">
        <v>92</v>
      </c>
    </row>
    <row r="927" spans="13:14">
      <c r="M927">
        <v>1.32224535</v>
      </c>
      <c r="N927">
        <v>92.1</v>
      </c>
    </row>
    <row r="928" spans="13:14">
      <c r="M928">
        <v>1.3347716999999999</v>
      </c>
      <c r="N928">
        <v>92.2</v>
      </c>
    </row>
    <row r="929" spans="13:14">
      <c r="M929">
        <v>1.34729805</v>
      </c>
      <c r="N929">
        <v>92.3</v>
      </c>
    </row>
    <row r="930" spans="13:14">
      <c r="M930">
        <v>1.3535269999999999</v>
      </c>
      <c r="N930">
        <v>92.4</v>
      </c>
    </row>
    <row r="931" spans="13:14">
      <c r="M931">
        <v>1.3535269999999999</v>
      </c>
      <c r="N931">
        <v>92.5</v>
      </c>
    </row>
    <row r="932" spans="13:14">
      <c r="M932">
        <v>1.3535269999999999</v>
      </c>
      <c r="N932">
        <v>92.6</v>
      </c>
    </row>
    <row r="933" spans="13:14">
      <c r="M933">
        <v>1.367918306</v>
      </c>
      <c r="N933">
        <v>92.7</v>
      </c>
    </row>
    <row r="934" spans="13:14">
      <c r="M934">
        <v>1.386596384</v>
      </c>
      <c r="N934">
        <v>92.8</v>
      </c>
    </row>
    <row r="935" spans="13:14">
      <c r="M935">
        <v>1.404622174</v>
      </c>
      <c r="N935">
        <v>92.9</v>
      </c>
    </row>
    <row r="936" spans="13:14">
      <c r="M936">
        <v>1.4062475800000001</v>
      </c>
      <c r="N936">
        <v>93</v>
      </c>
    </row>
    <row r="937" spans="13:14">
      <c r="M937">
        <v>1.4078729860000001</v>
      </c>
      <c r="N937">
        <v>93.1</v>
      </c>
    </row>
    <row r="938" spans="13:14">
      <c r="M938">
        <v>1.4090009999999999</v>
      </c>
      <c r="N938">
        <v>93.2</v>
      </c>
    </row>
    <row r="939" spans="13:14">
      <c r="M939">
        <v>1.4090009999999999</v>
      </c>
      <c r="N939">
        <v>93.3</v>
      </c>
    </row>
    <row r="940" spans="13:14">
      <c r="M940">
        <v>1.4090009999999999</v>
      </c>
      <c r="N940">
        <v>93.4</v>
      </c>
    </row>
    <row r="941" spans="13:14">
      <c r="M941">
        <v>1.41835209</v>
      </c>
      <c r="N941">
        <v>93.5</v>
      </c>
    </row>
    <row r="942" spans="13:14">
      <c r="M942">
        <v>1.4346497039999999</v>
      </c>
      <c r="N942">
        <v>93.6</v>
      </c>
    </row>
    <row r="943" spans="13:14">
      <c r="M943">
        <v>1.4509473180000001</v>
      </c>
      <c r="N943">
        <v>93.7</v>
      </c>
    </row>
    <row r="944" spans="13:14">
      <c r="M944">
        <v>1.45353</v>
      </c>
      <c r="N944">
        <v>93.8</v>
      </c>
    </row>
    <row r="945" spans="13:14">
      <c r="M945">
        <v>1.45353</v>
      </c>
      <c r="N945">
        <v>93.9</v>
      </c>
    </row>
    <row r="946" spans="13:14">
      <c r="M946">
        <v>1.45522884</v>
      </c>
      <c r="N946">
        <v>94</v>
      </c>
    </row>
    <row r="947" spans="13:14">
      <c r="M947">
        <v>1.4707732259999999</v>
      </c>
      <c r="N947">
        <v>94.1</v>
      </c>
    </row>
    <row r="948" spans="13:14">
      <c r="M948">
        <v>1.4863176119999999</v>
      </c>
      <c r="N948">
        <v>94.2</v>
      </c>
    </row>
    <row r="949" spans="13:14">
      <c r="M949">
        <v>1.4960009999999999</v>
      </c>
      <c r="N949">
        <v>94.3</v>
      </c>
    </row>
    <row r="950" spans="13:14">
      <c r="M950">
        <v>1.4960009999999999</v>
      </c>
      <c r="N950">
        <v>94.4</v>
      </c>
    </row>
    <row r="951" spans="13:14">
      <c r="M951">
        <v>1.4960009999999999</v>
      </c>
      <c r="N951">
        <v>94.5</v>
      </c>
    </row>
    <row r="952" spans="13:14">
      <c r="M952">
        <v>1.4960009999999999</v>
      </c>
      <c r="N952">
        <v>94.6</v>
      </c>
    </row>
    <row r="953" spans="13:14">
      <c r="M953">
        <v>1.4960009999999999</v>
      </c>
      <c r="N953">
        <v>94.7</v>
      </c>
    </row>
    <row r="954" spans="13:14">
      <c r="M954">
        <v>1.4960009999999999</v>
      </c>
      <c r="N954">
        <v>94.8</v>
      </c>
    </row>
    <row r="955" spans="13:14">
      <c r="M955">
        <v>1.4960009999999999</v>
      </c>
      <c r="N955">
        <v>94.9</v>
      </c>
    </row>
    <row r="956" spans="13:14">
      <c r="M956">
        <v>1.4960009999999999</v>
      </c>
      <c r="N956">
        <v>95</v>
      </c>
    </row>
    <row r="957" spans="13:14">
      <c r="M957">
        <v>1.4960009999999999</v>
      </c>
      <c r="N957">
        <v>95.1</v>
      </c>
    </row>
    <row r="958" spans="13:14">
      <c r="M958">
        <v>1.4960009999999999</v>
      </c>
      <c r="N958">
        <v>95.2</v>
      </c>
    </row>
    <row r="959" spans="13:14">
      <c r="M959">
        <v>1.4960009999999999</v>
      </c>
      <c r="N959">
        <v>95.3</v>
      </c>
    </row>
    <row r="960" spans="13:14">
      <c r="M960">
        <v>1.496545808</v>
      </c>
      <c r="N960">
        <v>95.4</v>
      </c>
    </row>
    <row r="961" spans="13:14">
      <c r="M961">
        <v>1.4977616600000001</v>
      </c>
      <c r="N961">
        <v>95.5</v>
      </c>
    </row>
    <row r="962" spans="13:14">
      <c r="M962">
        <v>1.498977512</v>
      </c>
      <c r="N962">
        <v>95.6</v>
      </c>
    </row>
    <row r="963" spans="13:14">
      <c r="M963">
        <v>1.508600682</v>
      </c>
      <c r="N963">
        <v>95.7</v>
      </c>
    </row>
    <row r="964" spans="13:14">
      <c r="M964">
        <v>1.521561108</v>
      </c>
      <c r="N964">
        <v>95.8</v>
      </c>
    </row>
    <row r="965" spans="13:14">
      <c r="M965">
        <v>1.534521534</v>
      </c>
      <c r="N965">
        <v>95.9</v>
      </c>
    </row>
    <row r="966" spans="13:14">
      <c r="M966">
        <v>1.534734</v>
      </c>
      <c r="N966">
        <v>96</v>
      </c>
    </row>
    <row r="967" spans="13:14">
      <c r="M967">
        <v>1.534734</v>
      </c>
      <c r="N967">
        <v>96.1</v>
      </c>
    </row>
    <row r="968" spans="13:14">
      <c r="M968">
        <v>1.534734</v>
      </c>
      <c r="N968">
        <v>96.2</v>
      </c>
    </row>
    <row r="969" spans="13:14">
      <c r="M969">
        <v>1.534734</v>
      </c>
      <c r="N969">
        <v>96.3</v>
      </c>
    </row>
    <row r="970" spans="13:14">
      <c r="M970">
        <v>1.534734</v>
      </c>
      <c r="N970">
        <v>96.4</v>
      </c>
    </row>
    <row r="971" spans="13:14">
      <c r="M971">
        <v>1.53569179</v>
      </c>
      <c r="N971">
        <v>96.5</v>
      </c>
    </row>
    <row r="972" spans="13:14">
      <c r="M972">
        <v>1.5375367959999999</v>
      </c>
      <c r="N972">
        <v>96.6</v>
      </c>
    </row>
    <row r="973" spans="13:14">
      <c r="M973">
        <v>1.5393818020000001</v>
      </c>
      <c r="N973">
        <v>96.7</v>
      </c>
    </row>
    <row r="974" spans="13:14">
      <c r="M974">
        <v>1.5478770159999999</v>
      </c>
      <c r="N974">
        <v>96.8</v>
      </c>
    </row>
    <row r="975" spans="13:14">
      <c r="M975">
        <v>1.5581733280000001</v>
      </c>
      <c r="N975">
        <v>96.9</v>
      </c>
    </row>
    <row r="976" spans="13:14">
      <c r="M976">
        <v>1.5679069999999999</v>
      </c>
      <c r="N976">
        <v>97</v>
      </c>
    </row>
    <row r="977" spans="13:14">
      <c r="M977">
        <v>1.5679069999999999</v>
      </c>
      <c r="N977">
        <v>97.1</v>
      </c>
    </row>
    <row r="978" spans="13:14">
      <c r="M978">
        <v>1.5679069999999999</v>
      </c>
      <c r="N978">
        <v>97.2</v>
      </c>
    </row>
    <row r="979" spans="13:14">
      <c r="M979">
        <v>1.5679069999999999</v>
      </c>
      <c r="N979">
        <v>97.3</v>
      </c>
    </row>
    <row r="980" spans="13:14">
      <c r="M980">
        <v>1.5679069999999999</v>
      </c>
      <c r="N980">
        <v>97.4</v>
      </c>
    </row>
    <row r="981" spans="13:14">
      <c r="M981">
        <v>1.5679069999999999</v>
      </c>
      <c r="N981">
        <v>97.5</v>
      </c>
    </row>
    <row r="982" spans="13:14">
      <c r="M982">
        <v>1.5690595759999999</v>
      </c>
      <c r="N982">
        <v>97.6</v>
      </c>
    </row>
    <row r="983" spans="13:14">
      <c r="M983">
        <v>1.571012552</v>
      </c>
      <c r="N983">
        <v>97.7</v>
      </c>
    </row>
    <row r="984" spans="13:14">
      <c r="M984">
        <v>1.5729655279999999</v>
      </c>
      <c r="N984">
        <v>97.8</v>
      </c>
    </row>
    <row r="985" spans="13:14">
      <c r="M985">
        <v>1.5810399340000001</v>
      </c>
      <c r="N985">
        <v>97.9</v>
      </c>
    </row>
    <row r="986" spans="13:14">
      <c r="M986">
        <v>1.5901280799999999</v>
      </c>
      <c r="N986">
        <v>98</v>
      </c>
    </row>
    <row r="987" spans="13:14">
      <c r="M987">
        <v>1.598074</v>
      </c>
      <c r="N987">
        <v>98.1</v>
      </c>
    </row>
    <row r="988" spans="13:14">
      <c r="M988">
        <v>1.598074</v>
      </c>
      <c r="N988">
        <v>98.2</v>
      </c>
    </row>
    <row r="989" spans="13:14">
      <c r="M989">
        <v>1.598074</v>
      </c>
      <c r="N989">
        <v>98.3</v>
      </c>
    </row>
    <row r="990" spans="13:14">
      <c r="M990">
        <v>1.599865648</v>
      </c>
      <c r="N990">
        <v>98.4</v>
      </c>
    </row>
    <row r="991" spans="13:14">
      <c r="M991">
        <v>1.6044194199999999</v>
      </c>
      <c r="N991">
        <v>98.5</v>
      </c>
    </row>
    <row r="992" spans="13:14">
      <c r="M992">
        <v>1.6089731920000001</v>
      </c>
      <c r="N992">
        <v>98.6</v>
      </c>
    </row>
    <row r="993" spans="13:14">
      <c r="M993">
        <v>1.6105160000000001</v>
      </c>
      <c r="N993">
        <v>98.7</v>
      </c>
    </row>
    <row r="994" spans="13:14">
      <c r="M994">
        <v>1.6105160000000001</v>
      </c>
      <c r="N994">
        <v>98.8</v>
      </c>
    </row>
    <row r="995" spans="13:14">
      <c r="M995">
        <v>1.6105160000000001</v>
      </c>
      <c r="N995">
        <v>98.9</v>
      </c>
    </row>
    <row r="996" spans="13:14">
      <c r="M996">
        <v>1.6105160000000001</v>
      </c>
      <c r="N996">
        <v>99</v>
      </c>
    </row>
    <row r="997" spans="13:14">
      <c r="M997">
        <v>1.6105160000000001</v>
      </c>
      <c r="N997">
        <v>99.1</v>
      </c>
    </row>
    <row r="998" spans="13:14">
      <c r="M998">
        <v>1.6105160000000001</v>
      </c>
      <c r="N998">
        <v>99.2</v>
      </c>
    </row>
    <row r="999" spans="13:14">
      <c r="M999">
        <v>1.6105160000000001</v>
      </c>
      <c r="N999">
        <v>99.3</v>
      </c>
    </row>
    <row r="1000" spans="13:14">
      <c r="M1000">
        <v>1.6105160000000001</v>
      </c>
      <c r="N1000">
        <v>99.4</v>
      </c>
    </row>
    <row r="1001" spans="13:14">
      <c r="M1001">
        <v>1.6109311399999999</v>
      </c>
      <c r="N1001">
        <v>99.5</v>
      </c>
    </row>
    <row r="1002" spans="13:14">
      <c r="M1002">
        <v>1.6118249120000001</v>
      </c>
      <c r="N1002">
        <v>99.6</v>
      </c>
    </row>
    <row r="1003" spans="13:14">
      <c r="M1003">
        <v>1.6127186840000001</v>
      </c>
      <c r="N1003">
        <v>99.7</v>
      </c>
    </row>
    <row r="1004" spans="13:14">
      <c r="M1004">
        <v>1.6140774360000001</v>
      </c>
      <c r="N1004">
        <v>99.8</v>
      </c>
    </row>
    <row r="1005" spans="13:14">
      <c r="M1005">
        <v>1.6156062179999999</v>
      </c>
      <c r="N1005">
        <v>99.9</v>
      </c>
    </row>
    <row r="1006" spans="13:14">
      <c r="M1006">
        <v>1.617135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Blad4"/>
  <dimension ref="A1:T1006"/>
  <sheetViews>
    <sheetView topLeftCell="G1" workbookViewId="0">
      <selection activeCell="T6" sqref="T6"/>
    </sheetView>
  </sheetViews>
  <sheetFormatPr baseColWidth="10" defaultRowHeight="15.5"/>
  <cols>
    <col min="4" max="4" width="15.6640625" bestFit="1" customWidth="1"/>
    <col min="5" max="5" width="12.1640625" bestFit="1" customWidth="1"/>
    <col min="6" max="6" width="9.5" customWidth="1"/>
    <col min="7" max="7" width="15.33203125" bestFit="1" customWidth="1"/>
    <col min="8" max="8" width="7" customWidth="1"/>
    <col min="10" max="10" width="4.83203125" style="5" customWidth="1"/>
    <col min="11" max="11" width="5" customWidth="1"/>
    <col min="15" max="15" width="16" bestFit="1" customWidth="1"/>
    <col min="20" max="20" width="16" bestFit="1" customWidth="1"/>
  </cols>
  <sheetData>
    <row r="1" spans="1:20">
      <c r="A1" s="2" t="s">
        <v>4</v>
      </c>
      <c r="L1" s="2" t="s">
        <v>13</v>
      </c>
    </row>
    <row r="2" spans="1:20">
      <c r="A2" s="2"/>
      <c r="L2" s="2"/>
    </row>
    <row r="3" spans="1:20">
      <c r="A3" s="23" t="s">
        <v>18</v>
      </c>
      <c r="G3" s="21">
        <f>SQRT(RAVLT_Learning!J6)</f>
        <v>7.8819729999999995</v>
      </c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L5">
        <f>RAVLT_Learning!M6</f>
        <v>-2.6486869999999998</v>
      </c>
      <c r="M5">
        <f>RAVLT_Learning!N6</f>
        <v>0</v>
      </c>
      <c r="O5">
        <f>ABS(L5-RAVLT_Learning!$C$34)</f>
        <v>2.8846642093110972</v>
      </c>
      <c r="P5">
        <f>M5</f>
        <v>0</v>
      </c>
      <c r="R5" t="s">
        <v>15</v>
      </c>
      <c r="T5">
        <f>MIN(O5:O1006)</f>
        <v>2.8846642093110972</v>
      </c>
    </row>
    <row r="6" spans="1:20">
      <c r="A6" s="2" t="s">
        <v>28</v>
      </c>
      <c r="L6">
        <f>RAVLT_Learning!M7</f>
        <v>-2.5960841280000002</v>
      </c>
      <c r="M6">
        <f>RAVLT_Learning!N7</f>
        <v>0.1</v>
      </c>
      <c r="O6">
        <f>ABS(L6-RAVLT_Learning!$C$34)</f>
        <v>2.9372670813110968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L7">
        <f>RAVLT_Learning!M8</f>
        <v>-2.5434812560000002</v>
      </c>
      <c r="M7">
        <f>RAVLT_Learning!N8</f>
        <v>0.2</v>
      </c>
      <c r="O7">
        <f>ABS(L7-RAVLT_Learning!$C$34)</f>
        <v>2.9898699533110968</v>
      </c>
      <c r="P7">
        <f t="shared" si="0"/>
        <v>0.2</v>
      </c>
    </row>
    <row r="8" spans="1:20">
      <c r="A8" t="s">
        <v>16</v>
      </c>
      <c r="B8">
        <f>RAVLT_Learning!C27</f>
        <v>44.613724831307415</v>
      </c>
    </row>
    <row r="9" spans="1:20">
      <c r="L9">
        <f>RAVLT_Learning!M9</f>
        <v>-2.5077859999999998</v>
      </c>
      <c r="M9">
        <f>RAVLT_Learning!N9</f>
        <v>0.3</v>
      </c>
      <c r="O9">
        <f>ABS(L9-RAVLT_Learning!$C$34)</f>
        <v>3.0255652093110972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L10">
        <f>RAVLT_Learning!M10</f>
        <v>-2.4928409999999999</v>
      </c>
      <c r="M10">
        <f>RAVLT_Learning!N10</f>
        <v>0.4</v>
      </c>
      <c r="O10">
        <f>ABS(L10-RAVLT_Learning!$C$34)</f>
        <v>3.0405102093110972</v>
      </c>
      <c r="P10">
        <f t="shared" si="0"/>
        <v>0.4</v>
      </c>
    </row>
    <row r="11" spans="1:20">
      <c r="B11">
        <f>RAVLT_Learning!J11</f>
        <v>0</v>
      </c>
      <c r="C11">
        <f>RAVLT_Learning!I11</f>
        <v>0</v>
      </c>
      <c r="L11">
        <f>RAVLT_Learning!M11</f>
        <v>-2.4778959999999999</v>
      </c>
      <c r="M11">
        <f>RAVLT_Learning!N11</f>
        <v>0.5</v>
      </c>
      <c r="O11">
        <f>ABS(L11-RAVLT_Learning!$C$34)</f>
        <v>3.0554552093110972</v>
      </c>
      <c r="P11">
        <f t="shared" si="0"/>
        <v>0.5</v>
      </c>
    </row>
    <row r="12" spans="1:20">
      <c r="B12">
        <f>RAVLT_Learning!J12</f>
        <v>0</v>
      </c>
      <c r="C12">
        <f>RAVLT_Learning!I12</f>
        <v>0</v>
      </c>
      <c r="L12">
        <f>RAVLT_Learning!M12</f>
        <v>-2.4498998959999998</v>
      </c>
      <c r="M12">
        <f>RAVLT_Learning!N12</f>
        <v>0.6</v>
      </c>
      <c r="O12">
        <f>ABS(L12-RAVLT_Learning!$C$34)</f>
        <v>3.0834513133110972</v>
      </c>
      <c r="P12">
        <f t="shared" si="0"/>
        <v>0.6</v>
      </c>
    </row>
    <row r="13" spans="1:20">
      <c r="B13">
        <f>RAVLT_Learning!J13</f>
        <v>0</v>
      </c>
      <c r="C13">
        <f>RAVLT_Learning!I13</f>
        <v>0</v>
      </c>
      <c r="L13">
        <f>RAVLT_Learning!M13</f>
        <v>-2.4204207119999999</v>
      </c>
      <c r="M13">
        <f>RAVLT_Learning!N13</f>
        <v>0.7</v>
      </c>
      <c r="O13">
        <f>ABS(L13-RAVLT_Learning!$C$34)</f>
        <v>3.1129304973110972</v>
      </c>
      <c r="P13">
        <f t="shared" si="0"/>
        <v>0.7</v>
      </c>
    </row>
    <row r="14" spans="1:20">
      <c r="B14">
        <f>RAVLT_Learning!J14</f>
        <v>0</v>
      </c>
      <c r="C14">
        <f>RAVLT_Learning!I14</f>
        <v>0</v>
      </c>
      <c r="L14">
        <f>RAVLT_Learning!M14</f>
        <v>-2.383251816</v>
      </c>
      <c r="M14">
        <f>RAVLT_Learning!N14</f>
        <v>0.8</v>
      </c>
      <c r="O14">
        <f>ABS(L14-RAVLT_Learning!$C$34)</f>
        <v>3.150099393311097</v>
      </c>
      <c r="P14">
        <f t="shared" si="0"/>
        <v>0.8</v>
      </c>
    </row>
    <row r="15" spans="1:20">
      <c r="B15">
        <f>RAVLT_Learning!J15</f>
        <v>0</v>
      </c>
      <c r="C15">
        <f>RAVLT_Learning!I15</f>
        <v>0</v>
      </c>
      <c r="L15">
        <f>RAVLT_Learning!M15</f>
        <v>-2.3316081679999998</v>
      </c>
      <c r="M15">
        <f>RAVLT_Learning!N15</f>
        <v>0.9</v>
      </c>
      <c r="O15">
        <f>ABS(L15-RAVLT_Learning!$C$34)</f>
        <v>3.2017430413110972</v>
      </c>
      <c r="P15">
        <f t="shared" si="0"/>
        <v>0.9</v>
      </c>
    </row>
    <row r="16" spans="1:20">
      <c r="B16">
        <f>RAVLT_Learning!J16</f>
        <v>0</v>
      </c>
      <c r="C16">
        <f>RAVLT_Learning!I16</f>
        <v>0</v>
      </c>
      <c r="L16">
        <f>RAVLT_Learning!M16</f>
        <v>-2.2799645200000001</v>
      </c>
      <c r="M16">
        <f>RAVLT_Learning!N16</f>
        <v>1</v>
      </c>
      <c r="O16">
        <f>ABS(L16-RAVLT_Learning!$C$34)</f>
        <v>3.253386689311097</v>
      </c>
      <c r="P16">
        <f t="shared" si="0"/>
        <v>1</v>
      </c>
    </row>
    <row r="17" spans="1:16">
      <c r="B17">
        <f>RAVLT_Learning!J17</f>
        <v>0</v>
      </c>
      <c r="C17">
        <f>RAVLT_Learning!I17</f>
        <v>0</v>
      </c>
      <c r="L17">
        <f>RAVLT_Learning!M17</f>
        <v>-2.1971929440000002</v>
      </c>
      <c r="M17">
        <f>RAVLT_Learning!N17</f>
        <v>1.1000000000000001</v>
      </c>
      <c r="O17">
        <f>ABS(L17-RAVLT_Learning!$C$34)</f>
        <v>3.3361582653110968</v>
      </c>
      <c r="P17">
        <f t="shared" si="0"/>
        <v>1.1000000000000001</v>
      </c>
    </row>
    <row r="18" spans="1:16">
      <c r="B18">
        <f>RAVLT_Learning!J18</f>
        <v>0</v>
      </c>
      <c r="C18">
        <f>RAVLT_Learning!I18</f>
        <v>0</v>
      </c>
      <c r="L18">
        <f>RAVLT_Learning!M18</f>
        <v>-2.1064398479999999</v>
      </c>
      <c r="M18">
        <f>RAVLT_Learning!N18</f>
        <v>1.2</v>
      </c>
      <c r="O18">
        <f>ABS(L18-RAVLT_Learning!$C$34)</f>
        <v>3.4269113613110971</v>
      </c>
      <c r="P18">
        <f t="shared" si="0"/>
        <v>1.2</v>
      </c>
    </row>
    <row r="19" spans="1:16">
      <c r="B19">
        <f>RAVLT_Learning!J19</f>
        <v>0</v>
      </c>
      <c r="C19">
        <f>RAVLT_Learning!I19</f>
        <v>0</v>
      </c>
      <c r="L19">
        <f>RAVLT_Learning!M19</f>
        <v>-2.0358746879999998</v>
      </c>
      <c r="M19">
        <f>RAVLT_Learning!N19</f>
        <v>1.3</v>
      </c>
      <c r="O19">
        <f>ABS(L19-RAVLT_Learning!$C$34)</f>
        <v>3.4974765213110972</v>
      </c>
      <c r="P19">
        <f t="shared" si="0"/>
        <v>1.3</v>
      </c>
    </row>
    <row r="20" spans="1:16">
      <c r="B20">
        <f>RAVLT_Learning!J20</f>
        <v>0</v>
      </c>
      <c r="C20">
        <f>RAVLT_Learning!I20</f>
        <v>0</v>
      </c>
      <c r="E20" t="s">
        <v>36</v>
      </c>
      <c r="G20" s="9">
        <f t="array" ref="G20">INDEX(B11:B22,MATCH(MIN(ABS(C11:C22-B8)),ABS(C11:C22-B8),0))</f>
        <v>0</v>
      </c>
      <c r="L20">
        <f>RAVLT_Learning!M20</f>
        <v>-2.0275556639999999</v>
      </c>
      <c r="M20">
        <f>RAVLT_Learning!N20</f>
        <v>1.4</v>
      </c>
      <c r="O20">
        <f>ABS(L20-RAVLT_Learning!$C$34)</f>
        <v>3.5057955453110972</v>
      </c>
      <c r="P20">
        <f t="shared" si="0"/>
        <v>1.4</v>
      </c>
    </row>
    <row r="21" spans="1:16">
      <c r="B21">
        <f>RAVLT_Learning!J21</f>
        <v>0</v>
      </c>
      <c r="C21">
        <f>RAVLT_Learning!I21</f>
        <v>0</v>
      </c>
      <c r="E21" t="s">
        <v>38</v>
      </c>
      <c r="G21" s="21">
        <f>SQRT(G20)</f>
        <v>0</v>
      </c>
      <c r="L21">
        <f>RAVLT_Learning!M21</f>
        <v>-2.0192366399999999</v>
      </c>
      <c r="M21">
        <f>RAVLT_Learning!N21</f>
        <v>1.5</v>
      </c>
      <c r="O21">
        <f>ABS(L21-RAVLT_Learning!$C$34)</f>
        <v>3.5141145693110971</v>
      </c>
      <c r="P21">
        <f t="shared" si="0"/>
        <v>1.5</v>
      </c>
    </row>
    <row r="22" spans="1:16">
      <c r="B22">
        <f>RAVLT_Learning!J22</f>
        <v>0</v>
      </c>
      <c r="C22">
        <f>RAVLT_Learning!I22</f>
        <v>0</v>
      </c>
      <c r="L22">
        <f>RAVLT_Learning!M22</f>
        <v>-2.0048645280000001</v>
      </c>
      <c r="M22">
        <f>RAVLT_Learning!N22</f>
        <v>1.6</v>
      </c>
      <c r="O22">
        <f>ABS(L22-RAVLT_Learning!$C$34)</f>
        <v>3.5284866813110969</v>
      </c>
      <c r="P22">
        <f t="shared" si="0"/>
        <v>1.6</v>
      </c>
    </row>
    <row r="23" spans="1:16">
      <c r="E23" t="s">
        <v>20</v>
      </c>
      <c r="F23" s="20" t="s">
        <v>19</v>
      </c>
      <c r="L23">
        <f>RAVLT_Learning!M23</f>
        <v>-1.987821936</v>
      </c>
      <c r="M23">
        <f>RAVLT_Learning!N23</f>
        <v>1.7</v>
      </c>
      <c r="O23">
        <f>ABS(L23-RAVLT_Learning!$C$34)</f>
        <v>3.545529273311097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RAVLT_Learning!M24</f>
        <v>-1.9693788400000001</v>
      </c>
      <c r="M24">
        <f>RAVLT_Learning!N24</f>
        <v>1.8</v>
      </c>
      <c r="O24">
        <f>ABS(L24-RAVLT_Learning!$C$34)</f>
        <v>3.563972369311097</v>
      </c>
      <c r="P24">
        <f t="shared" si="0"/>
        <v>1.8</v>
      </c>
    </row>
    <row r="25" spans="1:16">
      <c r="A25" s="2" t="s">
        <v>27</v>
      </c>
      <c r="L25">
        <f>RAVLT_Learning!M25</f>
        <v>-1.94253272</v>
      </c>
      <c r="M25">
        <f>RAVLT_Learning!N25</f>
        <v>1.9</v>
      </c>
      <c r="O25">
        <f>ABS(L25-RAVLT_Learning!$C$34)</f>
        <v>3.590818489311097</v>
      </c>
      <c r="P25">
        <f t="shared" si="0"/>
        <v>1.9</v>
      </c>
    </row>
    <row r="26" spans="1:16">
      <c r="H26" s="1"/>
      <c r="L26">
        <f>RAVLT_Learning!M26</f>
        <v>-1.9156865999999999</v>
      </c>
      <c r="M26">
        <f>RAVLT_Learning!N26</f>
        <v>2</v>
      </c>
      <c r="O26">
        <f>ABS(L26-RAVLT_Learning!$C$34)</f>
        <v>3.6176646093110971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L27">
        <f>RAVLT_Learning!M27</f>
        <v>-1.904303976</v>
      </c>
      <c r="M27">
        <f>RAVLT_Learning!N27</f>
        <v>2.1</v>
      </c>
      <c r="O27">
        <f>ABS(L27-RAVLT_Learning!$C$34)</f>
        <v>3.629047233311097</v>
      </c>
      <c r="P27">
        <f t="shared" si="0"/>
        <v>2.1</v>
      </c>
    </row>
    <row r="28" spans="1:16">
      <c r="A28">
        <f>RAVLT_Learning!I27</f>
        <v>0</v>
      </c>
      <c r="B28">
        <f>RAVLT_Learning!J27</f>
        <v>0</v>
      </c>
      <c r="C28">
        <v>1</v>
      </c>
      <c r="D28">
        <f>B28*C28</f>
        <v>0</v>
      </c>
      <c r="L28">
        <f>RAVLT_Learning!M28</f>
        <v>-1.9035858320000001</v>
      </c>
      <c r="M28">
        <f>RAVLT_Learning!N28</f>
        <v>2.2000000000000002</v>
      </c>
      <c r="O28">
        <f>ABS(L28-RAVLT_Learning!$C$34)</f>
        <v>3.6297653773110969</v>
      </c>
      <c r="P28">
        <f t="shared" si="0"/>
        <v>2.2000000000000002</v>
      </c>
    </row>
    <row r="29" spans="1:16">
      <c r="A29">
        <f>RAVLT_Learning!I28</f>
        <v>0</v>
      </c>
      <c r="B29">
        <f>RAVLT_Learning!J28</f>
        <v>0</v>
      </c>
      <c r="C29">
        <f>B8</f>
        <v>44.613724831307415</v>
      </c>
      <c r="D29">
        <f t="shared" ref="D29:D33" si="1">B29*C29</f>
        <v>0</v>
      </c>
      <c r="L29">
        <f>RAVLT_Learning!M29</f>
        <v>-1.90274956</v>
      </c>
      <c r="M29">
        <f>RAVLT_Learning!N29</f>
        <v>2.2999999999999998</v>
      </c>
      <c r="O29">
        <f>ABS(L29-RAVLT_Learning!$C$34)</f>
        <v>3.6306016493110969</v>
      </c>
      <c r="P29">
        <f t="shared" si="0"/>
        <v>2.2999999999999998</v>
      </c>
    </row>
    <row r="30" spans="1:16">
      <c r="A30">
        <f>RAVLT_Learning!I29</f>
        <v>0</v>
      </c>
      <c r="B30">
        <f>RAVLT_Learning!J29</f>
        <v>0</v>
      </c>
      <c r="C30">
        <f>B8^2</f>
        <v>1990.3844433236159</v>
      </c>
      <c r="D30">
        <f t="shared" si="1"/>
        <v>0</v>
      </c>
      <c r="L30">
        <f>RAVLT_Learning!M30</f>
        <v>-1.8991372799999999</v>
      </c>
      <c r="M30">
        <f>RAVLT_Learning!N30</f>
        <v>2.4</v>
      </c>
      <c r="O30">
        <f>ABS(L30-RAVLT_Learning!$C$34)</f>
        <v>3.6342139293110973</v>
      </c>
      <c r="P30">
        <f t="shared" si="0"/>
        <v>2.4</v>
      </c>
    </row>
    <row r="31" spans="1:16">
      <c r="A31">
        <f>RAVLT_Learning!I30</f>
        <v>0</v>
      </c>
      <c r="B31">
        <f>RAVLT_Learning!J30</f>
        <v>0</v>
      </c>
      <c r="C31">
        <f>B8^3</f>
        <v>88798.463862954784</v>
      </c>
      <c r="D31">
        <f t="shared" si="1"/>
        <v>0</v>
      </c>
      <c r="L31">
        <f>RAVLT_Learning!M31</f>
        <v>-1.8955249999999999</v>
      </c>
      <c r="M31">
        <f>RAVLT_Learning!N31</f>
        <v>2.5</v>
      </c>
      <c r="O31">
        <f>ABS(L31-RAVLT_Learning!$C$34)</f>
        <v>3.6378262093110969</v>
      </c>
      <c r="P31">
        <f t="shared" si="0"/>
        <v>2.5</v>
      </c>
    </row>
    <row r="32" spans="1:16">
      <c r="A32">
        <f>RAVLT_Learning!I31</f>
        <v>0</v>
      </c>
      <c r="B32">
        <f>RAVLT_Learning!J31</f>
        <v>0</v>
      </c>
      <c r="C32">
        <f>B8^4</f>
        <v>3961630.2322246605</v>
      </c>
      <c r="D32">
        <f t="shared" si="1"/>
        <v>0</v>
      </c>
      <c r="L32">
        <f>RAVLT_Learning!M32</f>
        <v>-1.8891373600000001</v>
      </c>
      <c r="M32">
        <f>RAVLT_Learning!N32</f>
        <v>2.6</v>
      </c>
      <c r="O32">
        <f>ABS(L32-RAVLT_Learning!$C$34)</f>
        <v>3.6442138493110967</v>
      </c>
      <c r="P32">
        <f t="shared" si="0"/>
        <v>2.6</v>
      </c>
    </row>
    <row r="33" spans="1:16">
      <c r="A33">
        <f>RAVLT_Learning!I32</f>
        <v>0</v>
      </c>
      <c r="B33">
        <f>RAVLT_Learning!J32</f>
        <v>0</v>
      </c>
      <c r="C33">
        <f>B8^5</f>
        <v>176743081.06385949</v>
      </c>
      <c r="D33">
        <f t="shared" si="1"/>
        <v>0</v>
      </c>
      <c r="L33">
        <f>RAVLT_Learning!M33</f>
        <v>-1.8798587200000001</v>
      </c>
      <c r="M33">
        <f>RAVLT_Learning!N33</f>
        <v>2.7</v>
      </c>
      <c r="O33">
        <f>ABS(L33-RAVLT_Learning!$C$34)</f>
        <v>3.6534924893110969</v>
      </c>
      <c r="P33">
        <f t="shared" si="0"/>
        <v>2.7</v>
      </c>
    </row>
    <row r="34" spans="1:16">
      <c r="G34" s="21">
        <f>SQRT(D35)</f>
        <v>0</v>
      </c>
      <c r="L34">
        <f>RAVLT_Learning!M34</f>
        <v>-1.8705800800000001</v>
      </c>
      <c r="M34">
        <f>RAVLT_Learning!N34</f>
        <v>2.8</v>
      </c>
      <c r="O34">
        <f>ABS(L34-RAVLT_Learning!$C$34)</f>
        <v>3.6627711293110972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RAVLT_Learning!M35</f>
        <v>-1.851758464</v>
      </c>
      <c r="M35">
        <f>RAVLT_Learning!N35</f>
        <v>2.9</v>
      </c>
      <c r="O35">
        <f>ABS(L35-RAVLT_Learning!$C$34)</f>
        <v>3.681592745311097</v>
      </c>
      <c r="P35">
        <f t="shared" si="0"/>
        <v>2.9</v>
      </c>
    </row>
    <row r="36" spans="1:16">
      <c r="L36">
        <f>RAVLT_Learning!M36</f>
        <v>-1.83231448</v>
      </c>
      <c r="M36">
        <f>RAVLT_Learning!N36</f>
        <v>3</v>
      </c>
      <c r="O36">
        <f>ABS(L36-RAVLT_Learning!$C$34)</f>
        <v>3.7010367293110971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L37">
        <f>RAVLT_Learning!M37</f>
        <v>-1.818871152</v>
      </c>
      <c r="M37">
        <f>RAVLT_Learning!N37</f>
        <v>3.1</v>
      </c>
      <c r="O37">
        <f>ABS(L37-RAVLT_Learning!$C$34)</f>
        <v>3.7144800573110972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7.8819729999999995</v>
      </c>
      <c r="L38">
        <f>RAVLT_Learning!M38</f>
        <v>-1.814902544</v>
      </c>
      <c r="M38">
        <f>RAVLT_Learning!N38</f>
        <v>3.2</v>
      </c>
      <c r="O38">
        <f>ABS(L38-RAVLT_Learning!$C$34)</f>
        <v>3.7184486653110973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L39">
        <f>RAVLT_Learning!M39</f>
        <v>-1.8109339360000001</v>
      </c>
      <c r="M39">
        <f>RAVLT_Learning!N39</f>
        <v>3.3</v>
      </c>
      <c r="O39">
        <f>ABS(L39-RAVLT_Learning!$C$34)</f>
        <v>3.722417273311097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L40">
        <f>RAVLT_Learning!M40</f>
        <v>-1.801400152</v>
      </c>
      <c r="M40">
        <f>RAVLT_Learning!N40</f>
        <v>3.4</v>
      </c>
      <c r="O40">
        <f>ABS(L40-RAVLT_Learning!$C$34)</f>
        <v>3.7319510573110968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L41">
        <f>RAVLT_Learning!M41</f>
        <v>-1.79078048</v>
      </c>
      <c r="M41">
        <f>RAVLT_Learning!N41</f>
        <v>3.5</v>
      </c>
      <c r="O41">
        <f>ABS(L41-RAVLT_Learning!$C$34)</f>
        <v>3.742570729311097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L42">
        <f>RAVLT_Learning!M42</f>
        <v>-1.783152552</v>
      </c>
      <c r="M42">
        <f>RAVLT_Learning!N42</f>
        <v>3.6</v>
      </c>
      <c r="O42">
        <f>ABS(L42-RAVLT_Learning!$C$34)</f>
        <v>3.7501986573110973</v>
      </c>
      <c r="P42">
        <f t="shared" si="0"/>
        <v>3.6</v>
      </c>
    </row>
    <row r="43" spans="1:16">
      <c r="A43" s="22"/>
      <c r="L43">
        <f>RAVLT_Learning!M43</f>
        <v>-1.783003984</v>
      </c>
      <c r="M43">
        <f>RAVLT_Learning!N43</f>
        <v>3.7</v>
      </c>
      <c r="O43">
        <f>ABS(L43-RAVLT_Learning!$C$34)</f>
        <v>3.750347225311097</v>
      </c>
      <c r="P43">
        <f t="shared" si="0"/>
        <v>3.7</v>
      </c>
    </row>
    <row r="44" spans="1:16">
      <c r="L44">
        <f>RAVLT_Learning!M44</f>
        <v>-1.7828554160000001</v>
      </c>
      <c r="M44">
        <f>RAVLT_Learning!N44</f>
        <v>3.8</v>
      </c>
      <c r="O44">
        <f>ABS(L44-RAVLT_Learning!$C$34)</f>
        <v>3.7504957933110967</v>
      </c>
      <c r="P44">
        <f t="shared" si="0"/>
        <v>3.8</v>
      </c>
    </row>
    <row r="45" spans="1:16">
      <c r="L45">
        <f>RAVLT_Learning!M45</f>
        <v>-1.7744579519999999</v>
      </c>
      <c r="M45">
        <f>RAVLT_Learning!N45</f>
        <v>3.9</v>
      </c>
      <c r="O45">
        <f>ABS(L45-RAVLT_Learning!$C$34)</f>
        <v>3.7588932573110974</v>
      </c>
      <c r="P45">
        <f t="shared" si="0"/>
        <v>3.9</v>
      </c>
    </row>
    <row r="46" spans="1:16">
      <c r="L46">
        <f>RAVLT_Learning!M46</f>
        <v>-1.76308172</v>
      </c>
      <c r="M46">
        <f>RAVLT_Learning!N46</f>
        <v>4</v>
      </c>
      <c r="O46">
        <f>ABS(L46-RAVLT_Learning!$C$34)</f>
        <v>3.7702694893110973</v>
      </c>
      <c r="P46">
        <f t="shared" si="0"/>
        <v>4</v>
      </c>
    </row>
    <row r="47" spans="1:16">
      <c r="L47">
        <f>RAVLT_Learning!M47</f>
        <v>-1.752968584</v>
      </c>
      <c r="M47">
        <f>RAVLT_Learning!N47</f>
        <v>4.0999999999999996</v>
      </c>
      <c r="O47">
        <f>ABS(L47-RAVLT_Learning!$C$34)</f>
        <v>3.780382625311097</v>
      </c>
      <c r="P47">
        <f t="shared" si="0"/>
        <v>4.0999999999999996</v>
      </c>
    </row>
    <row r="48" spans="1:16">
      <c r="L48">
        <f>RAVLT_Learning!M48</f>
        <v>-1.7484692079999999</v>
      </c>
      <c r="M48">
        <f>RAVLT_Learning!N48</f>
        <v>4.2</v>
      </c>
      <c r="O48">
        <f>ABS(L48-RAVLT_Learning!$C$34)</f>
        <v>3.7848820013110971</v>
      </c>
      <c r="P48">
        <f t="shared" si="0"/>
        <v>4.2</v>
      </c>
    </row>
    <row r="49" spans="12:16">
      <c r="L49">
        <f>RAVLT_Learning!M49</f>
        <v>-1.7439698320000001</v>
      </c>
      <c r="M49">
        <f>RAVLT_Learning!N49</f>
        <v>4.3</v>
      </c>
      <c r="O49">
        <f>ABS(L49-RAVLT_Learning!$C$34)</f>
        <v>3.7893813773110967</v>
      </c>
      <c r="P49">
        <f t="shared" si="0"/>
        <v>4.3</v>
      </c>
    </row>
    <row r="50" spans="12:16">
      <c r="L50">
        <f>RAVLT_Learning!M50</f>
        <v>-1.73905208</v>
      </c>
      <c r="M50">
        <f>RAVLT_Learning!N50</f>
        <v>4.4000000000000004</v>
      </c>
      <c r="O50">
        <f>ABS(L50-RAVLT_Learning!$C$34)</f>
        <v>3.794299129311097</v>
      </c>
      <c r="P50">
        <f t="shared" si="0"/>
        <v>4.4000000000000004</v>
      </c>
    </row>
    <row r="51" spans="12:16">
      <c r="L51">
        <f>RAVLT_Learning!M51</f>
        <v>-1.7338914000000001</v>
      </c>
      <c r="M51">
        <f>RAVLT_Learning!N51</f>
        <v>4.5</v>
      </c>
      <c r="O51">
        <f>ABS(L51-RAVLT_Learning!$C$34)</f>
        <v>3.7994598093110969</v>
      </c>
      <c r="P51">
        <f t="shared" si="0"/>
        <v>4.5</v>
      </c>
    </row>
    <row r="52" spans="12:16">
      <c r="L52">
        <f>RAVLT_Learning!M52</f>
        <v>-1.7277808960000001</v>
      </c>
      <c r="M52">
        <f>RAVLT_Learning!N52</f>
        <v>4.5999999999999996</v>
      </c>
      <c r="O52">
        <f>ABS(L52-RAVLT_Learning!$C$34)</f>
        <v>3.805570313311097</v>
      </c>
      <c r="P52">
        <f t="shared" si="0"/>
        <v>4.5999999999999996</v>
      </c>
    </row>
    <row r="53" spans="12:16">
      <c r="L53">
        <f>RAVLT_Learning!M53</f>
        <v>-1.710984872</v>
      </c>
      <c r="M53">
        <f>RAVLT_Learning!N53</f>
        <v>4.7</v>
      </c>
      <c r="O53">
        <f>ABS(L53-RAVLT_Learning!$C$34)</f>
        <v>3.822366337311097</v>
      </c>
      <c r="P53">
        <f t="shared" si="0"/>
        <v>4.7</v>
      </c>
    </row>
    <row r="54" spans="12:16">
      <c r="L54">
        <f>RAVLT_Learning!M54</f>
        <v>-1.694188848</v>
      </c>
      <c r="M54">
        <f>RAVLT_Learning!N54</f>
        <v>4.8</v>
      </c>
      <c r="O54">
        <f>ABS(L54-RAVLT_Learning!$C$34)</f>
        <v>3.839162361311097</v>
      </c>
      <c r="P54">
        <f t="shared" si="0"/>
        <v>4.8</v>
      </c>
    </row>
    <row r="55" spans="12:16">
      <c r="L55">
        <f>RAVLT_Learning!M55</f>
        <v>-1.6624130800000001</v>
      </c>
      <c r="M55">
        <f>RAVLT_Learning!N55</f>
        <v>4.9000000000000004</v>
      </c>
      <c r="O55">
        <f>ABS(L55-RAVLT_Learning!$C$34)</f>
        <v>3.8709381293110967</v>
      </c>
      <c r="P55">
        <f t="shared" si="0"/>
        <v>4.9000000000000004</v>
      </c>
    </row>
    <row r="56" spans="12:16">
      <c r="L56">
        <f>RAVLT_Learning!M56</f>
        <v>-1.617386</v>
      </c>
      <c r="M56">
        <f>RAVLT_Learning!N56</f>
        <v>5</v>
      </c>
      <c r="O56">
        <f>ABS(L56-RAVLT_Learning!$C$34)</f>
        <v>3.9159652093110973</v>
      </c>
      <c r="P56">
        <f t="shared" si="0"/>
        <v>5</v>
      </c>
    </row>
    <row r="57" spans="12:16">
      <c r="L57">
        <f>RAVLT_Learning!M57</f>
        <v>-1.5723589200000001</v>
      </c>
      <c r="M57">
        <f>RAVLT_Learning!N57</f>
        <v>5.0999999999999996</v>
      </c>
      <c r="O57">
        <f>ABS(L57-RAVLT_Learning!$C$34)</f>
        <v>3.9609922893110969</v>
      </c>
      <c r="P57">
        <f t="shared" si="0"/>
        <v>5.0999999999999996</v>
      </c>
    </row>
    <row r="58" spans="12:16">
      <c r="L58">
        <f>RAVLT_Learning!M58</f>
        <v>-1.5709204480000001</v>
      </c>
      <c r="M58">
        <f>RAVLT_Learning!N58</f>
        <v>5.2</v>
      </c>
      <c r="O58">
        <f>ABS(L58-RAVLT_Learning!$C$34)</f>
        <v>3.9624307613110972</v>
      </c>
      <c r="P58">
        <f t="shared" si="0"/>
        <v>5.2</v>
      </c>
    </row>
    <row r="59" spans="12:16">
      <c r="L59">
        <f>RAVLT_Learning!M59</f>
        <v>-1.5703900719999999</v>
      </c>
      <c r="M59">
        <f>RAVLT_Learning!N59</f>
        <v>5.3</v>
      </c>
      <c r="O59">
        <f>ABS(L59-RAVLT_Learning!$C$34)</f>
        <v>3.9629611373110971</v>
      </c>
      <c r="P59">
        <f t="shared" si="0"/>
        <v>5.3</v>
      </c>
    </row>
    <row r="60" spans="12:16">
      <c r="L60">
        <f>RAVLT_Learning!M60</f>
        <v>-1.5689377120000001</v>
      </c>
      <c r="M60">
        <f>RAVLT_Learning!N60</f>
        <v>5.4</v>
      </c>
      <c r="O60">
        <f>ABS(L60-RAVLT_Learning!$C$34)</f>
        <v>3.9644134973110967</v>
      </c>
      <c r="P60">
        <f t="shared" si="0"/>
        <v>5.4</v>
      </c>
    </row>
    <row r="61" spans="12:16">
      <c r="L61">
        <f>RAVLT_Learning!M61</f>
        <v>-1.5662560400000001</v>
      </c>
      <c r="M61">
        <f>RAVLT_Learning!N61</f>
        <v>5.5</v>
      </c>
      <c r="O61">
        <f>ABS(L61-RAVLT_Learning!$C$34)</f>
        <v>3.9670951693110972</v>
      </c>
      <c r="P61">
        <f t="shared" si="0"/>
        <v>5.5</v>
      </c>
    </row>
    <row r="62" spans="12:16">
      <c r="L62">
        <f>RAVLT_Learning!M62</f>
        <v>-1.563574368</v>
      </c>
      <c r="M62">
        <f>RAVLT_Learning!N62</f>
        <v>5.6</v>
      </c>
      <c r="O62">
        <f>ABS(L62-RAVLT_Learning!$C$34)</f>
        <v>3.9697768413110968</v>
      </c>
      <c r="P62">
        <f t="shared" si="0"/>
        <v>5.6</v>
      </c>
    </row>
    <row r="63" spans="12:16">
      <c r="L63">
        <f>RAVLT_Learning!M63</f>
        <v>-1.56007604</v>
      </c>
      <c r="M63">
        <f>RAVLT_Learning!N63</f>
        <v>5.7</v>
      </c>
      <c r="O63">
        <f>ABS(L63-RAVLT_Learning!$C$34)</f>
        <v>3.9732751693110968</v>
      </c>
      <c r="P63">
        <f t="shared" si="0"/>
        <v>5.7</v>
      </c>
    </row>
    <row r="64" spans="12:16">
      <c r="L64">
        <f>RAVLT_Learning!M64</f>
        <v>-1.55646376</v>
      </c>
      <c r="M64">
        <f>RAVLT_Learning!N64</f>
        <v>5.8</v>
      </c>
      <c r="O64">
        <f>ABS(L64-RAVLT_Learning!$C$34)</f>
        <v>3.9768874493110973</v>
      </c>
      <c r="P64">
        <f t="shared" si="0"/>
        <v>5.8</v>
      </c>
    </row>
    <row r="65" spans="12:16">
      <c r="L65">
        <f>RAVLT_Learning!M65</f>
        <v>-1.5529886959999999</v>
      </c>
      <c r="M65">
        <f>RAVLT_Learning!N65</f>
        <v>5.9</v>
      </c>
      <c r="O65">
        <f>ABS(L65-RAVLT_Learning!$C$34)</f>
        <v>3.9803625133110971</v>
      </c>
      <c r="P65">
        <f t="shared" si="0"/>
        <v>5.9</v>
      </c>
    </row>
    <row r="66" spans="12:16">
      <c r="L66">
        <f>RAVLT_Learning!M66</f>
        <v>-1.5497966400000001</v>
      </c>
      <c r="M66">
        <f>RAVLT_Learning!N66</f>
        <v>6</v>
      </c>
      <c r="O66">
        <f>ABS(L66-RAVLT_Learning!$C$34)</f>
        <v>3.9835545693110967</v>
      </c>
      <c r="P66">
        <f t="shared" si="0"/>
        <v>6</v>
      </c>
    </row>
    <row r="67" spans="12:16">
      <c r="L67">
        <f>RAVLT_Learning!M67</f>
        <v>-1.546604584</v>
      </c>
      <c r="M67">
        <f>RAVLT_Learning!N67</f>
        <v>6.1</v>
      </c>
      <c r="O67">
        <f>ABS(L67-RAVLT_Learning!$C$34)</f>
        <v>3.9867466253110972</v>
      </c>
      <c r="P67">
        <f t="shared" si="0"/>
        <v>6.1</v>
      </c>
    </row>
    <row r="68" spans="12:16">
      <c r="L68">
        <f>RAVLT_Learning!M68</f>
        <v>-1.5385312</v>
      </c>
      <c r="M68">
        <f>RAVLT_Learning!N68</f>
        <v>6.2</v>
      </c>
      <c r="O68">
        <f>ABS(L68-RAVLT_Learning!$C$34)</f>
        <v>3.994820009311097</v>
      </c>
      <c r="P68">
        <f t="shared" si="0"/>
        <v>6.2</v>
      </c>
    </row>
    <row r="69" spans="12:16">
      <c r="L69">
        <f>RAVLT_Learning!M69</f>
        <v>-1.5290448000000001</v>
      </c>
      <c r="M69">
        <f>RAVLT_Learning!N69</f>
        <v>6.3</v>
      </c>
      <c r="O69">
        <f>ABS(L69-RAVLT_Learning!$C$34)</f>
        <v>4.0043064093110967</v>
      </c>
      <c r="P69">
        <f t="shared" si="0"/>
        <v>6.3</v>
      </c>
    </row>
    <row r="70" spans="12:16">
      <c r="L70">
        <f>RAVLT_Learning!M70</f>
        <v>-1.5173276</v>
      </c>
      <c r="M70">
        <f>RAVLT_Learning!N70</f>
        <v>6.4</v>
      </c>
      <c r="O70">
        <f>ABS(L70-RAVLT_Learning!$C$34)</f>
        <v>4.0160236093110973</v>
      </c>
      <c r="P70">
        <f t="shared" si="0"/>
        <v>6.4</v>
      </c>
    </row>
    <row r="71" spans="12:16">
      <c r="L71">
        <f>RAVLT_Learning!M71</f>
        <v>-1.4979039999999999</v>
      </c>
      <c r="M71">
        <f>RAVLT_Learning!N71</f>
        <v>6.5</v>
      </c>
      <c r="O71">
        <f>ABS(L71-RAVLT_Learning!$C$34)</f>
        <v>4.0354472093110969</v>
      </c>
      <c r="P71">
        <f t="shared" ref="P71:P104" si="2">M71</f>
        <v>6.5</v>
      </c>
    </row>
    <row r="72" spans="12:16">
      <c r="L72">
        <f>RAVLT_Learning!M72</f>
        <v>-1.4784804</v>
      </c>
      <c r="M72">
        <f>RAVLT_Learning!N72</f>
        <v>6.6</v>
      </c>
      <c r="O72">
        <f>ABS(L72-RAVLT_Learning!$C$34)</f>
        <v>4.0548708093110974</v>
      </c>
      <c r="P72">
        <f t="shared" si="2"/>
        <v>6.6</v>
      </c>
    </row>
    <row r="73" spans="12:16">
      <c r="L73">
        <f>RAVLT_Learning!M73</f>
        <v>-1.470228224</v>
      </c>
      <c r="M73">
        <f>RAVLT_Learning!N73</f>
        <v>6.7</v>
      </c>
      <c r="O73">
        <f>ABS(L73-RAVLT_Learning!$C$34)</f>
        <v>4.0631229853110966</v>
      </c>
      <c r="P73">
        <f t="shared" si="2"/>
        <v>6.7</v>
      </c>
    </row>
    <row r="74" spans="12:16">
      <c r="L74">
        <f>RAVLT_Learning!M74</f>
        <v>-1.467392496</v>
      </c>
      <c r="M74">
        <f>RAVLT_Learning!N74</f>
        <v>6.8</v>
      </c>
      <c r="O74">
        <f>ABS(L74-RAVLT_Learning!$C$34)</f>
        <v>4.0659587133110975</v>
      </c>
      <c r="P74">
        <f t="shared" si="2"/>
        <v>6.8</v>
      </c>
    </row>
    <row r="75" spans="12:16">
      <c r="L75">
        <f>RAVLT_Learning!M75</f>
        <v>-1.464133264</v>
      </c>
      <c r="M75">
        <f>RAVLT_Learning!N75</f>
        <v>6.9</v>
      </c>
      <c r="O75">
        <f>ABS(L75-RAVLT_Learning!$C$34)</f>
        <v>4.069217945311097</v>
      </c>
      <c r="P75">
        <f t="shared" si="2"/>
        <v>6.9</v>
      </c>
    </row>
    <row r="76" spans="12:16">
      <c r="L76">
        <f>RAVLT_Learning!M76</f>
        <v>-1.4578389199999999</v>
      </c>
      <c r="M76">
        <f>RAVLT_Learning!N76</f>
        <v>7</v>
      </c>
      <c r="O76">
        <f>ABS(L76-RAVLT_Learning!$C$34)</f>
        <v>4.0755122893110975</v>
      </c>
      <c r="P76">
        <f t="shared" si="2"/>
        <v>7</v>
      </c>
    </row>
    <row r="77" spans="12:16">
      <c r="L77">
        <f>RAVLT_Learning!M77</f>
        <v>-1.4515445760000001</v>
      </c>
      <c r="M77">
        <f>RAVLT_Learning!N77</f>
        <v>7.1</v>
      </c>
      <c r="O77">
        <f>ABS(L77-RAVLT_Learning!$C$34)</f>
        <v>4.0818066333110972</v>
      </c>
      <c r="P77">
        <f t="shared" si="2"/>
        <v>7.1</v>
      </c>
    </row>
    <row r="78" spans="12:16">
      <c r="L78">
        <f>RAVLT_Learning!M78</f>
        <v>-1.437165848</v>
      </c>
      <c r="M78">
        <f>RAVLT_Learning!N78</f>
        <v>7.2</v>
      </c>
      <c r="O78">
        <f>ABS(L78-RAVLT_Learning!$C$34)</f>
        <v>4.0961853613110968</v>
      </c>
      <c r="P78">
        <f t="shared" si="2"/>
        <v>7.2</v>
      </c>
    </row>
    <row r="79" spans="12:16">
      <c r="L79">
        <f>RAVLT_Learning!M79</f>
        <v>-1.416723832</v>
      </c>
      <c r="M79">
        <f>RAVLT_Learning!N79</f>
        <v>7.3</v>
      </c>
      <c r="O79">
        <f>ABS(L79-RAVLT_Learning!$C$34)</f>
        <v>4.1166273773110973</v>
      </c>
      <c r="P79">
        <f t="shared" si="2"/>
        <v>7.3</v>
      </c>
    </row>
    <row r="80" spans="12:16">
      <c r="L80">
        <f>RAVLT_Learning!M80</f>
        <v>-1.396371568</v>
      </c>
      <c r="M80">
        <f>RAVLT_Learning!N80</f>
        <v>7.4</v>
      </c>
      <c r="O80">
        <f>ABS(L80-RAVLT_Learning!$C$34)</f>
        <v>4.1369796413110969</v>
      </c>
      <c r="P80">
        <f t="shared" si="2"/>
        <v>7.4</v>
      </c>
    </row>
    <row r="81" spans="12:16">
      <c r="L81">
        <f>RAVLT_Learning!M81</f>
        <v>-1.3803274000000001</v>
      </c>
      <c r="M81">
        <f>RAVLT_Learning!N81</f>
        <v>7.5</v>
      </c>
      <c r="O81">
        <f>ABS(L81-RAVLT_Learning!$C$34)</f>
        <v>4.1530238093110974</v>
      </c>
      <c r="P81">
        <f t="shared" si="2"/>
        <v>7.5</v>
      </c>
    </row>
    <row r="82" spans="12:16">
      <c r="L82">
        <f>RAVLT_Learning!M82</f>
        <v>-1.364283232</v>
      </c>
      <c r="M82">
        <f>RAVLT_Learning!N82</f>
        <v>7.6</v>
      </c>
      <c r="O82">
        <f>ABS(L82-RAVLT_Learning!$C$34)</f>
        <v>4.169067977311097</v>
      </c>
      <c r="P82">
        <f t="shared" si="2"/>
        <v>7.6</v>
      </c>
    </row>
    <row r="83" spans="12:16">
      <c r="L83">
        <f>RAVLT_Learning!M83</f>
        <v>-1.3557000800000001</v>
      </c>
      <c r="M83">
        <f>RAVLT_Learning!N83</f>
        <v>7.7</v>
      </c>
      <c r="O83">
        <f>ABS(L83-RAVLT_Learning!$C$34)</f>
        <v>4.1776511293110969</v>
      </c>
      <c r="P83">
        <f t="shared" si="2"/>
        <v>7.7</v>
      </c>
    </row>
    <row r="84" spans="12:16">
      <c r="L84">
        <f>RAVLT_Learning!M84</f>
        <v>-1.3555511200000001</v>
      </c>
      <c r="M84">
        <f>RAVLT_Learning!N84</f>
        <v>7.8</v>
      </c>
      <c r="O84">
        <f>ABS(L84-RAVLT_Learning!$C$34)</f>
        <v>4.1778000893110967</v>
      </c>
      <c r="P84">
        <f t="shared" si="2"/>
        <v>7.8</v>
      </c>
    </row>
    <row r="85" spans="12:16">
      <c r="L85">
        <f>RAVLT_Learning!M85</f>
        <v>-1.3554021599999999</v>
      </c>
      <c r="M85">
        <f>RAVLT_Learning!N85</f>
        <v>7.9</v>
      </c>
      <c r="O85">
        <f>ABS(L85-RAVLT_Learning!$C$34)</f>
        <v>4.1779490493110973</v>
      </c>
      <c r="P85">
        <f t="shared" si="2"/>
        <v>7.9</v>
      </c>
    </row>
    <row r="86" spans="12:16">
      <c r="L86">
        <f>RAVLT_Learning!M86</f>
        <v>-1.3468688</v>
      </c>
      <c r="M86">
        <f>RAVLT_Learning!N86</f>
        <v>8</v>
      </c>
      <c r="O86">
        <f>ABS(L86-RAVLT_Learning!$C$34)</f>
        <v>4.1864824093110968</v>
      </c>
      <c r="P86">
        <f t="shared" si="2"/>
        <v>8</v>
      </c>
    </row>
    <row r="87" spans="12:16">
      <c r="L87">
        <f>RAVLT_Learning!M87</f>
        <v>-1.33759016</v>
      </c>
      <c r="M87">
        <f>RAVLT_Learning!N87</f>
        <v>8.1</v>
      </c>
      <c r="O87">
        <f>ABS(L87-RAVLT_Learning!$C$34)</f>
        <v>4.1957610493110966</v>
      </c>
      <c r="P87">
        <f t="shared" si="2"/>
        <v>8.1</v>
      </c>
    </row>
    <row r="88" spans="12:16">
      <c r="L88">
        <f>RAVLT_Learning!M88</f>
        <v>-1.3312132640000001</v>
      </c>
      <c r="M88">
        <f>RAVLT_Learning!N88</f>
        <v>8.1999999999999993</v>
      </c>
      <c r="O88">
        <f>ABS(L88-RAVLT_Learning!$C$34)</f>
        <v>4.2021379453110974</v>
      </c>
      <c r="P88">
        <f t="shared" si="2"/>
        <v>8.1999999999999993</v>
      </c>
    </row>
    <row r="89" spans="12:16">
      <c r="L89">
        <f>RAVLT_Learning!M89</f>
        <v>-1.3298338160000001</v>
      </c>
      <c r="M89">
        <f>RAVLT_Learning!N89</f>
        <v>8.3000000000000007</v>
      </c>
      <c r="O89">
        <f>ABS(L89-RAVLT_Learning!$C$34)</f>
        <v>4.2035173933110972</v>
      </c>
      <c r="P89">
        <f t="shared" si="2"/>
        <v>8.3000000000000007</v>
      </c>
    </row>
    <row r="90" spans="12:16">
      <c r="L90">
        <f>RAVLT_Learning!M90</f>
        <v>-1.3284543680000001</v>
      </c>
      <c r="M90">
        <f>RAVLT_Learning!N90</f>
        <v>8.4</v>
      </c>
      <c r="O90">
        <f>ABS(L90-RAVLT_Learning!$C$34)</f>
        <v>4.204896841311097</v>
      </c>
      <c r="P90">
        <f t="shared" si="2"/>
        <v>8.4</v>
      </c>
    </row>
    <row r="91" spans="12:16">
      <c r="L91">
        <f>RAVLT_Learning!M91</f>
        <v>-1.3274451599999999</v>
      </c>
      <c r="M91">
        <f>RAVLT_Learning!N91</f>
        <v>8.5</v>
      </c>
      <c r="O91">
        <f>ABS(L91-RAVLT_Learning!$C$34)</f>
        <v>4.2059060493110971</v>
      </c>
      <c r="P91">
        <f t="shared" si="2"/>
        <v>8.5</v>
      </c>
    </row>
    <row r="92" spans="12:16">
      <c r="L92">
        <f>RAVLT_Learning!M92</f>
        <v>-1.3265192560000001</v>
      </c>
      <c r="M92">
        <f>RAVLT_Learning!N92</f>
        <v>8.6</v>
      </c>
      <c r="O92">
        <f>ABS(L92-RAVLT_Learning!$C$34)</f>
        <v>4.2068319533110969</v>
      </c>
      <c r="P92">
        <f t="shared" si="2"/>
        <v>8.6</v>
      </c>
    </row>
    <row r="93" spans="12:16">
      <c r="L93">
        <f>RAVLT_Learning!M93</f>
        <v>-1.3248515199999999</v>
      </c>
      <c r="M93">
        <f>RAVLT_Learning!N93</f>
        <v>8.6999999999999993</v>
      </c>
      <c r="O93">
        <f>ABS(L93-RAVLT_Learning!$C$34)</f>
        <v>4.2084996893110969</v>
      </c>
      <c r="P93">
        <f t="shared" si="2"/>
        <v>8.6999999999999993</v>
      </c>
    </row>
    <row r="94" spans="12:16">
      <c r="L94">
        <f>RAVLT_Learning!M94</f>
        <v>-1.32112948</v>
      </c>
      <c r="M94">
        <f>RAVLT_Learning!N94</f>
        <v>8.8000000000000007</v>
      </c>
      <c r="O94">
        <f>ABS(L94-RAVLT_Learning!$C$34)</f>
        <v>4.2122217293110973</v>
      </c>
      <c r="P94">
        <f t="shared" si="2"/>
        <v>8.8000000000000007</v>
      </c>
    </row>
    <row r="95" spans="12:16">
      <c r="L95">
        <f>RAVLT_Learning!M95</f>
        <v>-1.31740744</v>
      </c>
      <c r="M95">
        <f>RAVLT_Learning!N95</f>
        <v>8.9</v>
      </c>
      <c r="O95">
        <f>ABS(L95-RAVLT_Learning!$C$34)</f>
        <v>4.2159437693110968</v>
      </c>
      <c r="P95">
        <f t="shared" si="2"/>
        <v>8.9</v>
      </c>
    </row>
    <row r="96" spans="12:16">
      <c r="L96">
        <f>RAVLT_Learning!M96</f>
        <v>-1.31387356</v>
      </c>
      <c r="M96">
        <f>RAVLT_Learning!N96</f>
        <v>9</v>
      </c>
      <c r="O96">
        <f>ABS(L96-RAVLT_Learning!$C$34)</f>
        <v>4.2194776493110968</v>
      </c>
      <c r="P96">
        <f t="shared" si="2"/>
        <v>9</v>
      </c>
    </row>
    <row r="97" spans="12:16">
      <c r="L97">
        <f>RAVLT_Learning!M97</f>
        <v>-1.3104149439999999</v>
      </c>
      <c r="M97">
        <f>RAVLT_Learning!N97</f>
        <v>9.1</v>
      </c>
      <c r="O97">
        <f>ABS(L97-RAVLT_Learning!$C$34)</f>
        <v>4.2229362653110973</v>
      </c>
      <c r="P97">
        <f t="shared" si="2"/>
        <v>9.1</v>
      </c>
    </row>
    <row r="98" spans="12:16">
      <c r="L98">
        <f>RAVLT_Learning!M98</f>
        <v>-1.306503016</v>
      </c>
      <c r="M98">
        <f>RAVLT_Learning!N98</f>
        <v>9.1999999999999993</v>
      </c>
      <c r="O98">
        <f>ABS(L98-RAVLT_Learning!$C$34)</f>
        <v>4.2268481933110973</v>
      </c>
      <c r="P98">
        <f t="shared" si="2"/>
        <v>9.1999999999999993</v>
      </c>
    </row>
    <row r="99" spans="12:16">
      <c r="L99">
        <f>RAVLT_Learning!M99</f>
        <v>-1.3002678640000001</v>
      </c>
      <c r="M99">
        <f>RAVLT_Learning!N99</f>
        <v>9.3000000000000007</v>
      </c>
      <c r="O99">
        <f>ABS(L99-RAVLT_Learning!$C$34)</f>
        <v>4.2330833453110968</v>
      </c>
      <c r="P99">
        <f t="shared" si="2"/>
        <v>9.3000000000000007</v>
      </c>
    </row>
    <row r="100" spans="12:16">
      <c r="L100">
        <f>RAVLT_Learning!M100</f>
        <v>-1.2940327119999999</v>
      </c>
      <c r="M100">
        <f>RAVLT_Learning!N100</f>
        <v>9.4</v>
      </c>
      <c r="O100">
        <f>ABS(L100-RAVLT_Learning!$C$34)</f>
        <v>4.2393184973110971</v>
      </c>
      <c r="P100">
        <f t="shared" si="2"/>
        <v>9.4</v>
      </c>
    </row>
    <row r="101" spans="12:16">
      <c r="L101">
        <f>RAVLT_Learning!M101</f>
        <v>-1.2883762000000001</v>
      </c>
      <c r="M101">
        <f>RAVLT_Learning!N101</f>
        <v>9.5</v>
      </c>
      <c r="O101">
        <f>ABS(L101-RAVLT_Learning!$C$34)</f>
        <v>4.2449750093110969</v>
      </c>
      <c r="P101">
        <f t="shared" si="2"/>
        <v>9.5</v>
      </c>
    </row>
    <row r="102" spans="12:16">
      <c r="L102">
        <f>RAVLT_Learning!M102</f>
        <v>-1.2830861600000001</v>
      </c>
      <c r="M102">
        <f>RAVLT_Learning!N102</f>
        <v>9.6</v>
      </c>
      <c r="O102">
        <f>ABS(L102-RAVLT_Learning!$C$34)</f>
        <v>4.2502650493110972</v>
      </c>
      <c r="P102">
        <f t="shared" si="2"/>
        <v>9.6</v>
      </c>
    </row>
    <row r="103" spans="12:16">
      <c r="L103">
        <f>RAVLT_Learning!M103</f>
        <v>-1.2777057839999999</v>
      </c>
      <c r="M103">
        <f>RAVLT_Learning!N103</f>
        <v>9.6999999999999993</v>
      </c>
      <c r="O103">
        <f>ABS(L103-RAVLT_Learning!$C$34)</f>
        <v>4.2556454253110969</v>
      </c>
      <c r="P103">
        <f t="shared" si="2"/>
        <v>9.6999999999999993</v>
      </c>
    </row>
    <row r="104" spans="12:16">
      <c r="L104">
        <f>RAVLT_Learning!M104</f>
        <v>-1.270940256</v>
      </c>
      <c r="M104">
        <f>RAVLT_Learning!N104</f>
        <v>9.8000000000000007</v>
      </c>
      <c r="O104">
        <f>ABS(L104-RAVLT_Learning!$C$34)</f>
        <v>4.2624109533110968</v>
      </c>
      <c r="P104">
        <f t="shared" si="2"/>
        <v>9.8000000000000007</v>
      </c>
    </row>
    <row r="105" spans="12:16">
      <c r="L105">
        <f>RAVLT_Learning!M105</f>
        <v>-1.264174728</v>
      </c>
      <c r="M105">
        <f>RAVLT_Learning!N105</f>
        <v>9.9</v>
      </c>
      <c r="O105">
        <f>ABS(L105-RAVLT_Learning!$C$34)</f>
        <v>4.2691764813110975</v>
      </c>
      <c r="P105">
        <f t="shared" ref="P105:P168" si="3">M105</f>
        <v>9.9</v>
      </c>
    </row>
    <row r="106" spans="12:16">
      <c r="L106">
        <f>RAVLT_Learning!M106</f>
        <v>-1.2543926000000001</v>
      </c>
      <c r="M106">
        <f>RAVLT_Learning!N106</f>
        <v>10</v>
      </c>
      <c r="O106">
        <f>ABS(L106-RAVLT_Learning!$C$34)</f>
        <v>4.278958609311097</v>
      </c>
      <c r="P106">
        <f t="shared" si="3"/>
        <v>10</v>
      </c>
    </row>
    <row r="107" spans="12:16">
      <c r="L107">
        <f>RAVLT_Learning!M107</f>
        <v>-1.2417145359999999</v>
      </c>
      <c r="M107">
        <f>RAVLT_Learning!N107</f>
        <v>10.1</v>
      </c>
      <c r="O107">
        <f>ABS(L107-RAVLT_Learning!$C$34)</f>
        <v>4.2916366733110971</v>
      </c>
      <c r="P107">
        <f t="shared" si="3"/>
        <v>10.1</v>
      </c>
    </row>
    <row r="108" spans="12:16">
      <c r="L108">
        <f>RAVLT_Learning!M108</f>
        <v>-1.229036472</v>
      </c>
      <c r="M108">
        <f>RAVLT_Learning!N108</f>
        <v>10.199999999999999</v>
      </c>
      <c r="O108">
        <f>ABS(L108-RAVLT_Learning!$C$34)</f>
        <v>4.3043147373110973</v>
      </c>
      <c r="P108">
        <f t="shared" si="3"/>
        <v>10.199999999999999</v>
      </c>
    </row>
    <row r="109" spans="12:16">
      <c r="L109">
        <f>RAVLT_Learning!M109</f>
        <v>-1.22576668</v>
      </c>
      <c r="M109">
        <f>RAVLT_Learning!N109</f>
        <v>10.3</v>
      </c>
      <c r="O109">
        <f>ABS(L109-RAVLT_Learning!$C$34)</f>
        <v>4.3075845293110966</v>
      </c>
      <c r="P109">
        <f t="shared" si="3"/>
        <v>10.3</v>
      </c>
    </row>
    <row r="110" spans="12:16">
      <c r="L110">
        <f>RAVLT_Learning!M110</f>
        <v>-1.22289724</v>
      </c>
      <c r="M110">
        <f>RAVLT_Learning!N110</f>
        <v>10.4</v>
      </c>
      <c r="O110">
        <f>ABS(L110-RAVLT_Learning!$C$34)</f>
        <v>4.310453969311097</v>
      </c>
      <c r="P110">
        <f t="shared" si="3"/>
        <v>10.4</v>
      </c>
    </row>
    <row r="111" spans="12:16">
      <c r="L111">
        <f>RAVLT_Learning!M111</f>
        <v>-1.2211382</v>
      </c>
      <c r="M111">
        <f>RAVLT_Learning!N111</f>
        <v>10.5</v>
      </c>
      <c r="O111">
        <f>ABS(L111-RAVLT_Learning!$C$34)</f>
        <v>4.3122130093110975</v>
      </c>
      <c r="P111">
        <f t="shared" si="3"/>
        <v>10.5</v>
      </c>
    </row>
    <row r="112" spans="12:16">
      <c r="L112">
        <f>RAVLT_Learning!M112</f>
        <v>-1.22098924</v>
      </c>
      <c r="M112">
        <f>RAVLT_Learning!N112</f>
        <v>10.6</v>
      </c>
      <c r="O112">
        <f>ABS(L112-RAVLT_Learning!$C$34)</f>
        <v>4.3123619693110973</v>
      </c>
      <c r="P112">
        <f t="shared" si="3"/>
        <v>10.6</v>
      </c>
    </row>
    <row r="113" spans="12:16">
      <c r="L113">
        <f>RAVLT_Learning!M113</f>
        <v>-1.22084028</v>
      </c>
      <c r="M113">
        <f>RAVLT_Learning!N113</f>
        <v>10.7</v>
      </c>
      <c r="O113">
        <f>ABS(L113-RAVLT_Learning!$C$34)</f>
        <v>4.312510929311097</v>
      </c>
      <c r="P113">
        <f t="shared" si="3"/>
        <v>10.7</v>
      </c>
    </row>
    <row r="114" spans="12:16">
      <c r="L114">
        <f>RAVLT_Learning!M114</f>
        <v>-1.2104355920000001</v>
      </c>
      <c r="M114">
        <f>RAVLT_Learning!N114</f>
        <v>10.8</v>
      </c>
      <c r="O114">
        <f>ABS(L114-RAVLT_Learning!$C$34)</f>
        <v>4.3229156173110965</v>
      </c>
      <c r="P114">
        <f t="shared" si="3"/>
        <v>10.8</v>
      </c>
    </row>
    <row r="115" spans="12:16">
      <c r="L115">
        <f>RAVLT_Learning!M115</f>
        <v>-1.1983216160000001</v>
      </c>
      <c r="M115">
        <f>RAVLT_Learning!N115</f>
        <v>10.9</v>
      </c>
      <c r="O115">
        <f>ABS(L115-RAVLT_Learning!$C$34)</f>
        <v>4.3350295933110967</v>
      </c>
      <c r="P115">
        <f t="shared" si="3"/>
        <v>10.9</v>
      </c>
    </row>
    <row r="116" spans="12:16">
      <c r="L116">
        <f>RAVLT_Learning!M116</f>
        <v>-1.18880396</v>
      </c>
      <c r="M116">
        <f>RAVLT_Learning!N116</f>
        <v>11</v>
      </c>
      <c r="O116">
        <f>ABS(L116-RAVLT_Learning!$C$34)</f>
        <v>4.3445472493110966</v>
      </c>
      <c r="P116">
        <f t="shared" si="3"/>
        <v>11</v>
      </c>
    </row>
    <row r="117" spans="12:16">
      <c r="L117">
        <f>RAVLT_Learning!M117</f>
        <v>-1.185171296</v>
      </c>
      <c r="M117">
        <f>RAVLT_Learning!N117</f>
        <v>11.1</v>
      </c>
      <c r="O117">
        <f>ABS(L117-RAVLT_Learning!$C$34)</f>
        <v>4.348179913311097</v>
      </c>
      <c r="P117">
        <f t="shared" si="3"/>
        <v>11.1</v>
      </c>
    </row>
    <row r="118" spans="12:16">
      <c r="L118">
        <f>RAVLT_Learning!M118</f>
        <v>-1.1815386320000001</v>
      </c>
      <c r="M118">
        <f>RAVLT_Learning!N118</f>
        <v>11.2</v>
      </c>
      <c r="O118">
        <f>ABS(L118-RAVLT_Learning!$C$34)</f>
        <v>4.3518125773110974</v>
      </c>
      <c r="P118">
        <f t="shared" si="3"/>
        <v>11.2</v>
      </c>
    </row>
    <row r="119" spans="12:16">
      <c r="L119">
        <f>RAVLT_Learning!M119</f>
        <v>-1.17395644</v>
      </c>
      <c r="M119">
        <f>RAVLT_Learning!N119</f>
        <v>11.3</v>
      </c>
      <c r="O119">
        <f>ABS(L119-RAVLT_Learning!$C$34)</f>
        <v>4.3593947693110966</v>
      </c>
      <c r="P119">
        <f t="shared" si="3"/>
        <v>11.3</v>
      </c>
    </row>
    <row r="120" spans="12:16">
      <c r="L120">
        <f>RAVLT_Learning!M120</f>
        <v>-1.16509332</v>
      </c>
      <c r="M120">
        <f>RAVLT_Learning!N120</f>
        <v>11.4</v>
      </c>
      <c r="O120">
        <f>ABS(L120-RAVLT_Learning!$C$34)</f>
        <v>4.3682578893110975</v>
      </c>
      <c r="P120">
        <f t="shared" si="3"/>
        <v>11.4</v>
      </c>
    </row>
    <row r="121" spans="12:16">
      <c r="L121">
        <f>RAVLT_Learning!M121</f>
        <v>-1.1572604399999999</v>
      </c>
      <c r="M121">
        <f>RAVLT_Learning!N121</f>
        <v>11.5</v>
      </c>
      <c r="O121">
        <f>ABS(L121-RAVLT_Learning!$C$34)</f>
        <v>4.3760907693110971</v>
      </c>
      <c r="P121">
        <f t="shared" si="3"/>
        <v>11.5</v>
      </c>
    </row>
    <row r="122" spans="12:16">
      <c r="L122">
        <f>RAVLT_Learning!M122</f>
        <v>-1.153445496</v>
      </c>
      <c r="M122">
        <f>RAVLT_Learning!N122</f>
        <v>11.6</v>
      </c>
      <c r="O122">
        <f>ABS(L122-RAVLT_Learning!$C$34)</f>
        <v>4.3799057133110972</v>
      </c>
      <c r="P122">
        <f t="shared" si="3"/>
        <v>11.6</v>
      </c>
    </row>
    <row r="123" spans="12:16">
      <c r="L123">
        <f>RAVLT_Learning!M123</f>
        <v>-1.1496305520000001</v>
      </c>
      <c r="M123">
        <f>RAVLT_Learning!N123</f>
        <v>11.7</v>
      </c>
      <c r="O123">
        <f>ABS(L123-RAVLT_Learning!$C$34)</f>
        <v>4.3837206573110965</v>
      </c>
      <c r="P123">
        <f t="shared" si="3"/>
        <v>11.7</v>
      </c>
    </row>
    <row r="124" spans="12:16">
      <c r="L124">
        <f>RAVLT_Learning!M124</f>
        <v>-1.1407803439999999</v>
      </c>
      <c r="M124">
        <f>RAVLT_Learning!N124</f>
        <v>11.8</v>
      </c>
      <c r="O124">
        <f>ABS(L124-RAVLT_Learning!$C$34)</f>
        <v>4.3925708653110966</v>
      </c>
      <c r="P124">
        <f t="shared" si="3"/>
        <v>11.8</v>
      </c>
    </row>
    <row r="125" spans="12:16">
      <c r="L125">
        <f>RAVLT_Learning!M125</f>
        <v>-1.129255152</v>
      </c>
      <c r="M125">
        <f>RAVLT_Learning!N125</f>
        <v>11.9</v>
      </c>
      <c r="O125">
        <f>ABS(L125-RAVLT_Learning!$C$34)</f>
        <v>4.4040960573110972</v>
      </c>
      <c r="P125">
        <f t="shared" si="3"/>
        <v>11.9</v>
      </c>
    </row>
    <row r="126" spans="12:16">
      <c r="L126">
        <f>RAVLT_Learning!M126</f>
        <v>-1.1182485600000001</v>
      </c>
      <c r="M126">
        <f>RAVLT_Learning!N126</f>
        <v>12</v>
      </c>
      <c r="O126">
        <f>ABS(L126-RAVLT_Learning!$C$34)</f>
        <v>4.4151026493110965</v>
      </c>
      <c r="P126">
        <f t="shared" si="3"/>
        <v>12</v>
      </c>
    </row>
    <row r="127" spans="12:16">
      <c r="L127">
        <f>RAVLT_Learning!M127</f>
        <v>-1.111805648</v>
      </c>
      <c r="M127">
        <f>RAVLT_Learning!N127</f>
        <v>12.1</v>
      </c>
      <c r="O127">
        <f>ABS(L127-RAVLT_Learning!$C$34)</f>
        <v>4.4215455613110972</v>
      </c>
      <c r="P127">
        <f t="shared" si="3"/>
        <v>12.1</v>
      </c>
    </row>
    <row r="128" spans="12:16">
      <c r="L128">
        <f>RAVLT_Learning!M128</f>
        <v>-1.105362736</v>
      </c>
      <c r="M128">
        <f>RAVLT_Learning!N128</f>
        <v>12.2</v>
      </c>
      <c r="O128">
        <f>ABS(L128-RAVLT_Learning!$C$34)</f>
        <v>4.427988473311097</v>
      </c>
      <c r="P128">
        <f t="shared" si="3"/>
        <v>12.2</v>
      </c>
    </row>
    <row r="129" spans="12:16">
      <c r="L129">
        <f>RAVLT_Learning!M129</f>
        <v>-1.101021936</v>
      </c>
      <c r="M129">
        <f>RAVLT_Learning!N129</f>
        <v>12.3</v>
      </c>
      <c r="O129">
        <f>ABS(L129-RAVLT_Learning!$C$34)</f>
        <v>4.4323292733110975</v>
      </c>
      <c r="P129">
        <f t="shared" si="3"/>
        <v>12.3</v>
      </c>
    </row>
    <row r="130" spans="12:16">
      <c r="L130">
        <f>RAVLT_Learning!M130</f>
        <v>-1.0983939680000001</v>
      </c>
      <c r="M130">
        <f>RAVLT_Learning!N130</f>
        <v>12.4</v>
      </c>
      <c r="O130">
        <f>ABS(L130-RAVLT_Learning!$C$34)</f>
        <v>4.4349572413110971</v>
      </c>
      <c r="P130">
        <f t="shared" si="3"/>
        <v>12.4</v>
      </c>
    </row>
    <row r="131" spans="12:16">
      <c r="L131">
        <f>RAVLT_Learning!M131</f>
        <v>-1.095766</v>
      </c>
      <c r="M131">
        <f>RAVLT_Learning!N131</f>
        <v>12.5</v>
      </c>
      <c r="O131">
        <f>ABS(L131-RAVLT_Learning!$C$34)</f>
        <v>4.4375852093110968</v>
      </c>
      <c r="P131">
        <f t="shared" si="3"/>
        <v>12.5</v>
      </c>
    </row>
    <row r="132" spans="12:16">
      <c r="L132">
        <f>RAVLT_Learning!M132</f>
        <v>-1.0895304560000001</v>
      </c>
      <c r="M132">
        <f>RAVLT_Learning!N132</f>
        <v>12.6</v>
      </c>
      <c r="O132">
        <f>ABS(L132-RAVLT_Learning!$C$34)</f>
        <v>4.4438207533110967</v>
      </c>
      <c r="P132">
        <f t="shared" si="3"/>
        <v>12.6</v>
      </c>
    </row>
    <row r="133" spans="12:16">
      <c r="L133">
        <f>RAVLT_Learning!M133</f>
        <v>-1.0832949119999999</v>
      </c>
      <c r="M133">
        <f>RAVLT_Learning!N133</f>
        <v>12.7</v>
      </c>
      <c r="O133">
        <f>ABS(L133-RAVLT_Learning!$C$34)</f>
        <v>4.4500562973110966</v>
      </c>
      <c r="P133">
        <f t="shared" si="3"/>
        <v>12.7</v>
      </c>
    </row>
    <row r="134" spans="12:16">
      <c r="L134">
        <f>RAVLT_Learning!M134</f>
        <v>-1.0763794799999999</v>
      </c>
      <c r="M134">
        <f>RAVLT_Learning!N134</f>
        <v>12.8</v>
      </c>
      <c r="O134">
        <f>ABS(L134-RAVLT_Learning!$C$34)</f>
        <v>4.4569717293110971</v>
      </c>
      <c r="P134">
        <f t="shared" si="3"/>
        <v>12.8</v>
      </c>
    </row>
    <row r="135" spans="12:16">
      <c r="L135">
        <f>RAVLT_Learning!M135</f>
        <v>-1.0686296399999999</v>
      </c>
      <c r="M135">
        <f>RAVLT_Learning!N135</f>
        <v>12.9</v>
      </c>
      <c r="O135">
        <f>ABS(L135-RAVLT_Learning!$C$34)</f>
        <v>4.4647215693110969</v>
      </c>
      <c r="P135">
        <f t="shared" si="3"/>
        <v>12.9</v>
      </c>
    </row>
    <row r="136" spans="12:16">
      <c r="L136">
        <f>RAVLT_Learning!M136</f>
        <v>-1.0608797999999999</v>
      </c>
      <c r="M136">
        <f>RAVLT_Learning!N136</f>
        <v>13</v>
      </c>
      <c r="O136">
        <f>ABS(L136-RAVLT_Learning!$C$34)</f>
        <v>4.4724714093110975</v>
      </c>
      <c r="P136">
        <f t="shared" si="3"/>
        <v>13</v>
      </c>
    </row>
    <row r="137" spans="12:16">
      <c r="L137">
        <f>RAVLT_Learning!M137</f>
        <v>-1.0412034960000001</v>
      </c>
      <c r="M137">
        <f>RAVLT_Learning!N137</f>
        <v>13.1</v>
      </c>
      <c r="O137">
        <f>ABS(L137-RAVLT_Learning!$C$34)</f>
        <v>4.4921477133110965</v>
      </c>
      <c r="P137">
        <f t="shared" si="3"/>
        <v>13.1</v>
      </c>
    </row>
    <row r="138" spans="12:16">
      <c r="L138">
        <f>RAVLT_Learning!M138</f>
        <v>-1.0201719119999999</v>
      </c>
      <c r="M138">
        <f>RAVLT_Learning!N138</f>
        <v>13.2</v>
      </c>
      <c r="O138">
        <f>ABS(L138-RAVLT_Learning!$C$34)</f>
        <v>4.5131792973110976</v>
      </c>
      <c r="P138">
        <f t="shared" si="3"/>
        <v>13.2</v>
      </c>
    </row>
    <row r="139" spans="12:16">
      <c r="L139">
        <f>RAVLT_Learning!M139</f>
        <v>-1.0063854560000001</v>
      </c>
      <c r="M139">
        <f>RAVLT_Learning!N139</f>
        <v>13.3</v>
      </c>
      <c r="O139">
        <f>ABS(L139-RAVLT_Learning!$C$34)</f>
        <v>4.5269657533110967</v>
      </c>
      <c r="P139">
        <f t="shared" si="3"/>
        <v>13.3</v>
      </c>
    </row>
    <row r="140" spans="12:16">
      <c r="L140">
        <f>RAVLT_Learning!M140</f>
        <v>-1.0062368880000001</v>
      </c>
      <c r="M140">
        <f>RAVLT_Learning!N140</f>
        <v>13.4</v>
      </c>
      <c r="O140">
        <f>ABS(L140-RAVLT_Learning!$C$34)</f>
        <v>4.5271143213110969</v>
      </c>
      <c r="P140">
        <f t="shared" si="3"/>
        <v>13.4</v>
      </c>
    </row>
    <row r="141" spans="12:16">
      <c r="L141">
        <f>RAVLT_Learning!M141</f>
        <v>-1.0060883199999999</v>
      </c>
      <c r="M141">
        <f>RAVLT_Learning!N141</f>
        <v>13.5</v>
      </c>
      <c r="O141">
        <f>ABS(L141-RAVLT_Learning!$C$34)</f>
        <v>4.5272628893110971</v>
      </c>
      <c r="P141">
        <f t="shared" si="3"/>
        <v>13.5</v>
      </c>
    </row>
    <row r="142" spans="12:16">
      <c r="L142">
        <f>RAVLT_Learning!M142</f>
        <v>-1.0039395200000001</v>
      </c>
      <c r="M142">
        <f>RAVLT_Learning!N142</f>
        <v>13.6</v>
      </c>
      <c r="O142">
        <f>ABS(L142-RAVLT_Learning!$C$34)</f>
        <v>4.5294116893110967</v>
      </c>
      <c r="P142">
        <f t="shared" si="3"/>
        <v>13.6</v>
      </c>
    </row>
    <row r="143" spans="12:16">
      <c r="L143">
        <f>RAVLT_Learning!M143</f>
        <v>-1.00127784</v>
      </c>
      <c r="M143">
        <f>RAVLT_Learning!N143</f>
        <v>13.7</v>
      </c>
      <c r="O143">
        <f>ABS(L143-RAVLT_Learning!$C$34)</f>
        <v>4.5320733693110968</v>
      </c>
      <c r="P143">
        <f t="shared" si="3"/>
        <v>13.7</v>
      </c>
    </row>
    <row r="144" spans="12:16">
      <c r="L144">
        <f>RAVLT_Learning!M144</f>
        <v>-0.99913811200000002</v>
      </c>
      <c r="M144">
        <f>RAVLT_Learning!N144</f>
        <v>13.8</v>
      </c>
      <c r="O144">
        <f>ABS(L144-RAVLT_Learning!$C$34)</f>
        <v>4.5342130973110972</v>
      </c>
      <c r="P144">
        <f t="shared" si="3"/>
        <v>13.8</v>
      </c>
    </row>
    <row r="145" spans="12:16">
      <c r="L145">
        <f>RAVLT_Learning!M145</f>
        <v>-0.99860773599999997</v>
      </c>
      <c r="M145">
        <f>RAVLT_Learning!N145</f>
        <v>13.9</v>
      </c>
      <c r="O145">
        <f>ABS(L145-RAVLT_Learning!$C$34)</f>
        <v>4.5347434733110967</v>
      </c>
      <c r="P145">
        <f t="shared" si="3"/>
        <v>13.9</v>
      </c>
    </row>
    <row r="146" spans="12:16">
      <c r="L146">
        <f>RAVLT_Learning!M146</f>
        <v>-0.99807736000000002</v>
      </c>
      <c r="M146">
        <f>RAVLT_Learning!N146</f>
        <v>14</v>
      </c>
      <c r="O146">
        <f>ABS(L146-RAVLT_Learning!$C$34)</f>
        <v>4.5352738493110971</v>
      </c>
      <c r="P146">
        <f t="shared" si="3"/>
        <v>14</v>
      </c>
    </row>
    <row r="147" spans="12:16">
      <c r="L147">
        <f>RAVLT_Learning!M147</f>
        <v>-0.99788807199999996</v>
      </c>
      <c r="M147">
        <f>RAVLT_Learning!N147</f>
        <v>14.1</v>
      </c>
      <c r="O147">
        <f>ABS(L147-RAVLT_Learning!$C$34)</f>
        <v>4.5354631373110967</v>
      </c>
      <c r="P147">
        <f t="shared" si="3"/>
        <v>14.1</v>
      </c>
    </row>
    <row r="148" spans="12:16">
      <c r="L148">
        <f>RAVLT_Learning!M148</f>
        <v>-0.99784926399999996</v>
      </c>
      <c r="M148">
        <f>RAVLT_Learning!N148</f>
        <v>14.2</v>
      </c>
      <c r="O148">
        <f>ABS(L148-RAVLT_Learning!$C$34)</f>
        <v>4.535501945311097</v>
      </c>
      <c r="P148">
        <f t="shared" si="3"/>
        <v>14.2</v>
      </c>
    </row>
    <row r="149" spans="12:16">
      <c r="L149">
        <f>RAVLT_Learning!M149</f>
        <v>-0.99763288000000006</v>
      </c>
      <c r="M149">
        <f>RAVLT_Learning!N149</f>
        <v>14.3</v>
      </c>
      <c r="O149">
        <f>ABS(L149-RAVLT_Learning!$C$34)</f>
        <v>4.5357183293110968</v>
      </c>
      <c r="P149">
        <f t="shared" si="3"/>
        <v>14.3</v>
      </c>
    </row>
    <row r="150" spans="12:16">
      <c r="L150">
        <f>RAVLT_Learning!M150</f>
        <v>-0.99635103999999997</v>
      </c>
      <c r="M150">
        <f>RAVLT_Learning!N150</f>
        <v>14.4</v>
      </c>
      <c r="O150">
        <f>ABS(L150-RAVLT_Learning!$C$34)</f>
        <v>4.5370001693110975</v>
      </c>
      <c r="P150">
        <f t="shared" si="3"/>
        <v>14.4</v>
      </c>
    </row>
    <row r="151" spans="12:16">
      <c r="L151">
        <f>RAVLT_Learning!M151</f>
        <v>-0.99506919999999999</v>
      </c>
      <c r="M151">
        <f>RAVLT_Learning!N151</f>
        <v>14.5</v>
      </c>
      <c r="O151">
        <f>ABS(L151-RAVLT_Learning!$C$34)</f>
        <v>4.5382820093110974</v>
      </c>
      <c r="P151">
        <f t="shared" si="3"/>
        <v>14.5</v>
      </c>
    </row>
    <row r="152" spans="12:16">
      <c r="L152">
        <f>RAVLT_Learning!M152</f>
        <v>-0.99006213600000004</v>
      </c>
      <c r="M152">
        <f>RAVLT_Learning!N152</f>
        <v>14.6</v>
      </c>
      <c r="O152">
        <f>ABS(L152-RAVLT_Learning!$C$34)</f>
        <v>4.5432890733110973</v>
      </c>
      <c r="P152">
        <f t="shared" si="3"/>
        <v>14.6</v>
      </c>
    </row>
    <row r="153" spans="12:16">
      <c r="L153">
        <f>RAVLT_Learning!M153</f>
        <v>-0.982485952</v>
      </c>
      <c r="M153">
        <f>RAVLT_Learning!N153</f>
        <v>14.7</v>
      </c>
      <c r="O153">
        <f>ABS(L153-RAVLT_Learning!$C$34)</f>
        <v>4.5508652573110968</v>
      </c>
      <c r="P153">
        <f t="shared" si="3"/>
        <v>14.7</v>
      </c>
    </row>
    <row r="154" spans="12:16">
      <c r="L154">
        <f>RAVLT_Learning!M154</f>
        <v>-0.97508768800000001</v>
      </c>
      <c r="M154">
        <f>RAVLT_Learning!N154</f>
        <v>14.8</v>
      </c>
      <c r="O154">
        <f>ABS(L154-RAVLT_Learning!$C$34)</f>
        <v>4.5582635213110967</v>
      </c>
      <c r="P154">
        <f t="shared" si="3"/>
        <v>14.8</v>
      </c>
    </row>
    <row r="155" spans="12:16">
      <c r="L155">
        <f>RAVLT_Learning!M155</f>
        <v>-0.97187054399999995</v>
      </c>
      <c r="M155">
        <f>RAVLT_Learning!N155</f>
        <v>14.9</v>
      </c>
      <c r="O155">
        <f>ABS(L155-RAVLT_Learning!$C$34)</f>
        <v>4.5614806653110973</v>
      </c>
      <c r="P155">
        <f t="shared" si="3"/>
        <v>14.9</v>
      </c>
    </row>
    <row r="156" spans="12:16">
      <c r="L156">
        <f>RAVLT_Learning!M156</f>
        <v>-0.9686534</v>
      </c>
      <c r="M156">
        <f>RAVLT_Learning!N156</f>
        <v>15</v>
      </c>
      <c r="O156">
        <f>ABS(L156-RAVLT_Learning!$C$34)</f>
        <v>4.564697809311097</v>
      </c>
      <c r="P156">
        <f t="shared" si="3"/>
        <v>15</v>
      </c>
    </row>
    <row r="157" spans="12:16">
      <c r="L157">
        <f>RAVLT_Learning!M157</f>
        <v>-0.96693903999999997</v>
      </c>
      <c r="M157">
        <f>RAVLT_Learning!N157</f>
        <v>15.1</v>
      </c>
      <c r="O157">
        <f>ABS(L157-RAVLT_Learning!$C$34)</f>
        <v>4.5664121693110973</v>
      </c>
      <c r="P157">
        <f t="shared" si="3"/>
        <v>15.1</v>
      </c>
    </row>
    <row r="158" spans="12:16">
      <c r="L158">
        <f>RAVLT_Learning!M158</f>
        <v>-0.96679008</v>
      </c>
      <c r="M158">
        <f>RAVLT_Learning!N158</f>
        <v>15.2</v>
      </c>
      <c r="O158">
        <f>ABS(L158-RAVLT_Learning!$C$34)</f>
        <v>4.566561129311097</v>
      </c>
      <c r="P158">
        <f t="shared" si="3"/>
        <v>15.2</v>
      </c>
    </row>
    <row r="159" spans="12:16">
      <c r="L159">
        <f>RAVLT_Learning!M159</f>
        <v>-0.96664112000000002</v>
      </c>
      <c r="M159">
        <f>RAVLT_Learning!N159</f>
        <v>15.3</v>
      </c>
      <c r="O159">
        <f>ABS(L159-RAVLT_Learning!$C$34)</f>
        <v>4.5667100893110968</v>
      </c>
      <c r="P159">
        <f t="shared" si="3"/>
        <v>15.3</v>
      </c>
    </row>
    <row r="160" spans="12:16">
      <c r="L160">
        <f>RAVLT_Learning!M160</f>
        <v>-0.96590262400000004</v>
      </c>
      <c r="M160">
        <f>RAVLT_Learning!N160</f>
        <v>15.4</v>
      </c>
      <c r="O160">
        <f>ABS(L160-RAVLT_Learning!$C$34)</f>
        <v>4.5674485853110971</v>
      </c>
      <c r="P160">
        <f t="shared" si="3"/>
        <v>15.4</v>
      </c>
    </row>
    <row r="161" spans="12:16">
      <c r="L161">
        <f>RAVLT_Learning!M161</f>
        <v>-0.96512567999999999</v>
      </c>
      <c r="M161">
        <f>RAVLT_Learning!N161</f>
        <v>15.5</v>
      </c>
      <c r="O161">
        <f>ABS(L161-RAVLT_Learning!$C$34)</f>
        <v>4.5682255293110972</v>
      </c>
      <c r="P161">
        <f t="shared" si="3"/>
        <v>15.5</v>
      </c>
    </row>
    <row r="162" spans="12:16">
      <c r="L162">
        <f>RAVLT_Learning!M162</f>
        <v>-0.96411495999999997</v>
      </c>
      <c r="M162">
        <f>RAVLT_Learning!N162</f>
        <v>15.6</v>
      </c>
      <c r="O162">
        <f>ABS(L162-RAVLT_Learning!$C$34)</f>
        <v>4.5692362493110972</v>
      </c>
      <c r="P162">
        <f t="shared" si="3"/>
        <v>15.6</v>
      </c>
    </row>
    <row r="163" spans="12:16">
      <c r="L163">
        <f>RAVLT_Learning!M163</f>
        <v>-0.96273512000000006</v>
      </c>
      <c r="M163">
        <f>RAVLT_Learning!N163</f>
        <v>15.7</v>
      </c>
      <c r="O163">
        <f>ABS(L163-RAVLT_Learning!$C$34)</f>
        <v>4.5706160893110965</v>
      </c>
      <c r="P163">
        <f t="shared" si="3"/>
        <v>15.7</v>
      </c>
    </row>
    <row r="164" spans="12:16">
      <c r="L164">
        <f>RAVLT_Learning!M164</f>
        <v>-0.96135528000000003</v>
      </c>
      <c r="M164">
        <f>RAVLT_Learning!N164</f>
        <v>15.8</v>
      </c>
      <c r="O164">
        <f>ABS(L164-RAVLT_Learning!$C$34)</f>
        <v>4.5719959293110968</v>
      </c>
      <c r="P164">
        <f t="shared" si="3"/>
        <v>15.8</v>
      </c>
    </row>
    <row r="165" spans="12:16">
      <c r="L165">
        <f>RAVLT_Learning!M165</f>
        <v>-0.95022367200000002</v>
      </c>
      <c r="M165">
        <f>RAVLT_Learning!N165</f>
        <v>15.9</v>
      </c>
      <c r="O165">
        <f>ABS(L165-RAVLT_Learning!$C$34)</f>
        <v>4.5831275373110971</v>
      </c>
      <c r="P165">
        <f t="shared" si="3"/>
        <v>15.9</v>
      </c>
    </row>
    <row r="166" spans="12:16">
      <c r="L166">
        <f>RAVLT_Learning!M166</f>
        <v>-0.93718928000000001</v>
      </c>
      <c r="M166">
        <f>RAVLT_Learning!N166</f>
        <v>16</v>
      </c>
      <c r="O166">
        <f>ABS(L166-RAVLT_Learning!$C$34)</f>
        <v>4.5961619293110969</v>
      </c>
      <c r="P166">
        <f t="shared" si="3"/>
        <v>16</v>
      </c>
    </row>
    <row r="167" spans="12:16">
      <c r="L167">
        <f>RAVLT_Learning!M167</f>
        <v>-0.92728360799999998</v>
      </c>
      <c r="M167">
        <f>RAVLT_Learning!N167</f>
        <v>16.100000000000001</v>
      </c>
      <c r="O167">
        <f>ABS(L167-RAVLT_Learning!$C$34)</f>
        <v>4.6060676013110973</v>
      </c>
      <c r="P167">
        <f t="shared" si="3"/>
        <v>16.100000000000001</v>
      </c>
    </row>
    <row r="168" spans="12:16">
      <c r="L168">
        <f>RAVLT_Learning!M168</f>
        <v>-0.92519973600000005</v>
      </c>
      <c r="M168">
        <f>RAVLT_Learning!N168</f>
        <v>16.2</v>
      </c>
      <c r="O168">
        <f>ABS(L168-RAVLT_Learning!$C$34)</f>
        <v>4.6081514733110973</v>
      </c>
      <c r="P168">
        <f t="shared" si="3"/>
        <v>16.2</v>
      </c>
    </row>
    <row r="169" spans="12:16">
      <c r="L169">
        <f>RAVLT_Learning!M169</f>
        <v>-0.92311586400000001</v>
      </c>
      <c r="M169">
        <f>RAVLT_Learning!N169</f>
        <v>16.3</v>
      </c>
      <c r="O169">
        <f>ABS(L169-RAVLT_Learning!$C$34)</f>
        <v>4.6102353453110974</v>
      </c>
      <c r="P169">
        <f t="shared" ref="P169:P232" si="4">M169</f>
        <v>16.3</v>
      </c>
    </row>
    <row r="170" spans="12:16">
      <c r="L170">
        <f>RAVLT_Learning!M170</f>
        <v>-0.91992722400000004</v>
      </c>
      <c r="M170">
        <f>RAVLT_Learning!N170</f>
        <v>16.399999999999999</v>
      </c>
      <c r="O170">
        <f>ABS(L170-RAVLT_Learning!$C$34)</f>
        <v>4.6134239853110968</v>
      </c>
      <c r="P170">
        <f t="shared" si="4"/>
        <v>16.399999999999999</v>
      </c>
    </row>
    <row r="171" spans="12:16">
      <c r="L171">
        <f>RAVLT_Learning!M171</f>
        <v>-0.91633964000000001</v>
      </c>
      <c r="M171">
        <f>RAVLT_Learning!N171</f>
        <v>16.5</v>
      </c>
      <c r="O171">
        <f>ABS(L171-RAVLT_Learning!$C$34)</f>
        <v>4.6170115693110967</v>
      </c>
      <c r="P171">
        <f t="shared" si="4"/>
        <v>16.5</v>
      </c>
    </row>
    <row r="172" spans="12:16">
      <c r="L172">
        <f>RAVLT_Learning!M172</f>
        <v>-0.91323733600000001</v>
      </c>
      <c r="M172">
        <f>RAVLT_Learning!N172</f>
        <v>16.600000000000001</v>
      </c>
      <c r="O172">
        <f>ABS(L172-RAVLT_Learning!$C$34)</f>
        <v>4.6201138733110971</v>
      </c>
      <c r="P172">
        <f t="shared" si="4"/>
        <v>16.600000000000001</v>
      </c>
    </row>
    <row r="173" spans="12:16">
      <c r="L173">
        <f>RAVLT_Learning!M173</f>
        <v>-0.91229183199999997</v>
      </c>
      <c r="M173">
        <f>RAVLT_Learning!N173</f>
        <v>16.7</v>
      </c>
      <c r="O173">
        <f>ABS(L173-RAVLT_Learning!$C$34)</f>
        <v>4.6210593773110968</v>
      </c>
      <c r="P173">
        <f t="shared" si="4"/>
        <v>16.7</v>
      </c>
    </row>
    <row r="174" spans="12:16">
      <c r="L174">
        <f>RAVLT_Learning!M174</f>
        <v>-0.91134632800000004</v>
      </c>
      <c r="M174">
        <f>RAVLT_Learning!N174</f>
        <v>16.8</v>
      </c>
      <c r="O174">
        <f>ABS(L174-RAVLT_Learning!$C$34)</f>
        <v>4.6220048813110974</v>
      </c>
      <c r="P174">
        <f t="shared" si="4"/>
        <v>16.8</v>
      </c>
    </row>
    <row r="175" spans="12:16">
      <c r="L175">
        <f>RAVLT_Learning!M175</f>
        <v>-0.91088020800000002</v>
      </c>
      <c r="M175">
        <f>RAVLT_Learning!N175</f>
        <v>16.899999999999999</v>
      </c>
      <c r="O175">
        <f>ABS(L175-RAVLT_Learning!$C$34)</f>
        <v>4.622471001311097</v>
      </c>
      <c r="P175">
        <f t="shared" si="4"/>
        <v>16.899999999999999</v>
      </c>
    </row>
    <row r="176" spans="12:16">
      <c r="L176">
        <f>RAVLT_Learning!M176</f>
        <v>-0.91069244000000005</v>
      </c>
      <c r="M176">
        <f>RAVLT_Learning!N176</f>
        <v>17</v>
      </c>
      <c r="O176">
        <f>ABS(L176-RAVLT_Learning!$C$34)</f>
        <v>4.622658769311097</v>
      </c>
      <c r="P176">
        <f t="shared" si="4"/>
        <v>17</v>
      </c>
    </row>
    <row r="177" spans="12:16">
      <c r="L177">
        <f>RAVLT_Learning!M177</f>
        <v>-0.91036409600000001</v>
      </c>
      <c r="M177">
        <f>RAVLT_Learning!N177</f>
        <v>17.100000000000001</v>
      </c>
      <c r="O177">
        <f>ABS(L177-RAVLT_Learning!$C$34)</f>
        <v>4.6229871133110967</v>
      </c>
      <c r="P177">
        <f t="shared" si="4"/>
        <v>17.100000000000001</v>
      </c>
    </row>
    <row r="178" spans="12:16">
      <c r="L178">
        <f>RAVLT_Learning!M178</f>
        <v>-0.90845427199999995</v>
      </c>
      <c r="M178">
        <f>RAVLT_Learning!N178</f>
        <v>17.2</v>
      </c>
      <c r="O178">
        <f>ABS(L178-RAVLT_Learning!$C$34)</f>
        <v>4.6248969373110969</v>
      </c>
      <c r="P178">
        <f t="shared" si="4"/>
        <v>17.2</v>
      </c>
    </row>
    <row r="179" spans="12:16">
      <c r="L179">
        <f>RAVLT_Learning!M179</f>
        <v>-0.906544448</v>
      </c>
      <c r="M179">
        <f>RAVLT_Learning!N179</f>
        <v>17.3</v>
      </c>
      <c r="O179">
        <f>ABS(L179-RAVLT_Learning!$C$34)</f>
        <v>4.626806761311097</v>
      </c>
      <c r="P179">
        <f t="shared" si="4"/>
        <v>17.3</v>
      </c>
    </row>
    <row r="180" spans="12:16">
      <c r="L180">
        <f>RAVLT_Learning!M180</f>
        <v>-0.90545892800000005</v>
      </c>
      <c r="M180">
        <f>RAVLT_Learning!N180</f>
        <v>17.399999999999999</v>
      </c>
      <c r="O180">
        <f>ABS(L180-RAVLT_Learning!$C$34)</f>
        <v>4.6278922813110972</v>
      </c>
      <c r="P180">
        <f t="shared" si="4"/>
        <v>17.399999999999999</v>
      </c>
    </row>
    <row r="181" spans="12:16">
      <c r="L181">
        <f>RAVLT_Learning!M181</f>
        <v>-0.90510259999999998</v>
      </c>
      <c r="M181">
        <f>RAVLT_Learning!N181</f>
        <v>17.5</v>
      </c>
      <c r="O181">
        <f>ABS(L181-RAVLT_Learning!$C$34)</f>
        <v>4.6282486093110968</v>
      </c>
      <c r="P181">
        <f t="shared" si="4"/>
        <v>17.5</v>
      </c>
    </row>
    <row r="182" spans="12:16">
      <c r="L182">
        <f>RAVLT_Learning!M182</f>
        <v>-0.90474627200000002</v>
      </c>
      <c r="M182">
        <f>RAVLT_Learning!N182</f>
        <v>17.600000000000001</v>
      </c>
      <c r="O182">
        <f>ABS(L182-RAVLT_Learning!$C$34)</f>
        <v>4.6286049373110973</v>
      </c>
      <c r="P182">
        <f t="shared" si="4"/>
        <v>17.600000000000001</v>
      </c>
    </row>
    <row r="183" spans="12:16">
      <c r="L183">
        <f>RAVLT_Learning!M183</f>
        <v>-0.89287186399999996</v>
      </c>
      <c r="M183">
        <f>RAVLT_Learning!N183</f>
        <v>17.7</v>
      </c>
      <c r="O183">
        <f>ABS(L183-RAVLT_Learning!$C$34)</f>
        <v>4.6404793453110971</v>
      </c>
      <c r="P183">
        <f t="shared" si="4"/>
        <v>17.7</v>
      </c>
    </row>
    <row r="184" spans="12:16">
      <c r="L184">
        <f>RAVLT_Learning!M184</f>
        <v>-0.88075749599999997</v>
      </c>
      <c r="M184">
        <f>RAVLT_Learning!N184</f>
        <v>17.8</v>
      </c>
      <c r="O184">
        <f>ABS(L184-RAVLT_Learning!$C$34)</f>
        <v>4.6525937133110968</v>
      </c>
      <c r="P184">
        <f t="shared" si="4"/>
        <v>17.8</v>
      </c>
    </row>
    <row r="185" spans="12:16">
      <c r="L185">
        <f>RAVLT_Learning!M185</f>
        <v>-0.87312217599999997</v>
      </c>
      <c r="M185">
        <f>RAVLT_Learning!N185</f>
        <v>17.899999999999999</v>
      </c>
      <c r="O185">
        <f>ABS(L185-RAVLT_Learning!$C$34)</f>
        <v>4.6602290333110972</v>
      </c>
      <c r="P185">
        <f t="shared" si="4"/>
        <v>17.899999999999999</v>
      </c>
    </row>
    <row r="186" spans="12:16">
      <c r="L186">
        <f>RAVLT_Learning!M186</f>
        <v>-0.87145892000000003</v>
      </c>
      <c r="M186">
        <f>RAVLT_Learning!N186</f>
        <v>18</v>
      </c>
      <c r="O186">
        <f>ABS(L186-RAVLT_Learning!$C$34)</f>
        <v>4.6618922893110968</v>
      </c>
      <c r="P186">
        <f t="shared" si="4"/>
        <v>18</v>
      </c>
    </row>
    <row r="187" spans="12:16">
      <c r="L187">
        <f>RAVLT_Learning!M187</f>
        <v>-0.86979566399999997</v>
      </c>
      <c r="M187">
        <f>RAVLT_Learning!N187</f>
        <v>18.100000000000001</v>
      </c>
      <c r="O187">
        <f>ABS(L187-RAVLT_Learning!$C$34)</f>
        <v>4.6635555453110973</v>
      </c>
      <c r="P187">
        <f t="shared" si="4"/>
        <v>18.100000000000001</v>
      </c>
    </row>
    <row r="188" spans="12:16">
      <c r="L188">
        <f>RAVLT_Learning!M188</f>
        <v>-0.86791568799999996</v>
      </c>
      <c r="M188">
        <f>RAVLT_Learning!N188</f>
        <v>18.2</v>
      </c>
      <c r="O188">
        <f>ABS(L188-RAVLT_Learning!$C$34)</f>
        <v>4.665435521311097</v>
      </c>
      <c r="P188">
        <f t="shared" si="4"/>
        <v>18.2</v>
      </c>
    </row>
    <row r="189" spans="12:16">
      <c r="L189">
        <f>RAVLT_Learning!M189</f>
        <v>-0.866005472</v>
      </c>
      <c r="M189">
        <f>RAVLT_Learning!N189</f>
        <v>18.3</v>
      </c>
      <c r="O189">
        <f>ABS(L189-RAVLT_Learning!$C$34)</f>
        <v>4.6673457373110967</v>
      </c>
      <c r="P189">
        <f t="shared" si="4"/>
        <v>18.3</v>
      </c>
    </row>
    <row r="190" spans="12:16">
      <c r="L190">
        <f>RAVLT_Learning!M190</f>
        <v>-0.86317109599999997</v>
      </c>
      <c r="M190">
        <f>RAVLT_Learning!N190</f>
        <v>18.399999999999999</v>
      </c>
      <c r="O190">
        <f>ABS(L190-RAVLT_Learning!$C$34)</f>
        <v>4.6701801133110967</v>
      </c>
      <c r="P190">
        <f t="shared" si="4"/>
        <v>18.399999999999999</v>
      </c>
    </row>
    <row r="191" spans="12:16">
      <c r="L191">
        <f>RAVLT_Learning!M191</f>
        <v>-0.85843064000000002</v>
      </c>
      <c r="M191">
        <f>RAVLT_Learning!N191</f>
        <v>18.5</v>
      </c>
      <c r="O191">
        <f>ABS(L191-RAVLT_Learning!$C$34)</f>
        <v>4.6749205693110971</v>
      </c>
      <c r="P191">
        <f t="shared" si="4"/>
        <v>18.5</v>
      </c>
    </row>
    <row r="192" spans="12:16">
      <c r="L192">
        <f>RAVLT_Learning!M192</f>
        <v>-0.85369018399999996</v>
      </c>
      <c r="M192">
        <f>RAVLT_Learning!N192</f>
        <v>18.600000000000001</v>
      </c>
      <c r="O192">
        <f>ABS(L192-RAVLT_Learning!$C$34)</f>
        <v>4.6796610253110966</v>
      </c>
      <c r="P192">
        <f t="shared" si="4"/>
        <v>18.600000000000001</v>
      </c>
    </row>
    <row r="193" spans="12:16">
      <c r="L193">
        <f>RAVLT_Learning!M193</f>
        <v>-0.84415564799999998</v>
      </c>
      <c r="M193">
        <f>RAVLT_Learning!N193</f>
        <v>18.7</v>
      </c>
      <c r="O193">
        <f>ABS(L193-RAVLT_Learning!$C$34)</f>
        <v>4.6891955613110969</v>
      </c>
      <c r="P193">
        <f t="shared" si="4"/>
        <v>18.7</v>
      </c>
    </row>
    <row r="194" spans="12:16">
      <c r="L194">
        <f>RAVLT_Learning!M194</f>
        <v>-0.83323335200000004</v>
      </c>
      <c r="M194">
        <f>RAVLT_Learning!N194</f>
        <v>18.8</v>
      </c>
      <c r="O194">
        <f>ABS(L194-RAVLT_Learning!$C$34)</f>
        <v>4.7001178573110973</v>
      </c>
      <c r="P194">
        <f t="shared" si="4"/>
        <v>18.8</v>
      </c>
    </row>
    <row r="195" spans="12:16">
      <c r="L195">
        <f>RAVLT_Learning!M195</f>
        <v>-0.82416099200000004</v>
      </c>
      <c r="M195">
        <f>RAVLT_Learning!N195</f>
        <v>18.899999999999999</v>
      </c>
      <c r="O195">
        <f>ABS(L195-RAVLT_Learning!$C$34)</f>
        <v>4.7091902173110967</v>
      </c>
      <c r="P195">
        <f t="shared" si="4"/>
        <v>18.899999999999999</v>
      </c>
    </row>
    <row r="196" spans="12:16">
      <c r="L196">
        <f>RAVLT_Learning!M196</f>
        <v>-0.82147932000000001</v>
      </c>
      <c r="M196">
        <f>RAVLT_Learning!N196</f>
        <v>19</v>
      </c>
      <c r="O196">
        <f>ABS(L196-RAVLT_Learning!$C$34)</f>
        <v>4.7118718893110971</v>
      </c>
      <c r="P196">
        <f t="shared" si="4"/>
        <v>19</v>
      </c>
    </row>
    <row r="197" spans="12:16">
      <c r="L197">
        <f>RAVLT_Learning!M197</f>
        <v>-0.81879764799999999</v>
      </c>
      <c r="M197">
        <f>RAVLT_Learning!N197</f>
        <v>19.100000000000001</v>
      </c>
      <c r="O197">
        <f>ABS(L197-RAVLT_Learning!$C$34)</f>
        <v>4.7145535613110967</v>
      </c>
      <c r="P197">
        <f t="shared" si="4"/>
        <v>19.100000000000001</v>
      </c>
    </row>
    <row r="198" spans="12:16">
      <c r="L198">
        <f>RAVLT_Learning!M198</f>
        <v>-0.81092335999999998</v>
      </c>
      <c r="M198">
        <f>RAVLT_Learning!N198</f>
        <v>19.2</v>
      </c>
      <c r="O198">
        <f>ABS(L198-RAVLT_Learning!$C$34)</f>
        <v>4.7224278493110967</v>
      </c>
      <c r="P198">
        <f t="shared" si="4"/>
        <v>19.2</v>
      </c>
    </row>
    <row r="199" spans="12:16">
      <c r="L199">
        <f>RAVLT_Learning!M199</f>
        <v>-0.80053143999999998</v>
      </c>
      <c r="M199">
        <f>RAVLT_Learning!N199</f>
        <v>19.3</v>
      </c>
      <c r="O199">
        <f>ABS(L199-RAVLT_Learning!$C$34)</f>
        <v>4.7328197693110967</v>
      </c>
      <c r="P199">
        <f t="shared" si="4"/>
        <v>19.3</v>
      </c>
    </row>
    <row r="200" spans="12:16">
      <c r="L200">
        <f>RAVLT_Learning!M200</f>
        <v>-0.79134710399999997</v>
      </c>
      <c r="M200">
        <f>RAVLT_Learning!N200</f>
        <v>19.399999999999999</v>
      </c>
      <c r="O200">
        <f>ABS(L200-RAVLT_Learning!$C$34)</f>
        <v>4.7420041053110973</v>
      </c>
      <c r="P200">
        <f t="shared" si="4"/>
        <v>19.399999999999999</v>
      </c>
    </row>
    <row r="201" spans="12:16">
      <c r="L201">
        <f>RAVLT_Learning!M201</f>
        <v>-0.79081712000000004</v>
      </c>
      <c r="M201">
        <f>RAVLT_Learning!N201</f>
        <v>19.5</v>
      </c>
      <c r="O201">
        <f>ABS(L201-RAVLT_Learning!$C$34)</f>
        <v>4.7425340893110972</v>
      </c>
      <c r="P201">
        <f t="shared" si="4"/>
        <v>19.5</v>
      </c>
    </row>
    <row r="202" spans="12:16">
      <c r="L202">
        <f>RAVLT_Learning!M202</f>
        <v>-0.790287136</v>
      </c>
      <c r="M202">
        <f>RAVLT_Learning!N202</f>
        <v>19.600000000000001</v>
      </c>
      <c r="O202">
        <f>ABS(L202-RAVLT_Learning!$C$34)</f>
        <v>4.7430640733110971</v>
      </c>
      <c r="P202">
        <f t="shared" si="4"/>
        <v>19.600000000000001</v>
      </c>
    </row>
    <row r="203" spans="12:16">
      <c r="L203">
        <f>RAVLT_Learning!M203</f>
        <v>-0.78971526400000003</v>
      </c>
      <c r="M203">
        <f>RAVLT_Learning!N203</f>
        <v>19.7</v>
      </c>
      <c r="O203">
        <f>ABS(L203-RAVLT_Learning!$C$34)</f>
        <v>4.7436359453110972</v>
      </c>
      <c r="P203">
        <f t="shared" si="4"/>
        <v>19.7</v>
      </c>
    </row>
    <row r="204" spans="12:16">
      <c r="L204">
        <f>RAVLT_Learning!M204</f>
        <v>-0.78911197600000005</v>
      </c>
      <c r="M204">
        <f>RAVLT_Learning!N204</f>
        <v>19.8</v>
      </c>
      <c r="O204">
        <f>ABS(L204-RAVLT_Learning!$C$34)</f>
        <v>4.744239233311097</v>
      </c>
      <c r="P204">
        <f t="shared" si="4"/>
        <v>19.8</v>
      </c>
    </row>
    <row r="205" spans="12:16">
      <c r="L205">
        <f>RAVLT_Learning!M205</f>
        <v>-0.78851321600000002</v>
      </c>
      <c r="M205">
        <f>RAVLT_Learning!N205</f>
        <v>19.899999999999999</v>
      </c>
      <c r="O205">
        <f>ABS(L205-RAVLT_Learning!$C$34)</f>
        <v>4.7448379933110969</v>
      </c>
      <c r="P205">
        <f t="shared" si="4"/>
        <v>19.899999999999999</v>
      </c>
    </row>
    <row r="206" spans="12:16">
      <c r="L206">
        <f>RAVLT_Learning!M206</f>
        <v>-0.78813180000000005</v>
      </c>
      <c r="M206">
        <f>RAVLT_Learning!N206</f>
        <v>20</v>
      </c>
      <c r="O206">
        <f>ABS(L206-RAVLT_Learning!$C$34)</f>
        <v>4.7452194093110966</v>
      </c>
      <c r="P206">
        <f t="shared" si="4"/>
        <v>20</v>
      </c>
    </row>
    <row r="207" spans="12:16">
      <c r="L207">
        <f>RAVLT_Learning!M207</f>
        <v>-0.78775038399999997</v>
      </c>
      <c r="M207">
        <f>RAVLT_Learning!N207</f>
        <v>20.100000000000001</v>
      </c>
      <c r="O207">
        <f>ABS(L207-RAVLT_Learning!$C$34)</f>
        <v>4.7456008253110973</v>
      </c>
      <c r="P207">
        <f t="shared" si="4"/>
        <v>20.100000000000001</v>
      </c>
    </row>
    <row r="208" spans="12:16">
      <c r="L208">
        <f>RAVLT_Learning!M208</f>
        <v>-0.78658163199999998</v>
      </c>
      <c r="M208">
        <f>RAVLT_Learning!N208</f>
        <v>20.2</v>
      </c>
      <c r="O208">
        <f>ABS(L208-RAVLT_Learning!$C$34)</f>
        <v>4.7467695773110972</v>
      </c>
      <c r="P208">
        <f t="shared" si="4"/>
        <v>20.2</v>
      </c>
    </row>
    <row r="209" spans="12:16">
      <c r="L209">
        <f>RAVLT_Learning!M209</f>
        <v>-0.78452284800000005</v>
      </c>
      <c r="M209">
        <f>RAVLT_Learning!N209</f>
        <v>20.3</v>
      </c>
      <c r="O209">
        <f>ABS(L209-RAVLT_Learning!$C$34)</f>
        <v>4.7488283613110971</v>
      </c>
      <c r="P209">
        <f t="shared" si="4"/>
        <v>20.3</v>
      </c>
    </row>
    <row r="210" spans="12:16">
      <c r="L210">
        <f>RAVLT_Learning!M210</f>
        <v>-0.78246406400000001</v>
      </c>
      <c r="M210">
        <f>RAVLT_Learning!N210</f>
        <v>20.399999999999999</v>
      </c>
      <c r="O210">
        <f>ABS(L210-RAVLT_Learning!$C$34)</f>
        <v>4.750887145311097</v>
      </c>
      <c r="P210">
        <f t="shared" si="4"/>
        <v>20.399999999999999</v>
      </c>
    </row>
    <row r="211" spans="12:16">
      <c r="L211">
        <f>RAVLT_Learning!M211</f>
        <v>-0.78002368</v>
      </c>
      <c r="M211">
        <f>RAVLT_Learning!N211</f>
        <v>20.5</v>
      </c>
      <c r="O211">
        <f>ABS(L211-RAVLT_Learning!$C$34)</f>
        <v>4.7533275293110968</v>
      </c>
      <c r="P211">
        <f t="shared" si="4"/>
        <v>20.5</v>
      </c>
    </row>
    <row r="212" spans="12:16">
      <c r="L212">
        <f>RAVLT_Learning!M212</f>
        <v>-0.77754937599999996</v>
      </c>
      <c r="M212">
        <f>RAVLT_Learning!N212</f>
        <v>20.6</v>
      </c>
      <c r="O212">
        <f>ABS(L212-RAVLT_Learning!$C$34)</f>
        <v>4.7558018333110974</v>
      </c>
      <c r="P212">
        <f t="shared" si="4"/>
        <v>20.6</v>
      </c>
    </row>
    <row r="213" spans="12:16">
      <c r="L213">
        <f>RAVLT_Learning!M213</f>
        <v>-0.77583884800000003</v>
      </c>
      <c r="M213">
        <f>RAVLT_Learning!N213</f>
        <v>20.7</v>
      </c>
      <c r="O213">
        <f>ABS(L213-RAVLT_Learning!$C$34)</f>
        <v>4.7575123613110968</v>
      </c>
      <c r="P213">
        <f t="shared" si="4"/>
        <v>20.7</v>
      </c>
    </row>
    <row r="214" spans="12:16">
      <c r="L214">
        <f>RAVLT_Learning!M214</f>
        <v>-0.77544371199999995</v>
      </c>
      <c r="M214">
        <f>RAVLT_Learning!N214</f>
        <v>20.8</v>
      </c>
      <c r="O214">
        <f>ABS(L214-RAVLT_Learning!$C$34)</f>
        <v>4.7579074973110966</v>
      </c>
      <c r="P214">
        <f t="shared" si="4"/>
        <v>20.8</v>
      </c>
    </row>
    <row r="215" spans="12:16">
      <c r="L215">
        <f>RAVLT_Learning!M215</f>
        <v>-0.77504857599999999</v>
      </c>
      <c r="M215">
        <f>RAVLT_Learning!N215</f>
        <v>20.9</v>
      </c>
      <c r="O215">
        <f>ABS(L215-RAVLT_Learning!$C$34)</f>
        <v>4.7583026333110974</v>
      </c>
      <c r="P215">
        <f t="shared" si="4"/>
        <v>20.9</v>
      </c>
    </row>
    <row r="216" spans="12:16">
      <c r="L216">
        <f>RAVLT_Learning!M216</f>
        <v>-0.76925184000000002</v>
      </c>
      <c r="M216">
        <f>RAVLT_Learning!N216</f>
        <v>21</v>
      </c>
      <c r="O216">
        <f>ABS(L216-RAVLT_Learning!$C$34)</f>
        <v>4.7640993693110971</v>
      </c>
      <c r="P216">
        <f t="shared" si="4"/>
        <v>21</v>
      </c>
    </row>
    <row r="217" spans="12:16">
      <c r="L217">
        <f>RAVLT_Learning!M217</f>
        <v>-0.76223974400000005</v>
      </c>
      <c r="M217">
        <f>RAVLT_Learning!N217</f>
        <v>21.1</v>
      </c>
      <c r="O217">
        <f>ABS(L217-RAVLT_Learning!$C$34)</f>
        <v>4.7711114653110966</v>
      </c>
      <c r="P217">
        <f t="shared" si="4"/>
        <v>21.1</v>
      </c>
    </row>
    <row r="218" spans="12:16">
      <c r="L218">
        <f>RAVLT_Learning!M218</f>
        <v>-0.75338424800000003</v>
      </c>
      <c r="M218">
        <f>RAVLT_Learning!N218</f>
        <v>21.2</v>
      </c>
      <c r="O218">
        <f>ABS(L218-RAVLT_Learning!$C$34)</f>
        <v>4.7799669613110973</v>
      </c>
      <c r="P218">
        <f t="shared" si="4"/>
        <v>21.2</v>
      </c>
    </row>
    <row r="219" spans="12:16">
      <c r="L219">
        <f>RAVLT_Learning!M219</f>
        <v>-0.739423952</v>
      </c>
      <c r="M219">
        <f>RAVLT_Learning!N219</f>
        <v>21.3</v>
      </c>
      <c r="O219">
        <f>ABS(L219-RAVLT_Learning!$C$34)</f>
        <v>4.7939272573110969</v>
      </c>
      <c r="P219">
        <f t="shared" si="4"/>
        <v>21.3</v>
      </c>
    </row>
    <row r="220" spans="12:16">
      <c r="L220">
        <f>RAVLT_Learning!M220</f>
        <v>-0.72546365599999996</v>
      </c>
      <c r="M220">
        <f>RAVLT_Learning!N220</f>
        <v>21.4</v>
      </c>
      <c r="O220">
        <f>ABS(L220-RAVLT_Learning!$C$34)</f>
        <v>4.8078875533110974</v>
      </c>
      <c r="P220">
        <f t="shared" si="4"/>
        <v>21.4</v>
      </c>
    </row>
    <row r="221" spans="12:16">
      <c r="L221">
        <f>RAVLT_Learning!M221</f>
        <v>-0.72079599999999999</v>
      </c>
      <c r="M221">
        <f>RAVLT_Learning!N221</f>
        <v>21.5</v>
      </c>
      <c r="O221">
        <f>ABS(L221-RAVLT_Learning!$C$34)</f>
        <v>4.812555209311097</v>
      </c>
      <c r="P221">
        <f t="shared" si="4"/>
        <v>21.5</v>
      </c>
    </row>
    <row r="222" spans="12:16">
      <c r="L222">
        <f>RAVLT_Learning!M222</f>
        <v>-0.71984539999999997</v>
      </c>
      <c r="M222">
        <f>RAVLT_Learning!N222</f>
        <v>21.6</v>
      </c>
      <c r="O222">
        <f>ABS(L222-RAVLT_Learning!$C$34)</f>
        <v>4.8135058093110974</v>
      </c>
      <c r="P222">
        <f t="shared" si="4"/>
        <v>21.6</v>
      </c>
    </row>
    <row r="223" spans="12:16">
      <c r="L223">
        <f>RAVLT_Learning!M223</f>
        <v>-0.71871387200000003</v>
      </c>
      <c r="M223">
        <f>RAVLT_Learning!N223</f>
        <v>21.7</v>
      </c>
      <c r="O223">
        <f>ABS(L223-RAVLT_Learning!$C$34)</f>
        <v>4.8146373373110967</v>
      </c>
      <c r="P223">
        <f t="shared" si="4"/>
        <v>21.7</v>
      </c>
    </row>
    <row r="224" spans="12:16">
      <c r="L224">
        <f>RAVLT_Learning!M224</f>
        <v>-0.716655088</v>
      </c>
      <c r="M224">
        <f>RAVLT_Learning!N224</f>
        <v>21.8</v>
      </c>
      <c r="O224">
        <f>ABS(L224-RAVLT_Learning!$C$34)</f>
        <v>4.8166961213110966</v>
      </c>
      <c r="P224">
        <f t="shared" si="4"/>
        <v>21.8</v>
      </c>
    </row>
    <row r="225" spans="12:16">
      <c r="L225">
        <f>RAVLT_Learning!M225</f>
        <v>-0.71459630399999996</v>
      </c>
      <c r="M225">
        <f>RAVLT_Learning!N225</f>
        <v>21.9</v>
      </c>
      <c r="O225">
        <f>ABS(L225-RAVLT_Learning!$C$34)</f>
        <v>4.8187549053110974</v>
      </c>
      <c r="P225">
        <f t="shared" si="4"/>
        <v>21.9</v>
      </c>
    </row>
    <row r="226" spans="12:16">
      <c r="L226">
        <f>RAVLT_Learning!M226</f>
        <v>-0.71158927999999999</v>
      </c>
      <c r="M226">
        <f>RAVLT_Learning!N226</f>
        <v>22</v>
      </c>
      <c r="O226">
        <f>ABS(L226-RAVLT_Learning!$C$34)</f>
        <v>4.8217619293110969</v>
      </c>
      <c r="P226">
        <f t="shared" si="4"/>
        <v>22</v>
      </c>
    </row>
    <row r="227" spans="12:16">
      <c r="L227">
        <f>RAVLT_Learning!M227</f>
        <v>-0.70798170400000004</v>
      </c>
      <c r="M227">
        <f>RAVLT_Learning!N227</f>
        <v>22.1</v>
      </c>
      <c r="O227">
        <f>ABS(L227-RAVLT_Learning!$C$34)</f>
        <v>4.8253695053110972</v>
      </c>
      <c r="P227">
        <f t="shared" si="4"/>
        <v>22.1</v>
      </c>
    </row>
    <row r="228" spans="12:16">
      <c r="L228">
        <f>RAVLT_Learning!M228</f>
        <v>-0.70443410399999995</v>
      </c>
      <c r="M228">
        <f>RAVLT_Learning!N228</f>
        <v>22.2</v>
      </c>
      <c r="O228">
        <f>ABS(L228-RAVLT_Learning!$C$34)</f>
        <v>4.8289171053110973</v>
      </c>
      <c r="P228">
        <f t="shared" si="4"/>
        <v>22.2</v>
      </c>
    </row>
    <row r="229" spans="12:16">
      <c r="L229">
        <f>RAVLT_Learning!M229</f>
        <v>-0.70180613599999997</v>
      </c>
      <c r="M229">
        <f>RAVLT_Learning!N229</f>
        <v>22.3</v>
      </c>
      <c r="O229">
        <f>ABS(L229-RAVLT_Learning!$C$34)</f>
        <v>4.8315450733110969</v>
      </c>
      <c r="P229">
        <f t="shared" si="4"/>
        <v>22.3</v>
      </c>
    </row>
    <row r="230" spans="12:16">
      <c r="L230">
        <f>RAVLT_Learning!M230</f>
        <v>-0.69917816799999999</v>
      </c>
      <c r="M230">
        <f>RAVLT_Learning!N230</f>
        <v>22.4</v>
      </c>
      <c r="O230">
        <f>ABS(L230-RAVLT_Learning!$C$34)</f>
        <v>4.8341730413110966</v>
      </c>
      <c r="P230">
        <f t="shared" si="4"/>
        <v>22.4</v>
      </c>
    </row>
    <row r="231" spans="12:16">
      <c r="L231">
        <f>RAVLT_Learning!M231</f>
        <v>-0.69758339999999996</v>
      </c>
      <c r="M231">
        <f>RAVLT_Learning!N231</f>
        <v>22.5</v>
      </c>
      <c r="O231">
        <f>ABS(L231-RAVLT_Learning!$C$34)</f>
        <v>4.835767809311097</v>
      </c>
      <c r="P231">
        <f t="shared" si="4"/>
        <v>22.5</v>
      </c>
    </row>
    <row r="232" spans="12:16">
      <c r="L232">
        <f>RAVLT_Learning!M232</f>
        <v>-0.696980504</v>
      </c>
      <c r="M232">
        <f>RAVLT_Learning!N232</f>
        <v>22.6</v>
      </c>
      <c r="O232">
        <f>ABS(L232-RAVLT_Learning!$C$34)</f>
        <v>4.8363707053110971</v>
      </c>
      <c r="P232">
        <f t="shared" si="4"/>
        <v>22.6</v>
      </c>
    </row>
    <row r="233" spans="12:16">
      <c r="L233">
        <f>RAVLT_Learning!M233</f>
        <v>-0.69637760800000004</v>
      </c>
      <c r="M233">
        <f>RAVLT_Learning!N233</f>
        <v>22.7</v>
      </c>
      <c r="O233">
        <f>ABS(L233-RAVLT_Learning!$C$34)</f>
        <v>4.8369736013110973</v>
      </c>
      <c r="P233">
        <f t="shared" ref="P233:P296" si="5">M233</f>
        <v>22.7</v>
      </c>
    </row>
    <row r="234" spans="12:16">
      <c r="L234">
        <f>RAVLT_Learning!M234</f>
        <v>-0.69292538400000003</v>
      </c>
      <c r="M234">
        <f>RAVLT_Learning!N234</f>
        <v>22.8</v>
      </c>
      <c r="O234">
        <f>ABS(L234-RAVLT_Learning!$C$34)</f>
        <v>4.8404258253110974</v>
      </c>
      <c r="P234">
        <f t="shared" si="5"/>
        <v>22.8</v>
      </c>
    </row>
    <row r="235" spans="12:16">
      <c r="L235">
        <f>RAVLT_Learning!M235</f>
        <v>-0.68935191200000001</v>
      </c>
      <c r="M235">
        <f>RAVLT_Learning!N235</f>
        <v>22.9</v>
      </c>
      <c r="O235">
        <f>ABS(L235-RAVLT_Learning!$C$34)</f>
        <v>4.8439992973110968</v>
      </c>
      <c r="P235">
        <f t="shared" si="5"/>
        <v>22.9</v>
      </c>
    </row>
    <row r="236" spans="12:16">
      <c r="L236">
        <f>RAVLT_Learning!M236</f>
        <v>-0.68661315999999994</v>
      </c>
      <c r="M236">
        <f>RAVLT_Learning!N236</f>
        <v>23</v>
      </c>
      <c r="O236">
        <f>ABS(L236-RAVLT_Learning!$C$34)</f>
        <v>4.8467380493110968</v>
      </c>
      <c r="P236">
        <f t="shared" si="5"/>
        <v>23</v>
      </c>
    </row>
    <row r="237" spans="12:16">
      <c r="L237">
        <f>RAVLT_Learning!M237</f>
        <v>-0.68508475199999996</v>
      </c>
      <c r="M237">
        <f>RAVLT_Learning!N237</f>
        <v>23.1</v>
      </c>
      <c r="O237">
        <f>ABS(L237-RAVLT_Learning!$C$34)</f>
        <v>4.8482664573110972</v>
      </c>
      <c r="P237">
        <f t="shared" si="5"/>
        <v>23.1</v>
      </c>
    </row>
    <row r="238" spans="12:16">
      <c r="L238">
        <f>RAVLT_Learning!M238</f>
        <v>-0.68355634399999998</v>
      </c>
      <c r="M238">
        <f>RAVLT_Learning!N238</f>
        <v>23.2</v>
      </c>
      <c r="O238">
        <f>ABS(L238-RAVLT_Learning!$C$34)</f>
        <v>4.8497948653110967</v>
      </c>
      <c r="P238">
        <f t="shared" si="5"/>
        <v>23.2</v>
      </c>
    </row>
    <row r="239" spans="12:16">
      <c r="L239">
        <f>RAVLT_Learning!M239</f>
        <v>-0.68301073599999995</v>
      </c>
      <c r="M239">
        <f>RAVLT_Learning!N239</f>
        <v>23.3</v>
      </c>
      <c r="O239">
        <f>ABS(L239-RAVLT_Learning!$C$34)</f>
        <v>4.8503404733110971</v>
      </c>
      <c r="P239">
        <f t="shared" si="5"/>
        <v>23.3</v>
      </c>
    </row>
    <row r="240" spans="12:16">
      <c r="L240">
        <f>RAVLT_Learning!M240</f>
        <v>-0.68262892799999997</v>
      </c>
      <c r="M240">
        <f>RAVLT_Learning!N240</f>
        <v>23.4</v>
      </c>
      <c r="O240">
        <f>ABS(L240-RAVLT_Learning!$C$34)</f>
        <v>4.8507222813110973</v>
      </c>
      <c r="P240">
        <f t="shared" si="5"/>
        <v>23.4</v>
      </c>
    </row>
    <row r="241" spans="12:16">
      <c r="L241">
        <f>RAVLT_Learning!M241</f>
        <v>-0.68190799999999996</v>
      </c>
      <c r="M241">
        <f>RAVLT_Learning!N241</f>
        <v>23.5</v>
      </c>
      <c r="O241">
        <f>ABS(L241-RAVLT_Learning!$C$34)</f>
        <v>4.8514432093110971</v>
      </c>
      <c r="P241">
        <f t="shared" si="5"/>
        <v>23.5</v>
      </c>
    </row>
    <row r="242" spans="12:16">
      <c r="L242">
        <f>RAVLT_Learning!M242</f>
        <v>-0.68041839999999998</v>
      </c>
      <c r="M242">
        <f>RAVLT_Learning!N242</f>
        <v>23.6</v>
      </c>
      <c r="O242">
        <f>ABS(L242-RAVLT_Learning!$C$34)</f>
        <v>4.8529328093110973</v>
      </c>
      <c r="P242">
        <f t="shared" si="5"/>
        <v>23.6</v>
      </c>
    </row>
    <row r="243" spans="12:16">
      <c r="L243">
        <f>RAVLT_Learning!M243</f>
        <v>-0.6789288</v>
      </c>
      <c r="M243">
        <f>RAVLT_Learning!N243</f>
        <v>23.7</v>
      </c>
      <c r="O243">
        <f>ABS(L243-RAVLT_Learning!$C$34)</f>
        <v>4.8544224093110966</v>
      </c>
      <c r="P243">
        <f t="shared" si="5"/>
        <v>23.7</v>
      </c>
    </row>
    <row r="244" spans="12:16">
      <c r="L244">
        <f>RAVLT_Learning!M244</f>
        <v>-0.67767896000000005</v>
      </c>
      <c r="M244">
        <f>RAVLT_Learning!N244</f>
        <v>23.8</v>
      </c>
      <c r="O244">
        <f>ABS(L244-RAVLT_Learning!$C$34)</f>
        <v>4.8556722493110973</v>
      </c>
      <c r="P244">
        <f t="shared" si="5"/>
        <v>23.8</v>
      </c>
    </row>
    <row r="245" spans="12:16">
      <c r="L245">
        <f>RAVLT_Learning!M245</f>
        <v>-0.67650688000000003</v>
      </c>
      <c r="M245">
        <f>RAVLT_Learning!N245</f>
        <v>23.9</v>
      </c>
      <c r="O245">
        <f>ABS(L245-RAVLT_Learning!$C$34)</f>
        <v>4.8568443293110972</v>
      </c>
      <c r="P245">
        <f t="shared" si="5"/>
        <v>23.9</v>
      </c>
    </row>
    <row r="246" spans="12:16">
      <c r="L246">
        <f>RAVLT_Learning!M246</f>
        <v>-0.67545887999999998</v>
      </c>
      <c r="M246">
        <f>RAVLT_Learning!N246</f>
        <v>24</v>
      </c>
      <c r="O246">
        <f>ABS(L246-RAVLT_Learning!$C$34)</f>
        <v>4.8578923293110972</v>
      </c>
      <c r="P246">
        <f t="shared" si="5"/>
        <v>24</v>
      </c>
    </row>
    <row r="247" spans="12:16">
      <c r="L247">
        <f>RAVLT_Learning!M247</f>
        <v>-0.67489479200000002</v>
      </c>
      <c r="M247">
        <f>RAVLT_Learning!N247</f>
        <v>24.1</v>
      </c>
      <c r="O247">
        <f>ABS(L247-RAVLT_Learning!$C$34)</f>
        <v>4.8584564173110971</v>
      </c>
      <c r="P247">
        <f t="shared" si="5"/>
        <v>24.1</v>
      </c>
    </row>
    <row r="248" spans="12:16">
      <c r="L248">
        <f>RAVLT_Learning!M248</f>
        <v>-0.67433070399999995</v>
      </c>
      <c r="M248">
        <f>RAVLT_Learning!N248</f>
        <v>24.2</v>
      </c>
      <c r="O248">
        <f>ABS(L248-RAVLT_Learning!$C$34)</f>
        <v>4.8590205053110971</v>
      </c>
      <c r="P248">
        <f t="shared" si="5"/>
        <v>24.2</v>
      </c>
    </row>
    <row r="249" spans="12:16">
      <c r="L249">
        <f>RAVLT_Learning!M249</f>
        <v>-0.67351419999999995</v>
      </c>
      <c r="M249">
        <f>RAVLT_Learning!N249</f>
        <v>24.3</v>
      </c>
      <c r="O249">
        <f>ABS(L249-RAVLT_Learning!$C$34)</f>
        <v>4.8598370093110974</v>
      </c>
      <c r="P249">
        <f t="shared" si="5"/>
        <v>24.3</v>
      </c>
    </row>
    <row r="250" spans="12:16">
      <c r="L250">
        <f>RAVLT_Learning!M250</f>
        <v>-0.67256360000000004</v>
      </c>
      <c r="M250">
        <f>RAVLT_Learning!N250</f>
        <v>24.4</v>
      </c>
      <c r="O250">
        <f>ABS(L250-RAVLT_Learning!$C$34)</f>
        <v>4.8607876093110969</v>
      </c>
      <c r="P250">
        <f t="shared" si="5"/>
        <v>24.4</v>
      </c>
    </row>
    <row r="251" spans="12:16">
      <c r="L251">
        <f>RAVLT_Learning!M251</f>
        <v>-0.67153883999999997</v>
      </c>
      <c r="M251">
        <f>RAVLT_Learning!N251</f>
        <v>24.5</v>
      </c>
      <c r="O251">
        <f>ABS(L251-RAVLT_Learning!$C$34)</f>
        <v>4.8618123693110968</v>
      </c>
      <c r="P251">
        <f t="shared" si="5"/>
        <v>24.5</v>
      </c>
    </row>
    <row r="252" spans="12:16">
      <c r="L252">
        <f>RAVLT_Learning!M252</f>
        <v>-0.66986147200000001</v>
      </c>
      <c r="M252">
        <f>RAVLT_Learning!N252</f>
        <v>24.6</v>
      </c>
      <c r="O252">
        <f>ABS(L252-RAVLT_Learning!$C$34)</f>
        <v>4.863489737311097</v>
      </c>
      <c r="P252">
        <f t="shared" si="5"/>
        <v>24.6</v>
      </c>
    </row>
    <row r="253" spans="12:16">
      <c r="L253">
        <f>RAVLT_Learning!M253</f>
        <v>-0.66818410399999995</v>
      </c>
      <c r="M253">
        <f>RAVLT_Learning!N253</f>
        <v>24.7</v>
      </c>
      <c r="O253">
        <f>ABS(L253-RAVLT_Learning!$C$34)</f>
        <v>4.8651671053110972</v>
      </c>
      <c r="P253">
        <f t="shared" si="5"/>
        <v>24.7</v>
      </c>
    </row>
    <row r="254" spans="12:16">
      <c r="L254">
        <f>RAVLT_Learning!M254</f>
        <v>-0.66731651999999997</v>
      </c>
      <c r="M254">
        <f>RAVLT_Learning!N254</f>
        <v>24.8</v>
      </c>
      <c r="O254">
        <f>ABS(L254-RAVLT_Learning!$C$34)</f>
        <v>4.8660346893110971</v>
      </c>
      <c r="P254">
        <f t="shared" si="5"/>
        <v>24.8</v>
      </c>
    </row>
    <row r="255" spans="12:16">
      <c r="L255">
        <f>RAVLT_Learning!M255</f>
        <v>-0.66710875999999997</v>
      </c>
      <c r="M255">
        <f>RAVLT_Learning!N255</f>
        <v>24.9</v>
      </c>
      <c r="O255">
        <f>ABS(L255-RAVLT_Learning!$C$34)</f>
        <v>4.8662424493110974</v>
      </c>
      <c r="P255">
        <f t="shared" si="5"/>
        <v>24.9</v>
      </c>
    </row>
    <row r="256" spans="12:16">
      <c r="L256">
        <f>RAVLT_Learning!M256</f>
        <v>-0.66690099999999997</v>
      </c>
      <c r="M256">
        <f>RAVLT_Learning!N256</f>
        <v>25</v>
      </c>
      <c r="O256">
        <f>ABS(L256-RAVLT_Learning!$C$34)</f>
        <v>4.8664502093110968</v>
      </c>
      <c r="P256">
        <f t="shared" si="5"/>
        <v>25</v>
      </c>
    </row>
    <row r="257" spans="12:16">
      <c r="L257">
        <f>RAVLT_Learning!M257</f>
        <v>-0.66163016799999996</v>
      </c>
      <c r="M257">
        <f>RAVLT_Learning!N257</f>
        <v>25.1</v>
      </c>
      <c r="O257">
        <f>ABS(L257-RAVLT_Learning!$C$34)</f>
        <v>4.8717210413110967</v>
      </c>
      <c r="P257">
        <f t="shared" si="5"/>
        <v>25.1</v>
      </c>
    </row>
    <row r="258" spans="12:16">
      <c r="L258">
        <f>RAVLT_Learning!M258</f>
        <v>-0.65635933599999996</v>
      </c>
      <c r="M258">
        <f>RAVLT_Learning!N258</f>
        <v>25.2</v>
      </c>
      <c r="O258">
        <f>ABS(L258-RAVLT_Learning!$C$34)</f>
        <v>4.8769918733110966</v>
      </c>
      <c r="P258">
        <f t="shared" si="5"/>
        <v>25.2</v>
      </c>
    </row>
    <row r="259" spans="12:16">
      <c r="L259">
        <f>RAVLT_Learning!M259</f>
        <v>-0.651510904</v>
      </c>
      <c r="M259">
        <f>RAVLT_Learning!N259</f>
        <v>25.3</v>
      </c>
      <c r="O259">
        <f>ABS(L259-RAVLT_Learning!$C$34)</f>
        <v>4.8818403053110968</v>
      </c>
      <c r="P259">
        <f t="shared" si="5"/>
        <v>25.3</v>
      </c>
    </row>
    <row r="260" spans="12:16">
      <c r="L260">
        <f>RAVLT_Learning!M260</f>
        <v>-0.64718087199999996</v>
      </c>
      <c r="M260">
        <f>RAVLT_Learning!N260</f>
        <v>25.4</v>
      </c>
      <c r="O260">
        <f>ABS(L260-RAVLT_Learning!$C$34)</f>
        <v>4.8861703373110972</v>
      </c>
      <c r="P260">
        <f t="shared" si="5"/>
        <v>25.4</v>
      </c>
    </row>
    <row r="261" spans="12:16">
      <c r="L261">
        <f>RAVLT_Learning!M261</f>
        <v>-0.64285084000000003</v>
      </c>
      <c r="M261">
        <f>RAVLT_Learning!N261</f>
        <v>25.5</v>
      </c>
      <c r="O261">
        <f>ABS(L261-RAVLT_Learning!$C$34)</f>
        <v>4.8905003693110967</v>
      </c>
      <c r="P261">
        <f t="shared" si="5"/>
        <v>25.5</v>
      </c>
    </row>
    <row r="262" spans="12:16">
      <c r="L262">
        <f>RAVLT_Learning!M262</f>
        <v>-0.63964580000000004</v>
      </c>
      <c r="M262">
        <f>RAVLT_Learning!N262</f>
        <v>25.6</v>
      </c>
      <c r="O262">
        <f>ABS(L262-RAVLT_Learning!$C$34)</f>
        <v>4.8937054093110968</v>
      </c>
      <c r="P262">
        <f t="shared" si="5"/>
        <v>25.6</v>
      </c>
    </row>
    <row r="263" spans="12:16">
      <c r="L263">
        <f>RAVLT_Learning!M263</f>
        <v>-0.63656860000000004</v>
      </c>
      <c r="M263">
        <f>RAVLT_Learning!N263</f>
        <v>25.7</v>
      </c>
      <c r="O263">
        <f>ABS(L263-RAVLT_Learning!$C$34)</f>
        <v>4.8967826093110967</v>
      </c>
      <c r="P263">
        <f t="shared" si="5"/>
        <v>25.7</v>
      </c>
    </row>
    <row r="264" spans="12:16">
      <c r="L264">
        <f>RAVLT_Learning!M264</f>
        <v>-0.63442667200000002</v>
      </c>
      <c r="M264">
        <f>RAVLT_Learning!N264</f>
        <v>25.8</v>
      </c>
      <c r="O264">
        <f>ABS(L264-RAVLT_Learning!$C$34)</f>
        <v>4.898924537311097</v>
      </c>
      <c r="P264">
        <f t="shared" si="5"/>
        <v>25.8</v>
      </c>
    </row>
    <row r="265" spans="12:16">
      <c r="L265">
        <f>RAVLT_Learning!M265</f>
        <v>-0.63404525599999995</v>
      </c>
      <c r="M265">
        <f>RAVLT_Learning!N265</f>
        <v>25.9</v>
      </c>
      <c r="O265">
        <f>ABS(L265-RAVLT_Learning!$C$34)</f>
        <v>4.8993059533110968</v>
      </c>
      <c r="P265">
        <f t="shared" si="5"/>
        <v>25.9</v>
      </c>
    </row>
    <row r="266" spans="12:16">
      <c r="L266">
        <f>RAVLT_Learning!M266</f>
        <v>-0.63366383999999998</v>
      </c>
      <c r="M266">
        <f>RAVLT_Learning!N266</f>
        <v>26</v>
      </c>
      <c r="O266">
        <f>ABS(L266-RAVLT_Learning!$C$34)</f>
        <v>4.8996873693110974</v>
      </c>
      <c r="P266">
        <f t="shared" si="5"/>
        <v>26</v>
      </c>
    </row>
    <row r="267" spans="12:16">
      <c r="L267">
        <f>RAVLT_Learning!M267</f>
        <v>-0.62638628799999996</v>
      </c>
      <c r="M267">
        <f>RAVLT_Learning!N267</f>
        <v>26.1</v>
      </c>
      <c r="O267">
        <f>ABS(L267-RAVLT_Learning!$C$34)</f>
        <v>4.9069649213110971</v>
      </c>
      <c r="P267">
        <f t="shared" si="5"/>
        <v>26.1</v>
      </c>
    </row>
    <row r="268" spans="12:16">
      <c r="L268">
        <f>RAVLT_Learning!M268</f>
        <v>-0.61734049599999996</v>
      </c>
      <c r="M268">
        <f>RAVLT_Learning!N268</f>
        <v>26.2</v>
      </c>
      <c r="O268">
        <f>ABS(L268-RAVLT_Learning!$C$34)</f>
        <v>4.9160107133110973</v>
      </c>
      <c r="P268">
        <f t="shared" si="5"/>
        <v>26.2</v>
      </c>
    </row>
    <row r="269" spans="12:16">
      <c r="L269">
        <f>RAVLT_Learning!M269</f>
        <v>-0.61027835200000002</v>
      </c>
      <c r="M269">
        <f>RAVLT_Learning!N269</f>
        <v>26.3</v>
      </c>
      <c r="O269">
        <f>ABS(L269-RAVLT_Learning!$C$34)</f>
        <v>4.9230728573110971</v>
      </c>
      <c r="P269">
        <f t="shared" si="5"/>
        <v>26.3</v>
      </c>
    </row>
    <row r="270" spans="12:16">
      <c r="L270">
        <f>RAVLT_Learning!M270</f>
        <v>-0.60933245599999997</v>
      </c>
      <c r="M270">
        <f>RAVLT_Learning!N270</f>
        <v>26.4</v>
      </c>
      <c r="O270">
        <f>ABS(L270-RAVLT_Learning!$C$34)</f>
        <v>4.9240187533110973</v>
      </c>
      <c r="P270">
        <f t="shared" si="5"/>
        <v>26.4</v>
      </c>
    </row>
    <row r="271" spans="12:16">
      <c r="L271">
        <f>RAVLT_Learning!M271</f>
        <v>-0.60838656000000002</v>
      </c>
      <c r="M271">
        <f>RAVLT_Learning!N271</f>
        <v>26.5</v>
      </c>
      <c r="O271">
        <f>ABS(L271-RAVLT_Learning!$C$34)</f>
        <v>4.9249646493110966</v>
      </c>
      <c r="P271">
        <f t="shared" si="5"/>
        <v>26.5</v>
      </c>
    </row>
    <row r="272" spans="12:16">
      <c r="L272">
        <f>RAVLT_Learning!M272</f>
        <v>-0.60059469600000004</v>
      </c>
      <c r="M272">
        <f>RAVLT_Learning!N272</f>
        <v>26.6</v>
      </c>
      <c r="O272">
        <f>ABS(L272-RAVLT_Learning!$C$34)</f>
        <v>4.9327565133110971</v>
      </c>
      <c r="P272">
        <f t="shared" si="5"/>
        <v>26.6</v>
      </c>
    </row>
    <row r="273" spans="12:16">
      <c r="L273">
        <f>RAVLT_Learning!M273</f>
        <v>-0.58978255199999996</v>
      </c>
      <c r="M273">
        <f>RAVLT_Learning!N273</f>
        <v>26.7</v>
      </c>
      <c r="O273">
        <f>ABS(L273-RAVLT_Learning!$C$34)</f>
        <v>4.9435686573110971</v>
      </c>
      <c r="P273">
        <f t="shared" si="5"/>
        <v>26.7</v>
      </c>
    </row>
    <row r="274" spans="12:16">
      <c r="L274">
        <f>RAVLT_Learning!M274</f>
        <v>-0.58038832799999995</v>
      </c>
      <c r="M274">
        <f>RAVLT_Learning!N274</f>
        <v>26.8</v>
      </c>
      <c r="O274">
        <f>ABS(L274-RAVLT_Learning!$C$34)</f>
        <v>4.9529628813110973</v>
      </c>
      <c r="P274">
        <f t="shared" si="5"/>
        <v>26.8</v>
      </c>
    </row>
    <row r="275" spans="12:16">
      <c r="L275">
        <f>RAVLT_Learning!M275</f>
        <v>-0.57950162400000005</v>
      </c>
      <c r="M275">
        <f>RAVLT_Learning!N275</f>
        <v>26.9</v>
      </c>
      <c r="O275">
        <f>ABS(L275-RAVLT_Learning!$C$34)</f>
        <v>4.9538495853110973</v>
      </c>
      <c r="P275">
        <f t="shared" si="5"/>
        <v>26.9</v>
      </c>
    </row>
    <row r="276" spans="12:16">
      <c r="L276">
        <f>RAVLT_Learning!M276</f>
        <v>-0.57861492000000003</v>
      </c>
      <c r="M276">
        <f>RAVLT_Learning!N276</f>
        <v>27</v>
      </c>
      <c r="O276">
        <f>ABS(L276-RAVLT_Learning!$C$34)</f>
        <v>4.9547362893110973</v>
      </c>
      <c r="P276">
        <f t="shared" si="5"/>
        <v>27</v>
      </c>
    </row>
    <row r="277" spans="12:16">
      <c r="L277">
        <f>RAVLT_Learning!M277</f>
        <v>-0.57657494399999998</v>
      </c>
      <c r="M277">
        <f>RAVLT_Learning!N277</f>
        <v>27.1</v>
      </c>
      <c r="O277">
        <f>ABS(L277-RAVLT_Learning!$C$34)</f>
        <v>4.9567762653110972</v>
      </c>
      <c r="P277">
        <f t="shared" si="5"/>
        <v>27.1</v>
      </c>
    </row>
    <row r="278" spans="12:16">
      <c r="L278">
        <f>RAVLT_Learning!M278</f>
        <v>-0.57373960800000001</v>
      </c>
      <c r="M278">
        <f>RAVLT_Learning!N278</f>
        <v>27.2</v>
      </c>
      <c r="O278">
        <f>ABS(L278-RAVLT_Learning!$C$34)</f>
        <v>4.9596116013110967</v>
      </c>
      <c r="P278">
        <f t="shared" si="5"/>
        <v>27.2</v>
      </c>
    </row>
    <row r="279" spans="12:16">
      <c r="L279">
        <f>RAVLT_Learning!M279</f>
        <v>-0.57100304000000002</v>
      </c>
      <c r="M279">
        <f>RAVLT_Learning!N279</f>
        <v>27.3</v>
      </c>
      <c r="O279">
        <f>ABS(L279-RAVLT_Learning!$C$34)</f>
        <v>4.9623481693110971</v>
      </c>
      <c r="P279">
        <f t="shared" si="5"/>
        <v>27.3</v>
      </c>
    </row>
    <row r="280" spans="12:16">
      <c r="L280">
        <f>RAVLT_Learning!M280</f>
        <v>-0.57058752000000001</v>
      </c>
      <c r="M280">
        <f>RAVLT_Learning!N280</f>
        <v>27.4</v>
      </c>
      <c r="O280">
        <f>ABS(L280-RAVLT_Learning!$C$34)</f>
        <v>4.9627636893110969</v>
      </c>
      <c r="P280">
        <f t="shared" si="5"/>
        <v>27.4</v>
      </c>
    </row>
    <row r="281" spans="12:16">
      <c r="L281">
        <f>RAVLT_Learning!M281</f>
        <v>-0.57017200000000001</v>
      </c>
      <c r="M281">
        <f>RAVLT_Learning!N281</f>
        <v>27.5</v>
      </c>
      <c r="O281">
        <f>ABS(L281-RAVLT_Learning!$C$34)</f>
        <v>4.9631792093110967</v>
      </c>
      <c r="P281">
        <f t="shared" si="5"/>
        <v>27.5</v>
      </c>
    </row>
    <row r="282" spans="12:16">
      <c r="L282">
        <f>RAVLT_Learning!M282</f>
        <v>-0.56867283199999996</v>
      </c>
      <c r="M282">
        <f>RAVLT_Learning!N282</f>
        <v>27.6</v>
      </c>
      <c r="O282">
        <f>ABS(L282-RAVLT_Learning!$C$34)</f>
        <v>4.9646783773110972</v>
      </c>
      <c r="P282">
        <f t="shared" si="5"/>
        <v>27.6</v>
      </c>
    </row>
    <row r="283" spans="12:16">
      <c r="L283">
        <f>RAVLT_Learning!M283</f>
        <v>-0.56604486399999998</v>
      </c>
      <c r="M283">
        <f>RAVLT_Learning!N283</f>
        <v>27.7</v>
      </c>
      <c r="O283">
        <f>ABS(L283-RAVLT_Learning!$C$34)</f>
        <v>4.9673063453110968</v>
      </c>
      <c r="P283">
        <f t="shared" si="5"/>
        <v>27.7</v>
      </c>
    </row>
    <row r="284" spans="12:16">
      <c r="L284">
        <f>RAVLT_Learning!M284</f>
        <v>-0.563416896</v>
      </c>
      <c r="M284">
        <f>RAVLT_Learning!N284</f>
        <v>27.8</v>
      </c>
      <c r="O284">
        <f>ABS(L284-RAVLT_Learning!$C$34)</f>
        <v>4.9699343133110974</v>
      </c>
      <c r="P284">
        <f t="shared" si="5"/>
        <v>27.8</v>
      </c>
    </row>
    <row r="285" spans="12:16">
      <c r="L285">
        <f>RAVLT_Learning!M285</f>
        <v>-0.56269001600000002</v>
      </c>
      <c r="M285">
        <f>RAVLT_Learning!N285</f>
        <v>27.9</v>
      </c>
      <c r="O285">
        <f>ABS(L285-RAVLT_Learning!$C$34)</f>
        <v>4.9706611933110967</v>
      </c>
      <c r="P285">
        <f t="shared" si="5"/>
        <v>27.9</v>
      </c>
    </row>
    <row r="286" spans="12:16">
      <c r="L286">
        <f>RAVLT_Learning!M286</f>
        <v>-0.56208712000000005</v>
      </c>
      <c r="M286">
        <f>RAVLT_Learning!N286</f>
        <v>28</v>
      </c>
      <c r="O286">
        <f>ABS(L286-RAVLT_Learning!$C$34)</f>
        <v>4.9712640893110969</v>
      </c>
      <c r="P286">
        <f t="shared" si="5"/>
        <v>28</v>
      </c>
    </row>
    <row r="287" spans="12:16">
      <c r="L287">
        <f>RAVLT_Learning!M287</f>
        <v>-0.56070096800000002</v>
      </c>
      <c r="M287">
        <f>RAVLT_Learning!N287</f>
        <v>28.1</v>
      </c>
      <c r="O287">
        <f>ABS(L287-RAVLT_Learning!$C$34)</f>
        <v>4.9726502413110971</v>
      </c>
      <c r="P287">
        <f t="shared" si="5"/>
        <v>28.1</v>
      </c>
    </row>
    <row r="288" spans="12:16">
      <c r="L288">
        <f>RAVLT_Learning!M288</f>
        <v>-0.55807809600000002</v>
      </c>
      <c r="M288">
        <f>RAVLT_Learning!N288</f>
        <v>28.2</v>
      </c>
      <c r="O288">
        <f>ABS(L288-RAVLT_Learning!$C$34)</f>
        <v>4.975273113311097</v>
      </c>
      <c r="P288">
        <f t="shared" si="5"/>
        <v>28.2</v>
      </c>
    </row>
    <row r="289" spans="12:16">
      <c r="L289">
        <f>RAVLT_Learning!M289</f>
        <v>-0.55545522400000003</v>
      </c>
      <c r="M289">
        <f>RAVLT_Learning!N289</f>
        <v>28.3</v>
      </c>
      <c r="O289">
        <f>ABS(L289-RAVLT_Learning!$C$34)</f>
        <v>4.9778959853110969</v>
      </c>
      <c r="P289">
        <f t="shared" si="5"/>
        <v>28.3</v>
      </c>
    </row>
    <row r="290" spans="12:16">
      <c r="L290">
        <f>RAVLT_Learning!M290</f>
        <v>-0.55295240000000001</v>
      </c>
      <c r="M290">
        <f>RAVLT_Learning!N290</f>
        <v>28.4</v>
      </c>
      <c r="O290">
        <f>ABS(L290-RAVLT_Learning!$C$34)</f>
        <v>4.9803988093110974</v>
      </c>
      <c r="P290">
        <f t="shared" si="5"/>
        <v>28.4</v>
      </c>
    </row>
    <row r="291" spans="12:16">
      <c r="L291">
        <f>RAVLT_Learning!M291</f>
        <v>-0.55047299999999999</v>
      </c>
      <c r="M291">
        <f>RAVLT_Learning!N291</f>
        <v>28.5</v>
      </c>
      <c r="O291">
        <f>ABS(L291-RAVLT_Learning!$C$34)</f>
        <v>4.9828782093110968</v>
      </c>
      <c r="P291">
        <f t="shared" si="5"/>
        <v>28.5</v>
      </c>
    </row>
    <row r="292" spans="12:16">
      <c r="L292">
        <f>RAVLT_Learning!M292</f>
        <v>-0.54858339199999995</v>
      </c>
      <c r="M292">
        <f>RAVLT_Learning!N292</f>
        <v>28.6</v>
      </c>
      <c r="O292">
        <f>ABS(L292-RAVLT_Learning!$C$34)</f>
        <v>4.9847678173110967</v>
      </c>
      <c r="P292">
        <f t="shared" si="5"/>
        <v>28.6</v>
      </c>
    </row>
    <row r="293" spans="12:16">
      <c r="L293">
        <f>RAVLT_Learning!M293</f>
        <v>-0.54816826399999996</v>
      </c>
      <c r="M293">
        <f>RAVLT_Learning!N293</f>
        <v>28.7</v>
      </c>
      <c r="O293">
        <f>ABS(L293-RAVLT_Learning!$C$34)</f>
        <v>4.985182945311097</v>
      </c>
      <c r="P293">
        <f t="shared" si="5"/>
        <v>28.7</v>
      </c>
    </row>
    <row r="294" spans="12:16">
      <c r="L294">
        <f>RAVLT_Learning!M294</f>
        <v>-0.54775313599999997</v>
      </c>
      <c r="M294">
        <f>RAVLT_Learning!N294</f>
        <v>28.8</v>
      </c>
      <c r="O294">
        <f>ABS(L294-RAVLT_Learning!$C$34)</f>
        <v>4.9855980733110972</v>
      </c>
      <c r="P294">
        <f t="shared" si="5"/>
        <v>28.8</v>
      </c>
    </row>
    <row r="295" spans="12:16">
      <c r="L295">
        <f>RAVLT_Learning!M295</f>
        <v>-0.54725333600000003</v>
      </c>
      <c r="M295">
        <f>RAVLT_Learning!N295</f>
        <v>28.9</v>
      </c>
      <c r="O295">
        <f>ABS(L295-RAVLT_Learning!$C$34)</f>
        <v>4.9860978733110972</v>
      </c>
      <c r="P295">
        <f t="shared" si="5"/>
        <v>28.9</v>
      </c>
    </row>
    <row r="296" spans="12:16">
      <c r="L296">
        <f>RAVLT_Learning!M296</f>
        <v>-0.54672295999999998</v>
      </c>
      <c r="M296">
        <f>RAVLT_Learning!N296</f>
        <v>29</v>
      </c>
      <c r="O296">
        <f>ABS(L296-RAVLT_Learning!$C$34)</f>
        <v>4.9866282493110967</v>
      </c>
      <c r="P296">
        <f t="shared" si="5"/>
        <v>29</v>
      </c>
    </row>
    <row r="297" spans="12:16">
      <c r="L297">
        <f>RAVLT_Learning!M297</f>
        <v>-0.546255512</v>
      </c>
      <c r="M297">
        <f>RAVLT_Learning!N297</f>
        <v>29.1</v>
      </c>
      <c r="O297">
        <f>ABS(L297-RAVLT_Learning!$C$34)</f>
        <v>4.9870956973110969</v>
      </c>
      <c r="P297">
        <f t="shared" ref="P297:P360" si="6">M297</f>
        <v>29.1</v>
      </c>
    </row>
    <row r="298" spans="12:16">
      <c r="L298">
        <f>RAVLT_Learning!M298</f>
        <v>-0.54606774400000002</v>
      </c>
      <c r="M298">
        <f>RAVLT_Learning!N298</f>
        <v>29.2</v>
      </c>
      <c r="O298">
        <f>ABS(L298-RAVLT_Learning!$C$34)</f>
        <v>4.9872834653110969</v>
      </c>
      <c r="P298">
        <f t="shared" si="6"/>
        <v>29.2</v>
      </c>
    </row>
    <row r="299" spans="12:16">
      <c r="L299">
        <f>RAVLT_Learning!M299</f>
        <v>-0.54587997600000004</v>
      </c>
      <c r="M299">
        <f>RAVLT_Learning!N299</f>
        <v>29.3</v>
      </c>
      <c r="O299">
        <f>ABS(L299-RAVLT_Learning!$C$34)</f>
        <v>4.9874712333110969</v>
      </c>
      <c r="P299">
        <f t="shared" si="6"/>
        <v>29.3</v>
      </c>
    </row>
    <row r="300" spans="12:16">
      <c r="L300">
        <f>RAVLT_Learning!M300</f>
        <v>-0.54485272799999995</v>
      </c>
      <c r="M300">
        <f>RAVLT_Learning!N300</f>
        <v>29.4</v>
      </c>
      <c r="O300">
        <f>ABS(L300-RAVLT_Learning!$C$34)</f>
        <v>4.9884984813110975</v>
      </c>
      <c r="P300">
        <f t="shared" si="6"/>
        <v>29.4</v>
      </c>
    </row>
    <row r="301" spans="12:16">
      <c r="L301">
        <f>RAVLT_Learning!M301</f>
        <v>-0.54333803999999997</v>
      </c>
      <c r="M301">
        <f>RAVLT_Learning!N301</f>
        <v>29.5</v>
      </c>
      <c r="O301">
        <f>ABS(L301-RAVLT_Learning!$C$34)</f>
        <v>4.990013169311097</v>
      </c>
      <c r="P301">
        <f t="shared" si="6"/>
        <v>29.5</v>
      </c>
    </row>
    <row r="302" spans="12:16">
      <c r="L302">
        <f>RAVLT_Learning!M302</f>
        <v>-0.54114514400000002</v>
      </c>
      <c r="M302">
        <f>RAVLT_Learning!N302</f>
        <v>29.6</v>
      </c>
      <c r="O302">
        <f>ABS(L302-RAVLT_Learning!$C$34)</f>
        <v>4.9922060653110973</v>
      </c>
      <c r="P302">
        <f t="shared" si="6"/>
        <v>29.6</v>
      </c>
    </row>
    <row r="303" spans="12:16">
      <c r="L303">
        <f>RAVLT_Learning!M303</f>
        <v>-0.53132240799999997</v>
      </c>
      <c r="M303">
        <f>RAVLT_Learning!N303</f>
        <v>29.7</v>
      </c>
      <c r="O303">
        <f>ABS(L303-RAVLT_Learning!$C$34)</f>
        <v>5.0020288013110967</v>
      </c>
      <c r="P303">
        <f t="shared" si="6"/>
        <v>29.7</v>
      </c>
    </row>
    <row r="304" spans="12:16">
      <c r="L304">
        <f>RAVLT_Learning!M304</f>
        <v>-0.52149967200000003</v>
      </c>
      <c r="M304">
        <f>RAVLT_Learning!N304</f>
        <v>29.8</v>
      </c>
      <c r="O304">
        <f>ABS(L304-RAVLT_Learning!$C$34)</f>
        <v>5.011851537311097</v>
      </c>
      <c r="P304">
        <f t="shared" si="6"/>
        <v>29.8</v>
      </c>
    </row>
    <row r="305" spans="12:16">
      <c r="L305">
        <f>RAVLT_Learning!M305</f>
        <v>-0.51638730399999999</v>
      </c>
      <c r="M305">
        <f>RAVLT_Learning!N305</f>
        <v>29.9</v>
      </c>
      <c r="O305">
        <f>ABS(L305-RAVLT_Learning!$C$34)</f>
        <v>5.0169639053110968</v>
      </c>
      <c r="P305">
        <f t="shared" si="6"/>
        <v>29.9</v>
      </c>
    </row>
    <row r="306" spans="12:16">
      <c r="L306">
        <f>RAVLT_Learning!M306</f>
        <v>-0.51544179999999995</v>
      </c>
      <c r="M306">
        <f>RAVLT_Learning!N306</f>
        <v>30</v>
      </c>
      <c r="O306">
        <f>ABS(L306-RAVLT_Learning!$C$34)</f>
        <v>5.0179094093110974</v>
      </c>
      <c r="P306">
        <f t="shared" si="6"/>
        <v>30</v>
      </c>
    </row>
    <row r="307" spans="12:16">
      <c r="L307">
        <f>RAVLT_Learning!M307</f>
        <v>-0.51449629600000002</v>
      </c>
      <c r="M307">
        <f>RAVLT_Learning!N307</f>
        <v>30.1</v>
      </c>
      <c r="O307">
        <f>ABS(L307-RAVLT_Learning!$C$34)</f>
        <v>5.0188549133110971</v>
      </c>
      <c r="P307">
        <f t="shared" si="6"/>
        <v>30.1</v>
      </c>
    </row>
    <row r="308" spans="12:16">
      <c r="L308">
        <f>RAVLT_Learning!M308</f>
        <v>-0.509295304</v>
      </c>
      <c r="M308">
        <f>RAVLT_Learning!N308</f>
        <v>30.2</v>
      </c>
      <c r="O308">
        <f>ABS(L308-RAVLT_Learning!$C$34)</f>
        <v>5.0240559053110969</v>
      </c>
      <c r="P308">
        <f t="shared" si="6"/>
        <v>30.2</v>
      </c>
    </row>
    <row r="309" spans="12:16">
      <c r="L309">
        <f>RAVLT_Learning!M309</f>
        <v>-0.50400565600000002</v>
      </c>
      <c r="M309">
        <f>RAVLT_Learning!N309</f>
        <v>30.3</v>
      </c>
      <c r="O309">
        <f>ABS(L309-RAVLT_Learning!$C$34)</f>
        <v>5.0293455533110967</v>
      </c>
      <c r="P309">
        <f t="shared" si="6"/>
        <v>30.3</v>
      </c>
    </row>
    <row r="310" spans="12:16">
      <c r="L310">
        <f>RAVLT_Learning!M310</f>
        <v>-0.49945151199999999</v>
      </c>
      <c r="M310">
        <f>RAVLT_Learning!N310</f>
        <v>30.4</v>
      </c>
      <c r="O310">
        <f>ABS(L310-RAVLT_Learning!$C$34)</f>
        <v>5.0338996973110968</v>
      </c>
      <c r="P310">
        <f t="shared" si="6"/>
        <v>30.4</v>
      </c>
    </row>
    <row r="311" spans="12:16">
      <c r="L311">
        <f>RAVLT_Learning!M311</f>
        <v>-0.49587804000000002</v>
      </c>
      <c r="M311">
        <f>RAVLT_Learning!N311</f>
        <v>30.5</v>
      </c>
      <c r="O311">
        <f>ABS(L311-RAVLT_Learning!$C$34)</f>
        <v>5.037473169311097</v>
      </c>
      <c r="P311">
        <f t="shared" si="6"/>
        <v>30.5</v>
      </c>
    </row>
    <row r="312" spans="12:16">
      <c r="L312">
        <f>RAVLT_Learning!M312</f>
        <v>-0.492304568</v>
      </c>
      <c r="M312">
        <f>RAVLT_Learning!N312</f>
        <v>30.6</v>
      </c>
      <c r="O312">
        <f>ABS(L312-RAVLT_Learning!$C$34)</f>
        <v>5.0410466413110973</v>
      </c>
      <c r="P312">
        <f t="shared" si="6"/>
        <v>30.6</v>
      </c>
    </row>
    <row r="313" spans="12:16">
      <c r="L313">
        <f>RAVLT_Learning!M313</f>
        <v>-0.48919652800000002</v>
      </c>
      <c r="M313">
        <f>RAVLT_Learning!N313</f>
        <v>30.7</v>
      </c>
      <c r="O313">
        <f>ABS(L313-RAVLT_Learning!$C$34)</f>
        <v>5.0441546813110971</v>
      </c>
      <c r="P313">
        <f t="shared" si="6"/>
        <v>30.7</v>
      </c>
    </row>
    <row r="314" spans="12:16">
      <c r="L314">
        <f>RAVLT_Learning!M314</f>
        <v>-0.486153432</v>
      </c>
      <c r="M314">
        <f>RAVLT_Learning!N314</f>
        <v>30.8</v>
      </c>
      <c r="O314">
        <f>ABS(L314-RAVLT_Learning!$C$34)</f>
        <v>5.047197777311097</v>
      </c>
      <c r="P314">
        <f t="shared" si="6"/>
        <v>30.8</v>
      </c>
    </row>
    <row r="315" spans="12:16">
      <c r="L315">
        <f>RAVLT_Learning!M315</f>
        <v>-0.48392633600000001</v>
      </c>
      <c r="M315">
        <f>RAVLT_Learning!N315</f>
        <v>30.9</v>
      </c>
      <c r="O315">
        <f>ABS(L315-RAVLT_Learning!$C$34)</f>
        <v>5.0494248733110974</v>
      </c>
      <c r="P315">
        <f t="shared" si="6"/>
        <v>30.9</v>
      </c>
    </row>
    <row r="316" spans="12:16">
      <c r="L316">
        <f>RAVLT_Learning!M316</f>
        <v>-0.48338224000000002</v>
      </c>
      <c r="M316">
        <f>RAVLT_Learning!N316</f>
        <v>31</v>
      </c>
      <c r="O316">
        <f>ABS(L316-RAVLT_Learning!$C$34)</f>
        <v>5.049968969311097</v>
      </c>
      <c r="P316">
        <f t="shared" si="6"/>
        <v>31</v>
      </c>
    </row>
    <row r="317" spans="12:16">
      <c r="L317">
        <f>RAVLT_Learning!M317</f>
        <v>-0.48283814400000002</v>
      </c>
      <c r="M317">
        <f>RAVLT_Learning!N317</f>
        <v>31.1</v>
      </c>
      <c r="O317">
        <f>ABS(L317-RAVLT_Learning!$C$34)</f>
        <v>5.0505130653110974</v>
      </c>
      <c r="P317">
        <f t="shared" si="6"/>
        <v>31.1</v>
      </c>
    </row>
    <row r="318" spans="12:16">
      <c r="L318">
        <f>RAVLT_Learning!M318</f>
        <v>-0.48270049599999998</v>
      </c>
      <c r="M318">
        <f>RAVLT_Learning!N318</f>
        <v>31.2</v>
      </c>
      <c r="O318">
        <f>ABS(L318-RAVLT_Learning!$C$34)</f>
        <v>5.0506507133110974</v>
      </c>
      <c r="P318">
        <f t="shared" si="6"/>
        <v>31.2</v>
      </c>
    </row>
    <row r="319" spans="12:16">
      <c r="L319">
        <f>RAVLT_Learning!M319</f>
        <v>-0.48268050400000001</v>
      </c>
      <c r="M319">
        <f>RAVLT_Learning!N319</f>
        <v>31.3</v>
      </c>
      <c r="O319">
        <f>ABS(L319-RAVLT_Learning!$C$34)</f>
        <v>5.0506707053110969</v>
      </c>
      <c r="P319">
        <f t="shared" si="6"/>
        <v>31.3</v>
      </c>
    </row>
    <row r="320" spans="12:16">
      <c r="L320">
        <f>RAVLT_Learning!M320</f>
        <v>-0.48266500000000001</v>
      </c>
      <c r="M320">
        <f>RAVLT_Learning!N320</f>
        <v>31.4</v>
      </c>
      <c r="O320">
        <f>ABS(L320-RAVLT_Learning!$C$34)</f>
        <v>5.0506862093110971</v>
      </c>
      <c r="P320">
        <f t="shared" si="6"/>
        <v>31.4</v>
      </c>
    </row>
    <row r="321" spans="12:16">
      <c r="L321">
        <f>RAVLT_Learning!M321</f>
        <v>-0.48266500000000001</v>
      </c>
      <c r="M321">
        <f>RAVLT_Learning!N321</f>
        <v>31.5</v>
      </c>
      <c r="O321">
        <f>ABS(L321-RAVLT_Learning!$C$34)</f>
        <v>5.0506862093110971</v>
      </c>
      <c r="P321">
        <f t="shared" si="6"/>
        <v>31.5</v>
      </c>
    </row>
    <row r="322" spans="12:16">
      <c r="L322">
        <f>RAVLT_Learning!M322</f>
        <v>-0.48266500000000001</v>
      </c>
      <c r="M322">
        <f>RAVLT_Learning!N322</f>
        <v>31.6</v>
      </c>
      <c r="O322">
        <f>ABS(L322-RAVLT_Learning!$C$34)</f>
        <v>5.0506862093110971</v>
      </c>
      <c r="P322">
        <f t="shared" si="6"/>
        <v>31.6</v>
      </c>
    </row>
    <row r="323" spans="12:16">
      <c r="L323">
        <f>RAVLT_Learning!M323</f>
        <v>-0.48013191999999999</v>
      </c>
      <c r="M323">
        <f>RAVLT_Learning!N323</f>
        <v>31.7</v>
      </c>
      <c r="O323">
        <f>ABS(L323-RAVLT_Learning!$C$34)</f>
        <v>5.0532192893110972</v>
      </c>
      <c r="P323">
        <f t="shared" si="6"/>
        <v>31.7</v>
      </c>
    </row>
    <row r="324" spans="12:16">
      <c r="L324">
        <f>RAVLT_Learning!M324</f>
        <v>-0.47637067999999999</v>
      </c>
      <c r="M324">
        <f>RAVLT_Learning!N324</f>
        <v>31.8</v>
      </c>
      <c r="O324">
        <f>ABS(L324-RAVLT_Learning!$C$34)</f>
        <v>5.0569805293110974</v>
      </c>
      <c r="P324">
        <f t="shared" si="6"/>
        <v>31.8</v>
      </c>
    </row>
    <row r="325" spans="12:16">
      <c r="L325">
        <f>RAVLT_Learning!M325</f>
        <v>-0.47244523199999999</v>
      </c>
      <c r="M325">
        <f>RAVLT_Learning!N325</f>
        <v>31.9</v>
      </c>
      <c r="O325">
        <f>ABS(L325-RAVLT_Learning!$C$34)</f>
        <v>5.0609059773110969</v>
      </c>
      <c r="P325">
        <f t="shared" si="6"/>
        <v>31.9</v>
      </c>
    </row>
    <row r="326" spans="12:16">
      <c r="L326">
        <f>RAVLT_Learning!M326</f>
        <v>-0.46734295999999997</v>
      </c>
      <c r="M326">
        <f>RAVLT_Learning!N326</f>
        <v>32</v>
      </c>
      <c r="O326">
        <f>ABS(L326-RAVLT_Learning!$C$34)</f>
        <v>5.0660082493110972</v>
      </c>
      <c r="P326">
        <f t="shared" si="6"/>
        <v>32</v>
      </c>
    </row>
    <row r="327" spans="12:16">
      <c r="L327">
        <f>RAVLT_Learning!M327</f>
        <v>-0.46224068800000001</v>
      </c>
      <c r="M327">
        <f>RAVLT_Learning!N327</f>
        <v>32.1</v>
      </c>
      <c r="O327">
        <f>ABS(L327-RAVLT_Learning!$C$34)</f>
        <v>5.0711105213110974</v>
      </c>
      <c r="P327">
        <f t="shared" si="6"/>
        <v>32.1</v>
      </c>
    </row>
    <row r="328" spans="12:16">
      <c r="L328">
        <f>RAVLT_Learning!M328</f>
        <v>-0.459709488</v>
      </c>
      <c r="M328">
        <f>RAVLT_Learning!N328</f>
        <v>32.200000000000003</v>
      </c>
      <c r="O328">
        <f>ABS(L328-RAVLT_Learning!$C$34)</f>
        <v>5.0736417213110974</v>
      </c>
      <c r="P328">
        <f t="shared" si="6"/>
        <v>32.200000000000003</v>
      </c>
    </row>
    <row r="329" spans="12:16">
      <c r="L329">
        <f>RAVLT_Learning!M329</f>
        <v>-0.45910659199999998</v>
      </c>
      <c r="M329">
        <f>RAVLT_Learning!N329</f>
        <v>32.299999999999997</v>
      </c>
      <c r="O329">
        <f>ABS(L329-RAVLT_Learning!$C$34)</f>
        <v>5.0742446173110967</v>
      </c>
      <c r="P329">
        <f t="shared" si="6"/>
        <v>32.299999999999997</v>
      </c>
    </row>
    <row r="330" spans="12:16">
      <c r="L330">
        <f>RAVLT_Learning!M330</f>
        <v>-0.45845388799999998</v>
      </c>
      <c r="M330">
        <f>RAVLT_Learning!N330</f>
        <v>32.4</v>
      </c>
      <c r="O330">
        <f>ABS(L330-RAVLT_Learning!$C$34)</f>
        <v>5.0748973213110968</v>
      </c>
      <c r="P330">
        <f t="shared" si="6"/>
        <v>32.4</v>
      </c>
    </row>
    <row r="331" spans="12:16">
      <c r="L331">
        <f>RAVLT_Learning!M331</f>
        <v>-0.45541039999999999</v>
      </c>
      <c r="M331">
        <f>RAVLT_Learning!N331</f>
        <v>32.5</v>
      </c>
      <c r="O331">
        <f>ABS(L331-RAVLT_Learning!$C$34)</f>
        <v>5.0779408093110971</v>
      </c>
      <c r="P331">
        <f t="shared" si="6"/>
        <v>32.5</v>
      </c>
    </row>
    <row r="332" spans="12:16">
      <c r="L332">
        <f>RAVLT_Learning!M332</f>
        <v>-0.45236691200000001</v>
      </c>
      <c r="M332">
        <f>RAVLT_Learning!N332</f>
        <v>32.6</v>
      </c>
      <c r="O332">
        <f>ABS(L332-RAVLT_Learning!$C$34)</f>
        <v>5.0809842973110975</v>
      </c>
      <c r="P332">
        <f t="shared" si="6"/>
        <v>32.6</v>
      </c>
    </row>
    <row r="333" spans="12:16">
      <c r="L333">
        <f>RAVLT_Learning!M333</f>
        <v>-0.44731175200000001</v>
      </c>
      <c r="M333">
        <f>RAVLT_Learning!N333</f>
        <v>32.700000000000003</v>
      </c>
      <c r="O333">
        <f>ABS(L333-RAVLT_Learning!$C$34)</f>
        <v>5.086039457311097</v>
      </c>
      <c r="P333">
        <f t="shared" si="6"/>
        <v>32.700000000000003</v>
      </c>
    </row>
    <row r="334" spans="12:16">
      <c r="L334">
        <f>RAVLT_Learning!M334</f>
        <v>-0.43998252799999998</v>
      </c>
      <c r="M334">
        <f>RAVLT_Learning!N334</f>
        <v>32.799999999999997</v>
      </c>
      <c r="O334">
        <f>ABS(L334-RAVLT_Learning!$C$34)</f>
        <v>5.0933686813110972</v>
      </c>
      <c r="P334">
        <f t="shared" si="6"/>
        <v>32.799999999999997</v>
      </c>
    </row>
    <row r="335" spans="12:16">
      <c r="L335">
        <f>RAVLT_Learning!M335</f>
        <v>-0.43265330400000002</v>
      </c>
      <c r="M335">
        <f>RAVLT_Learning!N335</f>
        <v>32.9</v>
      </c>
      <c r="O335">
        <f>ABS(L335-RAVLT_Learning!$C$34)</f>
        <v>5.1006979053110975</v>
      </c>
      <c r="P335">
        <f t="shared" si="6"/>
        <v>32.9</v>
      </c>
    </row>
    <row r="336" spans="12:16">
      <c r="L336">
        <f>RAVLT_Learning!M336</f>
        <v>-0.43049152000000002</v>
      </c>
      <c r="M336">
        <f>RAVLT_Learning!N336</f>
        <v>33</v>
      </c>
      <c r="O336">
        <f>ABS(L336-RAVLT_Learning!$C$34)</f>
        <v>5.1028596893110967</v>
      </c>
      <c r="P336">
        <f t="shared" si="6"/>
        <v>33</v>
      </c>
    </row>
    <row r="337" spans="12:16">
      <c r="L337">
        <f>RAVLT_Learning!M337</f>
        <v>-0.428789064</v>
      </c>
      <c r="M337">
        <f>RAVLT_Learning!N337</f>
        <v>33.1</v>
      </c>
      <c r="O337">
        <f>ABS(L337-RAVLT_Learning!$C$34)</f>
        <v>5.104562145311097</v>
      </c>
      <c r="P337">
        <f t="shared" si="6"/>
        <v>33.1</v>
      </c>
    </row>
    <row r="338" spans="12:16">
      <c r="L338">
        <f>RAVLT_Learning!M338</f>
        <v>-0.42756670400000002</v>
      </c>
      <c r="M338">
        <f>RAVLT_Learning!N338</f>
        <v>33.200000000000003</v>
      </c>
      <c r="O338">
        <f>ABS(L338-RAVLT_Learning!$C$34)</f>
        <v>5.1057845053110968</v>
      </c>
      <c r="P338">
        <f t="shared" si="6"/>
        <v>33.200000000000003</v>
      </c>
    </row>
    <row r="339" spans="12:16">
      <c r="L339">
        <f>RAVLT_Learning!M339</f>
        <v>-0.42717117599999999</v>
      </c>
      <c r="M339">
        <f>RAVLT_Learning!N339</f>
        <v>33.299999999999997</v>
      </c>
      <c r="O339">
        <f>ABS(L339-RAVLT_Learning!$C$34)</f>
        <v>5.1061800333110972</v>
      </c>
      <c r="P339">
        <f t="shared" si="6"/>
        <v>33.299999999999997</v>
      </c>
    </row>
    <row r="340" spans="12:16">
      <c r="L340">
        <f>RAVLT_Learning!M340</f>
        <v>-0.42677564800000001</v>
      </c>
      <c r="M340">
        <f>RAVLT_Learning!N340</f>
        <v>33.4</v>
      </c>
      <c r="O340">
        <f>ABS(L340-RAVLT_Learning!$C$34)</f>
        <v>5.1065755613110966</v>
      </c>
      <c r="P340">
        <f t="shared" si="6"/>
        <v>33.4</v>
      </c>
    </row>
    <row r="341" spans="12:16">
      <c r="L341">
        <f>RAVLT_Learning!M341</f>
        <v>-0.42514395999999999</v>
      </c>
      <c r="M341">
        <f>RAVLT_Learning!N341</f>
        <v>33.5</v>
      </c>
      <c r="O341">
        <f>ABS(L341-RAVLT_Learning!$C$34)</f>
        <v>5.1082072493110973</v>
      </c>
      <c r="P341">
        <f t="shared" si="6"/>
        <v>33.5</v>
      </c>
    </row>
    <row r="342" spans="12:16">
      <c r="L342">
        <f>RAVLT_Learning!M342</f>
        <v>-0.42323413599999998</v>
      </c>
      <c r="M342">
        <f>RAVLT_Learning!N342</f>
        <v>33.6</v>
      </c>
      <c r="O342">
        <f>ABS(L342-RAVLT_Learning!$C$34)</f>
        <v>5.1101170733110974</v>
      </c>
      <c r="P342">
        <f t="shared" si="6"/>
        <v>33.6</v>
      </c>
    </row>
    <row r="343" spans="12:16">
      <c r="L343">
        <f>RAVLT_Learning!M343</f>
        <v>-0.42168134400000001</v>
      </c>
      <c r="M343">
        <f>RAVLT_Learning!N343</f>
        <v>33.700000000000003</v>
      </c>
      <c r="O343">
        <f>ABS(L343-RAVLT_Learning!$C$34)</f>
        <v>5.1116698653110966</v>
      </c>
      <c r="P343">
        <f t="shared" si="6"/>
        <v>33.700000000000003</v>
      </c>
    </row>
    <row r="344" spans="12:16">
      <c r="L344">
        <f>RAVLT_Learning!M344</f>
        <v>-0.421117256</v>
      </c>
      <c r="M344">
        <f>RAVLT_Learning!N344</f>
        <v>33.799999999999997</v>
      </c>
      <c r="O344">
        <f>ABS(L344-RAVLT_Learning!$C$34)</f>
        <v>5.1122339533110974</v>
      </c>
      <c r="P344">
        <f t="shared" si="6"/>
        <v>33.799999999999997</v>
      </c>
    </row>
    <row r="345" spans="12:16">
      <c r="L345">
        <f>RAVLT_Learning!M345</f>
        <v>-0.42055316799999998</v>
      </c>
      <c r="M345">
        <f>RAVLT_Learning!N345</f>
        <v>33.9</v>
      </c>
      <c r="O345">
        <f>ABS(L345-RAVLT_Learning!$C$34)</f>
        <v>5.1127980413110974</v>
      </c>
      <c r="P345">
        <f t="shared" si="6"/>
        <v>33.9</v>
      </c>
    </row>
    <row r="346" spans="12:16">
      <c r="L346">
        <f>RAVLT_Learning!M346</f>
        <v>-0.41566560000000002</v>
      </c>
      <c r="M346">
        <f>RAVLT_Learning!N346</f>
        <v>34</v>
      </c>
      <c r="O346">
        <f>ABS(L346-RAVLT_Learning!$C$34)</f>
        <v>5.1176856093110974</v>
      </c>
      <c r="P346">
        <f t="shared" si="6"/>
        <v>34</v>
      </c>
    </row>
    <row r="347" spans="12:16">
      <c r="L347">
        <f>RAVLT_Learning!M347</f>
        <v>-0.40904864000000002</v>
      </c>
      <c r="M347">
        <f>RAVLT_Learning!N347</f>
        <v>34.1</v>
      </c>
      <c r="O347">
        <f>ABS(L347-RAVLT_Learning!$C$34)</f>
        <v>5.1243025693110971</v>
      </c>
      <c r="P347">
        <f t="shared" si="6"/>
        <v>34.1</v>
      </c>
    </row>
    <row r="348" spans="12:16">
      <c r="L348">
        <f>RAVLT_Learning!M348</f>
        <v>-0.40348774399999998</v>
      </c>
      <c r="M348">
        <f>RAVLT_Learning!N348</f>
        <v>34.200000000000003</v>
      </c>
      <c r="O348">
        <f>ABS(L348-RAVLT_Learning!$C$34)</f>
        <v>5.1298634653110966</v>
      </c>
      <c r="P348">
        <f t="shared" si="6"/>
        <v>34.200000000000003</v>
      </c>
    </row>
    <row r="349" spans="12:16">
      <c r="L349">
        <f>RAVLT_Learning!M349</f>
        <v>-0.40333917600000002</v>
      </c>
      <c r="M349">
        <f>RAVLT_Learning!N349</f>
        <v>34.299999999999997</v>
      </c>
      <c r="O349">
        <f>ABS(L349-RAVLT_Learning!$C$34)</f>
        <v>5.1300120333110968</v>
      </c>
      <c r="P349">
        <f t="shared" si="6"/>
        <v>34.299999999999997</v>
      </c>
    </row>
    <row r="350" spans="12:16">
      <c r="L350">
        <f>RAVLT_Learning!M350</f>
        <v>-0.40319060800000001</v>
      </c>
      <c r="M350">
        <f>RAVLT_Learning!N350</f>
        <v>34.4</v>
      </c>
      <c r="O350">
        <f>ABS(L350-RAVLT_Learning!$C$34)</f>
        <v>5.130160601311097</v>
      </c>
      <c r="P350">
        <f t="shared" si="6"/>
        <v>34.4</v>
      </c>
    </row>
    <row r="351" spans="12:16">
      <c r="L351">
        <f>RAVLT_Learning!M351</f>
        <v>-0.40020667999999998</v>
      </c>
      <c r="M351">
        <f>RAVLT_Learning!N351</f>
        <v>34.5</v>
      </c>
      <c r="O351">
        <f>ABS(L351-RAVLT_Learning!$C$34)</f>
        <v>5.1331445293110969</v>
      </c>
      <c r="P351">
        <f t="shared" si="6"/>
        <v>34.5</v>
      </c>
    </row>
    <row r="352" spans="12:16">
      <c r="L352">
        <f>RAVLT_Learning!M352</f>
        <v>-0.39542702400000002</v>
      </c>
      <c r="M352">
        <f>RAVLT_Learning!N352</f>
        <v>34.6</v>
      </c>
      <c r="O352">
        <f>ABS(L352-RAVLT_Learning!$C$34)</f>
        <v>5.1379241853110971</v>
      </c>
      <c r="P352">
        <f t="shared" si="6"/>
        <v>34.6</v>
      </c>
    </row>
    <row r="353" spans="12:16">
      <c r="L353">
        <f>RAVLT_Learning!M353</f>
        <v>-0.39082544800000002</v>
      </c>
      <c r="M353">
        <f>RAVLT_Learning!N353</f>
        <v>34.700000000000003</v>
      </c>
      <c r="O353">
        <f>ABS(L353-RAVLT_Learning!$C$34)</f>
        <v>5.1425257613110968</v>
      </c>
      <c r="P353">
        <f t="shared" si="6"/>
        <v>34.700000000000003</v>
      </c>
    </row>
    <row r="354" spans="12:16">
      <c r="L354">
        <f>RAVLT_Learning!M354</f>
        <v>-0.38895443200000002</v>
      </c>
      <c r="M354">
        <f>RAVLT_Learning!N354</f>
        <v>34.799999999999997</v>
      </c>
      <c r="O354">
        <f>ABS(L354-RAVLT_Learning!$C$34)</f>
        <v>5.1443967773110968</v>
      </c>
      <c r="P354">
        <f t="shared" si="6"/>
        <v>34.799999999999997</v>
      </c>
    </row>
    <row r="355" spans="12:16">
      <c r="L355">
        <f>RAVLT_Learning!M355</f>
        <v>-0.38708341600000001</v>
      </c>
      <c r="M355">
        <f>RAVLT_Learning!N355</f>
        <v>34.9</v>
      </c>
      <c r="O355">
        <f>ABS(L355-RAVLT_Learning!$C$34)</f>
        <v>5.1462677933110967</v>
      </c>
      <c r="P355">
        <f t="shared" si="6"/>
        <v>34.9</v>
      </c>
    </row>
    <row r="356" spans="12:16">
      <c r="L356">
        <f>RAVLT_Learning!M356</f>
        <v>-0.38538440000000002</v>
      </c>
      <c r="M356">
        <f>RAVLT_Learning!N356</f>
        <v>35</v>
      </c>
      <c r="O356">
        <f>ABS(L356-RAVLT_Learning!$C$34)</f>
        <v>5.1479668093110966</v>
      </c>
      <c r="P356">
        <f t="shared" si="6"/>
        <v>35</v>
      </c>
    </row>
    <row r="357" spans="12:16">
      <c r="L357">
        <f>RAVLT_Learning!M357</f>
        <v>-0.38385050399999998</v>
      </c>
      <c r="M357">
        <f>RAVLT_Learning!N357</f>
        <v>35.1</v>
      </c>
      <c r="O357">
        <f>ABS(L357-RAVLT_Learning!$C$34)</f>
        <v>5.1495007053110973</v>
      </c>
      <c r="P357">
        <f t="shared" si="6"/>
        <v>35.1</v>
      </c>
    </row>
    <row r="358" spans="12:16">
      <c r="L358">
        <f>RAVLT_Learning!M358</f>
        <v>-0.382316608</v>
      </c>
      <c r="M358">
        <f>RAVLT_Learning!N358</f>
        <v>35.200000000000003</v>
      </c>
      <c r="O358">
        <f>ABS(L358-RAVLT_Learning!$C$34)</f>
        <v>5.151034601311097</v>
      </c>
      <c r="P358">
        <f t="shared" si="6"/>
        <v>35.200000000000003</v>
      </c>
    </row>
    <row r="359" spans="12:16">
      <c r="L359">
        <f>RAVLT_Learning!M359</f>
        <v>-0.38157043200000001</v>
      </c>
      <c r="M359">
        <f>RAVLT_Learning!N359</f>
        <v>35.299999999999997</v>
      </c>
      <c r="O359">
        <f>ABS(L359-RAVLT_Learning!$C$34)</f>
        <v>5.1517807773110968</v>
      </c>
      <c r="P359">
        <f t="shared" si="6"/>
        <v>35.299999999999997</v>
      </c>
    </row>
    <row r="360" spans="12:16">
      <c r="L360">
        <f>RAVLT_Learning!M360</f>
        <v>-0.38085777599999998</v>
      </c>
      <c r="M360">
        <f>RAVLT_Learning!N360</f>
        <v>35.4</v>
      </c>
      <c r="O360">
        <f>ABS(L360-RAVLT_Learning!$C$34)</f>
        <v>5.152493433311097</v>
      </c>
      <c r="P360">
        <f t="shared" si="6"/>
        <v>35.4</v>
      </c>
    </row>
    <row r="361" spans="12:16">
      <c r="L361">
        <f>RAVLT_Learning!M361</f>
        <v>-0.37958544</v>
      </c>
      <c r="M361">
        <f>RAVLT_Learning!N361</f>
        <v>35.5</v>
      </c>
      <c r="O361">
        <f>ABS(L361-RAVLT_Learning!$C$34)</f>
        <v>5.1537657693110974</v>
      </c>
      <c r="P361">
        <f t="shared" ref="P361:P424" si="7">M361</f>
        <v>35.5</v>
      </c>
    </row>
    <row r="362" spans="12:16">
      <c r="L362">
        <f>RAVLT_Learning!M362</f>
        <v>-0.37750156800000001</v>
      </c>
      <c r="M362">
        <f>RAVLT_Learning!N362</f>
        <v>35.6</v>
      </c>
      <c r="O362">
        <f>ABS(L362-RAVLT_Learning!$C$34)</f>
        <v>5.1558496413110966</v>
      </c>
      <c r="P362">
        <f t="shared" si="7"/>
        <v>35.6</v>
      </c>
    </row>
    <row r="363" spans="12:16">
      <c r="L363">
        <f>RAVLT_Learning!M363</f>
        <v>-0.37541769600000002</v>
      </c>
      <c r="M363">
        <f>RAVLT_Learning!N363</f>
        <v>35.700000000000003</v>
      </c>
      <c r="O363">
        <f>ABS(L363-RAVLT_Learning!$C$34)</f>
        <v>5.1579335133110966</v>
      </c>
      <c r="P363">
        <f t="shared" si="7"/>
        <v>35.700000000000003</v>
      </c>
    </row>
    <row r="364" spans="12:16">
      <c r="L364">
        <f>RAVLT_Learning!M364</f>
        <v>-0.37447555199999999</v>
      </c>
      <c r="M364">
        <f>RAVLT_Learning!N364</f>
        <v>35.799999999999997</v>
      </c>
      <c r="O364">
        <f>ABS(L364-RAVLT_Learning!$C$34)</f>
        <v>5.1588756573110972</v>
      </c>
      <c r="P364">
        <f t="shared" si="7"/>
        <v>35.799999999999997</v>
      </c>
    </row>
    <row r="365" spans="12:16">
      <c r="L365">
        <f>RAVLT_Learning!M365</f>
        <v>-0.37372369599999999</v>
      </c>
      <c r="M365">
        <f>RAVLT_Learning!N365</f>
        <v>35.9</v>
      </c>
      <c r="O365">
        <f>ABS(L365-RAVLT_Learning!$C$34)</f>
        <v>5.1596275133110971</v>
      </c>
      <c r="P365">
        <f t="shared" si="7"/>
        <v>35.9</v>
      </c>
    </row>
    <row r="366" spans="12:16">
      <c r="L366">
        <f>RAVLT_Learning!M366</f>
        <v>-0.37215355999999999</v>
      </c>
      <c r="M366">
        <f>RAVLT_Learning!N366</f>
        <v>36</v>
      </c>
      <c r="O366">
        <f>ABS(L366-RAVLT_Learning!$C$34)</f>
        <v>5.1611976493110969</v>
      </c>
      <c r="P366">
        <f t="shared" si="7"/>
        <v>36</v>
      </c>
    </row>
    <row r="367" spans="12:16">
      <c r="L367">
        <f>RAVLT_Learning!M367</f>
        <v>-0.36872865599999999</v>
      </c>
      <c r="M367">
        <f>RAVLT_Learning!N367</f>
        <v>36.1</v>
      </c>
      <c r="O367">
        <f>ABS(L367-RAVLT_Learning!$C$34)</f>
        <v>5.164622553311097</v>
      </c>
      <c r="P367">
        <f t="shared" si="7"/>
        <v>36.1</v>
      </c>
    </row>
    <row r="368" spans="12:16">
      <c r="L368">
        <f>RAVLT_Learning!M368</f>
        <v>-0.36530375199999998</v>
      </c>
      <c r="M368">
        <f>RAVLT_Learning!N368</f>
        <v>36.200000000000003</v>
      </c>
      <c r="O368">
        <f>ABS(L368-RAVLT_Learning!$C$34)</f>
        <v>5.168047457311097</v>
      </c>
      <c r="P368">
        <f t="shared" si="7"/>
        <v>36.200000000000003</v>
      </c>
    </row>
    <row r="369" spans="12:16">
      <c r="L369">
        <f>RAVLT_Learning!M369</f>
        <v>-0.36430841600000002</v>
      </c>
      <c r="M369">
        <f>RAVLT_Learning!N369</f>
        <v>36.299999999999997</v>
      </c>
      <c r="O369">
        <f>ABS(L369-RAVLT_Learning!$C$34)</f>
        <v>5.169042793311097</v>
      </c>
      <c r="P369">
        <f t="shared" si="7"/>
        <v>36.299999999999997</v>
      </c>
    </row>
    <row r="370" spans="12:16">
      <c r="L370">
        <f>RAVLT_Learning!M370</f>
        <v>-0.36410104799999998</v>
      </c>
      <c r="M370">
        <f>RAVLT_Learning!N370</f>
        <v>36.4</v>
      </c>
      <c r="O370">
        <f>ABS(L370-RAVLT_Learning!$C$34)</f>
        <v>5.1692501613110968</v>
      </c>
      <c r="P370">
        <f t="shared" si="7"/>
        <v>36.4</v>
      </c>
    </row>
    <row r="371" spans="12:16">
      <c r="L371">
        <f>RAVLT_Learning!M371</f>
        <v>-0.36336239999999997</v>
      </c>
      <c r="M371">
        <f>RAVLT_Learning!N371</f>
        <v>36.5</v>
      </c>
      <c r="O371">
        <f>ABS(L371-RAVLT_Learning!$C$34)</f>
        <v>5.1699888093110973</v>
      </c>
      <c r="P371">
        <f t="shared" si="7"/>
        <v>36.5</v>
      </c>
    </row>
    <row r="372" spans="12:16">
      <c r="L372">
        <f>RAVLT_Learning!M372</f>
        <v>-0.36055176</v>
      </c>
      <c r="M372">
        <f>RAVLT_Learning!N372</f>
        <v>36.6</v>
      </c>
      <c r="O372">
        <f>ABS(L372-RAVLT_Learning!$C$34)</f>
        <v>5.1727994493110971</v>
      </c>
      <c r="P372">
        <f t="shared" si="7"/>
        <v>36.6</v>
      </c>
    </row>
    <row r="373" spans="12:16">
      <c r="L373">
        <f>RAVLT_Learning!M373</f>
        <v>-0.35774112000000002</v>
      </c>
      <c r="M373">
        <f>RAVLT_Learning!N373</f>
        <v>36.700000000000003</v>
      </c>
      <c r="O373">
        <f>ABS(L373-RAVLT_Learning!$C$34)</f>
        <v>5.175610089311097</v>
      </c>
      <c r="P373">
        <f t="shared" si="7"/>
        <v>36.700000000000003</v>
      </c>
    </row>
    <row r="374" spans="12:16">
      <c r="L374">
        <f>RAVLT_Learning!M374</f>
        <v>-0.35440695999999999</v>
      </c>
      <c r="M374">
        <f>RAVLT_Learning!N374</f>
        <v>36.799999999999997</v>
      </c>
      <c r="O374">
        <f>ABS(L374-RAVLT_Learning!$C$34)</f>
        <v>5.1789442493110966</v>
      </c>
      <c r="P374">
        <f t="shared" si="7"/>
        <v>36.799999999999997</v>
      </c>
    </row>
    <row r="375" spans="12:16">
      <c r="L375">
        <f>RAVLT_Learning!M375</f>
        <v>-0.35079468000000003</v>
      </c>
      <c r="M375">
        <f>RAVLT_Learning!N375</f>
        <v>36.9</v>
      </c>
      <c r="O375">
        <f>ABS(L375-RAVLT_Learning!$C$34)</f>
        <v>5.1825565293110971</v>
      </c>
      <c r="P375">
        <f t="shared" si="7"/>
        <v>36.9</v>
      </c>
    </row>
    <row r="376" spans="12:16">
      <c r="L376">
        <f>RAVLT_Learning!M376</f>
        <v>-0.34746051999999999</v>
      </c>
      <c r="M376">
        <f>RAVLT_Learning!N376</f>
        <v>37</v>
      </c>
      <c r="O376">
        <f>ABS(L376-RAVLT_Learning!$C$34)</f>
        <v>5.1858906893110968</v>
      </c>
      <c r="P376">
        <f t="shared" si="7"/>
        <v>37</v>
      </c>
    </row>
    <row r="377" spans="12:16">
      <c r="L377">
        <f>RAVLT_Learning!M377</f>
        <v>-0.34657381599999998</v>
      </c>
      <c r="M377">
        <f>RAVLT_Learning!N377</f>
        <v>37.1</v>
      </c>
      <c r="O377">
        <f>ABS(L377-RAVLT_Learning!$C$34)</f>
        <v>5.1867773933110968</v>
      </c>
      <c r="P377">
        <f t="shared" si="7"/>
        <v>37.1</v>
      </c>
    </row>
    <row r="378" spans="12:16">
      <c r="L378">
        <f>RAVLT_Learning!M378</f>
        <v>-0.34568711200000002</v>
      </c>
      <c r="M378">
        <f>RAVLT_Learning!N378</f>
        <v>37.200000000000003</v>
      </c>
      <c r="O378">
        <f>ABS(L378-RAVLT_Learning!$C$34)</f>
        <v>5.1876640973110968</v>
      </c>
      <c r="P378">
        <f t="shared" si="7"/>
        <v>37.200000000000003</v>
      </c>
    </row>
    <row r="379" spans="12:16">
      <c r="L379">
        <f>RAVLT_Learning!M379</f>
        <v>-0.34431851200000002</v>
      </c>
      <c r="M379">
        <f>RAVLT_Learning!N379</f>
        <v>37.299999999999997</v>
      </c>
      <c r="O379">
        <f>ABS(L379-RAVLT_Learning!$C$34)</f>
        <v>5.189032697311097</v>
      </c>
      <c r="P379">
        <f t="shared" si="7"/>
        <v>37.299999999999997</v>
      </c>
    </row>
    <row r="380" spans="12:16">
      <c r="L380">
        <f>RAVLT_Learning!M380</f>
        <v>-0.34255725599999998</v>
      </c>
      <c r="M380">
        <f>RAVLT_Learning!N380</f>
        <v>37.4</v>
      </c>
      <c r="O380">
        <f>ABS(L380-RAVLT_Learning!$C$34)</f>
        <v>5.1907939533110969</v>
      </c>
      <c r="P380">
        <f t="shared" si="7"/>
        <v>37.4</v>
      </c>
    </row>
    <row r="381" spans="12:16">
      <c r="L381">
        <f>RAVLT_Learning!M381</f>
        <v>-0.34079599999999999</v>
      </c>
      <c r="M381">
        <f>RAVLT_Learning!N381</f>
        <v>37.5</v>
      </c>
      <c r="O381">
        <f>ABS(L381-RAVLT_Learning!$C$34)</f>
        <v>5.1925552093110969</v>
      </c>
      <c r="P381">
        <f t="shared" si="7"/>
        <v>37.5</v>
      </c>
    </row>
    <row r="382" spans="12:16">
      <c r="L382">
        <f>RAVLT_Learning!M382</f>
        <v>-0.33760394399999999</v>
      </c>
      <c r="M382">
        <f>RAVLT_Learning!N382</f>
        <v>37.6</v>
      </c>
      <c r="O382">
        <f>ABS(L382-RAVLT_Learning!$C$34)</f>
        <v>5.1957472653110974</v>
      </c>
      <c r="P382">
        <f t="shared" si="7"/>
        <v>37.6</v>
      </c>
    </row>
    <row r="383" spans="12:16">
      <c r="L383">
        <f>RAVLT_Learning!M383</f>
        <v>-0.33441188799999999</v>
      </c>
      <c r="M383">
        <f>RAVLT_Learning!N383</f>
        <v>37.700000000000003</v>
      </c>
      <c r="O383">
        <f>ABS(L383-RAVLT_Learning!$C$34)</f>
        <v>5.198939321311097</v>
      </c>
      <c r="P383">
        <f t="shared" si="7"/>
        <v>37.700000000000003</v>
      </c>
    </row>
    <row r="384" spans="12:16">
      <c r="L384">
        <f>RAVLT_Learning!M384</f>
        <v>-0.33018477600000001</v>
      </c>
      <c r="M384">
        <f>RAVLT_Learning!N384</f>
        <v>37.799999999999997</v>
      </c>
      <c r="O384">
        <f>ABS(L384-RAVLT_Learning!$C$34)</f>
        <v>5.2031664333110967</v>
      </c>
      <c r="P384">
        <f t="shared" si="7"/>
        <v>37.799999999999997</v>
      </c>
    </row>
    <row r="385" spans="12:16">
      <c r="L385">
        <f>RAVLT_Learning!M385</f>
        <v>-0.32468736799999998</v>
      </c>
      <c r="M385">
        <f>RAVLT_Learning!N385</f>
        <v>37.9</v>
      </c>
      <c r="O385">
        <f>ABS(L385-RAVLT_Learning!$C$34)</f>
        <v>5.2086638413110968</v>
      </c>
      <c r="P385">
        <f t="shared" si="7"/>
        <v>37.9</v>
      </c>
    </row>
    <row r="386" spans="12:16">
      <c r="L386">
        <f>RAVLT_Learning!M386</f>
        <v>-0.31918995999999999</v>
      </c>
      <c r="M386">
        <f>RAVLT_Learning!N386</f>
        <v>38</v>
      </c>
      <c r="O386">
        <f>ABS(L386-RAVLT_Learning!$C$34)</f>
        <v>5.2141612493110969</v>
      </c>
      <c r="P386">
        <f t="shared" si="7"/>
        <v>38</v>
      </c>
    </row>
    <row r="387" spans="12:16">
      <c r="L387">
        <f>RAVLT_Learning!M387</f>
        <v>-0.31255383199999998</v>
      </c>
      <c r="M387">
        <f>RAVLT_Learning!N387</f>
        <v>38.1</v>
      </c>
      <c r="O387">
        <f>ABS(L387-RAVLT_Learning!$C$34)</f>
        <v>5.2207973773110972</v>
      </c>
      <c r="P387">
        <f t="shared" si="7"/>
        <v>38.1</v>
      </c>
    </row>
    <row r="388" spans="12:16">
      <c r="L388">
        <f>RAVLT_Learning!M388</f>
        <v>-0.30578830400000001</v>
      </c>
      <c r="M388">
        <f>RAVLT_Learning!N388</f>
        <v>38.200000000000003</v>
      </c>
      <c r="O388">
        <f>ABS(L388-RAVLT_Learning!$C$34)</f>
        <v>5.227562905311097</v>
      </c>
      <c r="P388">
        <f t="shared" si="7"/>
        <v>38.200000000000003</v>
      </c>
    </row>
    <row r="389" spans="12:16">
      <c r="L389">
        <f>RAVLT_Learning!M389</f>
        <v>-0.30122584000000002</v>
      </c>
      <c r="M389">
        <f>RAVLT_Learning!N389</f>
        <v>38.299999999999997</v>
      </c>
      <c r="O389">
        <f>ABS(L389-RAVLT_Learning!$C$34)</f>
        <v>5.2321253693110972</v>
      </c>
      <c r="P389">
        <f t="shared" si="7"/>
        <v>38.299999999999997</v>
      </c>
    </row>
    <row r="390" spans="12:16">
      <c r="L390">
        <f>RAVLT_Learning!M390</f>
        <v>-0.30081032000000002</v>
      </c>
      <c r="M390">
        <f>RAVLT_Learning!N390</f>
        <v>38.4</v>
      </c>
      <c r="O390">
        <f>ABS(L390-RAVLT_Learning!$C$34)</f>
        <v>5.232540889311097</v>
      </c>
      <c r="P390">
        <f t="shared" si="7"/>
        <v>38.4</v>
      </c>
    </row>
    <row r="391" spans="12:16">
      <c r="L391">
        <f>RAVLT_Learning!M391</f>
        <v>-0.30039480000000002</v>
      </c>
      <c r="M391">
        <f>RAVLT_Learning!N391</f>
        <v>38.5</v>
      </c>
      <c r="O391">
        <f>ABS(L391-RAVLT_Learning!$C$34)</f>
        <v>5.2329564093110967</v>
      </c>
      <c r="P391">
        <f t="shared" si="7"/>
        <v>38.5</v>
      </c>
    </row>
    <row r="392" spans="12:16">
      <c r="L392">
        <f>RAVLT_Learning!M392</f>
        <v>-0.29864048799999998</v>
      </c>
      <c r="M392">
        <f>RAVLT_Learning!N392</f>
        <v>38.6</v>
      </c>
      <c r="O392">
        <f>ABS(L392-RAVLT_Learning!$C$34)</f>
        <v>5.2347107213110968</v>
      </c>
      <c r="P392">
        <f t="shared" si="7"/>
        <v>38.6</v>
      </c>
    </row>
    <row r="393" spans="12:16">
      <c r="L393">
        <f>RAVLT_Learning!M393</f>
        <v>-0.296542896</v>
      </c>
      <c r="M393">
        <f>RAVLT_Learning!N393</f>
        <v>38.700000000000003</v>
      </c>
      <c r="O393">
        <f>ABS(L393-RAVLT_Learning!$C$34)</f>
        <v>5.236808313311097</v>
      </c>
      <c r="P393">
        <f t="shared" si="7"/>
        <v>38.700000000000003</v>
      </c>
    </row>
    <row r="394" spans="12:16">
      <c r="L394">
        <f>RAVLT_Learning!M394</f>
        <v>-0.29458805599999999</v>
      </c>
      <c r="M394">
        <f>RAVLT_Learning!N394</f>
        <v>38.799999999999997</v>
      </c>
      <c r="O394">
        <f>ABS(L394-RAVLT_Learning!$C$34)</f>
        <v>5.2387631533110968</v>
      </c>
      <c r="P394">
        <f t="shared" si="7"/>
        <v>38.799999999999997</v>
      </c>
    </row>
    <row r="395" spans="12:16">
      <c r="L395">
        <f>RAVLT_Learning!M395</f>
        <v>-0.293073368</v>
      </c>
      <c r="M395">
        <f>RAVLT_Learning!N395</f>
        <v>38.9</v>
      </c>
      <c r="O395">
        <f>ABS(L395-RAVLT_Learning!$C$34)</f>
        <v>5.2402778413110971</v>
      </c>
      <c r="P395">
        <f t="shared" si="7"/>
        <v>38.9</v>
      </c>
    </row>
    <row r="396" spans="12:16">
      <c r="L396">
        <f>RAVLT_Learning!M396</f>
        <v>-0.29155868000000001</v>
      </c>
      <c r="M396">
        <f>RAVLT_Learning!N396</f>
        <v>39</v>
      </c>
      <c r="O396">
        <f>ABS(L396-RAVLT_Learning!$C$34)</f>
        <v>5.2417925293110974</v>
      </c>
      <c r="P396">
        <f t="shared" si="7"/>
        <v>39</v>
      </c>
    </row>
    <row r="397" spans="12:16">
      <c r="L397">
        <f>RAVLT_Learning!M397</f>
        <v>-0.29003420000000002</v>
      </c>
      <c r="M397">
        <f>RAVLT_Learning!N397</f>
        <v>39.1</v>
      </c>
      <c r="O397">
        <f>ABS(L397-RAVLT_Learning!$C$34)</f>
        <v>5.243317009311097</v>
      </c>
      <c r="P397">
        <f t="shared" si="7"/>
        <v>39.1</v>
      </c>
    </row>
    <row r="398" spans="12:16">
      <c r="L398">
        <f>RAVLT_Learning!M398</f>
        <v>-0.28850540000000002</v>
      </c>
      <c r="M398">
        <f>RAVLT_Learning!N398</f>
        <v>39.200000000000003</v>
      </c>
      <c r="O398">
        <f>ABS(L398-RAVLT_Learning!$C$34)</f>
        <v>5.244845809311097</v>
      </c>
      <c r="P398">
        <f t="shared" si="7"/>
        <v>39.200000000000003</v>
      </c>
    </row>
    <row r="399" spans="12:16">
      <c r="L399">
        <f>RAVLT_Learning!M399</f>
        <v>-0.28657709599999998</v>
      </c>
      <c r="M399">
        <f>RAVLT_Learning!N399</f>
        <v>39.299999999999997</v>
      </c>
      <c r="O399">
        <f>ABS(L399-RAVLT_Learning!$C$34)</f>
        <v>5.2467741133110968</v>
      </c>
      <c r="P399">
        <f t="shared" si="7"/>
        <v>39.299999999999997</v>
      </c>
    </row>
    <row r="400" spans="12:16">
      <c r="L400">
        <f>RAVLT_Learning!M400</f>
        <v>-0.28225176800000001</v>
      </c>
      <c r="M400">
        <f>RAVLT_Learning!N400</f>
        <v>39.4</v>
      </c>
      <c r="O400">
        <f>ABS(L400-RAVLT_Learning!$C$34)</f>
        <v>5.251099441311097</v>
      </c>
      <c r="P400">
        <f t="shared" si="7"/>
        <v>39.4</v>
      </c>
    </row>
    <row r="401" spans="12:16">
      <c r="L401">
        <f>RAVLT_Learning!M401</f>
        <v>-0.27792644</v>
      </c>
      <c r="M401">
        <f>RAVLT_Learning!N401</f>
        <v>39.5</v>
      </c>
      <c r="O401">
        <f>ABS(L401-RAVLT_Learning!$C$34)</f>
        <v>5.2554247693110971</v>
      </c>
      <c r="P401">
        <f t="shared" si="7"/>
        <v>39.5</v>
      </c>
    </row>
    <row r="402" spans="12:16">
      <c r="L402">
        <f>RAVLT_Learning!M402</f>
        <v>-0.27460868799999999</v>
      </c>
      <c r="M402">
        <f>RAVLT_Learning!N402</f>
        <v>39.6</v>
      </c>
      <c r="O402">
        <f>ABS(L402-RAVLT_Learning!$C$34)</f>
        <v>5.2587425213110972</v>
      </c>
      <c r="P402">
        <f t="shared" si="7"/>
        <v>39.6</v>
      </c>
    </row>
    <row r="403" spans="12:16">
      <c r="L403">
        <f>RAVLT_Learning!M403</f>
        <v>-0.27198581599999999</v>
      </c>
      <c r="M403">
        <f>RAVLT_Learning!N403</f>
        <v>39.700000000000003</v>
      </c>
      <c r="O403">
        <f>ABS(L403-RAVLT_Learning!$C$34)</f>
        <v>5.2613653933110971</v>
      </c>
      <c r="P403">
        <f t="shared" si="7"/>
        <v>39.700000000000003</v>
      </c>
    </row>
    <row r="404" spans="12:16">
      <c r="L404">
        <f>RAVLT_Learning!M404</f>
        <v>-0.26936033599999998</v>
      </c>
      <c r="M404">
        <f>RAVLT_Learning!N404</f>
        <v>39.799999999999997</v>
      </c>
      <c r="O404">
        <f>ABS(L404-RAVLT_Learning!$C$34)</f>
        <v>5.2639908733110969</v>
      </c>
      <c r="P404">
        <f t="shared" si="7"/>
        <v>39.799999999999997</v>
      </c>
    </row>
    <row r="405" spans="12:16">
      <c r="L405">
        <f>RAVLT_Learning!M405</f>
        <v>-0.26667356800000003</v>
      </c>
      <c r="M405">
        <f>RAVLT_Learning!N405</f>
        <v>39.9</v>
      </c>
      <c r="O405">
        <f>ABS(L405-RAVLT_Learning!$C$34)</f>
        <v>5.2666776413110972</v>
      </c>
      <c r="P405">
        <f t="shared" si="7"/>
        <v>39.9</v>
      </c>
    </row>
    <row r="406" spans="12:16">
      <c r="L406">
        <f>RAVLT_Learning!M406</f>
        <v>-0.26398680000000002</v>
      </c>
      <c r="M406">
        <f>RAVLT_Learning!N406</f>
        <v>40</v>
      </c>
      <c r="O406">
        <f>ABS(L406-RAVLT_Learning!$C$34)</f>
        <v>5.2693644093110974</v>
      </c>
      <c r="P406">
        <f t="shared" si="7"/>
        <v>40</v>
      </c>
    </row>
    <row r="407" spans="12:16">
      <c r="L407">
        <f>RAVLT_Learning!M407</f>
        <v>-0.26232742399999998</v>
      </c>
      <c r="M407">
        <f>RAVLT_Learning!N407</f>
        <v>40.1</v>
      </c>
      <c r="O407">
        <f>ABS(L407-RAVLT_Learning!$C$34)</f>
        <v>5.2710237853110975</v>
      </c>
      <c r="P407">
        <f t="shared" si="7"/>
        <v>40.1</v>
      </c>
    </row>
    <row r="408" spans="12:16">
      <c r="L408">
        <f>RAVLT_Learning!M408</f>
        <v>-0.26173824800000001</v>
      </c>
      <c r="M408">
        <f>RAVLT_Learning!N408</f>
        <v>40.200000000000003</v>
      </c>
      <c r="O408">
        <f>ABS(L408-RAVLT_Learning!$C$34)</f>
        <v>5.2716129613110967</v>
      </c>
      <c r="P408">
        <f t="shared" si="7"/>
        <v>40.200000000000003</v>
      </c>
    </row>
    <row r="409" spans="12:16">
      <c r="L409">
        <f>RAVLT_Learning!M409</f>
        <v>-0.26114907199999998</v>
      </c>
      <c r="M409">
        <f>RAVLT_Learning!N409</f>
        <v>40.299999999999997</v>
      </c>
      <c r="O409">
        <f>ABS(L409-RAVLT_Learning!$C$34)</f>
        <v>5.2722021373110968</v>
      </c>
      <c r="P409">
        <f t="shared" si="7"/>
        <v>40.299999999999997</v>
      </c>
    </row>
    <row r="410" spans="12:16">
      <c r="L410">
        <f>RAVLT_Learning!M410</f>
        <v>-0.258474808</v>
      </c>
      <c r="M410">
        <f>RAVLT_Learning!N410</f>
        <v>40.4</v>
      </c>
      <c r="O410">
        <f>ABS(L410-RAVLT_Learning!$C$34)</f>
        <v>5.2748764013110971</v>
      </c>
      <c r="P410">
        <f t="shared" si="7"/>
        <v>40.4</v>
      </c>
    </row>
    <row r="411" spans="12:16">
      <c r="L411">
        <f>RAVLT_Learning!M411</f>
        <v>-0.25566455999999999</v>
      </c>
      <c r="M411">
        <f>RAVLT_Learning!N411</f>
        <v>40.5</v>
      </c>
      <c r="O411">
        <f>ABS(L411-RAVLT_Learning!$C$34)</f>
        <v>5.2776866493110974</v>
      </c>
      <c r="P411">
        <f t="shared" si="7"/>
        <v>40.5</v>
      </c>
    </row>
    <row r="412" spans="12:16">
      <c r="L412">
        <f>RAVLT_Learning!M412</f>
        <v>-0.25388623999999999</v>
      </c>
      <c r="M412">
        <f>RAVLT_Learning!N412</f>
        <v>40.6</v>
      </c>
      <c r="O412">
        <f>ABS(L412-RAVLT_Learning!$C$34)</f>
        <v>5.2794649693110971</v>
      </c>
      <c r="P412">
        <f t="shared" si="7"/>
        <v>40.6</v>
      </c>
    </row>
    <row r="413" spans="12:16">
      <c r="L413">
        <f>RAVLT_Learning!M413</f>
        <v>-0.25373728000000001</v>
      </c>
      <c r="M413">
        <f>RAVLT_Learning!N413</f>
        <v>40.700000000000003</v>
      </c>
      <c r="O413">
        <f>ABS(L413-RAVLT_Learning!$C$34)</f>
        <v>5.2796139293110969</v>
      </c>
      <c r="P413">
        <f t="shared" si="7"/>
        <v>40.700000000000003</v>
      </c>
    </row>
    <row r="414" spans="12:16">
      <c r="L414">
        <f>RAVLT_Learning!M414</f>
        <v>-0.25358831999999998</v>
      </c>
      <c r="M414">
        <f>RAVLT_Learning!N414</f>
        <v>40.799999999999997</v>
      </c>
      <c r="O414">
        <f>ABS(L414-RAVLT_Learning!$C$34)</f>
        <v>5.2797628893110975</v>
      </c>
      <c r="P414">
        <f t="shared" si="7"/>
        <v>40.799999999999997</v>
      </c>
    </row>
    <row r="415" spans="12:16">
      <c r="L415">
        <f>RAVLT_Learning!M415</f>
        <v>-0.25119124799999998</v>
      </c>
      <c r="M415">
        <f>RAVLT_Learning!N415</f>
        <v>40.9</v>
      </c>
      <c r="O415">
        <f>ABS(L415-RAVLT_Learning!$C$34)</f>
        <v>5.2821599613110974</v>
      </c>
      <c r="P415">
        <f t="shared" si="7"/>
        <v>40.9</v>
      </c>
    </row>
    <row r="416" spans="12:16">
      <c r="L416">
        <f>RAVLT_Learning!M416</f>
        <v>-0.24835552</v>
      </c>
      <c r="M416">
        <f>RAVLT_Learning!N416</f>
        <v>41</v>
      </c>
      <c r="O416">
        <f>ABS(L416-RAVLT_Learning!$C$34)</f>
        <v>5.2849956893110974</v>
      </c>
      <c r="P416">
        <f t="shared" si="7"/>
        <v>41</v>
      </c>
    </row>
    <row r="417" spans="12:16">
      <c r="L417">
        <f>RAVLT_Learning!M417</f>
        <v>-0.24556235200000001</v>
      </c>
      <c r="M417">
        <f>RAVLT_Learning!N417</f>
        <v>41.1</v>
      </c>
      <c r="O417">
        <f>ABS(L417-RAVLT_Learning!$C$34)</f>
        <v>5.2877888573110967</v>
      </c>
      <c r="P417">
        <f t="shared" si="7"/>
        <v>41.1</v>
      </c>
    </row>
    <row r="418" spans="12:16">
      <c r="L418">
        <f>RAVLT_Learning!M418</f>
        <v>-0.24287558400000001</v>
      </c>
      <c r="M418">
        <f>RAVLT_Learning!N418</f>
        <v>41.2</v>
      </c>
      <c r="O418">
        <f>ABS(L418-RAVLT_Learning!$C$34)</f>
        <v>5.2904756253110969</v>
      </c>
      <c r="P418">
        <f t="shared" si="7"/>
        <v>41.2</v>
      </c>
    </row>
    <row r="419" spans="12:16">
      <c r="L419">
        <f>RAVLT_Learning!M419</f>
        <v>-0.240188816</v>
      </c>
      <c r="M419">
        <f>RAVLT_Learning!N419</f>
        <v>41.3</v>
      </c>
      <c r="O419">
        <f>ABS(L419-RAVLT_Learning!$C$34)</f>
        <v>5.2931623933110972</v>
      </c>
      <c r="P419">
        <f t="shared" si="7"/>
        <v>41.3</v>
      </c>
    </row>
    <row r="420" spans="12:16">
      <c r="L420">
        <f>RAVLT_Learning!M420</f>
        <v>-0.23853424000000001</v>
      </c>
      <c r="M420">
        <f>RAVLT_Learning!N420</f>
        <v>41.4</v>
      </c>
      <c r="O420">
        <f>ABS(L420-RAVLT_Learning!$C$34)</f>
        <v>5.2948169693110971</v>
      </c>
      <c r="P420">
        <f t="shared" si="7"/>
        <v>41.4</v>
      </c>
    </row>
    <row r="421" spans="12:16">
      <c r="L421">
        <f>RAVLT_Learning!M421</f>
        <v>-0.2372524</v>
      </c>
      <c r="M421">
        <f>RAVLT_Learning!N421</f>
        <v>41.5</v>
      </c>
      <c r="O421">
        <f>ABS(L421-RAVLT_Learning!$C$34)</f>
        <v>5.296098809311097</v>
      </c>
      <c r="P421">
        <f t="shared" si="7"/>
        <v>41.5</v>
      </c>
    </row>
    <row r="422" spans="12:16">
      <c r="L422">
        <f>RAVLT_Learning!M422</f>
        <v>-0.23571964000000001</v>
      </c>
      <c r="M422">
        <f>RAVLT_Learning!N422</f>
        <v>41.6</v>
      </c>
      <c r="O422">
        <f>ABS(L422-RAVLT_Learning!$C$34)</f>
        <v>5.2976315693110969</v>
      </c>
      <c r="P422">
        <f t="shared" si="7"/>
        <v>41.6</v>
      </c>
    </row>
    <row r="423" spans="12:16">
      <c r="L423">
        <f>RAVLT_Learning!M423</f>
        <v>-0.23307168</v>
      </c>
      <c r="M423">
        <f>RAVLT_Learning!N423</f>
        <v>41.7</v>
      </c>
      <c r="O423">
        <f>ABS(L423-RAVLT_Learning!$C$34)</f>
        <v>5.3002795293110969</v>
      </c>
      <c r="P423">
        <f t="shared" si="7"/>
        <v>41.7</v>
      </c>
    </row>
    <row r="424" spans="12:16">
      <c r="L424">
        <f>RAVLT_Learning!M424</f>
        <v>-0.23042372</v>
      </c>
      <c r="M424">
        <f>RAVLT_Learning!N424</f>
        <v>41.8</v>
      </c>
      <c r="O424">
        <f>ABS(L424-RAVLT_Learning!$C$34)</f>
        <v>5.3029274893110969</v>
      </c>
      <c r="P424">
        <f t="shared" si="7"/>
        <v>41.8</v>
      </c>
    </row>
    <row r="425" spans="12:16">
      <c r="L425">
        <f>RAVLT_Learning!M425</f>
        <v>-0.22833673600000001</v>
      </c>
      <c r="M425">
        <f>RAVLT_Learning!N425</f>
        <v>41.9</v>
      </c>
      <c r="O425">
        <f>ABS(L425-RAVLT_Learning!$C$34)</f>
        <v>5.3050144733110969</v>
      </c>
      <c r="P425">
        <f t="shared" ref="P425:P488" si="8">M425</f>
        <v>41.9</v>
      </c>
    </row>
    <row r="426" spans="12:16">
      <c r="L426">
        <f>RAVLT_Learning!M426</f>
        <v>-0.22657548</v>
      </c>
      <c r="M426">
        <f>RAVLT_Learning!N426</f>
        <v>42</v>
      </c>
      <c r="O426">
        <f>ABS(L426-RAVLT_Learning!$C$34)</f>
        <v>5.3067757293110969</v>
      </c>
      <c r="P426">
        <f t="shared" si="8"/>
        <v>42</v>
      </c>
    </row>
    <row r="427" spans="12:16">
      <c r="L427">
        <f>RAVLT_Learning!M427</f>
        <v>-0.22465300799999999</v>
      </c>
      <c r="M427">
        <f>RAVLT_Learning!N427</f>
        <v>42.1</v>
      </c>
      <c r="O427">
        <f>ABS(L427-RAVLT_Learning!$C$34)</f>
        <v>5.3086982013110973</v>
      </c>
      <c r="P427">
        <f t="shared" si="8"/>
        <v>42.1</v>
      </c>
    </row>
    <row r="428" spans="12:16">
      <c r="L428">
        <f>RAVLT_Learning!M428</f>
        <v>-0.22091685599999999</v>
      </c>
      <c r="M428">
        <f>RAVLT_Learning!N428</f>
        <v>42.2</v>
      </c>
      <c r="O428">
        <f>ABS(L428-RAVLT_Learning!$C$34)</f>
        <v>5.3124343533110974</v>
      </c>
      <c r="P428">
        <f t="shared" si="8"/>
        <v>42.2</v>
      </c>
    </row>
    <row r="429" spans="12:16">
      <c r="L429">
        <f>RAVLT_Learning!M429</f>
        <v>-0.217180704</v>
      </c>
      <c r="M429">
        <f>RAVLT_Learning!N429</f>
        <v>42.3</v>
      </c>
      <c r="O429">
        <f>ABS(L429-RAVLT_Learning!$C$34)</f>
        <v>5.3161705053110975</v>
      </c>
      <c r="P429">
        <f t="shared" si="8"/>
        <v>42.3</v>
      </c>
    </row>
    <row r="430" spans="12:16">
      <c r="L430">
        <f>RAVLT_Learning!M430</f>
        <v>-0.214825672</v>
      </c>
      <c r="M430">
        <f>RAVLT_Learning!N430</f>
        <v>42.4</v>
      </c>
      <c r="O430">
        <f>ABS(L430-RAVLT_Learning!$C$34)</f>
        <v>5.3185255373110971</v>
      </c>
      <c r="P430">
        <f t="shared" si="8"/>
        <v>42.4</v>
      </c>
    </row>
    <row r="431" spans="12:16">
      <c r="L431">
        <f>RAVLT_Learning!M431</f>
        <v>-0.2136924</v>
      </c>
      <c r="M431">
        <f>RAVLT_Learning!N431</f>
        <v>42.5</v>
      </c>
      <c r="O431">
        <f>ABS(L431-RAVLT_Learning!$C$34)</f>
        <v>5.3196588093110968</v>
      </c>
      <c r="P431">
        <f t="shared" si="8"/>
        <v>42.5</v>
      </c>
    </row>
    <row r="432" spans="12:16">
      <c r="L432">
        <f>RAVLT_Learning!M432</f>
        <v>-0.21255912800000001</v>
      </c>
      <c r="M432">
        <f>RAVLT_Learning!N432</f>
        <v>42.6</v>
      </c>
      <c r="O432">
        <f>ABS(L432-RAVLT_Learning!$C$34)</f>
        <v>5.3207920813110974</v>
      </c>
      <c r="P432">
        <f t="shared" si="8"/>
        <v>42.6</v>
      </c>
    </row>
    <row r="433" spans="12:16">
      <c r="L433">
        <f>RAVLT_Learning!M433</f>
        <v>-0.20731513600000001</v>
      </c>
      <c r="M433">
        <f>RAVLT_Learning!N433</f>
        <v>42.7</v>
      </c>
      <c r="O433">
        <f>ABS(L433-RAVLT_Learning!$C$34)</f>
        <v>5.326036073311097</v>
      </c>
      <c r="P433">
        <f t="shared" si="8"/>
        <v>42.7</v>
      </c>
    </row>
    <row r="434" spans="12:16">
      <c r="L434">
        <f>RAVLT_Learning!M434</f>
        <v>-0.20198550400000001</v>
      </c>
      <c r="M434">
        <f>RAVLT_Learning!N434</f>
        <v>42.8</v>
      </c>
      <c r="O434">
        <f>ABS(L434-RAVLT_Learning!$C$34)</f>
        <v>5.3313657053110974</v>
      </c>
      <c r="P434">
        <f t="shared" si="8"/>
        <v>42.8</v>
      </c>
    </row>
    <row r="435" spans="12:16">
      <c r="L435">
        <f>RAVLT_Learning!M435</f>
        <v>-0.198632224</v>
      </c>
      <c r="M435">
        <f>RAVLT_Learning!N435</f>
        <v>42.9</v>
      </c>
      <c r="O435">
        <f>ABS(L435-RAVLT_Learning!$C$34)</f>
        <v>5.3347189853110972</v>
      </c>
      <c r="P435">
        <f t="shared" si="8"/>
        <v>42.9</v>
      </c>
    </row>
    <row r="436" spans="12:16">
      <c r="L436">
        <f>RAVLT_Learning!M436</f>
        <v>-0.19791407999999999</v>
      </c>
      <c r="M436">
        <f>RAVLT_Learning!N436</f>
        <v>43</v>
      </c>
      <c r="O436">
        <f>ABS(L436-RAVLT_Learning!$C$34)</f>
        <v>5.3354371293110967</v>
      </c>
      <c r="P436">
        <f t="shared" si="8"/>
        <v>43</v>
      </c>
    </row>
    <row r="437" spans="12:16">
      <c r="L437">
        <f>RAVLT_Learning!M437</f>
        <v>-0.19719593599999999</v>
      </c>
      <c r="M437">
        <f>RAVLT_Learning!N437</f>
        <v>43.1</v>
      </c>
      <c r="O437">
        <f>ABS(L437-RAVLT_Learning!$C$34)</f>
        <v>5.3361552733110971</v>
      </c>
      <c r="P437">
        <f t="shared" si="8"/>
        <v>43.1</v>
      </c>
    </row>
    <row r="438" spans="12:16">
      <c r="L438">
        <f>RAVLT_Learning!M438</f>
        <v>-0.19508493599999999</v>
      </c>
      <c r="M438">
        <f>RAVLT_Learning!N438</f>
        <v>43.2</v>
      </c>
      <c r="O438">
        <f>ABS(L438-RAVLT_Learning!$C$34)</f>
        <v>5.3382662733110973</v>
      </c>
      <c r="P438">
        <f t="shared" si="8"/>
        <v>43.2</v>
      </c>
    </row>
    <row r="439" spans="12:16">
      <c r="L439">
        <f>RAVLT_Learning!M439</f>
        <v>-0.192779584</v>
      </c>
      <c r="M439">
        <f>RAVLT_Learning!N439</f>
        <v>43.3</v>
      </c>
      <c r="O439">
        <f>ABS(L439-RAVLT_Learning!$C$34)</f>
        <v>5.3405716253110969</v>
      </c>
      <c r="P439">
        <f t="shared" si="8"/>
        <v>43.3</v>
      </c>
    </row>
    <row r="440" spans="12:16">
      <c r="L440">
        <f>RAVLT_Learning!M440</f>
        <v>-0.19111064799999999</v>
      </c>
      <c r="M440">
        <f>RAVLT_Learning!N440</f>
        <v>43.4</v>
      </c>
      <c r="O440">
        <f>ABS(L440-RAVLT_Learning!$C$34)</f>
        <v>5.3422405613110975</v>
      </c>
      <c r="P440">
        <f t="shared" si="8"/>
        <v>43.4</v>
      </c>
    </row>
    <row r="441" spans="12:16">
      <c r="L441">
        <f>RAVLT_Learning!M441</f>
        <v>-0.19075432</v>
      </c>
      <c r="M441">
        <f>RAVLT_Learning!N441</f>
        <v>43.5</v>
      </c>
      <c r="O441">
        <f>ABS(L441-RAVLT_Learning!$C$34)</f>
        <v>5.3425968893110971</v>
      </c>
      <c r="P441">
        <f t="shared" si="8"/>
        <v>43.5</v>
      </c>
    </row>
    <row r="442" spans="12:16">
      <c r="L442">
        <f>RAVLT_Learning!M442</f>
        <v>-0.19039799199999999</v>
      </c>
      <c r="M442">
        <f>RAVLT_Learning!N442</f>
        <v>43.6</v>
      </c>
      <c r="O442">
        <f>ABS(L442-RAVLT_Learning!$C$34)</f>
        <v>5.3429532173110967</v>
      </c>
      <c r="P442">
        <f t="shared" si="8"/>
        <v>43.6</v>
      </c>
    </row>
    <row r="443" spans="12:16">
      <c r="L443">
        <f>RAVLT_Learning!M443</f>
        <v>-0.19018302400000001</v>
      </c>
      <c r="M443">
        <f>RAVLT_Learning!N443</f>
        <v>43.7</v>
      </c>
      <c r="O443">
        <f>ABS(L443-RAVLT_Learning!$C$34)</f>
        <v>5.3431681853110966</v>
      </c>
      <c r="P443">
        <f t="shared" si="8"/>
        <v>43.7</v>
      </c>
    </row>
    <row r="444" spans="12:16">
      <c r="L444">
        <f>RAVLT_Learning!M444</f>
        <v>-0.190008976</v>
      </c>
      <c r="M444">
        <f>RAVLT_Learning!N444</f>
        <v>43.8</v>
      </c>
      <c r="O444">
        <f>ABS(L444-RAVLT_Learning!$C$34)</f>
        <v>5.3433422333110974</v>
      </c>
      <c r="P444">
        <f t="shared" si="8"/>
        <v>43.8</v>
      </c>
    </row>
    <row r="445" spans="12:16">
      <c r="L445">
        <f>RAVLT_Learning!M445</f>
        <v>-0.18981864800000001</v>
      </c>
      <c r="M445">
        <f>RAVLT_Learning!N445</f>
        <v>43.9</v>
      </c>
      <c r="O445">
        <f>ABS(L445-RAVLT_Learning!$C$34)</f>
        <v>5.3435325613110969</v>
      </c>
      <c r="P445">
        <f t="shared" si="8"/>
        <v>43.9</v>
      </c>
    </row>
    <row r="446" spans="12:16">
      <c r="L446">
        <f>RAVLT_Learning!M446</f>
        <v>-0.18957208</v>
      </c>
      <c r="M446">
        <f>RAVLT_Learning!N446</f>
        <v>44</v>
      </c>
      <c r="O446">
        <f>ABS(L446-RAVLT_Learning!$C$34)</f>
        <v>5.3437791293110974</v>
      </c>
      <c r="P446">
        <f t="shared" si="8"/>
        <v>44</v>
      </c>
    </row>
    <row r="447" spans="12:16">
      <c r="L447">
        <f>RAVLT_Learning!M447</f>
        <v>-0.189325512</v>
      </c>
      <c r="M447">
        <f>RAVLT_Learning!N447</f>
        <v>44.1</v>
      </c>
      <c r="O447">
        <f>ABS(L447-RAVLT_Learning!$C$34)</f>
        <v>5.3440256973110971</v>
      </c>
      <c r="P447">
        <f t="shared" si="8"/>
        <v>44.1</v>
      </c>
    </row>
    <row r="448" spans="12:16">
      <c r="L448">
        <f>RAVLT_Learning!M448</f>
        <v>-0.18775841600000001</v>
      </c>
      <c r="M448">
        <f>RAVLT_Learning!N448</f>
        <v>44.2</v>
      </c>
      <c r="O448">
        <f>ABS(L448-RAVLT_Learning!$C$34)</f>
        <v>5.3455927933110967</v>
      </c>
      <c r="P448">
        <f t="shared" si="8"/>
        <v>44.2</v>
      </c>
    </row>
    <row r="449" spans="12:16">
      <c r="L449">
        <f>RAVLT_Learning!M449</f>
        <v>-0.18555106399999999</v>
      </c>
      <c r="M449">
        <f>RAVLT_Learning!N449</f>
        <v>44.3</v>
      </c>
      <c r="O449">
        <f>ABS(L449-RAVLT_Learning!$C$34)</f>
        <v>5.3478001453110968</v>
      </c>
      <c r="P449">
        <f t="shared" si="8"/>
        <v>44.3</v>
      </c>
    </row>
    <row r="450" spans="12:16">
      <c r="L450">
        <f>RAVLT_Learning!M450</f>
        <v>-0.183176432</v>
      </c>
      <c r="M450">
        <f>RAVLT_Learning!N450</f>
        <v>44.4</v>
      </c>
      <c r="O450">
        <f>ABS(L450-RAVLT_Learning!$C$34)</f>
        <v>5.3501747773110973</v>
      </c>
      <c r="P450">
        <f t="shared" si="8"/>
        <v>44.4</v>
      </c>
    </row>
    <row r="451" spans="12:16">
      <c r="L451">
        <f>RAVLT_Learning!M451</f>
        <v>-0.17960296000000001</v>
      </c>
      <c r="M451">
        <f>RAVLT_Learning!N451</f>
        <v>44.5</v>
      </c>
      <c r="O451">
        <f>ABS(L451-RAVLT_Learning!$C$34)</f>
        <v>5.3537482493110966</v>
      </c>
      <c r="P451">
        <f t="shared" si="8"/>
        <v>44.5</v>
      </c>
    </row>
    <row r="452" spans="12:16">
      <c r="L452">
        <f>RAVLT_Learning!M452</f>
        <v>-0.17602948800000001</v>
      </c>
      <c r="M452">
        <f>RAVLT_Learning!N452</f>
        <v>44.6</v>
      </c>
      <c r="O452">
        <f>ABS(L452-RAVLT_Learning!$C$34)</f>
        <v>5.3573217213110969</v>
      </c>
      <c r="P452">
        <f t="shared" si="8"/>
        <v>44.6</v>
      </c>
    </row>
    <row r="453" spans="12:16">
      <c r="L453">
        <f>RAVLT_Learning!M453</f>
        <v>-0.17426056000000001</v>
      </c>
      <c r="M453">
        <f>RAVLT_Learning!N453</f>
        <v>44.7</v>
      </c>
      <c r="O453">
        <f>ABS(L453-RAVLT_Learning!$C$34)</f>
        <v>5.3590906493110975</v>
      </c>
      <c r="P453">
        <f t="shared" si="8"/>
        <v>44.7</v>
      </c>
    </row>
    <row r="454" spans="12:16">
      <c r="L454">
        <f>RAVLT_Learning!M454</f>
        <v>-0.17384504000000001</v>
      </c>
      <c r="M454">
        <f>RAVLT_Learning!N454</f>
        <v>44.8</v>
      </c>
      <c r="O454">
        <f>ABS(L454-RAVLT_Learning!$C$34)</f>
        <v>5.3595061693110972</v>
      </c>
      <c r="P454">
        <f t="shared" si="8"/>
        <v>44.8</v>
      </c>
    </row>
    <row r="455" spans="12:16">
      <c r="L455">
        <f>RAVLT_Learning!M455</f>
        <v>-0.17340022399999999</v>
      </c>
      <c r="M455">
        <f>RAVLT_Learning!N455</f>
        <v>44.9</v>
      </c>
      <c r="O455">
        <f>ABS(L455-RAVLT_Learning!$C$34)</f>
        <v>5.3599509853110971</v>
      </c>
      <c r="P455">
        <f t="shared" si="8"/>
        <v>44.9</v>
      </c>
    </row>
    <row r="456" spans="12:16">
      <c r="L456">
        <f>RAVLT_Learning!M456</f>
        <v>-0.17154920000000001</v>
      </c>
      <c r="M456">
        <f>RAVLT_Learning!N456</f>
        <v>45</v>
      </c>
      <c r="O456">
        <f>ABS(L456-RAVLT_Learning!$C$34)</f>
        <v>5.3618020093110967</v>
      </c>
      <c r="P456">
        <f t="shared" si="8"/>
        <v>45</v>
      </c>
    </row>
    <row r="457" spans="12:16">
      <c r="L457">
        <f>RAVLT_Learning!M457</f>
        <v>-0.16969817600000001</v>
      </c>
      <c r="M457">
        <f>RAVLT_Learning!N457</f>
        <v>45.1</v>
      </c>
      <c r="O457">
        <f>ABS(L457-RAVLT_Learning!$C$34)</f>
        <v>5.3636530333110972</v>
      </c>
      <c r="P457">
        <f t="shared" si="8"/>
        <v>45.1</v>
      </c>
    </row>
    <row r="458" spans="12:16">
      <c r="L458">
        <f>RAVLT_Learning!M458</f>
        <v>-0.16657000799999999</v>
      </c>
      <c r="M458">
        <f>RAVLT_Learning!N458</f>
        <v>45.2</v>
      </c>
      <c r="O458">
        <f>ABS(L458-RAVLT_Learning!$C$34)</f>
        <v>5.3667812013110971</v>
      </c>
      <c r="P458">
        <f t="shared" si="8"/>
        <v>45.2</v>
      </c>
    </row>
    <row r="459" spans="12:16">
      <c r="L459">
        <f>RAVLT_Learning!M459</f>
        <v>-0.161998112</v>
      </c>
      <c r="M459">
        <f>RAVLT_Learning!N459</f>
        <v>45.3</v>
      </c>
      <c r="O459">
        <f>ABS(L459-RAVLT_Learning!$C$34)</f>
        <v>5.371353097311097</v>
      </c>
      <c r="P459">
        <f t="shared" si="8"/>
        <v>45.3</v>
      </c>
    </row>
    <row r="460" spans="12:16">
      <c r="L460">
        <f>RAVLT_Learning!M460</f>
        <v>-0.15742621600000001</v>
      </c>
      <c r="M460">
        <f>RAVLT_Learning!N460</f>
        <v>45.4</v>
      </c>
      <c r="O460">
        <f>ABS(L460-RAVLT_Learning!$C$34)</f>
        <v>5.3759249933110969</v>
      </c>
      <c r="P460">
        <f t="shared" si="8"/>
        <v>45.4</v>
      </c>
    </row>
    <row r="461" spans="12:16">
      <c r="L461">
        <f>RAVLT_Learning!M461</f>
        <v>-0.15481200000000001</v>
      </c>
      <c r="M461">
        <f>RAVLT_Learning!N461</f>
        <v>45.5</v>
      </c>
      <c r="O461">
        <f>ABS(L461-RAVLT_Learning!$C$34)</f>
        <v>5.3785392093110973</v>
      </c>
      <c r="P461">
        <f t="shared" si="8"/>
        <v>45.5</v>
      </c>
    </row>
    <row r="462" spans="12:16">
      <c r="L462">
        <f>RAVLT_Learning!M462</f>
        <v>-0.1523718</v>
      </c>
      <c r="M462">
        <f>RAVLT_Learning!N462</f>
        <v>45.6</v>
      </c>
      <c r="O462">
        <f>ABS(L462-RAVLT_Learning!$C$34)</f>
        <v>5.380979409311097</v>
      </c>
      <c r="P462">
        <f t="shared" si="8"/>
        <v>45.6</v>
      </c>
    </row>
    <row r="463" spans="12:16">
      <c r="L463">
        <f>RAVLT_Learning!M463</f>
        <v>-0.15060652799999999</v>
      </c>
      <c r="M463">
        <f>RAVLT_Learning!N463</f>
        <v>45.7</v>
      </c>
      <c r="O463">
        <f>ABS(L463-RAVLT_Learning!$C$34)</f>
        <v>5.3827446813110971</v>
      </c>
      <c r="P463">
        <f t="shared" si="8"/>
        <v>45.7</v>
      </c>
    </row>
    <row r="464" spans="12:16">
      <c r="L464">
        <f>RAVLT_Learning!M464</f>
        <v>-0.150003632</v>
      </c>
      <c r="M464">
        <f>RAVLT_Learning!N464</f>
        <v>45.8</v>
      </c>
      <c r="O464">
        <f>ABS(L464-RAVLT_Learning!$C$34)</f>
        <v>5.3833475773110973</v>
      </c>
      <c r="P464">
        <f t="shared" si="8"/>
        <v>45.8</v>
      </c>
    </row>
    <row r="465" spans="12:16">
      <c r="L465">
        <f>RAVLT_Learning!M465</f>
        <v>-0.14940073600000001</v>
      </c>
      <c r="M465">
        <f>RAVLT_Learning!N465</f>
        <v>45.9</v>
      </c>
      <c r="O465">
        <f>ABS(L465-RAVLT_Learning!$C$34)</f>
        <v>5.3839504733110974</v>
      </c>
      <c r="P465">
        <f t="shared" si="8"/>
        <v>45.9</v>
      </c>
    </row>
    <row r="466" spans="12:16">
      <c r="L466">
        <f>RAVLT_Learning!M466</f>
        <v>-0.14916840000000001</v>
      </c>
      <c r="M466">
        <f>RAVLT_Learning!N466</f>
        <v>46</v>
      </c>
      <c r="O466">
        <f>ABS(L466-RAVLT_Learning!$C$34)</f>
        <v>5.3841828093110973</v>
      </c>
      <c r="P466">
        <f t="shared" si="8"/>
        <v>46</v>
      </c>
    </row>
    <row r="467" spans="12:16">
      <c r="L467">
        <f>RAVLT_Learning!M467</f>
        <v>-0.14901944</v>
      </c>
      <c r="M467">
        <f>RAVLT_Learning!N467</f>
        <v>46.1</v>
      </c>
      <c r="O467">
        <f>ABS(L467-RAVLT_Learning!$C$34)</f>
        <v>5.384331769311097</v>
      </c>
      <c r="P467">
        <f t="shared" si="8"/>
        <v>46.1</v>
      </c>
    </row>
    <row r="468" spans="12:16">
      <c r="L468">
        <f>RAVLT_Learning!M468</f>
        <v>-0.14884957600000001</v>
      </c>
      <c r="M468">
        <f>RAVLT_Learning!N468</f>
        <v>46.2</v>
      </c>
      <c r="O468">
        <f>ABS(L468-RAVLT_Learning!$C$34)</f>
        <v>5.3845016333110971</v>
      </c>
      <c r="P468">
        <f t="shared" si="8"/>
        <v>46.2</v>
      </c>
    </row>
    <row r="469" spans="12:16">
      <c r="L469">
        <f>RAVLT_Learning!M469</f>
        <v>-0.14862182400000001</v>
      </c>
      <c r="M469">
        <f>RAVLT_Learning!N469</f>
        <v>46.3</v>
      </c>
      <c r="O469">
        <f>ABS(L469-RAVLT_Learning!$C$34)</f>
        <v>5.3847293853110969</v>
      </c>
      <c r="P469">
        <f t="shared" si="8"/>
        <v>46.3</v>
      </c>
    </row>
    <row r="470" spans="12:16">
      <c r="L470">
        <f>RAVLT_Learning!M470</f>
        <v>-0.14839407199999999</v>
      </c>
      <c r="M470">
        <f>RAVLT_Learning!N470</f>
        <v>46.4</v>
      </c>
      <c r="O470">
        <f>ABS(L470-RAVLT_Learning!$C$34)</f>
        <v>5.3849571373110967</v>
      </c>
      <c r="P470">
        <f t="shared" si="8"/>
        <v>46.4</v>
      </c>
    </row>
    <row r="471" spans="12:16">
      <c r="L471">
        <f>RAVLT_Learning!M471</f>
        <v>-0.14685480000000001</v>
      </c>
      <c r="M471">
        <f>RAVLT_Learning!N471</f>
        <v>46.5</v>
      </c>
      <c r="O471">
        <f>ABS(L471-RAVLT_Learning!$C$34)</f>
        <v>5.3864964093110972</v>
      </c>
      <c r="P471">
        <f t="shared" si="8"/>
        <v>46.5</v>
      </c>
    </row>
    <row r="472" spans="12:16">
      <c r="L472">
        <f>RAVLT_Learning!M472</f>
        <v>-0.14479091999999999</v>
      </c>
      <c r="M472">
        <f>RAVLT_Learning!N472</f>
        <v>46.6</v>
      </c>
      <c r="O472">
        <f>ABS(L472-RAVLT_Learning!$C$34)</f>
        <v>5.3885602893110969</v>
      </c>
      <c r="P472">
        <f t="shared" si="8"/>
        <v>46.6</v>
      </c>
    </row>
    <row r="473" spans="12:16">
      <c r="L473">
        <f>RAVLT_Learning!M473</f>
        <v>-0.1428208</v>
      </c>
      <c r="M473">
        <f>RAVLT_Learning!N473</f>
        <v>46.7</v>
      </c>
      <c r="O473">
        <f>ABS(L473-RAVLT_Learning!$C$34)</f>
        <v>5.3905304093110971</v>
      </c>
      <c r="P473">
        <f t="shared" si="8"/>
        <v>46.7</v>
      </c>
    </row>
    <row r="474" spans="12:16">
      <c r="L474">
        <f>RAVLT_Learning!M474</f>
        <v>-0.14133119999999999</v>
      </c>
      <c r="M474">
        <f>RAVLT_Learning!N474</f>
        <v>46.8</v>
      </c>
      <c r="O474">
        <f>ABS(L474-RAVLT_Learning!$C$34)</f>
        <v>5.3920200093110973</v>
      </c>
      <c r="P474">
        <f t="shared" si="8"/>
        <v>46.8</v>
      </c>
    </row>
    <row r="475" spans="12:16">
      <c r="L475">
        <f>RAVLT_Learning!M475</f>
        <v>-0.13984160000000001</v>
      </c>
      <c r="M475">
        <f>RAVLT_Learning!N475</f>
        <v>46.9</v>
      </c>
      <c r="O475">
        <f>ABS(L475-RAVLT_Learning!$C$34)</f>
        <v>5.3935096093110975</v>
      </c>
      <c r="P475">
        <f t="shared" si="8"/>
        <v>46.9</v>
      </c>
    </row>
    <row r="476" spans="12:16">
      <c r="L476">
        <f>RAVLT_Learning!M476</f>
        <v>-0.13878856000000001</v>
      </c>
      <c r="M476">
        <f>RAVLT_Learning!N476</f>
        <v>47</v>
      </c>
      <c r="O476">
        <f>ABS(L476-RAVLT_Learning!$C$34)</f>
        <v>5.394562649311097</v>
      </c>
      <c r="P476">
        <f t="shared" si="8"/>
        <v>47</v>
      </c>
    </row>
    <row r="477" spans="12:16">
      <c r="L477">
        <f>RAVLT_Learning!M477</f>
        <v>-0.13801200799999999</v>
      </c>
      <c r="M477">
        <f>RAVLT_Learning!N477</f>
        <v>47.1</v>
      </c>
      <c r="O477">
        <f>ABS(L477-RAVLT_Learning!$C$34)</f>
        <v>5.3953392013110975</v>
      </c>
      <c r="P477">
        <f t="shared" si="8"/>
        <v>47.1</v>
      </c>
    </row>
    <row r="478" spans="12:16">
      <c r="L478">
        <f>RAVLT_Learning!M478</f>
        <v>-0.137072472</v>
      </c>
      <c r="M478">
        <f>RAVLT_Learning!N478</f>
        <v>47.2</v>
      </c>
      <c r="O478">
        <f>ABS(L478-RAVLT_Learning!$C$34)</f>
        <v>5.3962787373110972</v>
      </c>
      <c r="P478">
        <f t="shared" si="8"/>
        <v>47.2</v>
      </c>
    </row>
    <row r="479" spans="12:16">
      <c r="L479">
        <f>RAVLT_Learning!M479</f>
        <v>-0.133633848</v>
      </c>
      <c r="M479">
        <f>RAVLT_Learning!N479</f>
        <v>47.3</v>
      </c>
      <c r="O479">
        <f>ABS(L479-RAVLT_Learning!$C$34)</f>
        <v>5.3997173613110974</v>
      </c>
      <c r="P479">
        <f t="shared" si="8"/>
        <v>47.3</v>
      </c>
    </row>
    <row r="480" spans="12:16">
      <c r="L480">
        <f>RAVLT_Learning!M480</f>
        <v>-0.130195224</v>
      </c>
      <c r="M480">
        <f>RAVLT_Learning!N480</f>
        <v>47.4</v>
      </c>
      <c r="O480">
        <f>ABS(L480-RAVLT_Learning!$C$34)</f>
        <v>5.4031559853110966</v>
      </c>
      <c r="P480">
        <f t="shared" si="8"/>
        <v>47.4</v>
      </c>
    </row>
    <row r="481" spans="12:16">
      <c r="L481">
        <f>RAVLT_Learning!M481</f>
        <v>-0.12851099999999999</v>
      </c>
      <c r="M481">
        <f>RAVLT_Learning!N481</f>
        <v>47.5</v>
      </c>
      <c r="O481">
        <f>ABS(L481-RAVLT_Learning!$C$34)</f>
        <v>5.4048402093110974</v>
      </c>
      <c r="P481">
        <f t="shared" si="8"/>
        <v>47.5</v>
      </c>
    </row>
    <row r="482" spans="12:16">
      <c r="L482">
        <f>RAVLT_Learning!M482</f>
        <v>-0.12851099999999999</v>
      </c>
      <c r="M482">
        <f>RAVLT_Learning!N482</f>
        <v>47.6</v>
      </c>
      <c r="O482">
        <f>ABS(L482-RAVLT_Learning!$C$34)</f>
        <v>5.4048402093110974</v>
      </c>
      <c r="P482">
        <f t="shared" si="8"/>
        <v>47.6</v>
      </c>
    </row>
    <row r="483" spans="12:16">
      <c r="L483">
        <f>RAVLT_Learning!M483</f>
        <v>-0.12851099999999999</v>
      </c>
      <c r="M483">
        <f>RAVLT_Learning!N483</f>
        <v>47.7</v>
      </c>
      <c r="O483">
        <f>ABS(L483-RAVLT_Learning!$C$34)</f>
        <v>5.4048402093110974</v>
      </c>
      <c r="P483">
        <f t="shared" si="8"/>
        <v>47.7</v>
      </c>
    </row>
    <row r="484" spans="12:16">
      <c r="L484">
        <f>RAVLT_Learning!M484</f>
        <v>-0.12816884000000001</v>
      </c>
      <c r="M484">
        <f>RAVLT_Learning!N484</f>
        <v>47.8</v>
      </c>
      <c r="O484">
        <f>ABS(L484-RAVLT_Learning!$C$34)</f>
        <v>5.4051823693110972</v>
      </c>
      <c r="P484">
        <f t="shared" si="8"/>
        <v>47.8</v>
      </c>
    </row>
    <row r="485" spans="12:16">
      <c r="L485">
        <f>RAVLT_Learning!M485</f>
        <v>-0.12781212</v>
      </c>
      <c r="M485">
        <f>RAVLT_Learning!N485</f>
        <v>47.9</v>
      </c>
      <c r="O485">
        <f>ABS(L485-RAVLT_Learning!$C$34)</f>
        <v>5.4055390893110973</v>
      </c>
      <c r="P485">
        <f t="shared" si="8"/>
        <v>47.9</v>
      </c>
    </row>
    <row r="486" spans="12:16">
      <c r="L486">
        <f>RAVLT_Learning!M486</f>
        <v>-0.12745556</v>
      </c>
      <c r="M486">
        <f>RAVLT_Learning!N486</f>
        <v>48</v>
      </c>
      <c r="O486">
        <f>ABS(L486-RAVLT_Learning!$C$34)</f>
        <v>5.4058956493110975</v>
      </c>
      <c r="P486">
        <f t="shared" si="8"/>
        <v>48</v>
      </c>
    </row>
    <row r="487" spans="12:16">
      <c r="L487">
        <f>RAVLT_Learning!M487</f>
        <v>-0.12709923200000001</v>
      </c>
      <c r="M487">
        <f>RAVLT_Learning!N487</f>
        <v>48.1</v>
      </c>
      <c r="O487">
        <f>ABS(L487-RAVLT_Learning!$C$34)</f>
        <v>5.4062519773110971</v>
      </c>
      <c r="P487">
        <f t="shared" si="8"/>
        <v>48.1</v>
      </c>
    </row>
    <row r="488" spans="12:16">
      <c r="L488">
        <f>RAVLT_Learning!M488</f>
        <v>-0.12674290399999999</v>
      </c>
      <c r="M488">
        <f>RAVLT_Learning!N488</f>
        <v>48.2</v>
      </c>
      <c r="O488">
        <f>ABS(L488-RAVLT_Learning!$C$34)</f>
        <v>5.4066083053110967</v>
      </c>
      <c r="P488">
        <f t="shared" si="8"/>
        <v>48.2</v>
      </c>
    </row>
    <row r="489" spans="12:16">
      <c r="L489">
        <f>RAVLT_Learning!M489</f>
        <v>-0.12667049599999999</v>
      </c>
      <c r="M489">
        <f>RAVLT_Learning!N489</f>
        <v>48.3</v>
      </c>
      <c r="O489">
        <f>ABS(L489-RAVLT_Learning!$C$34)</f>
        <v>5.406680713311097</v>
      </c>
      <c r="P489">
        <f t="shared" ref="P489:P552" si="9">M489</f>
        <v>48.3</v>
      </c>
    </row>
    <row r="490" spans="12:16">
      <c r="L490">
        <f>RAVLT_Learning!M490</f>
        <v>-0.12664540799999999</v>
      </c>
      <c r="M490">
        <f>RAVLT_Learning!N490</f>
        <v>48.4</v>
      </c>
      <c r="O490">
        <f>ABS(L490-RAVLT_Learning!$C$34)</f>
        <v>5.4067058013110971</v>
      </c>
      <c r="P490">
        <f t="shared" si="9"/>
        <v>48.4</v>
      </c>
    </row>
    <row r="491" spans="12:16">
      <c r="L491">
        <f>RAVLT_Learning!M491</f>
        <v>-0.12560536</v>
      </c>
      <c r="M491">
        <f>RAVLT_Learning!N491</f>
        <v>48.5</v>
      </c>
      <c r="O491">
        <f>ABS(L491-RAVLT_Learning!$C$34)</f>
        <v>5.4077458493110973</v>
      </c>
      <c r="P491">
        <f t="shared" si="9"/>
        <v>48.5</v>
      </c>
    </row>
    <row r="492" spans="12:16">
      <c r="L492">
        <f>RAVLT_Learning!M492</f>
        <v>-0.122264736</v>
      </c>
      <c r="M492">
        <f>RAVLT_Learning!N492</f>
        <v>48.6</v>
      </c>
      <c r="O492">
        <f>ABS(L492-RAVLT_Learning!$C$34)</f>
        <v>5.411086473311097</v>
      </c>
      <c r="P492">
        <f t="shared" si="9"/>
        <v>48.6</v>
      </c>
    </row>
    <row r="493" spans="12:16">
      <c r="L493">
        <f>RAVLT_Learning!M493</f>
        <v>-0.118924112</v>
      </c>
      <c r="M493">
        <f>RAVLT_Learning!N493</f>
        <v>48.7</v>
      </c>
      <c r="O493">
        <f>ABS(L493-RAVLT_Learning!$C$34)</f>
        <v>5.4144270973110968</v>
      </c>
      <c r="P493">
        <f t="shared" si="9"/>
        <v>48.7</v>
      </c>
    </row>
    <row r="494" spans="12:16">
      <c r="L494">
        <f>RAVLT_Learning!M494</f>
        <v>-0.115763456</v>
      </c>
      <c r="M494">
        <f>RAVLT_Learning!N494</f>
        <v>48.8</v>
      </c>
      <c r="O494">
        <f>ABS(L494-RAVLT_Learning!$C$34)</f>
        <v>5.4175877533110972</v>
      </c>
      <c r="P494">
        <f t="shared" si="9"/>
        <v>48.8</v>
      </c>
    </row>
    <row r="495" spans="12:16">
      <c r="L495">
        <f>RAVLT_Learning!M495</f>
        <v>-0.11266116800000001</v>
      </c>
      <c r="M495">
        <f>RAVLT_Learning!N495</f>
        <v>48.9</v>
      </c>
      <c r="O495">
        <f>ABS(L495-RAVLT_Learning!$C$34)</f>
        <v>5.4206900413110972</v>
      </c>
      <c r="P495">
        <f t="shared" si="9"/>
        <v>48.9</v>
      </c>
    </row>
    <row r="496" spans="12:16">
      <c r="L496">
        <f>RAVLT_Learning!M496</f>
        <v>-0.11015472</v>
      </c>
      <c r="M496">
        <f>RAVLT_Learning!N496</f>
        <v>49</v>
      </c>
      <c r="O496">
        <f>ABS(L496-RAVLT_Learning!$C$34)</f>
        <v>5.4231964893110973</v>
      </c>
      <c r="P496">
        <f t="shared" si="9"/>
        <v>49</v>
      </c>
    </row>
    <row r="497" spans="12:16">
      <c r="L497">
        <f>RAVLT_Learning!M497</f>
        <v>-0.109972048</v>
      </c>
      <c r="M497">
        <f>RAVLT_Learning!N497</f>
        <v>49.1</v>
      </c>
      <c r="O497">
        <f>ABS(L497-RAVLT_Learning!$C$34)</f>
        <v>5.4233791613110967</v>
      </c>
      <c r="P497">
        <f t="shared" si="9"/>
        <v>49.1</v>
      </c>
    </row>
    <row r="498" spans="12:16">
      <c r="L498">
        <f>RAVLT_Learning!M498</f>
        <v>-0.10978937599999999</v>
      </c>
      <c r="M498">
        <f>RAVLT_Learning!N498</f>
        <v>49.2</v>
      </c>
      <c r="O498">
        <f>ABS(L498-RAVLT_Learning!$C$34)</f>
        <v>5.4235618333110969</v>
      </c>
      <c r="P498">
        <f t="shared" si="9"/>
        <v>49.2</v>
      </c>
    </row>
    <row r="499" spans="12:16">
      <c r="L499">
        <f>RAVLT_Learning!M499</f>
        <v>-0.106293552</v>
      </c>
      <c r="M499">
        <f>RAVLT_Learning!N499</f>
        <v>49.3</v>
      </c>
      <c r="O499">
        <f>ABS(L499-RAVLT_Learning!$C$34)</f>
        <v>5.4270576573110967</v>
      </c>
      <c r="P499">
        <f t="shared" si="9"/>
        <v>49.3</v>
      </c>
    </row>
    <row r="500" spans="12:16">
      <c r="L500">
        <f>RAVLT_Learning!M500</f>
        <v>-0.101037616</v>
      </c>
      <c r="M500">
        <f>RAVLT_Learning!N500</f>
        <v>49.4</v>
      </c>
      <c r="O500">
        <f>ABS(L500-RAVLT_Learning!$C$34)</f>
        <v>5.4323135933110969</v>
      </c>
      <c r="P500">
        <f t="shared" si="9"/>
        <v>49.4</v>
      </c>
    </row>
    <row r="501" spans="12:16">
      <c r="L501">
        <f>RAVLT_Learning!M501</f>
        <v>-9.5642840000000104E-2</v>
      </c>
      <c r="M501">
        <f>RAVLT_Learning!N501</f>
        <v>49.5</v>
      </c>
      <c r="O501">
        <f>ABS(L501-RAVLT_Learning!$C$34)</f>
        <v>5.437708369311097</v>
      </c>
      <c r="P501">
        <f t="shared" si="9"/>
        <v>49.5</v>
      </c>
    </row>
    <row r="502" spans="12:16">
      <c r="L502">
        <f>RAVLT_Learning!M502</f>
        <v>-8.9026272000000198E-2</v>
      </c>
      <c r="M502">
        <f>RAVLT_Learning!N502</f>
        <v>49.6</v>
      </c>
      <c r="O502">
        <f>ABS(L502-RAVLT_Learning!$C$34)</f>
        <v>5.4443249373110971</v>
      </c>
      <c r="P502">
        <f t="shared" si="9"/>
        <v>49.6</v>
      </c>
    </row>
    <row r="503" spans="12:16">
      <c r="L503">
        <f>RAVLT_Learning!M503</f>
        <v>-8.2409703999999806E-2</v>
      </c>
      <c r="M503">
        <f>RAVLT_Learning!N503</f>
        <v>49.7</v>
      </c>
      <c r="O503">
        <f>ABS(L503-RAVLT_Learning!$C$34)</f>
        <v>5.4509415053110972</v>
      </c>
      <c r="P503">
        <f t="shared" si="9"/>
        <v>49.7</v>
      </c>
    </row>
    <row r="504" spans="12:16">
      <c r="L504">
        <f>RAVLT_Learning!M504</f>
        <v>-7.7533231999999896E-2</v>
      </c>
      <c r="M504">
        <f>RAVLT_Learning!N504</f>
        <v>49.8</v>
      </c>
      <c r="O504">
        <f>ABS(L504-RAVLT_Learning!$C$34)</f>
        <v>5.4558179773110975</v>
      </c>
      <c r="P504">
        <f t="shared" si="9"/>
        <v>49.8</v>
      </c>
    </row>
    <row r="505" spans="12:16">
      <c r="L505">
        <f>RAVLT_Learning!M505</f>
        <v>-7.4074615999999996E-2</v>
      </c>
      <c r="M505">
        <f>RAVLT_Learning!N505</f>
        <v>49.9</v>
      </c>
      <c r="O505">
        <f>ABS(L505-RAVLT_Learning!$C$34)</f>
        <v>5.4592765933110972</v>
      </c>
      <c r="P505">
        <f t="shared" si="9"/>
        <v>49.9</v>
      </c>
    </row>
    <row r="506" spans="12:16">
      <c r="L506">
        <f>RAVLT_Learning!M506</f>
        <v>-7.0615999999999998E-2</v>
      </c>
      <c r="M506">
        <f>RAVLT_Learning!N506</f>
        <v>50</v>
      </c>
      <c r="O506">
        <f>ABS(L506-RAVLT_Learning!$C$34)</f>
        <v>5.4627352093110968</v>
      </c>
      <c r="P506">
        <f t="shared" si="9"/>
        <v>50</v>
      </c>
    </row>
    <row r="507" spans="12:16">
      <c r="L507">
        <f>RAVLT_Learning!M507</f>
        <v>-6.4969632000000097E-2</v>
      </c>
      <c r="M507">
        <f>RAVLT_Learning!N507</f>
        <v>50.1</v>
      </c>
      <c r="O507">
        <f>ABS(L507-RAVLT_Learning!$C$34)</f>
        <v>5.4683815773110966</v>
      </c>
      <c r="P507">
        <f t="shared" si="9"/>
        <v>50.1</v>
      </c>
    </row>
    <row r="508" spans="12:16">
      <c r="L508">
        <f>RAVLT_Learning!M508</f>
        <v>-5.9323264000000098E-2</v>
      </c>
      <c r="M508">
        <f>RAVLT_Learning!N508</f>
        <v>50.2</v>
      </c>
      <c r="O508">
        <f>ABS(L508-RAVLT_Learning!$C$34)</f>
        <v>5.4740279453110965</v>
      </c>
      <c r="P508">
        <f t="shared" si="9"/>
        <v>50.2</v>
      </c>
    </row>
    <row r="509" spans="12:16">
      <c r="L509">
        <f>RAVLT_Learning!M509</f>
        <v>-5.51164000000001E-2</v>
      </c>
      <c r="M509">
        <f>RAVLT_Learning!N509</f>
        <v>50.3</v>
      </c>
      <c r="O509">
        <f>ABS(L509-RAVLT_Learning!$C$34)</f>
        <v>5.4782348093110969</v>
      </c>
      <c r="P509">
        <f t="shared" si="9"/>
        <v>50.3</v>
      </c>
    </row>
    <row r="510" spans="12:16">
      <c r="L510">
        <f>RAVLT_Learning!M510</f>
        <v>-5.2676199999999902E-2</v>
      </c>
      <c r="M510">
        <f>RAVLT_Learning!N510</f>
        <v>50.4</v>
      </c>
      <c r="O510">
        <f>ABS(L510-RAVLT_Learning!$C$34)</f>
        <v>5.4806750093110974</v>
      </c>
      <c r="P510">
        <f t="shared" si="9"/>
        <v>50.4</v>
      </c>
    </row>
    <row r="511" spans="12:16">
      <c r="L511">
        <f>RAVLT_Learning!M511</f>
        <v>-5.0235999999999899E-2</v>
      </c>
      <c r="M511">
        <f>RAVLT_Learning!N511</f>
        <v>50.5</v>
      </c>
      <c r="O511">
        <f>ABS(L511-RAVLT_Learning!$C$34)</f>
        <v>5.4831152093110971</v>
      </c>
      <c r="P511">
        <f t="shared" si="9"/>
        <v>50.5</v>
      </c>
    </row>
    <row r="512" spans="12:16">
      <c r="L512">
        <f>RAVLT_Learning!M512</f>
        <v>-4.9289336000000003E-2</v>
      </c>
      <c r="M512">
        <f>RAVLT_Learning!N512</f>
        <v>50.6</v>
      </c>
      <c r="O512">
        <f>ABS(L512-RAVLT_Learning!$C$34)</f>
        <v>5.4840618733110968</v>
      </c>
      <c r="P512">
        <f t="shared" si="9"/>
        <v>50.6</v>
      </c>
    </row>
    <row r="513" spans="12:16">
      <c r="L513">
        <f>RAVLT_Learning!M513</f>
        <v>-4.8512392000000001E-2</v>
      </c>
      <c r="M513">
        <f>RAVLT_Learning!N513</f>
        <v>50.7</v>
      </c>
      <c r="O513">
        <f>ABS(L513-RAVLT_Learning!$C$34)</f>
        <v>5.4848388173110969</v>
      </c>
      <c r="P513">
        <f t="shared" si="9"/>
        <v>50.7</v>
      </c>
    </row>
    <row r="514" spans="12:16">
      <c r="L514">
        <f>RAVLT_Learning!M514</f>
        <v>-4.6636839999999999E-2</v>
      </c>
      <c r="M514">
        <f>RAVLT_Learning!N514</f>
        <v>50.8</v>
      </c>
      <c r="O514">
        <f>ABS(L514-RAVLT_Learning!$C$34)</f>
        <v>5.4867143693110974</v>
      </c>
      <c r="P514">
        <f t="shared" si="9"/>
        <v>50.8</v>
      </c>
    </row>
    <row r="515" spans="12:16">
      <c r="L515">
        <f>RAVLT_Learning!M515</f>
        <v>-4.2693320000000097E-2</v>
      </c>
      <c r="M515">
        <f>RAVLT_Learning!N515</f>
        <v>50.9</v>
      </c>
      <c r="O515">
        <f>ABS(L515-RAVLT_Learning!$C$34)</f>
        <v>5.4906578893110973</v>
      </c>
      <c r="P515">
        <f t="shared" si="9"/>
        <v>50.9</v>
      </c>
    </row>
    <row r="516" spans="12:16">
      <c r="L516">
        <f>RAVLT_Learning!M516</f>
        <v>-3.87497999999998E-2</v>
      </c>
      <c r="M516">
        <f>RAVLT_Learning!N516</f>
        <v>51</v>
      </c>
      <c r="O516">
        <f>ABS(L516-RAVLT_Learning!$C$34)</f>
        <v>5.4946014093110973</v>
      </c>
      <c r="P516">
        <f t="shared" si="9"/>
        <v>51</v>
      </c>
    </row>
    <row r="517" spans="12:16">
      <c r="L517">
        <f>RAVLT_Learning!M517</f>
        <v>-3.5672079999999898E-2</v>
      </c>
      <c r="M517">
        <f>RAVLT_Learning!N517</f>
        <v>51.1</v>
      </c>
      <c r="O517">
        <f>ABS(L517-RAVLT_Learning!$C$34)</f>
        <v>5.4976791293110967</v>
      </c>
      <c r="P517">
        <f t="shared" si="9"/>
        <v>51.1</v>
      </c>
    </row>
    <row r="518" spans="12:16">
      <c r="L518">
        <f>RAVLT_Learning!M518</f>
        <v>-3.2816359999999899E-2</v>
      </c>
      <c r="M518">
        <f>RAVLT_Learning!N518</f>
        <v>51.2</v>
      </c>
      <c r="O518">
        <f>ABS(L518-RAVLT_Learning!$C$34)</f>
        <v>5.500534849311097</v>
      </c>
      <c r="P518">
        <f t="shared" si="9"/>
        <v>51.2</v>
      </c>
    </row>
    <row r="519" spans="12:16">
      <c r="L519">
        <f>RAVLT_Learning!M519</f>
        <v>-3.0146303999999999E-2</v>
      </c>
      <c r="M519">
        <f>RAVLT_Learning!N519</f>
        <v>51.3</v>
      </c>
      <c r="O519">
        <f>ABS(L519-RAVLT_Learning!$C$34)</f>
        <v>5.5032049053110974</v>
      </c>
      <c r="P519">
        <f t="shared" si="9"/>
        <v>51.3</v>
      </c>
    </row>
    <row r="520" spans="12:16">
      <c r="L520">
        <f>RAVLT_Learning!M520</f>
        <v>-2.8048712E-2</v>
      </c>
      <c r="M520">
        <f>RAVLT_Learning!N520</f>
        <v>51.4</v>
      </c>
      <c r="O520">
        <f>ABS(L520-RAVLT_Learning!$C$34)</f>
        <v>5.5053024973110967</v>
      </c>
      <c r="P520">
        <f t="shared" si="9"/>
        <v>51.4</v>
      </c>
    </row>
    <row r="521" spans="12:16">
      <c r="L521">
        <f>RAVLT_Learning!M521</f>
        <v>-2.5951120000000001E-2</v>
      </c>
      <c r="M521">
        <f>RAVLT_Learning!N521</f>
        <v>51.5</v>
      </c>
      <c r="O521">
        <f>ABS(L521-RAVLT_Learning!$C$34)</f>
        <v>5.5074000893110968</v>
      </c>
      <c r="P521">
        <f t="shared" si="9"/>
        <v>51.5</v>
      </c>
    </row>
    <row r="522" spans="12:16">
      <c r="L522">
        <f>RAVLT_Learning!M522</f>
        <v>-2.2949944000000101E-2</v>
      </c>
      <c r="M522">
        <f>RAVLT_Learning!N522</f>
        <v>51.6</v>
      </c>
      <c r="O522">
        <f>ABS(L522-RAVLT_Learning!$C$34)</f>
        <v>5.5104012653110965</v>
      </c>
      <c r="P522">
        <f t="shared" si="9"/>
        <v>51.6</v>
      </c>
    </row>
    <row r="523" spans="12:16">
      <c r="L523">
        <f>RAVLT_Learning!M523</f>
        <v>-1.9550127999999899E-2</v>
      </c>
      <c r="M523">
        <f>RAVLT_Learning!N523</f>
        <v>51.7</v>
      </c>
      <c r="O523">
        <f>ABS(L523-RAVLT_Learning!$C$34)</f>
        <v>5.5138010813110974</v>
      </c>
      <c r="P523">
        <f t="shared" si="9"/>
        <v>51.7</v>
      </c>
    </row>
    <row r="524" spans="12:16">
      <c r="L524">
        <f>RAVLT_Learning!M524</f>
        <v>-1.6095823999999901E-2</v>
      </c>
      <c r="M524">
        <f>RAVLT_Learning!N524</f>
        <v>51.8</v>
      </c>
      <c r="O524">
        <f>ABS(L524-RAVLT_Learning!$C$34)</f>
        <v>5.5172553853110973</v>
      </c>
      <c r="P524">
        <f t="shared" si="9"/>
        <v>51.8</v>
      </c>
    </row>
    <row r="525" spans="12:16">
      <c r="L525">
        <f>RAVLT_Learning!M525</f>
        <v>-1.23145919999999E-2</v>
      </c>
      <c r="M525">
        <f>RAVLT_Learning!N525</f>
        <v>51.9</v>
      </c>
      <c r="O525">
        <f>ABS(L525-RAVLT_Learning!$C$34)</f>
        <v>5.521036617311097</v>
      </c>
      <c r="P525">
        <f t="shared" si="9"/>
        <v>51.9</v>
      </c>
    </row>
    <row r="526" spans="12:16">
      <c r="L526">
        <f>RAVLT_Learning!M526</f>
        <v>-8.5333599999999708E-3</v>
      </c>
      <c r="M526">
        <f>RAVLT_Learning!N526</f>
        <v>52</v>
      </c>
      <c r="O526">
        <f>ABS(L526-RAVLT_Learning!$C$34)</f>
        <v>5.5248178493110967</v>
      </c>
      <c r="P526">
        <f t="shared" si="9"/>
        <v>52</v>
      </c>
    </row>
    <row r="527" spans="12:16">
      <c r="L527">
        <f>RAVLT_Learning!M527</f>
        <v>-6.8818880000000001E-3</v>
      </c>
      <c r="M527">
        <f>RAVLT_Learning!N527</f>
        <v>52.1</v>
      </c>
      <c r="O527">
        <f>ABS(L527-RAVLT_Learning!$C$34)</f>
        <v>5.5264693213110974</v>
      </c>
      <c r="P527">
        <f t="shared" si="9"/>
        <v>52.1</v>
      </c>
    </row>
    <row r="528" spans="12:16">
      <c r="L528">
        <f>RAVLT_Learning!M528</f>
        <v>-6.699216E-3</v>
      </c>
      <c r="M528">
        <f>RAVLT_Learning!N528</f>
        <v>52.2</v>
      </c>
      <c r="O528">
        <f>ABS(L528-RAVLT_Learning!$C$34)</f>
        <v>5.5266519933110967</v>
      </c>
      <c r="P528">
        <f t="shared" si="9"/>
        <v>52.2</v>
      </c>
    </row>
    <row r="529" spans="12:16">
      <c r="L529">
        <f>RAVLT_Learning!M529</f>
        <v>-6.4458399999999102E-3</v>
      </c>
      <c r="M529">
        <f>RAVLT_Learning!N529</f>
        <v>52.3</v>
      </c>
      <c r="O529">
        <f>ABS(L529-RAVLT_Learning!$C$34)</f>
        <v>5.5269053693110974</v>
      </c>
      <c r="P529">
        <f t="shared" si="9"/>
        <v>52.3</v>
      </c>
    </row>
    <row r="530" spans="12:16">
      <c r="L530">
        <f>RAVLT_Learning!M530</f>
        <v>-4.5309199999999201E-3</v>
      </c>
      <c r="M530">
        <f>RAVLT_Learning!N530</f>
        <v>52.4</v>
      </c>
      <c r="O530">
        <f>ABS(L530-RAVLT_Learning!$C$34)</f>
        <v>5.5288202893110974</v>
      </c>
      <c r="P530">
        <f t="shared" si="9"/>
        <v>52.4</v>
      </c>
    </row>
    <row r="531" spans="12:16">
      <c r="L531">
        <f>RAVLT_Learning!M531</f>
        <v>-2.61599999999994E-3</v>
      </c>
      <c r="M531">
        <f>RAVLT_Learning!N531</f>
        <v>52.5</v>
      </c>
      <c r="O531">
        <f>ABS(L531-RAVLT_Learning!$C$34)</f>
        <v>5.5307352093110973</v>
      </c>
      <c r="P531">
        <f t="shared" si="9"/>
        <v>52.5</v>
      </c>
    </row>
    <row r="532" spans="12:16">
      <c r="L532">
        <f>RAVLT_Learning!M532</f>
        <v>-3.5432799999995099E-4</v>
      </c>
      <c r="M532">
        <f>RAVLT_Learning!N532</f>
        <v>52.6</v>
      </c>
      <c r="O532">
        <f>ABS(L532-RAVLT_Learning!$C$34)</f>
        <v>5.5329968813110968</v>
      </c>
      <c r="P532">
        <f t="shared" si="9"/>
        <v>52.6</v>
      </c>
    </row>
    <row r="533" spans="12:16">
      <c r="L533">
        <f>RAVLT_Learning!M533</f>
        <v>2.2685440000000199E-3</v>
      </c>
      <c r="M533">
        <f>RAVLT_Learning!N533</f>
        <v>52.7</v>
      </c>
      <c r="O533">
        <f>ABS(L533-RAVLT_Learning!$C$34)</f>
        <v>5.5356197533110967</v>
      </c>
      <c r="P533">
        <f t="shared" si="9"/>
        <v>52.7</v>
      </c>
    </row>
    <row r="534" spans="12:16">
      <c r="L534">
        <f>RAVLT_Learning!M534</f>
        <v>4.8914159999999896E-3</v>
      </c>
      <c r="M534">
        <f>RAVLT_Learning!N534</f>
        <v>52.8</v>
      </c>
      <c r="O534">
        <f>ABS(L534-RAVLT_Learning!$C$34)</f>
        <v>5.5382426253110975</v>
      </c>
      <c r="P534">
        <f t="shared" si="9"/>
        <v>52.8</v>
      </c>
    </row>
    <row r="535" spans="12:16">
      <c r="L535">
        <f>RAVLT_Learning!M535</f>
        <v>6.6137920000001E-3</v>
      </c>
      <c r="M535">
        <f>RAVLT_Learning!N535</f>
        <v>52.9</v>
      </c>
      <c r="O535">
        <f>ABS(L535-RAVLT_Learning!$C$34)</f>
        <v>5.5399650013110975</v>
      </c>
      <c r="P535">
        <f t="shared" si="9"/>
        <v>52.9</v>
      </c>
    </row>
    <row r="536" spans="12:16">
      <c r="L536">
        <f>RAVLT_Learning!M536</f>
        <v>8.2774400000000803E-3</v>
      </c>
      <c r="M536">
        <f>RAVLT_Learning!N536</f>
        <v>53</v>
      </c>
      <c r="O536">
        <f>ABS(L536-RAVLT_Learning!$C$34)</f>
        <v>5.5416286493110967</v>
      </c>
      <c r="P536">
        <f t="shared" si="9"/>
        <v>53</v>
      </c>
    </row>
    <row r="537" spans="12:16">
      <c r="L537">
        <f>RAVLT_Learning!M537</f>
        <v>1.0117104000000101E-2</v>
      </c>
      <c r="M537">
        <f>RAVLT_Learning!N537</f>
        <v>53.1</v>
      </c>
      <c r="O537">
        <f>ABS(L537-RAVLT_Learning!$C$34)</f>
        <v>5.5434683133110969</v>
      </c>
      <c r="P537">
        <f t="shared" si="9"/>
        <v>53.1</v>
      </c>
    </row>
    <row r="538" spans="12:16">
      <c r="L538">
        <f>RAVLT_Learning!M538</f>
        <v>1.2234688000000099E-2</v>
      </c>
      <c r="M538">
        <f>RAVLT_Learning!N538</f>
        <v>53.2</v>
      </c>
      <c r="O538">
        <f>ABS(L538-RAVLT_Learning!$C$34)</f>
        <v>5.5455858973110974</v>
      </c>
      <c r="P538">
        <f t="shared" si="9"/>
        <v>53.2</v>
      </c>
    </row>
    <row r="539" spans="12:16">
      <c r="L539">
        <f>RAVLT_Learning!M539</f>
        <v>1.4352271999999999E-2</v>
      </c>
      <c r="M539">
        <f>RAVLT_Learning!N539</f>
        <v>53.3</v>
      </c>
      <c r="O539">
        <f>ABS(L539-RAVLT_Learning!$C$34)</f>
        <v>5.547703481311097</v>
      </c>
      <c r="P539">
        <f t="shared" si="9"/>
        <v>53.3</v>
      </c>
    </row>
    <row r="540" spans="12:16">
      <c r="L540">
        <f>RAVLT_Learning!M540</f>
        <v>1.5000416000000001E-2</v>
      </c>
      <c r="M540">
        <f>RAVLT_Learning!N540</f>
        <v>53.4</v>
      </c>
      <c r="O540">
        <f>ABS(L540-RAVLT_Learning!$C$34)</f>
        <v>5.5483516253110974</v>
      </c>
      <c r="P540">
        <f t="shared" si="9"/>
        <v>53.4</v>
      </c>
    </row>
    <row r="541" spans="12:16">
      <c r="L541">
        <f>RAVLT_Learning!M541</f>
        <v>1.536184E-2</v>
      </c>
      <c r="M541">
        <f>RAVLT_Learning!N541</f>
        <v>53.5</v>
      </c>
      <c r="O541">
        <f>ABS(L541-RAVLT_Learning!$C$34)</f>
        <v>5.5487130493110968</v>
      </c>
      <c r="P541">
        <f t="shared" si="9"/>
        <v>53.5</v>
      </c>
    </row>
    <row r="542" spans="12:16">
      <c r="L542">
        <f>RAVLT_Learning!M542</f>
        <v>1.567936E-2</v>
      </c>
      <c r="M542">
        <f>RAVLT_Learning!N542</f>
        <v>53.6</v>
      </c>
      <c r="O542">
        <f>ABS(L542-RAVLT_Learning!$C$34)</f>
        <v>5.5490305693110971</v>
      </c>
      <c r="P542">
        <f t="shared" si="9"/>
        <v>53.6</v>
      </c>
    </row>
    <row r="543" spans="12:16">
      <c r="L543">
        <f>RAVLT_Learning!M543</f>
        <v>1.5887120000000001E-2</v>
      </c>
      <c r="M543">
        <f>RAVLT_Learning!N543</f>
        <v>53.7</v>
      </c>
      <c r="O543">
        <f>ABS(L543-RAVLT_Learning!$C$34)</f>
        <v>5.5492383293110974</v>
      </c>
      <c r="P543">
        <f t="shared" si="9"/>
        <v>53.7</v>
      </c>
    </row>
    <row r="544" spans="12:16">
      <c r="L544">
        <f>RAVLT_Learning!M544</f>
        <v>1.6094879999999999E-2</v>
      </c>
      <c r="M544">
        <f>RAVLT_Learning!N544</f>
        <v>53.8</v>
      </c>
      <c r="O544">
        <f>ABS(L544-RAVLT_Learning!$C$34)</f>
        <v>5.5494460893110968</v>
      </c>
      <c r="P544">
        <f t="shared" si="9"/>
        <v>53.8</v>
      </c>
    </row>
    <row r="545" spans="12:16">
      <c r="L545">
        <f>RAVLT_Learning!M545</f>
        <v>1.6411792000000001E-2</v>
      </c>
      <c r="M545">
        <f>RAVLT_Learning!N545</f>
        <v>53.9</v>
      </c>
      <c r="O545">
        <f>ABS(L545-RAVLT_Learning!$C$34)</f>
        <v>5.5497630013110975</v>
      </c>
      <c r="P545">
        <f t="shared" si="9"/>
        <v>53.9</v>
      </c>
    </row>
    <row r="546" spans="12:16">
      <c r="L546">
        <f>RAVLT_Learning!M546</f>
        <v>1.6768120000000001E-2</v>
      </c>
      <c r="M546">
        <f>RAVLT_Learning!N546</f>
        <v>54</v>
      </c>
      <c r="O546">
        <f>ABS(L546-RAVLT_Learning!$C$34)</f>
        <v>5.5501193293110971</v>
      </c>
      <c r="P546">
        <f t="shared" si="9"/>
        <v>54</v>
      </c>
    </row>
    <row r="547" spans="12:16">
      <c r="L547">
        <f>RAVLT_Learning!M547</f>
        <v>1.7066128E-2</v>
      </c>
      <c r="M547">
        <f>RAVLT_Learning!N547</f>
        <v>54.1</v>
      </c>
      <c r="O547">
        <f>ABS(L547-RAVLT_Learning!$C$34)</f>
        <v>5.5504173373110968</v>
      </c>
      <c r="P547">
        <f t="shared" si="9"/>
        <v>54.1</v>
      </c>
    </row>
    <row r="548" spans="12:16">
      <c r="L548">
        <f>RAVLT_Learning!M548</f>
        <v>1.7104936000000001E-2</v>
      </c>
      <c r="M548">
        <f>RAVLT_Learning!N548</f>
        <v>54.2</v>
      </c>
      <c r="O548">
        <f>ABS(L548-RAVLT_Learning!$C$34)</f>
        <v>5.550456145311097</v>
      </c>
      <c r="P548">
        <f t="shared" si="9"/>
        <v>54.2</v>
      </c>
    </row>
    <row r="549" spans="12:16">
      <c r="L549">
        <f>RAVLT_Learning!M549</f>
        <v>1.7143743999999999E-2</v>
      </c>
      <c r="M549">
        <f>RAVLT_Learning!N549</f>
        <v>54.3</v>
      </c>
      <c r="O549">
        <f>ABS(L549-RAVLT_Learning!$C$34)</f>
        <v>5.5504949533110972</v>
      </c>
      <c r="P549">
        <f t="shared" si="9"/>
        <v>54.3</v>
      </c>
    </row>
    <row r="550" spans="12:16">
      <c r="L550">
        <f>RAVLT_Learning!M550</f>
        <v>1.8817368000000102E-2</v>
      </c>
      <c r="M550">
        <f>RAVLT_Learning!N550</f>
        <v>54.4</v>
      </c>
      <c r="O550">
        <f>ABS(L550-RAVLT_Learning!$C$34)</f>
        <v>5.5521685773110967</v>
      </c>
      <c r="P550">
        <f t="shared" si="9"/>
        <v>54.4</v>
      </c>
    </row>
    <row r="551" spans="12:16">
      <c r="L551">
        <f>RAVLT_Learning!M551</f>
        <v>2.14402400000001E-2</v>
      </c>
      <c r="M551">
        <f>RAVLT_Learning!N551</f>
        <v>54.5</v>
      </c>
      <c r="O551">
        <f>ABS(L551-RAVLT_Learning!$C$34)</f>
        <v>5.5547914493110975</v>
      </c>
      <c r="P551">
        <f t="shared" si="9"/>
        <v>54.5</v>
      </c>
    </row>
    <row r="552" spans="12:16">
      <c r="L552">
        <f>RAVLT_Learning!M552</f>
        <v>2.4051400000000101E-2</v>
      </c>
      <c r="M552">
        <f>RAVLT_Learning!N552</f>
        <v>54.6</v>
      </c>
      <c r="O552">
        <f>ABS(L552-RAVLT_Learning!$C$34)</f>
        <v>5.5574026093110973</v>
      </c>
      <c r="P552">
        <f t="shared" si="9"/>
        <v>54.6</v>
      </c>
    </row>
    <row r="553" spans="12:16">
      <c r="L553">
        <f>RAVLT_Learning!M553</f>
        <v>2.65308E-2</v>
      </c>
      <c r="M553">
        <f>RAVLT_Learning!N553</f>
        <v>54.7</v>
      </c>
      <c r="O553">
        <f>ABS(L553-RAVLT_Learning!$C$34)</f>
        <v>5.5598820093110968</v>
      </c>
      <c r="P553">
        <f t="shared" ref="P553:P616" si="10">M553</f>
        <v>54.7</v>
      </c>
    </row>
    <row r="554" spans="12:16">
      <c r="L554">
        <f>RAVLT_Learning!M554</f>
        <v>2.9010200000000201E-2</v>
      </c>
      <c r="M554">
        <f>RAVLT_Learning!N554</f>
        <v>54.8</v>
      </c>
      <c r="O554">
        <f>ABS(L554-RAVLT_Learning!$C$34)</f>
        <v>5.5623614093110971</v>
      </c>
      <c r="P554">
        <f t="shared" si="10"/>
        <v>54.8</v>
      </c>
    </row>
    <row r="555" spans="12:16">
      <c r="L555">
        <f>RAVLT_Learning!M555</f>
        <v>3.0775328000000102E-2</v>
      </c>
      <c r="M555">
        <f>RAVLT_Learning!N555</f>
        <v>54.9</v>
      </c>
      <c r="O555">
        <f>ABS(L555-RAVLT_Learning!$C$34)</f>
        <v>5.5641265373110969</v>
      </c>
      <c r="P555">
        <f t="shared" si="10"/>
        <v>54.9</v>
      </c>
    </row>
    <row r="556" spans="12:16">
      <c r="L556">
        <f>RAVLT_Learning!M556</f>
        <v>3.1908600000000099E-2</v>
      </c>
      <c r="M556">
        <f>RAVLT_Learning!N556</f>
        <v>55</v>
      </c>
      <c r="O556">
        <f>ABS(L556-RAVLT_Learning!$C$34)</f>
        <v>5.5652598093110974</v>
      </c>
      <c r="P556">
        <f t="shared" si="10"/>
        <v>55</v>
      </c>
    </row>
    <row r="557" spans="12:16">
      <c r="L557">
        <f>RAVLT_Learning!M557</f>
        <v>3.3041872E-2</v>
      </c>
      <c r="M557">
        <f>RAVLT_Learning!N557</f>
        <v>55.1</v>
      </c>
      <c r="O557">
        <f>ABS(L557-RAVLT_Learning!$C$34)</f>
        <v>5.5663930813110971</v>
      </c>
      <c r="P557">
        <f t="shared" si="10"/>
        <v>55.1</v>
      </c>
    </row>
    <row r="558" spans="12:16">
      <c r="L558">
        <f>RAVLT_Learning!M558</f>
        <v>3.5804456000000102E-2</v>
      </c>
      <c r="M558">
        <f>RAVLT_Learning!N558</f>
        <v>55.2</v>
      </c>
      <c r="O558">
        <f>ABS(L558-RAVLT_Learning!$C$34)</f>
        <v>5.5691556653110972</v>
      </c>
      <c r="P558">
        <f t="shared" si="10"/>
        <v>55.2</v>
      </c>
    </row>
    <row r="559" spans="12:16">
      <c r="L559">
        <f>RAVLT_Learning!M559</f>
        <v>3.8600984000000102E-2</v>
      </c>
      <c r="M559">
        <f>RAVLT_Learning!N559</f>
        <v>55.3</v>
      </c>
      <c r="O559">
        <f>ABS(L559-RAVLT_Learning!$C$34)</f>
        <v>5.5719521933110974</v>
      </c>
      <c r="P559">
        <f t="shared" si="10"/>
        <v>55.3</v>
      </c>
    </row>
    <row r="560" spans="12:16">
      <c r="L560">
        <f>RAVLT_Learning!M560</f>
        <v>4.1414312000000099E-2</v>
      </c>
      <c r="M560">
        <f>RAVLT_Learning!N560</f>
        <v>55.4</v>
      </c>
      <c r="O560">
        <f>ABS(L560-RAVLT_Learning!$C$34)</f>
        <v>5.5747655213110967</v>
      </c>
      <c r="P560">
        <f t="shared" si="10"/>
        <v>55.4</v>
      </c>
    </row>
    <row r="561" spans="12:16">
      <c r="L561">
        <f>RAVLT_Learning!M561</f>
        <v>4.4250040000000199E-2</v>
      </c>
      <c r="M561">
        <f>RAVLT_Learning!N561</f>
        <v>55.5</v>
      </c>
      <c r="O561">
        <f>ABS(L561-RAVLT_Learning!$C$34)</f>
        <v>5.5776012493110976</v>
      </c>
      <c r="P561">
        <f t="shared" si="10"/>
        <v>55.5</v>
      </c>
    </row>
    <row r="562" spans="12:16">
      <c r="L562">
        <f>RAVLT_Learning!M562</f>
        <v>4.7085768000000201E-2</v>
      </c>
      <c r="M562">
        <f>RAVLT_Learning!N562</f>
        <v>55.6</v>
      </c>
      <c r="O562">
        <f>ABS(L562-RAVLT_Learning!$C$34)</f>
        <v>5.5804369773110976</v>
      </c>
      <c r="P562">
        <f t="shared" si="10"/>
        <v>55.6</v>
      </c>
    </row>
    <row r="563" spans="12:16">
      <c r="L563">
        <f>RAVLT_Learning!M563</f>
        <v>4.8956576000000099E-2</v>
      </c>
      <c r="M563">
        <f>RAVLT_Learning!N563</f>
        <v>55.7</v>
      </c>
      <c r="O563">
        <f>ABS(L563-RAVLT_Learning!$C$34)</f>
        <v>5.5823077853110972</v>
      </c>
      <c r="P563">
        <f t="shared" si="10"/>
        <v>55.7</v>
      </c>
    </row>
    <row r="564" spans="12:16">
      <c r="L564">
        <f>RAVLT_Learning!M564</f>
        <v>5.0692744000000102E-2</v>
      </c>
      <c r="M564">
        <f>RAVLT_Learning!N564</f>
        <v>55.8</v>
      </c>
      <c r="O564">
        <f>ABS(L564-RAVLT_Learning!$C$34)</f>
        <v>5.584043953311097</v>
      </c>
      <c r="P564">
        <f t="shared" si="10"/>
        <v>55.8</v>
      </c>
    </row>
    <row r="565" spans="12:16">
      <c r="L565">
        <f>RAVLT_Learning!M565</f>
        <v>5.2164207999999997E-2</v>
      </c>
      <c r="M565">
        <f>RAVLT_Learning!N565</f>
        <v>55.9</v>
      </c>
      <c r="O565">
        <f>ABS(L565-RAVLT_Learning!$C$34)</f>
        <v>5.5855154173110968</v>
      </c>
      <c r="P565">
        <f t="shared" si="10"/>
        <v>55.9</v>
      </c>
    </row>
    <row r="566" spans="12:16">
      <c r="L566">
        <f>RAVLT_Learning!M566</f>
        <v>5.308972E-2</v>
      </c>
      <c r="M566">
        <f>RAVLT_Learning!N566</f>
        <v>56</v>
      </c>
      <c r="O566">
        <f>ABS(L566-RAVLT_Learning!$C$34)</f>
        <v>5.586440929311097</v>
      </c>
      <c r="P566">
        <f t="shared" si="10"/>
        <v>56</v>
      </c>
    </row>
    <row r="567" spans="12:16">
      <c r="L567">
        <f>RAVLT_Learning!M567</f>
        <v>5.40152320000001E-2</v>
      </c>
      <c r="M567">
        <f>RAVLT_Learning!N567</f>
        <v>56.1</v>
      </c>
      <c r="O567">
        <f>ABS(L567-RAVLT_Learning!$C$34)</f>
        <v>5.5873664413110973</v>
      </c>
      <c r="P567">
        <f t="shared" si="10"/>
        <v>56.1</v>
      </c>
    </row>
    <row r="568" spans="12:16">
      <c r="L568">
        <f>RAVLT_Learning!M568</f>
        <v>5.4841032000000102E-2</v>
      </c>
      <c r="M568">
        <f>RAVLT_Learning!N568</f>
        <v>56.2</v>
      </c>
      <c r="O568">
        <f>ABS(L568-RAVLT_Learning!$C$34)</f>
        <v>5.5881922413110967</v>
      </c>
      <c r="P568">
        <f t="shared" si="10"/>
        <v>56.2</v>
      </c>
    </row>
    <row r="569" spans="12:16">
      <c r="L569">
        <f>RAVLT_Learning!M569</f>
        <v>5.56379680000001E-2</v>
      </c>
      <c r="M569">
        <f>RAVLT_Learning!N569</f>
        <v>56.3</v>
      </c>
      <c r="O569">
        <f>ABS(L569-RAVLT_Learning!$C$34)</f>
        <v>5.5889891773110971</v>
      </c>
      <c r="P569">
        <f t="shared" si="10"/>
        <v>56.3</v>
      </c>
    </row>
    <row r="570" spans="12:16">
      <c r="L570">
        <f>RAVLT_Learning!M570</f>
        <v>5.7133712000000197E-2</v>
      </c>
      <c r="M570">
        <f>RAVLT_Learning!N570</f>
        <v>56.4</v>
      </c>
      <c r="O570">
        <f>ABS(L570-RAVLT_Learning!$C$34)</f>
        <v>5.5904849213110976</v>
      </c>
      <c r="P570">
        <f t="shared" si="10"/>
        <v>56.4</v>
      </c>
    </row>
    <row r="571" spans="12:16">
      <c r="L571">
        <f>RAVLT_Learning!M571</f>
        <v>6.1043520000000198E-2</v>
      </c>
      <c r="M571">
        <f>RAVLT_Learning!N571</f>
        <v>56.5</v>
      </c>
      <c r="O571">
        <f>ABS(L571-RAVLT_Learning!$C$34)</f>
        <v>5.5943947293110972</v>
      </c>
      <c r="P571">
        <f t="shared" si="10"/>
        <v>56.5</v>
      </c>
    </row>
    <row r="572" spans="12:16">
      <c r="L572">
        <f>RAVLT_Learning!M572</f>
        <v>6.4953328000000102E-2</v>
      </c>
      <c r="M572">
        <f>RAVLT_Learning!N572</f>
        <v>56.6</v>
      </c>
      <c r="O572">
        <f>ABS(L572-RAVLT_Learning!$C$34)</f>
        <v>5.5983045373110976</v>
      </c>
      <c r="P572">
        <f t="shared" si="10"/>
        <v>56.6</v>
      </c>
    </row>
    <row r="573" spans="12:16">
      <c r="L573">
        <f>RAVLT_Learning!M573</f>
        <v>6.7656392000000107E-2</v>
      </c>
      <c r="M573">
        <f>RAVLT_Learning!N573</f>
        <v>56.7</v>
      </c>
      <c r="O573">
        <f>ABS(L573-RAVLT_Learning!$C$34)</f>
        <v>5.601007601311097</v>
      </c>
      <c r="P573">
        <f t="shared" si="10"/>
        <v>56.7</v>
      </c>
    </row>
    <row r="574" spans="12:16">
      <c r="L574">
        <f>RAVLT_Learning!M574</f>
        <v>6.9774368000000198E-2</v>
      </c>
      <c r="M574">
        <f>RAVLT_Learning!N574</f>
        <v>56.8</v>
      </c>
      <c r="O574">
        <f>ABS(L574-RAVLT_Learning!$C$34)</f>
        <v>5.6031255773110971</v>
      </c>
      <c r="P574">
        <f t="shared" si="10"/>
        <v>56.8</v>
      </c>
    </row>
    <row r="575" spans="12:16">
      <c r="L575">
        <f>RAVLT_Learning!M575</f>
        <v>7.1958920000000204E-2</v>
      </c>
      <c r="M575">
        <f>RAVLT_Learning!N575</f>
        <v>56.9</v>
      </c>
      <c r="O575">
        <f>ABS(L575-RAVLT_Learning!$C$34)</f>
        <v>5.6053101293110972</v>
      </c>
      <c r="P575">
        <f t="shared" si="10"/>
        <v>56.9</v>
      </c>
    </row>
    <row r="576" spans="12:16">
      <c r="L576">
        <f>RAVLT_Learning!M576</f>
        <v>7.4620600000000203E-2</v>
      </c>
      <c r="M576">
        <f>RAVLT_Learning!N576</f>
        <v>57</v>
      </c>
      <c r="O576">
        <f>ABS(L576-RAVLT_Learning!$C$34)</f>
        <v>5.6079718093110973</v>
      </c>
      <c r="P576">
        <f t="shared" si="10"/>
        <v>57</v>
      </c>
    </row>
    <row r="577" spans="12:16">
      <c r="L577">
        <f>RAVLT_Learning!M577</f>
        <v>7.7282280000000203E-2</v>
      </c>
      <c r="M577">
        <f>RAVLT_Learning!N577</f>
        <v>57.1</v>
      </c>
      <c r="O577">
        <f>ABS(L577-RAVLT_Learning!$C$34)</f>
        <v>5.6106334893110974</v>
      </c>
      <c r="P577">
        <f t="shared" si="10"/>
        <v>57.1</v>
      </c>
    </row>
    <row r="578" spans="12:16">
      <c r="L578">
        <f>RAVLT_Learning!M578</f>
        <v>7.8522231999999997E-2</v>
      </c>
      <c r="M578">
        <f>RAVLT_Learning!N578</f>
        <v>57.2</v>
      </c>
      <c r="O578">
        <f>ABS(L578-RAVLT_Learning!$C$34)</f>
        <v>5.6118734413110971</v>
      </c>
      <c r="P578">
        <f t="shared" si="10"/>
        <v>57.2</v>
      </c>
    </row>
    <row r="579" spans="12:16">
      <c r="L579">
        <f>RAVLT_Learning!M579</f>
        <v>7.8695888000000006E-2</v>
      </c>
      <c r="M579">
        <f>RAVLT_Learning!N579</f>
        <v>57.3</v>
      </c>
      <c r="O579">
        <f>ABS(L579-RAVLT_Learning!$C$34)</f>
        <v>5.6120470973110974</v>
      </c>
      <c r="P579">
        <f t="shared" si="10"/>
        <v>57.3</v>
      </c>
    </row>
    <row r="580" spans="12:16">
      <c r="L580">
        <f>RAVLT_Learning!M580</f>
        <v>7.8920328000000303E-2</v>
      </c>
      <c r="M580">
        <f>RAVLT_Learning!N580</f>
        <v>57.4</v>
      </c>
      <c r="O580">
        <f>ABS(L580-RAVLT_Learning!$C$34)</f>
        <v>5.6122715373110976</v>
      </c>
      <c r="P580">
        <f t="shared" si="10"/>
        <v>57.4</v>
      </c>
    </row>
    <row r="581" spans="12:16">
      <c r="L581">
        <f>RAVLT_Learning!M581</f>
        <v>8.1582400000000194E-2</v>
      </c>
      <c r="M581">
        <f>RAVLT_Learning!N581</f>
        <v>57.5</v>
      </c>
      <c r="O581">
        <f>ABS(L581-RAVLT_Learning!$C$34)</f>
        <v>5.6149336093110973</v>
      </c>
      <c r="P581">
        <f t="shared" si="10"/>
        <v>57.5</v>
      </c>
    </row>
    <row r="582" spans="12:16">
      <c r="L582">
        <f>RAVLT_Learning!M582</f>
        <v>8.4244472000000195E-2</v>
      </c>
      <c r="M582">
        <f>RAVLT_Learning!N582</f>
        <v>57.6</v>
      </c>
      <c r="O582">
        <f>ABS(L582-RAVLT_Learning!$C$34)</f>
        <v>5.617595681311097</v>
      </c>
      <c r="P582">
        <f t="shared" si="10"/>
        <v>57.6</v>
      </c>
    </row>
    <row r="583" spans="12:16">
      <c r="L583">
        <f>RAVLT_Learning!M583</f>
        <v>8.6100807999999904E-2</v>
      </c>
      <c r="M583">
        <f>RAVLT_Learning!N583</f>
        <v>57.7</v>
      </c>
      <c r="O583">
        <f>ABS(L583-RAVLT_Learning!$C$34)</f>
        <v>5.6194520173110973</v>
      </c>
      <c r="P583">
        <f t="shared" si="10"/>
        <v>57.7</v>
      </c>
    </row>
    <row r="584" spans="12:16">
      <c r="L584">
        <f>RAVLT_Learning!M584</f>
        <v>8.7046312000000001E-2</v>
      </c>
      <c r="M584">
        <f>RAVLT_Learning!N584</f>
        <v>57.8</v>
      </c>
      <c r="O584">
        <f>ABS(L584-RAVLT_Learning!$C$34)</f>
        <v>5.620397521311097</v>
      </c>
      <c r="P584">
        <f t="shared" si="10"/>
        <v>57.8</v>
      </c>
    </row>
    <row r="585" spans="12:16">
      <c r="L585">
        <f>RAVLT_Learning!M585</f>
        <v>8.7991816E-2</v>
      </c>
      <c r="M585">
        <f>RAVLT_Learning!N585</f>
        <v>57.9</v>
      </c>
      <c r="O585">
        <f>ABS(L585-RAVLT_Learning!$C$34)</f>
        <v>5.6213430253110968</v>
      </c>
      <c r="P585">
        <f t="shared" si="10"/>
        <v>57.9</v>
      </c>
    </row>
    <row r="586" spans="12:16">
      <c r="L586">
        <f>RAVLT_Learning!M586</f>
        <v>8.8068999999999995E-2</v>
      </c>
      <c r="M586">
        <f>RAVLT_Learning!N586</f>
        <v>58</v>
      </c>
      <c r="O586">
        <f>ABS(L586-RAVLT_Learning!$C$34)</f>
        <v>5.621420209311097</v>
      </c>
      <c r="P586">
        <f t="shared" si="10"/>
        <v>58</v>
      </c>
    </row>
    <row r="587" spans="12:16">
      <c r="L587">
        <f>RAVLT_Learning!M587</f>
        <v>8.8068999999999995E-2</v>
      </c>
      <c r="M587">
        <f>RAVLT_Learning!N587</f>
        <v>58.1</v>
      </c>
      <c r="O587">
        <f>ABS(L587-RAVLT_Learning!$C$34)</f>
        <v>5.621420209311097</v>
      </c>
      <c r="P587">
        <f t="shared" si="10"/>
        <v>58.1</v>
      </c>
    </row>
    <row r="588" spans="12:16">
      <c r="L588">
        <f>RAVLT_Learning!M588</f>
        <v>8.8894263999999903E-2</v>
      </c>
      <c r="M588">
        <f>RAVLT_Learning!N588</f>
        <v>58.2</v>
      </c>
      <c r="O588">
        <f>ABS(L588-RAVLT_Learning!$C$34)</f>
        <v>5.6222454733110974</v>
      </c>
      <c r="P588">
        <f t="shared" si="10"/>
        <v>58.2</v>
      </c>
    </row>
    <row r="589" spans="12:16">
      <c r="L589">
        <f>RAVLT_Learning!M589</f>
        <v>9.1140815999999805E-2</v>
      </c>
      <c r="M589">
        <f>RAVLT_Learning!N589</f>
        <v>58.3</v>
      </c>
      <c r="O589">
        <f>ABS(L589-RAVLT_Learning!$C$34)</f>
        <v>5.6244920253110973</v>
      </c>
      <c r="P589">
        <f t="shared" si="10"/>
        <v>58.3</v>
      </c>
    </row>
    <row r="590" spans="12:16">
      <c r="L590">
        <f>RAVLT_Learning!M590</f>
        <v>9.3387367999999998E-2</v>
      </c>
      <c r="M590">
        <f>RAVLT_Learning!N590</f>
        <v>58.4</v>
      </c>
      <c r="O590">
        <f>ABS(L590-RAVLT_Learning!$C$34)</f>
        <v>5.6267385773110972</v>
      </c>
      <c r="P590">
        <f t="shared" si="10"/>
        <v>58.4</v>
      </c>
    </row>
    <row r="591" spans="12:16">
      <c r="L591">
        <f>RAVLT_Learning!M591</f>
        <v>9.4571840000000004E-2</v>
      </c>
      <c r="M591">
        <f>RAVLT_Learning!N591</f>
        <v>58.5</v>
      </c>
      <c r="O591">
        <f>ABS(L591-RAVLT_Learning!$C$34)</f>
        <v>5.6279230493110974</v>
      </c>
      <c r="P591">
        <f t="shared" si="10"/>
        <v>58.5</v>
      </c>
    </row>
    <row r="592" spans="12:16">
      <c r="L592">
        <f>RAVLT_Learning!M592</f>
        <v>9.5517344000000004E-2</v>
      </c>
      <c r="M592">
        <f>RAVLT_Learning!N592</f>
        <v>58.6</v>
      </c>
      <c r="O592">
        <f>ABS(L592-RAVLT_Learning!$C$34)</f>
        <v>5.6288685533110971</v>
      </c>
      <c r="P592">
        <f t="shared" si="10"/>
        <v>58.6</v>
      </c>
    </row>
    <row r="593" spans="12:16">
      <c r="L593">
        <f>RAVLT_Learning!M593</f>
        <v>9.6267015999999997E-2</v>
      </c>
      <c r="M593">
        <f>RAVLT_Learning!N593</f>
        <v>58.7</v>
      </c>
      <c r="O593">
        <f>ABS(L593-RAVLT_Learning!$C$34)</f>
        <v>5.6296182253110967</v>
      </c>
      <c r="P593">
        <f t="shared" si="10"/>
        <v>58.7</v>
      </c>
    </row>
    <row r="594" spans="12:16">
      <c r="L594">
        <f>RAVLT_Learning!M594</f>
        <v>9.6474383999999996E-2</v>
      </c>
      <c r="M594">
        <f>RAVLT_Learning!N594</f>
        <v>58.8</v>
      </c>
      <c r="O594">
        <f>ABS(L594-RAVLT_Learning!$C$34)</f>
        <v>5.6298255933110974</v>
      </c>
      <c r="P594">
        <f t="shared" si="10"/>
        <v>58.8</v>
      </c>
    </row>
    <row r="595" spans="12:16">
      <c r="L595">
        <f>RAVLT_Learning!M595</f>
        <v>9.6681751999999996E-2</v>
      </c>
      <c r="M595">
        <f>RAVLT_Learning!N595</f>
        <v>58.9</v>
      </c>
      <c r="O595">
        <f>ABS(L595-RAVLT_Learning!$C$34)</f>
        <v>5.6300329613110973</v>
      </c>
      <c r="P595">
        <f t="shared" si="10"/>
        <v>58.9</v>
      </c>
    </row>
    <row r="596" spans="12:16">
      <c r="L596">
        <f>RAVLT_Learning!M596</f>
        <v>0.10064364000000001</v>
      </c>
      <c r="M596">
        <f>RAVLT_Learning!N596</f>
        <v>59</v>
      </c>
      <c r="O596">
        <f>ABS(L596-RAVLT_Learning!$C$34)</f>
        <v>5.6339948493110974</v>
      </c>
      <c r="P596">
        <f t="shared" si="10"/>
        <v>59</v>
      </c>
    </row>
    <row r="597" spans="12:16">
      <c r="L597">
        <f>RAVLT_Learning!M597</f>
        <v>0.106107336</v>
      </c>
      <c r="M597">
        <f>RAVLT_Learning!N597</f>
        <v>59.1</v>
      </c>
      <c r="O597">
        <f>ABS(L597-RAVLT_Learning!$C$34)</f>
        <v>5.639458545311097</v>
      </c>
      <c r="P597">
        <f t="shared" si="10"/>
        <v>59.1</v>
      </c>
    </row>
    <row r="598" spans="12:16">
      <c r="L598">
        <f>RAVLT_Learning!M598</f>
        <v>0.111332504</v>
      </c>
      <c r="M598">
        <f>RAVLT_Learning!N598</f>
        <v>59.2</v>
      </c>
      <c r="O598">
        <f>ABS(L598-RAVLT_Learning!$C$34)</f>
        <v>5.644683713311097</v>
      </c>
      <c r="P598">
        <f t="shared" si="10"/>
        <v>59.2</v>
      </c>
    </row>
    <row r="599" spans="12:16">
      <c r="L599">
        <f>RAVLT_Learning!M599</f>
        <v>0.115335216</v>
      </c>
      <c r="M599">
        <f>RAVLT_Learning!N599</f>
        <v>59.3</v>
      </c>
      <c r="O599">
        <f>ABS(L599-RAVLT_Learning!$C$34)</f>
        <v>5.6486864253110971</v>
      </c>
      <c r="P599">
        <f t="shared" si="10"/>
        <v>59.3</v>
      </c>
    </row>
    <row r="600" spans="12:16">
      <c r="L600">
        <f>RAVLT_Learning!M600</f>
        <v>0.119337928</v>
      </c>
      <c r="M600">
        <f>RAVLT_Learning!N600</f>
        <v>59.4</v>
      </c>
      <c r="O600">
        <f>ABS(L600-RAVLT_Learning!$C$34)</f>
        <v>5.6526891373110972</v>
      </c>
      <c r="P600">
        <f t="shared" si="10"/>
        <v>59.4</v>
      </c>
    </row>
    <row r="601" spans="12:16">
      <c r="L601">
        <f>RAVLT_Learning!M601</f>
        <v>0.12364448</v>
      </c>
      <c r="M601">
        <f>RAVLT_Learning!N601</f>
        <v>59.5</v>
      </c>
      <c r="O601">
        <f>ABS(L601-RAVLT_Learning!$C$34)</f>
        <v>5.6569956893110973</v>
      </c>
      <c r="P601">
        <f t="shared" si="10"/>
        <v>59.5</v>
      </c>
    </row>
    <row r="602" spans="12:16">
      <c r="L602">
        <f>RAVLT_Learning!M602</f>
        <v>0.12814346400000001</v>
      </c>
      <c r="M602">
        <f>RAVLT_Learning!N602</f>
        <v>59.6</v>
      </c>
      <c r="O602">
        <f>ABS(L602-RAVLT_Learning!$C$34)</f>
        <v>5.6614946733110969</v>
      </c>
      <c r="P602">
        <f t="shared" si="10"/>
        <v>59.6</v>
      </c>
    </row>
    <row r="603" spans="12:16">
      <c r="L603">
        <f>RAVLT_Learning!M603</f>
        <v>0.13299383200000001</v>
      </c>
      <c r="M603">
        <f>RAVLT_Learning!N603</f>
        <v>59.7</v>
      </c>
      <c r="O603">
        <f>ABS(L603-RAVLT_Learning!$C$34)</f>
        <v>5.6663450413110974</v>
      </c>
      <c r="P603">
        <f t="shared" si="10"/>
        <v>59.7</v>
      </c>
    </row>
    <row r="604" spans="12:16">
      <c r="L604">
        <f>RAVLT_Learning!M604</f>
        <v>0.14323208800000001</v>
      </c>
      <c r="M604">
        <f>RAVLT_Learning!N604</f>
        <v>59.8</v>
      </c>
      <c r="O604">
        <f>ABS(L604-RAVLT_Learning!$C$34)</f>
        <v>5.6765832973110975</v>
      </c>
      <c r="P604">
        <f t="shared" si="10"/>
        <v>59.8</v>
      </c>
    </row>
    <row r="605" spans="12:16">
      <c r="L605">
        <f>RAVLT_Learning!M605</f>
        <v>0.15347034400000001</v>
      </c>
      <c r="M605">
        <f>RAVLT_Learning!N605</f>
        <v>59.9</v>
      </c>
      <c r="O605">
        <f>ABS(L605-RAVLT_Learning!$C$34)</f>
        <v>5.6868215533110966</v>
      </c>
      <c r="P605">
        <f t="shared" si="10"/>
        <v>59.9</v>
      </c>
    </row>
    <row r="606" spans="12:16">
      <c r="L606">
        <f>RAVLT_Learning!M606</f>
        <v>0.1600376</v>
      </c>
      <c r="M606">
        <f>RAVLT_Learning!N606</f>
        <v>60</v>
      </c>
      <c r="O606">
        <f>ABS(L606-RAVLT_Learning!$C$34)</f>
        <v>5.6933888093110969</v>
      </c>
      <c r="P606">
        <f t="shared" si="10"/>
        <v>60</v>
      </c>
    </row>
    <row r="607" spans="12:16">
      <c r="L607">
        <f>RAVLT_Learning!M607</f>
        <v>0.163080696</v>
      </c>
      <c r="M607">
        <f>RAVLT_Learning!N607</f>
        <v>60.1</v>
      </c>
      <c r="O607">
        <f>ABS(L607-RAVLT_Learning!$C$34)</f>
        <v>5.6964319053110968</v>
      </c>
      <c r="P607">
        <f t="shared" si="10"/>
        <v>60.1</v>
      </c>
    </row>
    <row r="608" spans="12:16">
      <c r="L608">
        <f>RAVLT_Learning!M608</f>
        <v>0.16612379199999999</v>
      </c>
      <c r="M608">
        <f>RAVLT_Learning!N608</f>
        <v>60.2</v>
      </c>
      <c r="O608">
        <f>ABS(L608-RAVLT_Learning!$C$34)</f>
        <v>5.6994750013110966</v>
      </c>
      <c r="P608">
        <f t="shared" si="10"/>
        <v>60.2</v>
      </c>
    </row>
    <row r="609" spans="12:16">
      <c r="L609">
        <f>RAVLT_Learning!M609</f>
        <v>0.16675672799999999</v>
      </c>
      <c r="M609">
        <f>RAVLT_Learning!N609</f>
        <v>60.3</v>
      </c>
      <c r="O609">
        <f>ABS(L609-RAVLT_Learning!$C$34)</f>
        <v>5.7001079373110972</v>
      </c>
      <c r="P609">
        <f t="shared" si="10"/>
        <v>60.3</v>
      </c>
    </row>
    <row r="610" spans="12:16">
      <c r="L610">
        <f>RAVLT_Learning!M610</f>
        <v>0.16728710399999999</v>
      </c>
      <c r="M610">
        <f>RAVLT_Learning!N610</f>
        <v>60.4</v>
      </c>
      <c r="O610">
        <f>ABS(L610-RAVLT_Learning!$C$34)</f>
        <v>5.7006383133110967</v>
      </c>
      <c r="P610">
        <f t="shared" si="10"/>
        <v>60.4</v>
      </c>
    </row>
    <row r="611" spans="12:16">
      <c r="L611">
        <f>RAVLT_Learning!M611</f>
        <v>0.1702226</v>
      </c>
      <c r="M611">
        <f>RAVLT_Learning!N611</f>
        <v>60.5</v>
      </c>
      <c r="O611">
        <f>ABS(L611-RAVLT_Learning!$C$34)</f>
        <v>5.7035738093110968</v>
      </c>
      <c r="P611">
        <f t="shared" si="10"/>
        <v>60.5</v>
      </c>
    </row>
    <row r="612" spans="12:16">
      <c r="L612">
        <f>RAVLT_Learning!M612</f>
        <v>0.17664552</v>
      </c>
      <c r="M612">
        <f>RAVLT_Learning!N612</f>
        <v>60.6</v>
      </c>
      <c r="O612">
        <f>ABS(L612-RAVLT_Learning!$C$34)</f>
        <v>5.7099967293110971</v>
      </c>
      <c r="P612">
        <f t="shared" si="10"/>
        <v>60.6</v>
      </c>
    </row>
    <row r="613" spans="12:16">
      <c r="L613">
        <f>RAVLT_Learning!M613</f>
        <v>0.18306844</v>
      </c>
      <c r="M613">
        <f>RAVLT_Learning!N613</f>
        <v>60.7</v>
      </c>
      <c r="O613">
        <f>ABS(L613-RAVLT_Learning!$C$34)</f>
        <v>5.7164196493110975</v>
      </c>
      <c r="P613">
        <f t="shared" si="10"/>
        <v>60.7</v>
      </c>
    </row>
    <row r="614" spans="12:16">
      <c r="L614">
        <f>RAVLT_Learning!M614</f>
        <v>0.1887152</v>
      </c>
      <c r="M614">
        <f>RAVLT_Learning!N614</f>
        <v>60.8</v>
      </c>
      <c r="O614">
        <f>ABS(L614-RAVLT_Learning!$C$34)</f>
        <v>5.7220664093110969</v>
      </c>
      <c r="P614">
        <f t="shared" si="10"/>
        <v>60.8</v>
      </c>
    </row>
    <row r="615" spans="12:16">
      <c r="L615">
        <f>RAVLT_Learning!M615</f>
        <v>0.19423260000000001</v>
      </c>
      <c r="M615">
        <f>RAVLT_Learning!N615</f>
        <v>60.9</v>
      </c>
      <c r="O615">
        <f>ABS(L615-RAVLT_Learning!$C$34)</f>
        <v>5.7275838093110973</v>
      </c>
      <c r="P615">
        <f t="shared" si="10"/>
        <v>60.9</v>
      </c>
    </row>
    <row r="616" spans="12:16">
      <c r="L616">
        <f>RAVLT_Learning!M616</f>
        <v>0.19886548000000001</v>
      </c>
      <c r="M616">
        <f>RAVLT_Learning!N616</f>
        <v>61</v>
      </c>
      <c r="O616">
        <f>ABS(L616-RAVLT_Learning!$C$34)</f>
        <v>5.7322166893110973</v>
      </c>
      <c r="P616">
        <f t="shared" si="10"/>
        <v>61</v>
      </c>
    </row>
    <row r="617" spans="12:16">
      <c r="L617">
        <f>RAVLT_Learning!M617</f>
        <v>0.20149344799999999</v>
      </c>
      <c r="M617">
        <f>RAVLT_Learning!N617</f>
        <v>61.1</v>
      </c>
      <c r="O617">
        <f>ABS(L617-RAVLT_Learning!$C$34)</f>
        <v>5.7348446573110969</v>
      </c>
      <c r="P617">
        <f t="shared" ref="P617:P680" si="11">M617</f>
        <v>61.1</v>
      </c>
    </row>
    <row r="618" spans="12:16">
      <c r="L618">
        <f>RAVLT_Learning!M618</f>
        <v>0.204121416</v>
      </c>
      <c r="M618">
        <f>RAVLT_Learning!N618</f>
        <v>61.2</v>
      </c>
      <c r="O618">
        <f>ABS(L618-RAVLT_Learning!$C$34)</f>
        <v>5.7374726253110975</v>
      </c>
      <c r="P618">
        <f t="shared" si="11"/>
        <v>61.2</v>
      </c>
    </row>
    <row r="619" spans="12:16">
      <c r="L619">
        <f>RAVLT_Learning!M619</f>
        <v>0.207620216</v>
      </c>
      <c r="M619">
        <f>RAVLT_Learning!N619</f>
        <v>61.3</v>
      </c>
      <c r="O619">
        <f>ABS(L619-RAVLT_Learning!$C$34)</f>
        <v>5.7409714253110966</v>
      </c>
      <c r="P619">
        <f t="shared" si="11"/>
        <v>61.3</v>
      </c>
    </row>
    <row r="620" spans="12:16">
      <c r="L620">
        <f>RAVLT_Learning!M620</f>
        <v>0.21140144799999999</v>
      </c>
      <c r="M620">
        <f>RAVLT_Learning!N620</f>
        <v>61.4</v>
      </c>
      <c r="O620">
        <f>ABS(L620-RAVLT_Learning!$C$34)</f>
        <v>5.7447526573110972</v>
      </c>
      <c r="P620">
        <f t="shared" si="11"/>
        <v>61.4</v>
      </c>
    </row>
    <row r="621" spans="12:16">
      <c r="L621">
        <f>RAVLT_Learning!M621</f>
        <v>0.21459987999999999</v>
      </c>
      <c r="M621">
        <f>RAVLT_Learning!N621</f>
        <v>61.5</v>
      </c>
      <c r="O621">
        <f>ABS(L621-RAVLT_Learning!$C$34)</f>
        <v>5.7479510893110968</v>
      </c>
      <c r="P621">
        <f t="shared" si="11"/>
        <v>61.5</v>
      </c>
    </row>
    <row r="622" spans="12:16">
      <c r="L622">
        <f>RAVLT_Learning!M622</f>
        <v>0.21552539200000001</v>
      </c>
      <c r="M622">
        <f>RAVLT_Learning!N622</f>
        <v>61.6</v>
      </c>
      <c r="O622">
        <f>ABS(L622-RAVLT_Learning!$C$34)</f>
        <v>5.748876601311097</v>
      </c>
      <c r="P622">
        <f t="shared" si="11"/>
        <v>61.6</v>
      </c>
    </row>
    <row r="623" spans="12:16">
      <c r="L623">
        <f>RAVLT_Learning!M623</f>
        <v>0.216450904</v>
      </c>
      <c r="M623">
        <f>RAVLT_Learning!N623</f>
        <v>61.7</v>
      </c>
      <c r="O623">
        <f>ABS(L623-RAVLT_Learning!$C$34)</f>
        <v>5.7498021133110973</v>
      </c>
      <c r="P623">
        <f t="shared" si="11"/>
        <v>61.7</v>
      </c>
    </row>
    <row r="624" spans="12:16">
      <c r="L624">
        <f>RAVLT_Learning!M624</f>
        <v>0.218759328</v>
      </c>
      <c r="M624">
        <f>RAVLT_Learning!N624</f>
        <v>61.8</v>
      </c>
      <c r="O624">
        <f>ABS(L624-RAVLT_Learning!$C$34)</f>
        <v>5.752110537311097</v>
      </c>
      <c r="P624">
        <f t="shared" si="11"/>
        <v>61.8</v>
      </c>
    </row>
    <row r="625" spans="12:16">
      <c r="L625">
        <f>RAVLT_Learning!M625</f>
        <v>0.221802424</v>
      </c>
      <c r="M625">
        <f>RAVLT_Learning!N625</f>
        <v>61.9</v>
      </c>
      <c r="O625">
        <f>ABS(L625-RAVLT_Learning!$C$34)</f>
        <v>5.7551536333110969</v>
      </c>
      <c r="P625">
        <f t="shared" si="11"/>
        <v>61.9</v>
      </c>
    </row>
    <row r="626" spans="12:16">
      <c r="L626">
        <f>RAVLT_Learning!M626</f>
        <v>0.22536616000000001</v>
      </c>
      <c r="M626">
        <f>RAVLT_Learning!N626</f>
        <v>62</v>
      </c>
      <c r="O626">
        <f>ABS(L626-RAVLT_Learning!$C$34)</f>
        <v>5.7587173693110971</v>
      </c>
      <c r="P626">
        <f t="shared" si="11"/>
        <v>62</v>
      </c>
    </row>
    <row r="627" spans="12:16">
      <c r="L627">
        <f>RAVLT_Learning!M627</f>
        <v>0.233511528</v>
      </c>
      <c r="M627">
        <f>RAVLT_Learning!N627</f>
        <v>62.1</v>
      </c>
      <c r="O627">
        <f>ABS(L627-RAVLT_Learning!$C$34)</f>
        <v>5.7668627373110972</v>
      </c>
      <c r="P627">
        <f t="shared" si="11"/>
        <v>62.1</v>
      </c>
    </row>
    <row r="628" spans="12:16">
      <c r="L628">
        <f>RAVLT_Learning!M628</f>
        <v>0.24165689600000001</v>
      </c>
      <c r="M628">
        <f>RAVLT_Learning!N628</f>
        <v>62.2</v>
      </c>
      <c r="O628">
        <f>ABS(L628-RAVLT_Learning!$C$34)</f>
        <v>5.7750081053110973</v>
      </c>
      <c r="P628">
        <f t="shared" si="11"/>
        <v>62.2</v>
      </c>
    </row>
    <row r="629" spans="12:16">
      <c r="L629">
        <f>RAVLT_Learning!M629</f>
        <v>0.24678085599999999</v>
      </c>
      <c r="M629">
        <f>RAVLT_Learning!N629</f>
        <v>62.3</v>
      </c>
      <c r="O629">
        <f>ABS(L629-RAVLT_Learning!$C$34)</f>
        <v>5.780132065311097</v>
      </c>
      <c r="P629">
        <f t="shared" si="11"/>
        <v>62.3</v>
      </c>
    </row>
    <row r="630" spans="12:16">
      <c r="L630">
        <f>RAVLT_Learning!M630</f>
        <v>0.24944292800000001</v>
      </c>
      <c r="M630">
        <f>RAVLT_Learning!N630</f>
        <v>62.4</v>
      </c>
      <c r="O630">
        <f>ABS(L630-RAVLT_Learning!$C$34)</f>
        <v>5.7827941373110967</v>
      </c>
      <c r="P630">
        <f t="shared" si="11"/>
        <v>62.4</v>
      </c>
    </row>
    <row r="631" spans="12:16">
      <c r="L631">
        <f>RAVLT_Learning!M631</f>
        <v>0.25210500000000002</v>
      </c>
      <c r="M631">
        <f>RAVLT_Learning!N631</f>
        <v>62.5</v>
      </c>
      <c r="O631">
        <f>ABS(L631-RAVLT_Learning!$C$34)</f>
        <v>5.7854562093110973</v>
      </c>
      <c r="P631">
        <f t="shared" si="11"/>
        <v>62.5</v>
      </c>
    </row>
    <row r="632" spans="12:16">
      <c r="L632">
        <f>RAVLT_Learning!M632</f>
        <v>0.25263498400000001</v>
      </c>
      <c r="M632">
        <f>RAVLT_Learning!N632</f>
        <v>62.6</v>
      </c>
      <c r="O632">
        <f>ABS(L632-RAVLT_Learning!$C$34)</f>
        <v>5.7859861933110972</v>
      </c>
      <c r="P632">
        <f t="shared" si="11"/>
        <v>62.6</v>
      </c>
    </row>
    <row r="633" spans="12:16">
      <c r="L633">
        <f>RAVLT_Learning!M633</f>
        <v>0.25316496799999999</v>
      </c>
      <c r="M633">
        <f>RAVLT_Learning!N633</f>
        <v>62.7</v>
      </c>
      <c r="O633">
        <f>ABS(L633-RAVLT_Learning!$C$34)</f>
        <v>5.7865161773110971</v>
      </c>
      <c r="P633">
        <f t="shared" si="11"/>
        <v>62.7</v>
      </c>
    </row>
    <row r="634" spans="12:16">
      <c r="L634">
        <f>RAVLT_Learning!M634</f>
        <v>0.25516103200000001</v>
      </c>
      <c r="M634">
        <f>RAVLT_Learning!N634</f>
        <v>62.8</v>
      </c>
      <c r="O634">
        <f>ABS(L634-RAVLT_Learning!$C$34)</f>
        <v>5.7885122413110972</v>
      </c>
      <c r="P634">
        <f t="shared" si="11"/>
        <v>62.8</v>
      </c>
    </row>
    <row r="635" spans="12:16">
      <c r="L635">
        <f>RAVLT_Learning!M635</f>
        <v>0.25895637599999999</v>
      </c>
      <c r="M635">
        <f>RAVLT_Learning!N635</f>
        <v>62.9</v>
      </c>
      <c r="O635">
        <f>ABS(L635-RAVLT_Learning!$C$34)</f>
        <v>5.7923075853110966</v>
      </c>
      <c r="P635">
        <f t="shared" si="11"/>
        <v>62.9</v>
      </c>
    </row>
    <row r="636" spans="12:16">
      <c r="L636">
        <f>RAVLT_Learning!M636</f>
        <v>0.26275172000000002</v>
      </c>
      <c r="M636">
        <f>RAVLT_Learning!N636</f>
        <v>63</v>
      </c>
      <c r="O636">
        <f>ABS(L636-RAVLT_Learning!$C$34)</f>
        <v>5.7961029293110968</v>
      </c>
      <c r="P636">
        <f t="shared" si="11"/>
        <v>63</v>
      </c>
    </row>
    <row r="637" spans="12:16">
      <c r="L637">
        <f>RAVLT_Learning!M637</f>
        <v>0.26327240800000001</v>
      </c>
      <c r="M637">
        <f>RAVLT_Learning!N637</f>
        <v>63.1</v>
      </c>
      <c r="O637">
        <f>ABS(L637-RAVLT_Learning!$C$34)</f>
        <v>5.7966236173110968</v>
      </c>
      <c r="P637">
        <f t="shared" si="11"/>
        <v>63.1</v>
      </c>
    </row>
    <row r="638" spans="12:16">
      <c r="L638">
        <f>RAVLT_Learning!M638</f>
        <v>0.26342097599999997</v>
      </c>
      <c r="M638">
        <f>RAVLT_Learning!N638</f>
        <v>63.2</v>
      </c>
      <c r="O638">
        <f>ABS(L638-RAVLT_Learning!$C$34)</f>
        <v>5.7967721853110969</v>
      </c>
      <c r="P638">
        <f t="shared" si="11"/>
        <v>63.2</v>
      </c>
    </row>
    <row r="639" spans="12:16">
      <c r="L639">
        <f>RAVLT_Learning!M639</f>
        <v>0.26450876000000001</v>
      </c>
      <c r="M639">
        <f>RAVLT_Learning!N639</f>
        <v>63.3</v>
      </c>
      <c r="O639">
        <f>ABS(L639-RAVLT_Learning!$C$34)</f>
        <v>5.797859969311097</v>
      </c>
      <c r="P639">
        <f t="shared" si="11"/>
        <v>63.3</v>
      </c>
    </row>
    <row r="640" spans="12:16">
      <c r="L640">
        <f>RAVLT_Learning!M640</f>
        <v>0.26736448000000002</v>
      </c>
      <c r="M640">
        <f>RAVLT_Learning!N640</f>
        <v>63.4</v>
      </c>
      <c r="O640">
        <f>ABS(L640-RAVLT_Learning!$C$34)</f>
        <v>5.8007156893110974</v>
      </c>
      <c r="P640">
        <f t="shared" si="11"/>
        <v>63.4</v>
      </c>
    </row>
    <row r="641" spans="12:16">
      <c r="L641">
        <f>RAVLT_Learning!M641</f>
        <v>0.27022020000000002</v>
      </c>
      <c r="M641">
        <f>RAVLT_Learning!N641</f>
        <v>63.5</v>
      </c>
      <c r="O641">
        <f>ABS(L641-RAVLT_Learning!$C$34)</f>
        <v>5.8035714093110968</v>
      </c>
      <c r="P641">
        <f t="shared" si="11"/>
        <v>63.5</v>
      </c>
    </row>
    <row r="642" spans="12:16">
      <c r="L642">
        <f>RAVLT_Learning!M642</f>
        <v>0.27289464800000002</v>
      </c>
      <c r="M642">
        <f>RAVLT_Learning!N642</f>
        <v>63.6</v>
      </c>
      <c r="O642">
        <f>ABS(L642-RAVLT_Learning!$C$34)</f>
        <v>5.8062458573110973</v>
      </c>
      <c r="P642">
        <f t="shared" si="11"/>
        <v>63.6</v>
      </c>
    </row>
    <row r="643" spans="12:16">
      <c r="L643">
        <f>RAVLT_Learning!M643</f>
        <v>0.275522616</v>
      </c>
      <c r="M643">
        <f>RAVLT_Learning!N643</f>
        <v>63.7</v>
      </c>
      <c r="O643">
        <f>ABS(L643-RAVLT_Learning!$C$34)</f>
        <v>5.808873825311097</v>
      </c>
      <c r="P643">
        <f t="shared" si="11"/>
        <v>63.7</v>
      </c>
    </row>
    <row r="644" spans="12:16">
      <c r="L644">
        <f>RAVLT_Learning!M644</f>
        <v>0.27774805600000002</v>
      </c>
      <c r="M644">
        <f>RAVLT_Learning!N644</f>
        <v>63.8</v>
      </c>
      <c r="O644">
        <f>ABS(L644-RAVLT_Learning!$C$34)</f>
        <v>5.8110992653110971</v>
      </c>
      <c r="P644">
        <f t="shared" si="11"/>
        <v>63.8</v>
      </c>
    </row>
    <row r="645" spans="12:16">
      <c r="L645">
        <f>RAVLT_Learning!M645</f>
        <v>0.27873236800000001</v>
      </c>
      <c r="M645">
        <f>RAVLT_Learning!N645</f>
        <v>63.9</v>
      </c>
      <c r="O645">
        <f>ABS(L645-RAVLT_Learning!$C$34)</f>
        <v>5.812083577311097</v>
      </c>
      <c r="P645">
        <f t="shared" si="11"/>
        <v>63.9</v>
      </c>
    </row>
    <row r="646" spans="12:16">
      <c r="L646">
        <f>RAVLT_Learning!M646</f>
        <v>0.27971668</v>
      </c>
      <c r="M646">
        <f>RAVLT_Learning!N646</f>
        <v>64</v>
      </c>
      <c r="O646">
        <f>ABS(L646-RAVLT_Learning!$C$34)</f>
        <v>5.813067889311097</v>
      </c>
      <c r="P646">
        <f t="shared" si="11"/>
        <v>64</v>
      </c>
    </row>
    <row r="647" spans="12:16">
      <c r="L647">
        <f>RAVLT_Learning!M647</f>
        <v>0.28394976</v>
      </c>
      <c r="M647">
        <f>RAVLT_Learning!N647</f>
        <v>64.099999999999994</v>
      </c>
      <c r="O647">
        <f>ABS(L647-RAVLT_Learning!$C$34)</f>
        <v>5.8173009693110966</v>
      </c>
      <c r="P647">
        <f t="shared" si="11"/>
        <v>64.099999999999994</v>
      </c>
    </row>
    <row r="648" spans="12:16">
      <c r="L648">
        <f>RAVLT_Learning!M648</f>
        <v>0.28961611999999998</v>
      </c>
      <c r="M648">
        <f>RAVLT_Learning!N648</f>
        <v>64.2</v>
      </c>
      <c r="O648">
        <f>ABS(L648-RAVLT_Learning!$C$34)</f>
        <v>5.8229673293110968</v>
      </c>
      <c r="P648">
        <f t="shared" si="11"/>
        <v>64.2</v>
      </c>
    </row>
    <row r="649" spans="12:16">
      <c r="L649">
        <f>RAVLT_Learning!M649</f>
        <v>0.29475070399999997</v>
      </c>
      <c r="M649">
        <f>RAVLT_Learning!N649</f>
        <v>64.3</v>
      </c>
      <c r="O649">
        <f>ABS(L649-RAVLT_Learning!$C$34)</f>
        <v>5.8281019133110972</v>
      </c>
      <c r="P649">
        <f t="shared" si="11"/>
        <v>64.3</v>
      </c>
    </row>
    <row r="650" spans="12:16">
      <c r="L650">
        <f>RAVLT_Learning!M650</f>
        <v>0.29669463200000001</v>
      </c>
      <c r="M650">
        <f>RAVLT_Learning!N650</f>
        <v>64.400000000000006</v>
      </c>
      <c r="O650">
        <f>ABS(L650-RAVLT_Learning!$C$34)</f>
        <v>5.8300458413110974</v>
      </c>
      <c r="P650">
        <f t="shared" si="11"/>
        <v>64.400000000000006</v>
      </c>
    </row>
    <row r="651" spans="12:16">
      <c r="L651">
        <f>RAVLT_Learning!M651</f>
        <v>0.29863856</v>
      </c>
      <c r="M651">
        <f>RAVLT_Learning!N651</f>
        <v>64.5</v>
      </c>
      <c r="O651">
        <f>ABS(L651-RAVLT_Learning!$C$34)</f>
        <v>5.8319897693110967</v>
      </c>
      <c r="P651">
        <f t="shared" si="11"/>
        <v>64.5</v>
      </c>
    </row>
    <row r="652" spans="12:16">
      <c r="L652">
        <f>RAVLT_Learning!M652</f>
        <v>0.29964590400000002</v>
      </c>
      <c r="M652">
        <f>RAVLT_Learning!N652</f>
        <v>64.599999999999994</v>
      </c>
      <c r="O652">
        <f>ABS(L652-RAVLT_Learning!$C$34)</f>
        <v>5.8329971133110972</v>
      </c>
      <c r="P652">
        <f t="shared" si="11"/>
        <v>64.599999999999994</v>
      </c>
    </row>
    <row r="653" spans="12:16">
      <c r="L653">
        <f>RAVLT_Learning!M653</f>
        <v>0.30000732800000002</v>
      </c>
      <c r="M653">
        <f>RAVLT_Learning!N653</f>
        <v>64.7</v>
      </c>
      <c r="O653">
        <f>ABS(L653-RAVLT_Learning!$C$34)</f>
        <v>5.8333585373110974</v>
      </c>
      <c r="P653">
        <f t="shared" si="11"/>
        <v>64.7</v>
      </c>
    </row>
    <row r="654" spans="12:16">
      <c r="L654">
        <f>RAVLT_Learning!M654</f>
        <v>0.30049275199999997</v>
      </c>
      <c r="M654">
        <f>RAVLT_Learning!N654</f>
        <v>64.8</v>
      </c>
      <c r="O654">
        <f>ABS(L654-RAVLT_Learning!$C$34)</f>
        <v>5.8338439613110973</v>
      </c>
      <c r="P654">
        <f t="shared" si="11"/>
        <v>64.8</v>
      </c>
    </row>
    <row r="655" spans="12:16">
      <c r="L655">
        <f>RAVLT_Learning!M655</f>
        <v>0.30389217600000001</v>
      </c>
      <c r="M655">
        <f>RAVLT_Learning!N655</f>
        <v>64.900000000000006</v>
      </c>
      <c r="O655">
        <f>ABS(L655-RAVLT_Learning!$C$34)</f>
        <v>5.8372433853110968</v>
      </c>
      <c r="P655">
        <f t="shared" si="11"/>
        <v>64.900000000000006</v>
      </c>
    </row>
    <row r="656" spans="12:16">
      <c r="L656">
        <f>RAVLT_Learning!M656</f>
        <v>0.3072916</v>
      </c>
      <c r="M656">
        <f>RAVLT_Learning!N656</f>
        <v>65</v>
      </c>
      <c r="O656">
        <f>ABS(L656-RAVLT_Learning!$C$34)</f>
        <v>5.8406428093110971</v>
      </c>
      <c r="P656">
        <f t="shared" si="11"/>
        <v>65</v>
      </c>
    </row>
    <row r="657" spans="12:16">
      <c r="L657">
        <f>RAVLT_Learning!M657</f>
        <v>0.30909895999999998</v>
      </c>
      <c r="M657">
        <f>RAVLT_Learning!N657</f>
        <v>65.099999999999994</v>
      </c>
      <c r="O657">
        <f>ABS(L657-RAVLT_Learning!$C$34)</f>
        <v>5.8424501693110971</v>
      </c>
      <c r="P657">
        <f t="shared" si="11"/>
        <v>65.099999999999994</v>
      </c>
    </row>
    <row r="658" spans="12:16">
      <c r="L658">
        <f>RAVLT_Learning!M658</f>
        <v>0.30924792000000001</v>
      </c>
      <c r="M658">
        <f>RAVLT_Learning!N658</f>
        <v>65.2</v>
      </c>
      <c r="O658">
        <f>ABS(L658-RAVLT_Learning!$C$34)</f>
        <v>5.8425991293110968</v>
      </c>
      <c r="P658">
        <f t="shared" si="11"/>
        <v>65.2</v>
      </c>
    </row>
    <row r="659" spans="12:16">
      <c r="L659">
        <f>RAVLT_Learning!M659</f>
        <v>0.30939687999999999</v>
      </c>
      <c r="M659">
        <f>RAVLT_Learning!N659</f>
        <v>65.3</v>
      </c>
      <c r="O659">
        <f>ABS(L659-RAVLT_Learning!$C$34)</f>
        <v>5.8427480893110975</v>
      </c>
      <c r="P659">
        <f t="shared" si="11"/>
        <v>65.3</v>
      </c>
    </row>
    <row r="660" spans="12:16">
      <c r="L660">
        <f>RAVLT_Learning!M660</f>
        <v>0.30976406400000001</v>
      </c>
      <c r="M660">
        <f>RAVLT_Learning!N660</f>
        <v>65.400000000000006</v>
      </c>
      <c r="O660">
        <f>ABS(L660-RAVLT_Learning!$C$34)</f>
        <v>5.8431152733110974</v>
      </c>
      <c r="P660">
        <f t="shared" si="11"/>
        <v>65.400000000000006</v>
      </c>
    </row>
    <row r="661" spans="12:16">
      <c r="L661">
        <f>RAVLT_Learning!M661</f>
        <v>0.31014547999999997</v>
      </c>
      <c r="M661">
        <f>RAVLT_Learning!N661</f>
        <v>65.5</v>
      </c>
      <c r="O661">
        <f>ABS(L661-RAVLT_Learning!$C$34)</f>
        <v>5.8434966893110971</v>
      </c>
      <c r="P661">
        <f t="shared" si="11"/>
        <v>65.5</v>
      </c>
    </row>
    <row r="662" spans="12:16">
      <c r="L662">
        <f>RAVLT_Learning!M662</f>
        <v>0.31037900000000002</v>
      </c>
      <c r="M662">
        <f>RAVLT_Learning!N662</f>
        <v>65.599999999999994</v>
      </c>
      <c r="O662">
        <f>ABS(L662-RAVLT_Learning!$C$34)</f>
        <v>5.8437302093110972</v>
      </c>
      <c r="P662">
        <f t="shared" si="11"/>
        <v>65.599999999999994</v>
      </c>
    </row>
    <row r="663" spans="12:16">
      <c r="L663">
        <f>RAVLT_Learning!M663</f>
        <v>0.31037900000000002</v>
      </c>
      <c r="M663">
        <f>RAVLT_Learning!N663</f>
        <v>65.7</v>
      </c>
      <c r="O663">
        <f>ABS(L663-RAVLT_Learning!$C$34)</f>
        <v>5.8437302093110972</v>
      </c>
      <c r="P663">
        <f t="shared" si="11"/>
        <v>65.7</v>
      </c>
    </row>
    <row r="664" spans="12:16">
      <c r="L664">
        <f>RAVLT_Learning!M664</f>
        <v>0.31037900000000002</v>
      </c>
      <c r="M664">
        <f>RAVLT_Learning!N664</f>
        <v>65.8</v>
      </c>
      <c r="O664">
        <f>ABS(L664-RAVLT_Learning!$C$34)</f>
        <v>5.8437302093110972</v>
      </c>
      <c r="P664">
        <f t="shared" si="11"/>
        <v>65.8</v>
      </c>
    </row>
    <row r="665" spans="12:16">
      <c r="L665">
        <f>RAVLT_Learning!M665</f>
        <v>0.31547185599999999</v>
      </c>
      <c r="M665">
        <f>RAVLT_Learning!N665</f>
        <v>65.900000000000006</v>
      </c>
      <c r="O665">
        <f>ABS(L665-RAVLT_Learning!$C$34)</f>
        <v>5.8488230653110973</v>
      </c>
      <c r="P665">
        <f t="shared" si="11"/>
        <v>65.900000000000006</v>
      </c>
    </row>
    <row r="666" spans="12:16">
      <c r="L666">
        <f>RAVLT_Learning!M666</f>
        <v>0.32155844</v>
      </c>
      <c r="M666">
        <f>RAVLT_Learning!N666</f>
        <v>66</v>
      </c>
      <c r="O666">
        <f>ABS(L666-RAVLT_Learning!$C$34)</f>
        <v>5.8549096493110966</v>
      </c>
      <c r="P666">
        <f t="shared" si="11"/>
        <v>66</v>
      </c>
    </row>
    <row r="667" spans="12:16">
      <c r="L667">
        <f>RAVLT_Learning!M667</f>
        <v>0.32675865599999998</v>
      </c>
      <c r="M667">
        <f>RAVLT_Learning!N667</f>
        <v>66.099999999999994</v>
      </c>
      <c r="O667">
        <f>ABS(L667-RAVLT_Learning!$C$34)</f>
        <v>5.860109865311097</v>
      </c>
      <c r="P667">
        <f t="shared" si="11"/>
        <v>66.099999999999994</v>
      </c>
    </row>
    <row r="668" spans="12:16">
      <c r="L668">
        <f>RAVLT_Learning!M668</f>
        <v>0.32974295199999998</v>
      </c>
      <c r="M668">
        <f>RAVLT_Learning!N668</f>
        <v>66.2</v>
      </c>
      <c r="O668">
        <f>ABS(L668-RAVLT_Learning!$C$34)</f>
        <v>5.8630941613110972</v>
      </c>
      <c r="P668">
        <f t="shared" si="11"/>
        <v>66.2</v>
      </c>
    </row>
    <row r="669" spans="12:16">
      <c r="L669">
        <f>RAVLT_Learning!M669</f>
        <v>0.33272724799999998</v>
      </c>
      <c r="M669">
        <f>RAVLT_Learning!N669</f>
        <v>66.3</v>
      </c>
      <c r="O669">
        <f>ABS(L669-RAVLT_Learning!$C$34)</f>
        <v>5.8660784573110973</v>
      </c>
      <c r="P669">
        <f t="shared" si="11"/>
        <v>66.3</v>
      </c>
    </row>
    <row r="670" spans="12:16">
      <c r="L670">
        <f>RAVLT_Learning!M670</f>
        <v>0.33783813600000001</v>
      </c>
      <c r="M670">
        <f>RAVLT_Learning!N670</f>
        <v>66.400000000000006</v>
      </c>
      <c r="O670">
        <f>ABS(L670-RAVLT_Learning!$C$34)</f>
        <v>5.8711893453110973</v>
      </c>
      <c r="P670">
        <f t="shared" si="11"/>
        <v>66.400000000000006</v>
      </c>
    </row>
    <row r="671" spans="12:16">
      <c r="L671">
        <f>RAVLT_Learning!M671</f>
        <v>0.34371696000000002</v>
      </c>
      <c r="M671">
        <f>RAVLT_Learning!N671</f>
        <v>66.5</v>
      </c>
      <c r="O671">
        <f>ABS(L671-RAVLT_Learning!$C$34)</f>
        <v>5.8770681693110971</v>
      </c>
      <c r="P671">
        <f t="shared" si="11"/>
        <v>66.5</v>
      </c>
    </row>
    <row r="672" spans="12:16">
      <c r="L672">
        <f>RAVLT_Learning!M672</f>
        <v>0.35022024000000002</v>
      </c>
      <c r="M672">
        <f>RAVLT_Learning!N672</f>
        <v>66.599999999999994</v>
      </c>
      <c r="O672">
        <f>ABS(L672-RAVLT_Learning!$C$34)</f>
        <v>5.8835714493110967</v>
      </c>
      <c r="P672">
        <f t="shared" si="11"/>
        <v>66.599999999999994</v>
      </c>
    </row>
    <row r="673" spans="12:16">
      <c r="L673">
        <f>RAVLT_Learning!M673</f>
        <v>0.35949888000000002</v>
      </c>
      <c r="M673">
        <f>RAVLT_Learning!N673</f>
        <v>66.7</v>
      </c>
      <c r="O673">
        <f>ABS(L673-RAVLT_Learning!$C$34)</f>
        <v>5.8928500893110973</v>
      </c>
      <c r="P673">
        <f t="shared" si="11"/>
        <v>66.7</v>
      </c>
    </row>
    <row r="674" spans="12:16">
      <c r="L674">
        <f>RAVLT_Learning!M674</f>
        <v>0.36877752000000003</v>
      </c>
      <c r="M674">
        <f>RAVLT_Learning!N674</f>
        <v>66.8</v>
      </c>
      <c r="O674">
        <f>ABS(L674-RAVLT_Learning!$C$34)</f>
        <v>5.9021287293110971</v>
      </c>
      <c r="P674">
        <f t="shared" si="11"/>
        <v>66.8</v>
      </c>
    </row>
    <row r="675" spans="12:16">
      <c r="L675">
        <f>RAVLT_Learning!M675</f>
        <v>0.37254287200000002</v>
      </c>
      <c r="M675">
        <f>RAVLT_Learning!N675</f>
        <v>66.900000000000006</v>
      </c>
      <c r="O675">
        <f>ABS(L675-RAVLT_Learning!$C$34)</f>
        <v>5.9058940813110974</v>
      </c>
      <c r="P675">
        <f t="shared" si="11"/>
        <v>66.900000000000006</v>
      </c>
    </row>
    <row r="676" spans="12:16">
      <c r="L676">
        <f>RAVLT_Learning!M676</f>
        <v>0.37310695999999999</v>
      </c>
      <c r="M676">
        <f>RAVLT_Learning!N676</f>
        <v>67</v>
      </c>
      <c r="O676">
        <f>ABS(L676-RAVLT_Learning!$C$34)</f>
        <v>5.9064581693110974</v>
      </c>
      <c r="P676">
        <f t="shared" si="11"/>
        <v>67</v>
      </c>
    </row>
    <row r="677" spans="12:16">
      <c r="L677">
        <f>RAVLT_Learning!M677</f>
        <v>0.37408592800000101</v>
      </c>
      <c r="M677">
        <f>RAVLT_Learning!N677</f>
        <v>67.099999999999994</v>
      </c>
      <c r="O677">
        <f>ABS(L677-RAVLT_Learning!$C$34)</f>
        <v>5.9074371373110983</v>
      </c>
      <c r="P677">
        <f t="shared" si="11"/>
        <v>67.099999999999994</v>
      </c>
    </row>
    <row r="678" spans="12:16">
      <c r="L678">
        <f>RAVLT_Learning!M678</f>
        <v>0.37973229600000002</v>
      </c>
      <c r="M678">
        <f>RAVLT_Learning!N678</f>
        <v>67.2</v>
      </c>
      <c r="O678">
        <f>ABS(L678-RAVLT_Learning!$C$34)</f>
        <v>5.9130835053110973</v>
      </c>
      <c r="P678">
        <f t="shared" si="11"/>
        <v>67.2</v>
      </c>
    </row>
    <row r="679" spans="12:16">
      <c r="L679">
        <f>RAVLT_Learning!M679</f>
        <v>0.38537866399999998</v>
      </c>
      <c r="M679">
        <f>RAVLT_Learning!N679</f>
        <v>67.3</v>
      </c>
      <c r="O679">
        <f>ABS(L679-RAVLT_Learning!$C$34)</f>
        <v>5.9187298733110971</v>
      </c>
      <c r="P679">
        <f t="shared" si="11"/>
        <v>67.3</v>
      </c>
    </row>
    <row r="680" spans="12:16">
      <c r="L680">
        <f>RAVLT_Learning!M680</f>
        <v>0.38806020000000002</v>
      </c>
      <c r="M680">
        <f>RAVLT_Learning!N680</f>
        <v>67.400000000000006</v>
      </c>
      <c r="O680">
        <f>ABS(L680-RAVLT_Learning!$C$34)</f>
        <v>5.921411409311097</v>
      </c>
      <c r="P680">
        <f t="shared" si="11"/>
        <v>67.400000000000006</v>
      </c>
    </row>
    <row r="681" spans="12:16">
      <c r="L681">
        <f>RAVLT_Learning!M681</f>
        <v>0.38811899999999999</v>
      </c>
      <c r="M681">
        <f>RAVLT_Learning!N681</f>
        <v>67.5</v>
      </c>
      <c r="O681">
        <f>ABS(L681-RAVLT_Learning!$C$34)</f>
        <v>5.9214702093110967</v>
      </c>
      <c r="P681">
        <f t="shared" ref="P681:P744" si="12">M681</f>
        <v>67.5</v>
      </c>
    </row>
    <row r="682" spans="12:16">
      <c r="L682">
        <f>RAVLT_Learning!M682</f>
        <v>0.38817780000000002</v>
      </c>
      <c r="M682">
        <f>RAVLT_Learning!N682</f>
        <v>67.599999999999994</v>
      </c>
      <c r="O682">
        <f>ABS(L682-RAVLT_Learning!$C$34)</f>
        <v>5.9215290093110973</v>
      </c>
      <c r="P682">
        <f t="shared" si="12"/>
        <v>67.599999999999994</v>
      </c>
    </row>
    <row r="683" spans="12:16">
      <c r="L683">
        <f>RAVLT_Learning!M683</f>
        <v>0.39388024799999999</v>
      </c>
      <c r="M683">
        <f>RAVLT_Learning!N683</f>
        <v>67.7</v>
      </c>
      <c r="O683">
        <f>ABS(L683-RAVLT_Learning!$C$34)</f>
        <v>5.9272314573110974</v>
      </c>
      <c r="P683">
        <f t="shared" si="12"/>
        <v>67.7</v>
      </c>
    </row>
    <row r="684" spans="12:16">
      <c r="L684">
        <f>RAVLT_Learning!M684</f>
        <v>0.39970027200000002</v>
      </c>
      <c r="M684">
        <f>RAVLT_Learning!N684</f>
        <v>67.8</v>
      </c>
      <c r="O684">
        <f>ABS(L684-RAVLT_Learning!$C$34)</f>
        <v>5.9330514813110966</v>
      </c>
      <c r="P684">
        <f t="shared" si="12"/>
        <v>67.8</v>
      </c>
    </row>
    <row r="685" spans="12:16">
      <c r="L685">
        <f>RAVLT_Learning!M685</f>
        <v>0.403342176</v>
      </c>
      <c r="M685">
        <f>RAVLT_Learning!N685</f>
        <v>67.900000000000006</v>
      </c>
      <c r="O685">
        <f>ABS(L685-RAVLT_Learning!$C$34)</f>
        <v>5.9366933853110968</v>
      </c>
      <c r="P685">
        <f t="shared" si="12"/>
        <v>67.900000000000006</v>
      </c>
    </row>
    <row r="686" spans="12:16">
      <c r="L686">
        <f>RAVLT_Learning!M686</f>
        <v>0.40407991999999998</v>
      </c>
      <c r="M686">
        <f>RAVLT_Learning!N686</f>
        <v>68</v>
      </c>
      <c r="O686">
        <f>ABS(L686-RAVLT_Learning!$C$34)</f>
        <v>5.9374311293110971</v>
      </c>
      <c r="P686">
        <f t="shared" si="12"/>
        <v>68</v>
      </c>
    </row>
    <row r="687" spans="12:16">
      <c r="L687">
        <f>RAVLT_Learning!M687</f>
        <v>0.40481766400000002</v>
      </c>
      <c r="M687">
        <f>RAVLT_Learning!N687</f>
        <v>68.099999999999994</v>
      </c>
      <c r="O687">
        <f>ABS(L687-RAVLT_Learning!$C$34)</f>
        <v>5.9381688733110973</v>
      </c>
      <c r="P687">
        <f t="shared" si="12"/>
        <v>68.099999999999994</v>
      </c>
    </row>
    <row r="688" spans="12:16">
      <c r="L688">
        <f>RAVLT_Learning!M688</f>
        <v>0.40744809599999998</v>
      </c>
      <c r="M688">
        <f>RAVLT_Learning!N688</f>
        <v>68.2</v>
      </c>
      <c r="O688">
        <f>ABS(L688-RAVLT_Learning!$C$34)</f>
        <v>5.9407993053110975</v>
      </c>
      <c r="P688">
        <f t="shared" si="12"/>
        <v>68.2</v>
      </c>
    </row>
    <row r="689" spans="12:16">
      <c r="L689">
        <f>RAVLT_Learning!M689</f>
        <v>0.41034262399999999</v>
      </c>
      <c r="M689">
        <f>RAVLT_Learning!N689</f>
        <v>68.3</v>
      </c>
      <c r="O689">
        <f>ABS(L689-RAVLT_Learning!$C$34)</f>
        <v>5.9436938333110971</v>
      </c>
      <c r="P689">
        <f t="shared" si="12"/>
        <v>68.3</v>
      </c>
    </row>
    <row r="690" spans="12:16">
      <c r="L690">
        <f>RAVLT_Learning!M690</f>
        <v>0.413266464</v>
      </c>
      <c r="M690">
        <f>RAVLT_Learning!N690</f>
        <v>68.400000000000006</v>
      </c>
      <c r="O690">
        <f>ABS(L690-RAVLT_Learning!$C$34)</f>
        <v>5.9466176733110974</v>
      </c>
      <c r="P690">
        <f t="shared" si="12"/>
        <v>68.400000000000006</v>
      </c>
    </row>
    <row r="691" spans="12:16">
      <c r="L691">
        <f>RAVLT_Learning!M691</f>
        <v>0.41625076</v>
      </c>
      <c r="M691">
        <f>RAVLT_Learning!N691</f>
        <v>68.5</v>
      </c>
      <c r="O691">
        <f>ABS(L691-RAVLT_Learning!$C$34)</f>
        <v>5.9496019693110966</v>
      </c>
      <c r="P691">
        <f t="shared" si="12"/>
        <v>68.5</v>
      </c>
    </row>
    <row r="692" spans="12:16">
      <c r="L692">
        <f>RAVLT_Learning!M692</f>
        <v>0.41923505599999999</v>
      </c>
      <c r="M692">
        <f>RAVLT_Learning!N692</f>
        <v>68.599999999999994</v>
      </c>
      <c r="O692">
        <f>ABS(L692-RAVLT_Learning!$C$34)</f>
        <v>5.9525862653110968</v>
      </c>
      <c r="P692">
        <f t="shared" si="12"/>
        <v>68.599999999999994</v>
      </c>
    </row>
    <row r="693" spans="12:16">
      <c r="L693">
        <f>RAVLT_Learning!M693</f>
        <v>0.42036890399999999</v>
      </c>
      <c r="M693">
        <f>RAVLT_Learning!N693</f>
        <v>68.7</v>
      </c>
      <c r="O693">
        <f>ABS(L693-RAVLT_Learning!$C$34)</f>
        <v>5.9537201133110971</v>
      </c>
      <c r="P693">
        <f t="shared" si="12"/>
        <v>68.7</v>
      </c>
    </row>
    <row r="694" spans="12:16">
      <c r="L694">
        <f>RAVLT_Learning!M694</f>
        <v>0.42096709599999999</v>
      </c>
      <c r="M694">
        <f>RAVLT_Learning!N694</f>
        <v>68.8</v>
      </c>
      <c r="O694">
        <f>ABS(L694-RAVLT_Learning!$C$34)</f>
        <v>5.9543183053110971</v>
      </c>
      <c r="P694">
        <f t="shared" si="12"/>
        <v>68.8</v>
      </c>
    </row>
    <row r="695" spans="12:16">
      <c r="L695">
        <f>RAVLT_Learning!M695</f>
        <v>0.42192767199999998</v>
      </c>
      <c r="M695">
        <f>RAVLT_Learning!N695</f>
        <v>68.900000000000006</v>
      </c>
      <c r="O695">
        <f>ABS(L695-RAVLT_Learning!$C$34)</f>
        <v>5.9552788813110968</v>
      </c>
      <c r="P695">
        <f t="shared" si="12"/>
        <v>68.900000000000006</v>
      </c>
    </row>
    <row r="696" spans="12:16">
      <c r="L696">
        <f>RAVLT_Learning!M696</f>
        <v>0.42414012000000001</v>
      </c>
      <c r="M696">
        <f>RAVLT_Learning!N696</f>
        <v>69</v>
      </c>
      <c r="O696">
        <f>ABS(L696-RAVLT_Learning!$C$34)</f>
        <v>5.9574913293110967</v>
      </c>
      <c r="P696">
        <f t="shared" si="12"/>
        <v>69</v>
      </c>
    </row>
    <row r="697" spans="12:16">
      <c r="L697">
        <f>RAVLT_Learning!M697</f>
        <v>0.42635256799999999</v>
      </c>
      <c r="M697">
        <f>RAVLT_Learning!N697</f>
        <v>69.099999999999994</v>
      </c>
      <c r="O697">
        <f>ABS(L697-RAVLT_Learning!$C$34)</f>
        <v>5.9597037773110966</v>
      </c>
      <c r="P697">
        <f t="shared" si="12"/>
        <v>69.099999999999994</v>
      </c>
    </row>
    <row r="698" spans="12:16">
      <c r="L698">
        <f>RAVLT_Learning!M698</f>
        <v>0.42823501600000002</v>
      </c>
      <c r="M698">
        <f>RAVLT_Learning!N698</f>
        <v>69.2</v>
      </c>
      <c r="O698">
        <f>ABS(L698-RAVLT_Learning!$C$34)</f>
        <v>5.9615862253110974</v>
      </c>
      <c r="P698">
        <f t="shared" si="12"/>
        <v>69.2</v>
      </c>
    </row>
    <row r="699" spans="12:16">
      <c r="L699">
        <f>RAVLT_Learning!M699</f>
        <v>0.42995746400000001</v>
      </c>
      <c r="M699">
        <f>RAVLT_Learning!N699</f>
        <v>69.3</v>
      </c>
      <c r="O699">
        <f>ABS(L699-RAVLT_Learning!$C$34)</f>
        <v>5.9633086733110972</v>
      </c>
      <c r="P699">
        <f t="shared" si="12"/>
        <v>69.3</v>
      </c>
    </row>
    <row r="700" spans="12:16">
      <c r="L700">
        <f>RAVLT_Learning!M700</f>
        <v>0.432237288</v>
      </c>
      <c r="M700">
        <f>RAVLT_Learning!N700</f>
        <v>69.400000000000006</v>
      </c>
      <c r="O700">
        <f>ABS(L700-RAVLT_Learning!$C$34)</f>
        <v>5.9655884973110966</v>
      </c>
      <c r="P700">
        <f t="shared" si="12"/>
        <v>69.400000000000006</v>
      </c>
    </row>
    <row r="701" spans="12:16">
      <c r="L701">
        <f>RAVLT_Learning!M701</f>
        <v>0.43851163999999998</v>
      </c>
      <c r="M701">
        <f>RAVLT_Learning!N701</f>
        <v>69.5</v>
      </c>
      <c r="O701">
        <f>ABS(L701-RAVLT_Learning!$C$34)</f>
        <v>5.9718628493110968</v>
      </c>
      <c r="P701">
        <f t="shared" si="12"/>
        <v>69.5</v>
      </c>
    </row>
    <row r="702" spans="12:16">
      <c r="L702">
        <f>RAVLT_Learning!M702</f>
        <v>0.44478599200000102</v>
      </c>
      <c r="M702">
        <f>RAVLT_Learning!N702</f>
        <v>69.599999999999994</v>
      </c>
      <c r="O702">
        <f>ABS(L702-RAVLT_Learning!$C$34)</f>
        <v>5.9781372013110978</v>
      </c>
      <c r="P702">
        <f t="shared" si="12"/>
        <v>69.599999999999994</v>
      </c>
    </row>
    <row r="703" spans="12:16">
      <c r="L703">
        <f>RAVLT_Learning!M703</f>
        <v>0.44767861599999997</v>
      </c>
      <c r="M703">
        <f>RAVLT_Learning!N703</f>
        <v>69.7</v>
      </c>
      <c r="O703">
        <f>ABS(L703-RAVLT_Learning!$C$34)</f>
        <v>5.9810298253110972</v>
      </c>
      <c r="P703">
        <f t="shared" si="12"/>
        <v>69.7</v>
      </c>
    </row>
    <row r="704" spans="12:16">
      <c r="L704">
        <f>RAVLT_Learning!M704</f>
        <v>0.44803494399999999</v>
      </c>
      <c r="M704">
        <f>RAVLT_Learning!N704</f>
        <v>69.8</v>
      </c>
      <c r="O704">
        <f>ABS(L704-RAVLT_Learning!$C$34)</f>
        <v>5.9813861533110968</v>
      </c>
      <c r="P704">
        <f t="shared" si="12"/>
        <v>69.8</v>
      </c>
    </row>
    <row r="705" spans="12:16">
      <c r="L705">
        <f>RAVLT_Learning!M705</f>
        <v>0.44839985599999999</v>
      </c>
      <c r="M705">
        <f>RAVLT_Learning!N705</f>
        <v>69.900000000000006</v>
      </c>
      <c r="O705">
        <f>ABS(L705-RAVLT_Learning!$C$34)</f>
        <v>5.981751065311097</v>
      </c>
      <c r="P705">
        <f t="shared" si="12"/>
        <v>69.900000000000006</v>
      </c>
    </row>
    <row r="706" spans="12:16">
      <c r="L706">
        <f>RAVLT_Learning!M706</f>
        <v>0.44917679999999999</v>
      </c>
      <c r="M706">
        <f>RAVLT_Learning!N706</f>
        <v>70</v>
      </c>
      <c r="O706">
        <f>ABS(L706-RAVLT_Learning!$C$34)</f>
        <v>5.9825280093110971</v>
      </c>
      <c r="P706">
        <f t="shared" si="12"/>
        <v>70</v>
      </c>
    </row>
    <row r="707" spans="12:16">
      <c r="L707">
        <f>RAVLT_Learning!M707</f>
        <v>0.44995374399999999</v>
      </c>
      <c r="M707">
        <f>RAVLT_Learning!N707</f>
        <v>70.099999999999994</v>
      </c>
      <c r="O707">
        <f>ABS(L707-RAVLT_Learning!$C$34)</f>
        <v>5.9833049533110971</v>
      </c>
      <c r="P707">
        <f t="shared" si="12"/>
        <v>70.099999999999994</v>
      </c>
    </row>
    <row r="708" spans="12:16">
      <c r="L708">
        <f>RAVLT_Learning!M708</f>
        <v>0.45054503200000001</v>
      </c>
      <c r="M708">
        <f>RAVLT_Learning!N708</f>
        <v>70.2</v>
      </c>
      <c r="O708">
        <f>ABS(L708-RAVLT_Learning!$C$34)</f>
        <v>5.983896241311097</v>
      </c>
      <c r="P708">
        <f t="shared" si="12"/>
        <v>70.2</v>
      </c>
    </row>
    <row r="709" spans="12:16">
      <c r="L709">
        <f>RAVLT_Learning!M709</f>
        <v>0.45092644799999998</v>
      </c>
      <c r="M709">
        <f>RAVLT_Learning!N709</f>
        <v>70.3</v>
      </c>
      <c r="O709">
        <f>ABS(L709-RAVLT_Learning!$C$34)</f>
        <v>5.9842776573110967</v>
      </c>
      <c r="P709">
        <f t="shared" si="12"/>
        <v>70.3</v>
      </c>
    </row>
    <row r="710" spans="12:16">
      <c r="L710">
        <f>RAVLT_Learning!M710</f>
        <v>0.451307864</v>
      </c>
      <c r="M710">
        <f>RAVLT_Learning!N710</f>
        <v>70.400000000000006</v>
      </c>
      <c r="O710">
        <f>ABS(L710-RAVLT_Learning!$C$34)</f>
        <v>5.9846590733110974</v>
      </c>
      <c r="P710">
        <f t="shared" si="12"/>
        <v>70.400000000000006</v>
      </c>
    </row>
    <row r="711" spans="12:16">
      <c r="L711">
        <f>RAVLT_Learning!M711</f>
        <v>0.45427047999999998</v>
      </c>
      <c r="M711">
        <f>RAVLT_Learning!N711</f>
        <v>70.5</v>
      </c>
      <c r="O711">
        <f>ABS(L711-RAVLT_Learning!$C$34)</f>
        <v>5.987621689311097</v>
      </c>
      <c r="P711">
        <f t="shared" si="12"/>
        <v>70.5</v>
      </c>
    </row>
    <row r="712" spans="12:16">
      <c r="L712">
        <f>RAVLT_Learning!M712</f>
        <v>0.45746253599999998</v>
      </c>
      <c r="M712">
        <f>RAVLT_Learning!N712</f>
        <v>70.599999999999994</v>
      </c>
      <c r="O712">
        <f>ABS(L712-RAVLT_Learning!$C$34)</f>
        <v>5.9908137453110974</v>
      </c>
      <c r="P712">
        <f t="shared" si="12"/>
        <v>70.599999999999994</v>
      </c>
    </row>
    <row r="713" spans="12:16">
      <c r="L713">
        <f>RAVLT_Learning!M713</f>
        <v>0.46065459199999997</v>
      </c>
      <c r="M713">
        <f>RAVLT_Learning!N713</f>
        <v>70.7</v>
      </c>
      <c r="O713">
        <f>ABS(L713-RAVLT_Learning!$C$34)</f>
        <v>5.9940058013110971</v>
      </c>
      <c r="P713">
        <f t="shared" si="12"/>
        <v>70.7</v>
      </c>
    </row>
    <row r="714" spans="12:16">
      <c r="L714">
        <f>RAVLT_Learning!M714</f>
        <v>0.46384664799999997</v>
      </c>
      <c r="M714">
        <f>RAVLT_Learning!N714</f>
        <v>70.8</v>
      </c>
      <c r="O714">
        <f>ABS(L714-RAVLT_Learning!$C$34)</f>
        <v>5.9971978573110967</v>
      </c>
      <c r="P714">
        <f t="shared" si="12"/>
        <v>70.8</v>
      </c>
    </row>
    <row r="715" spans="12:16">
      <c r="L715">
        <f>RAVLT_Learning!M715</f>
        <v>0.46703870400000003</v>
      </c>
      <c r="M715">
        <f>RAVLT_Learning!N715</f>
        <v>70.900000000000006</v>
      </c>
      <c r="O715">
        <f>ABS(L715-RAVLT_Learning!$C$34)</f>
        <v>6.0003899133110972</v>
      </c>
      <c r="P715">
        <f t="shared" si="12"/>
        <v>70.900000000000006</v>
      </c>
    </row>
    <row r="716" spans="12:16">
      <c r="L716">
        <f>RAVLT_Learning!M716</f>
        <v>0.46774628000000001</v>
      </c>
      <c r="M716">
        <f>RAVLT_Learning!N716</f>
        <v>71</v>
      </c>
      <c r="O716">
        <f>ABS(L716-RAVLT_Learning!$C$34)</f>
        <v>6.0010974893110971</v>
      </c>
      <c r="P716">
        <f t="shared" si="12"/>
        <v>71</v>
      </c>
    </row>
    <row r="717" spans="12:16">
      <c r="L717">
        <f>RAVLT_Learning!M717</f>
        <v>0.46789484799999997</v>
      </c>
      <c r="M717">
        <f>RAVLT_Learning!N717</f>
        <v>71.099999999999994</v>
      </c>
      <c r="O717">
        <f>ABS(L717-RAVLT_Learning!$C$34)</f>
        <v>6.0012460573110973</v>
      </c>
      <c r="P717">
        <f t="shared" si="12"/>
        <v>71.099999999999994</v>
      </c>
    </row>
    <row r="718" spans="12:16">
      <c r="L718">
        <f>RAVLT_Learning!M718</f>
        <v>0.46882705600000002</v>
      </c>
      <c r="M718">
        <f>RAVLT_Learning!N718</f>
        <v>71.2</v>
      </c>
      <c r="O718">
        <f>ABS(L718-RAVLT_Learning!$C$34)</f>
        <v>6.0021782653110973</v>
      </c>
      <c r="P718">
        <f t="shared" si="12"/>
        <v>71.2</v>
      </c>
    </row>
    <row r="719" spans="12:16">
      <c r="L719">
        <f>RAVLT_Learning!M719</f>
        <v>0.47192934399999997</v>
      </c>
      <c r="M719">
        <f>RAVLT_Learning!N719</f>
        <v>71.3</v>
      </c>
      <c r="O719">
        <f>ABS(L719-RAVLT_Learning!$C$34)</f>
        <v>6.0052805533110973</v>
      </c>
      <c r="P719">
        <f t="shared" si="12"/>
        <v>71.3</v>
      </c>
    </row>
    <row r="720" spans="12:16">
      <c r="L720">
        <f>RAVLT_Learning!M720</f>
        <v>0.47503163199999998</v>
      </c>
      <c r="M720">
        <f>RAVLT_Learning!N720</f>
        <v>71.400000000000006</v>
      </c>
      <c r="O720">
        <f>ABS(L720-RAVLT_Learning!$C$34)</f>
        <v>6.0083828413110973</v>
      </c>
      <c r="P720">
        <f t="shared" si="12"/>
        <v>71.400000000000006</v>
      </c>
    </row>
    <row r="721" spans="12:16">
      <c r="L721">
        <f>RAVLT_Learning!M721</f>
        <v>0.47657907999999999</v>
      </c>
      <c r="M721">
        <f>RAVLT_Learning!N721</f>
        <v>71.5</v>
      </c>
      <c r="O721">
        <f>ABS(L721-RAVLT_Learning!$C$34)</f>
        <v>6.0099302893110966</v>
      </c>
      <c r="P721">
        <f t="shared" si="12"/>
        <v>71.5</v>
      </c>
    </row>
    <row r="722" spans="12:16">
      <c r="L722">
        <f>RAVLT_Learning!M722</f>
        <v>0.47750459200000001</v>
      </c>
      <c r="M722">
        <f>RAVLT_Learning!N722</f>
        <v>71.599999999999994</v>
      </c>
      <c r="O722">
        <f>ABS(L722-RAVLT_Learning!$C$34)</f>
        <v>6.0108558013110969</v>
      </c>
      <c r="P722">
        <f t="shared" si="12"/>
        <v>71.599999999999994</v>
      </c>
    </row>
    <row r="723" spans="12:16">
      <c r="L723">
        <f>RAVLT_Learning!M723</f>
        <v>0.47868290400000002</v>
      </c>
      <c r="M723">
        <f>RAVLT_Learning!N723</f>
        <v>71.7</v>
      </c>
      <c r="O723">
        <f>ABS(L723-RAVLT_Learning!$C$34)</f>
        <v>6.0120341133110973</v>
      </c>
      <c r="P723">
        <f t="shared" si="12"/>
        <v>71.7</v>
      </c>
    </row>
    <row r="724" spans="12:16">
      <c r="L724">
        <f>RAVLT_Learning!M724</f>
        <v>0.48115681599999999</v>
      </c>
      <c r="M724">
        <f>RAVLT_Learning!N724</f>
        <v>71.8</v>
      </c>
      <c r="O724">
        <f>ABS(L724-RAVLT_Learning!$C$34)</f>
        <v>6.0145080253110974</v>
      </c>
      <c r="P724">
        <f t="shared" si="12"/>
        <v>71.8</v>
      </c>
    </row>
    <row r="725" spans="12:16">
      <c r="L725">
        <f>RAVLT_Learning!M725</f>
        <v>0.48363072800000001</v>
      </c>
      <c r="M725">
        <f>RAVLT_Learning!N725</f>
        <v>71.900000000000006</v>
      </c>
      <c r="O725">
        <f>ABS(L725-RAVLT_Learning!$C$34)</f>
        <v>6.0169819373110967</v>
      </c>
      <c r="P725">
        <f t="shared" si="12"/>
        <v>71.900000000000006</v>
      </c>
    </row>
    <row r="726" spans="12:16">
      <c r="L726">
        <f>RAVLT_Learning!M726</f>
        <v>0.48618383999999998</v>
      </c>
      <c r="M726">
        <f>RAVLT_Learning!N726</f>
        <v>72</v>
      </c>
      <c r="O726">
        <f>ABS(L726-RAVLT_Learning!$C$34)</f>
        <v>6.0195350493110968</v>
      </c>
      <c r="P726">
        <f t="shared" si="12"/>
        <v>72</v>
      </c>
    </row>
    <row r="727" spans="12:16">
      <c r="L727">
        <f>RAVLT_Learning!M727</f>
        <v>0.48878711200000002</v>
      </c>
      <c r="M727">
        <f>RAVLT_Learning!N727</f>
        <v>72.099999999999994</v>
      </c>
      <c r="O727">
        <f>ABS(L727-RAVLT_Learning!$C$34)</f>
        <v>6.0221383213110968</v>
      </c>
      <c r="P727">
        <f t="shared" si="12"/>
        <v>72.099999999999994</v>
      </c>
    </row>
    <row r="728" spans="12:16">
      <c r="L728">
        <f>RAVLT_Learning!M728</f>
        <v>0.49130189600000002</v>
      </c>
      <c r="M728">
        <f>RAVLT_Learning!N728</f>
        <v>72.2</v>
      </c>
      <c r="O728">
        <f>ABS(L728-RAVLT_Learning!$C$34)</f>
        <v>6.0246531053110974</v>
      </c>
      <c r="P728">
        <f t="shared" si="12"/>
        <v>72.2</v>
      </c>
    </row>
    <row r="729" spans="12:16">
      <c r="L729">
        <f>RAVLT_Learning!M729</f>
        <v>0.49245986400000002</v>
      </c>
      <c r="M729">
        <f>RAVLT_Learning!N729</f>
        <v>72.3</v>
      </c>
      <c r="O729">
        <f>ABS(L729-RAVLT_Learning!$C$34)</f>
        <v>6.0258110733110968</v>
      </c>
      <c r="P729">
        <f t="shared" si="12"/>
        <v>72.3</v>
      </c>
    </row>
    <row r="730" spans="12:16">
      <c r="L730">
        <f>RAVLT_Learning!M730</f>
        <v>0.49361783199999998</v>
      </c>
      <c r="M730">
        <f>RAVLT_Learning!N730</f>
        <v>72.400000000000006</v>
      </c>
      <c r="O730">
        <f>ABS(L730-RAVLT_Learning!$C$34)</f>
        <v>6.026969041311097</v>
      </c>
      <c r="P730">
        <f t="shared" si="12"/>
        <v>72.400000000000006</v>
      </c>
    </row>
    <row r="731" spans="12:16">
      <c r="L731">
        <f>RAVLT_Learning!M731</f>
        <v>0.49554320000000002</v>
      </c>
      <c r="M731">
        <f>RAVLT_Learning!N731</f>
        <v>72.5</v>
      </c>
      <c r="O731">
        <f>ABS(L731-RAVLT_Learning!$C$34)</f>
        <v>6.0288944093110972</v>
      </c>
      <c r="P731">
        <f t="shared" si="12"/>
        <v>72.5</v>
      </c>
    </row>
    <row r="732" spans="12:16">
      <c r="L732">
        <f>RAVLT_Learning!M732</f>
        <v>0.49820527199999998</v>
      </c>
      <c r="M732">
        <f>RAVLT_Learning!N732</f>
        <v>72.599999999999994</v>
      </c>
      <c r="O732">
        <f>ABS(L732-RAVLT_Learning!$C$34)</f>
        <v>6.0315564813110969</v>
      </c>
      <c r="P732">
        <f t="shared" si="12"/>
        <v>72.599999999999994</v>
      </c>
    </row>
    <row r="733" spans="12:16">
      <c r="L733">
        <f>RAVLT_Learning!M733</f>
        <v>0.50086734399999999</v>
      </c>
      <c r="M733">
        <f>RAVLT_Learning!N733</f>
        <v>72.7</v>
      </c>
      <c r="O733">
        <f>ABS(L733-RAVLT_Learning!$C$34)</f>
        <v>6.0342185533110975</v>
      </c>
      <c r="P733">
        <f t="shared" si="12"/>
        <v>72.7</v>
      </c>
    </row>
    <row r="734" spans="12:16">
      <c r="L734">
        <f>RAVLT_Learning!M734</f>
        <v>0.50131778400000004</v>
      </c>
      <c r="M734">
        <f>RAVLT_Learning!N734</f>
        <v>72.8</v>
      </c>
      <c r="O734">
        <f>ABS(L734-RAVLT_Learning!$C$34)</f>
        <v>6.0346689933110973</v>
      </c>
      <c r="P734">
        <f t="shared" si="12"/>
        <v>72.8</v>
      </c>
    </row>
    <row r="735" spans="12:16">
      <c r="L735">
        <f>RAVLT_Learning!M735</f>
        <v>0.50167411200000001</v>
      </c>
      <c r="M735">
        <f>RAVLT_Learning!N735</f>
        <v>72.900000000000006</v>
      </c>
      <c r="O735">
        <f>ABS(L735-RAVLT_Learning!$C$34)</f>
        <v>6.0350253213110969</v>
      </c>
      <c r="P735">
        <f t="shared" si="12"/>
        <v>72.900000000000006</v>
      </c>
    </row>
    <row r="736" spans="12:16">
      <c r="L736">
        <f>RAVLT_Learning!M736</f>
        <v>0.50251908000000001</v>
      </c>
      <c r="M736">
        <f>RAVLT_Learning!N736</f>
        <v>73</v>
      </c>
      <c r="O736">
        <f>ABS(L736-RAVLT_Learning!$C$34)</f>
        <v>6.0358702893110969</v>
      </c>
      <c r="P736">
        <f t="shared" si="12"/>
        <v>73</v>
      </c>
    </row>
    <row r="737" spans="12:16">
      <c r="L737">
        <f>RAVLT_Learning!M737</f>
        <v>0.50407257599999999</v>
      </c>
      <c r="M737">
        <f>RAVLT_Learning!N737</f>
        <v>73.099999999999994</v>
      </c>
      <c r="O737">
        <f>ABS(L737-RAVLT_Learning!$C$34)</f>
        <v>6.0374237853110966</v>
      </c>
      <c r="P737">
        <f t="shared" si="12"/>
        <v>73.099999999999994</v>
      </c>
    </row>
    <row r="738" spans="12:16">
      <c r="L738">
        <f>RAVLT_Learning!M738</f>
        <v>0.50562607199999998</v>
      </c>
      <c r="M738">
        <f>RAVLT_Learning!N738</f>
        <v>73.2</v>
      </c>
      <c r="O738">
        <f>ABS(L738-RAVLT_Learning!$C$34)</f>
        <v>6.0389772813110971</v>
      </c>
      <c r="P738">
        <f t="shared" si="12"/>
        <v>73.2</v>
      </c>
    </row>
    <row r="739" spans="12:16">
      <c r="L739">
        <f>RAVLT_Learning!M739</f>
        <v>0.51115915199999995</v>
      </c>
      <c r="M739">
        <f>RAVLT_Learning!N739</f>
        <v>73.3</v>
      </c>
      <c r="O739">
        <f>ABS(L739-RAVLT_Learning!$C$34)</f>
        <v>6.0445103613110973</v>
      </c>
      <c r="P739">
        <f t="shared" si="12"/>
        <v>73.3</v>
      </c>
    </row>
    <row r="740" spans="12:16">
      <c r="L740">
        <f>RAVLT_Learning!M740</f>
        <v>0.51735549599999997</v>
      </c>
      <c r="M740">
        <f>RAVLT_Learning!N740</f>
        <v>73.400000000000006</v>
      </c>
      <c r="O740">
        <f>ABS(L740-RAVLT_Learning!$C$34)</f>
        <v>6.0507067053110966</v>
      </c>
      <c r="P740">
        <f t="shared" si="12"/>
        <v>73.400000000000006</v>
      </c>
    </row>
    <row r="741" spans="12:16">
      <c r="L741">
        <f>RAVLT_Learning!M741</f>
        <v>0.52276091999999996</v>
      </c>
      <c r="M741">
        <f>RAVLT_Learning!N741</f>
        <v>73.5</v>
      </c>
      <c r="O741">
        <f>ABS(L741-RAVLT_Learning!$C$34)</f>
        <v>6.0561121293110967</v>
      </c>
      <c r="P741">
        <f t="shared" si="12"/>
        <v>73.5</v>
      </c>
    </row>
    <row r="742" spans="12:16">
      <c r="L742">
        <f>RAVLT_Learning!M742</f>
        <v>0.526373592</v>
      </c>
      <c r="M742">
        <f>RAVLT_Learning!N742</f>
        <v>73.599999999999994</v>
      </c>
      <c r="O742">
        <f>ABS(L742-RAVLT_Learning!$C$34)</f>
        <v>6.0597248013110967</v>
      </c>
      <c r="P742">
        <f t="shared" si="12"/>
        <v>73.599999999999994</v>
      </c>
    </row>
    <row r="743" spans="12:16">
      <c r="L743">
        <f>RAVLT_Learning!M743</f>
        <v>0.52998626400000004</v>
      </c>
      <c r="M743">
        <f>RAVLT_Learning!N743</f>
        <v>73.7</v>
      </c>
      <c r="O743">
        <f>ABS(L743-RAVLT_Learning!$C$34)</f>
        <v>6.0633374733110967</v>
      </c>
      <c r="P743">
        <f t="shared" si="12"/>
        <v>73.7</v>
      </c>
    </row>
    <row r="744" spans="12:16">
      <c r="L744">
        <f>RAVLT_Learning!M744</f>
        <v>0.54256655200000004</v>
      </c>
      <c r="M744">
        <f>RAVLT_Learning!N744</f>
        <v>73.8</v>
      </c>
      <c r="O744">
        <f>ABS(L744-RAVLT_Learning!$C$34)</f>
        <v>6.0759177613110973</v>
      </c>
      <c r="P744">
        <f t="shared" si="12"/>
        <v>73.8</v>
      </c>
    </row>
    <row r="745" spans="12:16">
      <c r="L745">
        <f>RAVLT_Learning!M745</f>
        <v>0.55805525599999894</v>
      </c>
      <c r="M745">
        <f>RAVLT_Learning!N745</f>
        <v>73.900000000000006</v>
      </c>
      <c r="O745">
        <f>ABS(L745-RAVLT_Learning!$C$34)</f>
        <v>6.0914064653110955</v>
      </c>
      <c r="P745">
        <f t="shared" ref="P745:P808" si="13">M745</f>
        <v>73.900000000000006</v>
      </c>
    </row>
    <row r="746" spans="12:16">
      <c r="L746">
        <f>RAVLT_Learning!M746</f>
        <v>0.57054156</v>
      </c>
      <c r="M746">
        <f>RAVLT_Learning!N746</f>
        <v>74</v>
      </c>
      <c r="O746">
        <f>ABS(L746-RAVLT_Learning!$C$34)</f>
        <v>6.1038927693110967</v>
      </c>
      <c r="P746">
        <f t="shared" si="13"/>
        <v>74</v>
      </c>
    </row>
    <row r="747" spans="12:16">
      <c r="L747">
        <f>RAVLT_Learning!M747</f>
        <v>0.57131850399999995</v>
      </c>
      <c r="M747">
        <f>RAVLT_Learning!N747</f>
        <v>74.099999999999994</v>
      </c>
      <c r="O747">
        <f>ABS(L747-RAVLT_Learning!$C$34)</f>
        <v>6.1046697133110968</v>
      </c>
      <c r="P747">
        <f t="shared" si="13"/>
        <v>74.099999999999994</v>
      </c>
    </row>
    <row r="748" spans="12:16">
      <c r="L748">
        <f>RAVLT_Learning!M748</f>
        <v>0.57209544800000001</v>
      </c>
      <c r="M748">
        <f>RAVLT_Learning!N748</f>
        <v>74.2</v>
      </c>
      <c r="O748">
        <f>ABS(L748-RAVLT_Learning!$C$34)</f>
        <v>6.1054466573110968</v>
      </c>
      <c r="P748">
        <f t="shared" si="13"/>
        <v>74.2</v>
      </c>
    </row>
    <row r="749" spans="12:16">
      <c r="L749">
        <f>RAVLT_Learning!M749</f>
        <v>0.573612232</v>
      </c>
      <c r="M749">
        <f>RAVLT_Learning!N749</f>
        <v>74.3</v>
      </c>
      <c r="O749">
        <f>ABS(L749-RAVLT_Learning!$C$34)</f>
        <v>6.1069634413110974</v>
      </c>
      <c r="P749">
        <f t="shared" si="13"/>
        <v>74.3</v>
      </c>
    </row>
    <row r="750" spans="12:16">
      <c r="L750">
        <f>RAVLT_Learning!M750</f>
        <v>0.57552205599999995</v>
      </c>
      <c r="M750">
        <f>RAVLT_Learning!N750</f>
        <v>74.400000000000006</v>
      </c>
      <c r="O750">
        <f>ABS(L750-RAVLT_Learning!$C$34)</f>
        <v>6.1088732653110966</v>
      </c>
      <c r="P750">
        <f t="shared" si="13"/>
        <v>74.400000000000006</v>
      </c>
    </row>
    <row r="751" spans="12:16">
      <c r="L751">
        <f>RAVLT_Learning!M751</f>
        <v>0.57731231999999999</v>
      </c>
      <c r="M751">
        <f>RAVLT_Learning!N751</f>
        <v>74.5</v>
      </c>
      <c r="O751">
        <f>ABS(L751-RAVLT_Learning!$C$34)</f>
        <v>6.1106635293110969</v>
      </c>
      <c r="P751">
        <f t="shared" si="13"/>
        <v>74.5</v>
      </c>
    </row>
    <row r="752" spans="12:16">
      <c r="L752">
        <f>RAVLT_Learning!M752</f>
        <v>0.57805045600000005</v>
      </c>
      <c r="M752">
        <f>RAVLT_Learning!N752</f>
        <v>74.599999999999994</v>
      </c>
      <c r="O752">
        <f>ABS(L752-RAVLT_Learning!$C$34)</f>
        <v>6.1114016653110967</v>
      </c>
      <c r="P752">
        <f t="shared" si="13"/>
        <v>74.599999999999994</v>
      </c>
    </row>
    <row r="753" spans="12:16">
      <c r="L753">
        <f>RAVLT_Learning!M753</f>
        <v>0.57878859199999999</v>
      </c>
      <c r="M753">
        <f>RAVLT_Learning!N753</f>
        <v>74.7</v>
      </c>
      <c r="O753">
        <f>ABS(L753-RAVLT_Learning!$C$34)</f>
        <v>6.1121398013110966</v>
      </c>
      <c r="P753">
        <f t="shared" si="13"/>
        <v>74.7</v>
      </c>
    </row>
    <row r="754" spans="12:16">
      <c r="L754">
        <f>RAVLT_Learning!M754</f>
        <v>0.58204571999999999</v>
      </c>
      <c r="M754">
        <f>RAVLT_Learning!N754</f>
        <v>74.8</v>
      </c>
      <c r="O754">
        <f>ABS(L754-RAVLT_Learning!$C$34)</f>
        <v>6.115396929311097</v>
      </c>
      <c r="P754">
        <f t="shared" si="13"/>
        <v>74.8</v>
      </c>
    </row>
    <row r="755" spans="12:16">
      <c r="L755">
        <f>RAVLT_Learning!M755</f>
        <v>0.58735535999999999</v>
      </c>
      <c r="M755">
        <f>RAVLT_Learning!N755</f>
        <v>74.900000000000006</v>
      </c>
      <c r="O755">
        <f>ABS(L755-RAVLT_Learning!$C$34)</f>
        <v>6.1207065693110971</v>
      </c>
      <c r="P755">
        <f t="shared" si="13"/>
        <v>74.900000000000006</v>
      </c>
    </row>
    <row r="756" spans="12:16">
      <c r="L756">
        <f>RAVLT_Learning!M756</f>
        <v>0.592665</v>
      </c>
      <c r="M756">
        <f>RAVLT_Learning!N756</f>
        <v>75</v>
      </c>
      <c r="O756">
        <f>ABS(L756-RAVLT_Learning!$C$34)</f>
        <v>6.1260162093110972</v>
      </c>
      <c r="P756">
        <f t="shared" si="13"/>
        <v>75</v>
      </c>
    </row>
    <row r="757" spans="12:16">
      <c r="L757">
        <f>RAVLT_Learning!M757</f>
        <v>0.60003342400000004</v>
      </c>
      <c r="M757">
        <f>RAVLT_Learning!N757</f>
        <v>75.099999999999994</v>
      </c>
      <c r="O757">
        <f>ABS(L757-RAVLT_Learning!$C$34)</f>
        <v>6.1333846333110973</v>
      </c>
      <c r="P757">
        <f t="shared" si="13"/>
        <v>75.099999999999994</v>
      </c>
    </row>
    <row r="758" spans="12:16">
      <c r="L758">
        <f>RAVLT_Learning!M758</f>
        <v>0.60740184799999997</v>
      </c>
      <c r="M758">
        <f>RAVLT_Learning!N758</f>
        <v>75.2</v>
      </c>
      <c r="O758">
        <f>ABS(L758-RAVLT_Learning!$C$34)</f>
        <v>6.1407530573110973</v>
      </c>
      <c r="P758">
        <f t="shared" si="13"/>
        <v>75.2</v>
      </c>
    </row>
    <row r="759" spans="12:16">
      <c r="L759">
        <f>RAVLT_Learning!M759</f>
        <v>0.61247065599999995</v>
      </c>
      <c r="M759">
        <f>RAVLT_Learning!N759</f>
        <v>75.3</v>
      </c>
      <c r="O759">
        <f>ABS(L759-RAVLT_Learning!$C$34)</f>
        <v>6.1458218653110972</v>
      </c>
      <c r="P759">
        <f t="shared" si="13"/>
        <v>75.3</v>
      </c>
    </row>
    <row r="760" spans="12:16">
      <c r="L760">
        <f>RAVLT_Learning!M760</f>
        <v>0.61471720799999996</v>
      </c>
      <c r="M760">
        <f>RAVLT_Learning!N760</f>
        <v>75.400000000000006</v>
      </c>
      <c r="O760">
        <f>ABS(L760-RAVLT_Learning!$C$34)</f>
        <v>6.1480684173110971</v>
      </c>
      <c r="P760">
        <f t="shared" si="13"/>
        <v>75.400000000000006</v>
      </c>
    </row>
    <row r="761" spans="12:16">
      <c r="L761">
        <f>RAVLT_Learning!M761</f>
        <v>0.61696375999999997</v>
      </c>
      <c r="M761">
        <f>RAVLT_Learning!N761</f>
        <v>75.5</v>
      </c>
      <c r="O761">
        <f>ABS(L761-RAVLT_Learning!$C$34)</f>
        <v>6.150314969311097</v>
      </c>
      <c r="P761">
        <f t="shared" si="13"/>
        <v>75.5</v>
      </c>
    </row>
    <row r="762" spans="12:16">
      <c r="L762">
        <f>RAVLT_Learning!M762</f>
        <v>0.61719299999999999</v>
      </c>
      <c r="M762">
        <f>RAVLT_Learning!N762</f>
        <v>75.599999999999994</v>
      </c>
      <c r="O762">
        <f>ABS(L762-RAVLT_Learning!$C$34)</f>
        <v>6.1505442093110974</v>
      </c>
      <c r="P762">
        <f t="shared" si="13"/>
        <v>75.599999999999994</v>
      </c>
    </row>
    <row r="763" spans="12:16">
      <c r="L763">
        <f>RAVLT_Learning!M763</f>
        <v>0.61719299999999999</v>
      </c>
      <c r="M763">
        <f>RAVLT_Learning!N763</f>
        <v>75.7</v>
      </c>
      <c r="O763">
        <f>ABS(L763-RAVLT_Learning!$C$34)</f>
        <v>6.1505442093110974</v>
      </c>
      <c r="P763">
        <f t="shared" si="13"/>
        <v>75.7</v>
      </c>
    </row>
    <row r="764" spans="12:16">
      <c r="L764">
        <f>RAVLT_Learning!M764</f>
        <v>0.61746948800000001</v>
      </c>
      <c r="M764">
        <f>RAVLT_Learning!N764</f>
        <v>75.8</v>
      </c>
      <c r="O764">
        <f>ABS(L764-RAVLT_Learning!$C$34)</f>
        <v>6.1508206973110973</v>
      </c>
      <c r="P764">
        <f t="shared" si="13"/>
        <v>75.8</v>
      </c>
    </row>
    <row r="765" spans="12:16">
      <c r="L765">
        <f>RAVLT_Learning!M765</f>
        <v>0.61826642399999998</v>
      </c>
      <c r="M765">
        <f>RAVLT_Learning!N765</f>
        <v>75.900000000000006</v>
      </c>
      <c r="O765">
        <f>ABS(L765-RAVLT_Learning!$C$34)</f>
        <v>6.1516176333110968</v>
      </c>
      <c r="P765">
        <f t="shared" si="13"/>
        <v>75.900000000000006</v>
      </c>
    </row>
    <row r="766" spans="12:16">
      <c r="L766">
        <f>RAVLT_Learning!M766</f>
        <v>0.61906335999999995</v>
      </c>
      <c r="M766">
        <f>RAVLT_Learning!N766</f>
        <v>76</v>
      </c>
      <c r="O766">
        <f>ABS(L766-RAVLT_Learning!$C$34)</f>
        <v>6.1524145693110972</v>
      </c>
      <c r="P766">
        <f t="shared" si="13"/>
        <v>76</v>
      </c>
    </row>
    <row r="767" spans="12:16">
      <c r="L767">
        <f>RAVLT_Learning!M767</f>
        <v>0.61949369600000004</v>
      </c>
      <c r="M767">
        <f>RAVLT_Learning!N767</f>
        <v>76.099999999999994</v>
      </c>
      <c r="O767">
        <f>ABS(L767-RAVLT_Learning!$C$34)</f>
        <v>6.1528449053110972</v>
      </c>
      <c r="P767">
        <f t="shared" si="13"/>
        <v>76.099999999999994</v>
      </c>
    </row>
    <row r="768" spans="12:16">
      <c r="L768">
        <f>RAVLT_Learning!M768</f>
        <v>0.61983003199999998</v>
      </c>
      <c r="M768">
        <f>RAVLT_Learning!N768</f>
        <v>76.2</v>
      </c>
      <c r="O768">
        <f>ABS(L768-RAVLT_Learning!$C$34)</f>
        <v>6.1531812413110973</v>
      </c>
      <c r="P768">
        <f t="shared" si="13"/>
        <v>76.2</v>
      </c>
    </row>
    <row r="769" spans="12:16">
      <c r="L769">
        <f>RAVLT_Learning!M769</f>
        <v>0.626058848</v>
      </c>
      <c r="M769">
        <f>RAVLT_Learning!N769</f>
        <v>76.3</v>
      </c>
      <c r="O769">
        <f>ABS(L769-RAVLT_Learning!$C$34)</f>
        <v>6.1594100573110975</v>
      </c>
      <c r="P769">
        <f t="shared" si="13"/>
        <v>76.3</v>
      </c>
    </row>
    <row r="770" spans="12:16">
      <c r="L770">
        <f>RAVLT_Learning!M770</f>
        <v>0.65045614399999996</v>
      </c>
      <c r="M770">
        <f>RAVLT_Learning!N770</f>
        <v>76.400000000000006</v>
      </c>
      <c r="O770">
        <f>ABS(L770-RAVLT_Learning!$C$34)</f>
        <v>6.1838073533110967</v>
      </c>
      <c r="P770">
        <f t="shared" si="13"/>
        <v>76.400000000000006</v>
      </c>
    </row>
    <row r="771" spans="12:16">
      <c r="L771">
        <f>RAVLT_Learning!M771</f>
        <v>0.67485344000000003</v>
      </c>
      <c r="M771">
        <f>RAVLT_Learning!N771</f>
        <v>76.5</v>
      </c>
      <c r="O771">
        <f>ABS(L771-RAVLT_Learning!$C$34)</f>
        <v>6.2082046493110967</v>
      </c>
      <c r="P771">
        <f t="shared" si="13"/>
        <v>76.5</v>
      </c>
    </row>
    <row r="772" spans="12:16">
      <c r="L772">
        <f>RAVLT_Learning!M772</f>
        <v>0.68338252799999999</v>
      </c>
      <c r="M772">
        <f>RAVLT_Learning!N772</f>
        <v>76.599999999999994</v>
      </c>
      <c r="O772">
        <f>ABS(L772-RAVLT_Learning!$C$34)</f>
        <v>6.2167337373110971</v>
      </c>
      <c r="P772">
        <f t="shared" si="13"/>
        <v>76.599999999999994</v>
      </c>
    </row>
    <row r="773" spans="12:16">
      <c r="L773">
        <f>RAVLT_Learning!M773</f>
        <v>0.68491093599999997</v>
      </c>
      <c r="M773">
        <f>RAVLT_Learning!N773</f>
        <v>76.7</v>
      </c>
      <c r="O773">
        <f>ABS(L773-RAVLT_Learning!$C$34)</f>
        <v>6.2182621453110967</v>
      </c>
      <c r="P773">
        <f t="shared" si="13"/>
        <v>76.7</v>
      </c>
    </row>
    <row r="774" spans="12:16">
      <c r="L774">
        <f>RAVLT_Learning!M774</f>
        <v>0.68681767999999999</v>
      </c>
      <c r="M774">
        <f>RAVLT_Learning!N774</f>
        <v>76.8</v>
      </c>
      <c r="O774">
        <f>ABS(L774-RAVLT_Learning!$C$34)</f>
        <v>6.2201688893110969</v>
      </c>
      <c r="P774">
        <f t="shared" si="13"/>
        <v>76.8</v>
      </c>
    </row>
    <row r="775" spans="12:16">
      <c r="L775">
        <f>RAVLT_Learning!M775</f>
        <v>0.69099443999999999</v>
      </c>
      <c r="M775">
        <f>RAVLT_Learning!N775</f>
        <v>76.900000000000006</v>
      </c>
      <c r="O775">
        <f>ABS(L775-RAVLT_Learning!$C$34)</f>
        <v>6.2243456493110969</v>
      </c>
      <c r="P775">
        <f t="shared" si="13"/>
        <v>76.900000000000006</v>
      </c>
    </row>
    <row r="776" spans="12:16">
      <c r="L776">
        <f>RAVLT_Learning!M776</f>
        <v>0.69517119999999999</v>
      </c>
      <c r="M776">
        <f>RAVLT_Learning!N776</f>
        <v>77</v>
      </c>
      <c r="O776">
        <f>ABS(L776-RAVLT_Learning!$C$34)</f>
        <v>6.2285224093110969</v>
      </c>
      <c r="P776">
        <f t="shared" si="13"/>
        <v>77</v>
      </c>
    </row>
    <row r="777" spans="12:16">
      <c r="L777">
        <f>RAVLT_Learning!M777</f>
        <v>0.70079192800000101</v>
      </c>
      <c r="M777">
        <f>RAVLT_Learning!N777</f>
        <v>77.099999999999994</v>
      </c>
      <c r="O777">
        <f>ABS(L777-RAVLT_Learning!$C$34)</f>
        <v>6.234143137311098</v>
      </c>
      <c r="P777">
        <f t="shared" si="13"/>
        <v>77.099999999999994</v>
      </c>
    </row>
    <row r="778" spans="12:16">
      <c r="L778">
        <f>RAVLT_Learning!M778</f>
        <v>0.707408496</v>
      </c>
      <c r="M778">
        <f>RAVLT_Learning!N778</f>
        <v>77.2</v>
      </c>
      <c r="O778">
        <f>ABS(L778-RAVLT_Learning!$C$34)</f>
        <v>6.2407597053110972</v>
      </c>
      <c r="P778">
        <f t="shared" si="13"/>
        <v>77.2</v>
      </c>
    </row>
    <row r="779" spans="12:16">
      <c r="L779">
        <f>RAVLT_Learning!M779</f>
        <v>0.714911768000001</v>
      </c>
      <c r="M779">
        <f>RAVLT_Learning!N779</f>
        <v>77.3</v>
      </c>
      <c r="O779">
        <f>ABS(L779-RAVLT_Learning!$C$34)</f>
        <v>6.2482629773110983</v>
      </c>
      <c r="P779">
        <f t="shared" si="13"/>
        <v>77.3</v>
      </c>
    </row>
    <row r="780" spans="12:16">
      <c r="L780">
        <f>RAVLT_Learning!M780</f>
        <v>0.74325258400000105</v>
      </c>
      <c r="M780">
        <f>RAVLT_Learning!N780</f>
        <v>77.400000000000006</v>
      </c>
      <c r="O780">
        <f>ABS(L780-RAVLT_Learning!$C$34)</f>
        <v>6.2766037933110983</v>
      </c>
      <c r="P780">
        <f t="shared" si="13"/>
        <v>77.400000000000006</v>
      </c>
    </row>
    <row r="781" spans="12:16">
      <c r="L781">
        <f>RAVLT_Learning!M781</f>
        <v>0.77159340000000098</v>
      </c>
      <c r="M781">
        <f>RAVLT_Learning!N781</f>
        <v>77.5</v>
      </c>
      <c r="O781">
        <f>ABS(L781-RAVLT_Learning!$C$34)</f>
        <v>6.3049446093110983</v>
      </c>
      <c r="P781">
        <f t="shared" si="13"/>
        <v>77.5</v>
      </c>
    </row>
    <row r="782" spans="12:16">
      <c r="L782">
        <f>RAVLT_Learning!M782</f>
        <v>0.78708058400000003</v>
      </c>
      <c r="M782">
        <f>RAVLT_Learning!N782</f>
        <v>77.599999999999994</v>
      </c>
      <c r="O782">
        <f>ABS(L782-RAVLT_Learning!$C$34)</f>
        <v>6.3204317933110969</v>
      </c>
      <c r="P782">
        <f t="shared" si="13"/>
        <v>77.599999999999994</v>
      </c>
    </row>
    <row r="783" spans="12:16">
      <c r="L783">
        <f>RAVLT_Learning!M783</f>
        <v>0.78917856799999997</v>
      </c>
      <c r="M783">
        <f>RAVLT_Learning!N783</f>
        <v>77.7</v>
      </c>
      <c r="O783">
        <f>ABS(L783-RAVLT_Learning!$C$34)</f>
        <v>6.3225297773110967</v>
      </c>
      <c r="P783">
        <f t="shared" si="13"/>
        <v>77.7</v>
      </c>
    </row>
    <row r="784" spans="12:16">
      <c r="L784">
        <f>RAVLT_Learning!M784</f>
        <v>0.79127655200000002</v>
      </c>
      <c r="M784">
        <f>RAVLT_Learning!N784</f>
        <v>77.8</v>
      </c>
      <c r="O784">
        <f>ABS(L784-RAVLT_Learning!$C$34)</f>
        <v>6.3246277613110973</v>
      </c>
      <c r="P784">
        <f t="shared" si="13"/>
        <v>77.8</v>
      </c>
    </row>
    <row r="785" spans="12:16">
      <c r="L785">
        <f>RAVLT_Learning!M785</f>
        <v>0.79514940000000001</v>
      </c>
      <c r="M785">
        <f>RAVLT_Learning!N785</f>
        <v>77.900000000000006</v>
      </c>
      <c r="O785">
        <f>ABS(L785-RAVLT_Learning!$C$34)</f>
        <v>6.3285006093110967</v>
      </c>
      <c r="P785">
        <f t="shared" si="13"/>
        <v>77.900000000000006</v>
      </c>
    </row>
    <row r="786" spans="12:16">
      <c r="L786">
        <f>RAVLT_Learning!M786</f>
        <v>0.79913800000000001</v>
      </c>
      <c r="M786">
        <f>RAVLT_Learning!N786</f>
        <v>78</v>
      </c>
      <c r="O786">
        <f>ABS(L786-RAVLT_Learning!$C$34)</f>
        <v>6.3324892093110972</v>
      </c>
      <c r="P786">
        <f t="shared" si="13"/>
        <v>78</v>
      </c>
    </row>
    <row r="787" spans="12:16">
      <c r="L787">
        <f>RAVLT_Learning!M787</f>
        <v>0.80258927999999996</v>
      </c>
      <c r="M787">
        <f>RAVLT_Learning!N787</f>
        <v>78.099999999999994</v>
      </c>
      <c r="O787">
        <f>ABS(L787-RAVLT_Learning!$C$34)</f>
        <v>6.3359404893110973</v>
      </c>
      <c r="P787">
        <f t="shared" si="13"/>
        <v>78.099999999999994</v>
      </c>
    </row>
    <row r="788" spans="12:16">
      <c r="L788">
        <f>RAVLT_Learning!M788</f>
        <v>0.80519216000000005</v>
      </c>
      <c r="M788">
        <f>RAVLT_Learning!N788</f>
        <v>78.2</v>
      </c>
      <c r="O788">
        <f>ABS(L788-RAVLT_Learning!$C$34)</f>
        <v>6.3385433693110969</v>
      </c>
      <c r="P788">
        <f t="shared" si="13"/>
        <v>78.2</v>
      </c>
    </row>
    <row r="789" spans="12:16">
      <c r="L789">
        <f>RAVLT_Learning!M789</f>
        <v>0.80779504000000002</v>
      </c>
      <c r="M789">
        <f>RAVLT_Learning!N789</f>
        <v>78.3</v>
      </c>
      <c r="O789">
        <f>ABS(L789-RAVLT_Learning!$C$34)</f>
        <v>6.3411462493110973</v>
      </c>
      <c r="P789">
        <f t="shared" si="13"/>
        <v>78.3</v>
      </c>
    </row>
    <row r="790" spans="12:16">
      <c r="L790">
        <f>RAVLT_Learning!M790</f>
        <v>0.80871298400000002</v>
      </c>
      <c r="M790">
        <f>RAVLT_Learning!N790</f>
        <v>78.400000000000006</v>
      </c>
      <c r="O790">
        <f>ABS(L790-RAVLT_Learning!$C$34)</f>
        <v>6.3420641933110975</v>
      </c>
      <c r="P790">
        <f t="shared" si="13"/>
        <v>78.400000000000006</v>
      </c>
    </row>
    <row r="791" spans="12:16">
      <c r="L791">
        <f>RAVLT_Learning!M791</f>
        <v>0.80930215999999999</v>
      </c>
      <c r="M791">
        <f>RAVLT_Learning!N791</f>
        <v>78.5</v>
      </c>
      <c r="O791">
        <f>ABS(L791-RAVLT_Learning!$C$34)</f>
        <v>6.3426533693110967</v>
      </c>
      <c r="P791">
        <f t="shared" si="13"/>
        <v>78.5</v>
      </c>
    </row>
    <row r="792" spans="12:16">
      <c r="L792">
        <f>RAVLT_Learning!M792</f>
        <v>0.81032242399999999</v>
      </c>
      <c r="M792">
        <f>RAVLT_Learning!N792</f>
        <v>78.599999999999994</v>
      </c>
      <c r="O792">
        <f>ABS(L792-RAVLT_Learning!$C$34)</f>
        <v>6.3436736333110968</v>
      </c>
      <c r="P792">
        <f t="shared" si="13"/>
        <v>78.599999999999994</v>
      </c>
    </row>
    <row r="793" spans="12:16">
      <c r="L793">
        <f>RAVLT_Learning!M793</f>
        <v>0.81242040800000004</v>
      </c>
      <c r="M793">
        <f>RAVLT_Learning!N793</f>
        <v>78.7</v>
      </c>
      <c r="O793">
        <f>ABS(L793-RAVLT_Learning!$C$34)</f>
        <v>6.3457716173110974</v>
      </c>
      <c r="P793">
        <f t="shared" si="13"/>
        <v>78.7</v>
      </c>
    </row>
    <row r="794" spans="12:16">
      <c r="L794">
        <f>RAVLT_Learning!M794</f>
        <v>0.81451839199999998</v>
      </c>
      <c r="M794">
        <f>RAVLT_Learning!N794</f>
        <v>78.8</v>
      </c>
      <c r="O794">
        <f>ABS(L794-RAVLT_Learning!$C$34)</f>
        <v>6.3478696013110971</v>
      </c>
      <c r="P794">
        <f t="shared" si="13"/>
        <v>78.8</v>
      </c>
    </row>
    <row r="795" spans="12:16">
      <c r="L795">
        <f>RAVLT_Learning!M795</f>
        <v>0.82007036</v>
      </c>
      <c r="M795">
        <f>RAVLT_Learning!N795</f>
        <v>78.900000000000006</v>
      </c>
      <c r="O795">
        <f>ABS(L795-RAVLT_Learning!$C$34)</f>
        <v>6.3534215693110969</v>
      </c>
      <c r="P795">
        <f t="shared" si="13"/>
        <v>78.900000000000006</v>
      </c>
    </row>
    <row r="796" spans="12:16">
      <c r="L796">
        <f>RAVLT_Learning!M796</f>
        <v>0.82686959999999998</v>
      </c>
      <c r="M796">
        <f>RAVLT_Learning!N796</f>
        <v>79</v>
      </c>
      <c r="O796">
        <f>ABS(L796-RAVLT_Learning!$C$34)</f>
        <v>6.3602208093110972</v>
      </c>
      <c r="P796">
        <f t="shared" si="13"/>
        <v>79</v>
      </c>
    </row>
    <row r="797" spans="12:16">
      <c r="L797">
        <f>RAVLT_Learning!M797</f>
        <v>0.83245189600000002</v>
      </c>
      <c r="M797">
        <f>RAVLT_Learning!N797</f>
        <v>79.099999999999994</v>
      </c>
      <c r="O797">
        <f>ABS(L797-RAVLT_Learning!$C$34)</f>
        <v>6.3658031053110973</v>
      </c>
      <c r="P797">
        <f t="shared" si="13"/>
        <v>79.099999999999994</v>
      </c>
    </row>
    <row r="798" spans="12:16">
      <c r="L798">
        <f>RAVLT_Learning!M798</f>
        <v>0.83262555199999999</v>
      </c>
      <c r="M798">
        <f>RAVLT_Learning!N798</f>
        <v>79.2</v>
      </c>
      <c r="O798">
        <f>ABS(L798-RAVLT_Learning!$C$34)</f>
        <v>6.3659767613110967</v>
      </c>
      <c r="P798">
        <f t="shared" si="13"/>
        <v>79.2</v>
      </c>
    </row>
    <row r="799" spans="12:16">
      <c r="L799">
        <f>RAVLT_Learning!M799</f>
        <v>0.83279920799999996</v>
      </c>
      <c r="M799">
        <f>RAVLT_Learning!N799</f>
        <v>79.3</v>
      </c>
      <c r="O799">
        <f>ABS(L799-RAVLT_Learning!$C$34)</f>
        <v>6.366150417311097</v>
      </c>
      <c r="P799">
        <f t="shared" si="13"/>
        <v>79.3</v>
      </c>
    </row>
    <row r="800" spans="12:16">
      <c r="L800">
        <f>RAVLT_Learning!M800</f>
        <v>0.83584966400000005</v>
      </c>
      <c r="M800">
        <f>RAVLT_Learning!N800</f>
        <v>79.400000000000006</v>
      </c>
      <c r="O800">
        <f>ABS(L800-RAVLT_Learning!$C$34)</f>
        <v>6.3692008733110974</v>
      </c>
      <c r="P800">
        <f t="shared" si="13"/>
        <v>79.400000000000006</v>
      </c>
    </row>
    <row r="801" spans="12:16">
      <c r="L801">
        <f>RAVLT_Learning!M801</f>
        <v>0.84057052000000099</v>
      </c>
      <c r="M801">
        <f>RAVLT_Learning!N801</f>
        <v>79.5</v>
      </c>
      <c r="O801">
        <f>ABS(L801-RAVLT_Learning!$C$34)</f>
        <v>6.3739217293110979</v>
      </c>
      <c r="P801">
        <f t="shared" si="13"/>
        <v>79.5</v>
      </c>
    </row>
    <row r="802" spans="12:16">
      <c r="L802">
        <f>RAVLT_Learning!M802</f>
        <v>0.84530715200000095</v>
      </c>
      <c r="M802">
        <f>RAVLT_Learning!N802</f>
        <v>79.599999999999994</v>
      </c>
      <c r="O802">
        <f>ABS(L802-RAVLT_Learning!$C$34)</f>
        <v>6.3786583613110981</v>
      </c>
      <c r="P802">
        <f t="shared" si="13"/>
        <v>79.599999999999994</v>
      </c>
    </row>
    <row r="803" spans="12:16">
      <c r="L803">
        <f>RAVLT_Learning!M803</f>
        <v>0.85022126399999998</v>
      </c>
      <c r="M803">
        <f>RAVLT_Learning!N803</f>
        <v>79.7</v>
      </c>
      <c r="O803">
        <f>ABS(L803-RAVLT_Learning!$C$34)</f>
        <v>6.383572473311097</v>
      </c>
      <c r="P803">
        <f t="shared" si="13"/>
        <v>79.7</v>
      </c>
    </row>
    <row r="804" spans="12:16">
      <c r="L804">
        <f>RAVLT_Learning!M804</f>
        <v>0.855135376</v>
      </c>
      <c r="M804">
        <f>RAVLT_Learning!N804</f>
        <v>79.8</v>
      </c>
      <c r="O804">
        <f>ABS(L804-RAVLT_Learning!$C$34)</f>
        <v>6.3884865853110968</v>
      </c>
      <c r="P804">
        <f t="shared" si="13"/>
        <v>79.8</v>
      </c>
    </row>
    <row r="805" spans="12:16">
      <c r="L805">
        <f>RAVLT_Learning!M805</f>
        <v>0.86375979200000097</v>
      </c>
      <c r="M805">
        <f>RAVLT_Learning!N805</f>
        <v>79.900000000000006</v>
      </c>
      <c r="O805">
        <f>ABS(L805-RAVLT_Learning!$C$34)</f>
        <v>6.3971110013110977</v>
      </c>
      <c r="P805">
        <f t="shared" si="13"/>
        <v>79.900000000000006</v>
      </c>
    </row>
    <row r="806" spans="12:16">
      <c r="L806">
        <f>RAVLT_Learning!M806</f>
        <v>0.87566640000000096</v>
      </c>
      <c r="M806">
        <f>RAVLT_Learning!N806</f>
        <v>80</v>
      </c>
      <c r="O806">
        <f>ABS(L806-RAVLT_Learning!$C$34)</f>
        <v>6.409017609311098</v>
      </c>
      <c r="P806">
        <f t="shared" si="13"/>
        <v>80</v>
      </c>
    </row>
    <row r="807" spans="12:16">
      <c r="L807">
        <f>RAVLT_Learning!M807</f>
        <v>0.88757300800000105</v>
      </c>
      <c r="M807">
        <f>RAVLT_Learning!N807</f>
        <v>80.099999999999994</v>
      </c>
      <c r="O807">
        <f>ABS(L807-RAVLT_Learning!$C$34)</f>
        <v>6.4209242173110983</v>
      </c>
      <c r="P807">
        <f t="shared" si="13"/>
        <v>80.099999999999994</v>
      </c>
    </row>
    <row r="808" spans="12:16">
      <c r="L808">
        <f>RAVLT_Learning!M808</f>
        <v>0.88836857599999997</v>
      </c>
      <c r="M808">
        <f>RAVLT_Learning!N808</f>
        <v>80.2</v>
      </c>
      <c r="O808">
        <f>ABS(L808-RAVLT_Learning!$C$34)</f>
        <v>6.4217197853110974</v>
      </c>
      <c r="P808">
        <f t="shared" si="13"/>
        <v>80.2</v>
      </c>
    </row>
    <row r="809" spans="12:16">
      <c r="L809">
        <f>RAVLT_Learning!M809</f>
        <v>0.88893266400000004</v>
      </c>
      <c r="M809">
        <f>RAVLT_Learning!N809</f>
        <v>80.3</v>
      </c>
      <c r="O809">
        <f>ABS(L809-RAVLT_Learning!$C$34)</f>
        <v>6.4222838733110974</v>
      </c>
      <c r="P809">
        <f t="shared" ref="P809:P872" si="14">M809</f>
        <v>80.3</v>
      </c>
    </row>
    <row r="810" spans="12:16">
      <c r="L810">
        <f>RAVLT_Learning!M810</f>
        <v>0.88967701600000004</v>
      </c>
      <c r="M810">
        <f>RAVLT_Learning!N810</f>
        <v>80.400000000000006</v>
      </c>
      <c r="O810">
        <f>ABS(L810-RAVLT_Learning!$C$34)</f>
        <v>6.4230282253110973</v>
      </c>
      <c r="P810">
        <f t="shared" si="14"/>
        <v>80.400000000000006</v>
      </c>
    </row>
    <row r="811" spans="12:16">
      <c r="L811">
        <f>RAVLT_Learning!M811</f>
        <v>0.89066171999999999</v>
      </c>
      <c r="M811">
        <f>RAVLT_Learning!N811</f>
        <v>80.5</v>
      </c>
      <c r="O811">
        <f>ABS(L811-RAVLT_Learning!$C$34)</f>
        <v>6.4240129293110968</v>
      </c>
      <c r="P811">
        <f t="shared" si="14"/>
        <v>80.5</v>
      </c>
    </row>
    <row r="812" spans="12:16">
      <c r="L812">
        <f>RAVLT_Learning!M812</f>
        <v>0.89164642400000005</v>
      </c>
      <c r="M812">
        <f>RAVLT_Learning!N812</f>
        <v>80.599999999999994</v>
      </c>
      <c r="O812">
        <f>ABS(L812-RAVLT_Learning!$C$34)</f>
        <v>6.4249976333110972</v>
      </c>
      <c r="P812">
        <f t="shared" si="14"/>
        <v>80.599999999999994</v>
      </c>
    </row>
    <row r="813" spans="12:16">
      <c r="L813">
        <f>RAVLT_Learning!M813</f>
        <v>0.89541443200000004</v>
      </c>
      <c r="M813">
        <f>RAVLT_Learning!N813</f>
        <v>80.7</v>
      </c>
      <c r="O813">
        <f>ABS(L813-RAVLT_Learning!$C$34)</f>
        <v>6.428765641311097</v>
      </c>
      <c r="P813">
        <f t="shared" si="14"/>
        <v>80.7</v>
      </c>
    </row>
    <row r="814" spans="12:16">
      <c r="L814">
        <f>RAVLT_Learning!M814</f>
        <v>0.899570808000001</v>
      </c>
      <c r="M814">
        <f>RAVLT_Learning!N814</f>
        <v>80.8</v>
      </c>
      <c r="O814">
        <f>ABS(L814-RAVLT_Learning!$C$34)</f>
        <v>6.4329220173110979</v>
      </c>
      <c r="P814">
        <f t="shared" si="14"/>
        <v>80.8</v>
      </c>
    </row>
    <row r="815" spans="12:16">
      <c r="L815">
        <f>RAVLT_Learning!M815</f>
        <v>0.90348014399999999</v>
      </c>
      <c r="M815">
        <f>RAVLT_Learning!N815</f>
        <v>80.900000000000006</v>
      </c>
      <c r="O815">
        <f>ABS(L815-RAVLT_Learning!$C$34)</f>
        <v>6.4368313533110975</v>
      </c>
      <c r="P815">
        <f t="shared" si="14"/>
        <v>80.900000000000006</v>
      </c>
    </row>
    <row r="816" spans="12:16">
      <c r="L816">
        <f>RAVLT_Learning!M816</f>
        <v>0.90687996000000004</v>
      </c>
      <c r="M816">
        <f>RAVLT_Learning!N816</f>
        <v>81</v>
      </c>
      <c r="O816">
        <f>ABS(L816-RAVLT_Learning!$C$34)</f>
        <v>6.4402311693110974</v>
      </c>
      <c r="P816">
        <f t="shared" si="14"/>
        <v>81</v>
      </c>
    </row>
    <row r="817" spans="12:16">
      <c r="L817">
        <f>RAVLT_Learning!M817</f>
        <v>0.91027977599999998</v>
      </c>
      <c r="M817">
        <f>RAVLT_Learning!N817</f>
        <v>81.099999999999994</v>
      </c>
      <c r="O817">
        <f>ABS(L817-RAVLT_Learning!$C$34)</f>
        <v>6.4436309853110973</v>
      </c>
      <c r="P817">
        <f t="shared" si="14"/>
        <v>81.099999999999994</v>
      </c>
    </row>
    <row r="818" spans="12:16">
      <c r="L818">
        <f>RAVLT_Learning!M818</f>
        <v>0.91412069600000001</v>
      </c>
      <c r="M818">
        <f>RAVLT_Learning!N818</f>
        <v>81.2</v>
      </c>
      <c r="O818">
        <f>ABS(L818-RAVLT_Learning!$C$34)</f>
        <v>6.4474719053110974</v>
      </c>
      <c r="P818">
        <f t="shared" si="14"/>
        <v>81.2</v>
      </c>
    </row>
    <row r="819" spans="12:16">
      <c r="L819">
        <f>RAVLT_Learning!M819</f>
        <v>0.91808930399999999</v>
      </c>
      <c r="M819">
        <f>RAVLT_Learning!N819</f>
        <v>81.3</v>
      </c>
      <c r="O819">
        <f>ABS(L819-RAVLT_Learning!$C$34)</f>
        <v>6.4514405133110966</v>
      </c>
      <c r="P819">
        <f t="shared" si="14"/>
        <v>81.3</v>
      </c>
    </row>
    <row r="820" spans="12:16">
      <c r="L820">
        <f>RAVLT_Learning!M820</f>
        <v>0.922821224</v>
      </c>
      <c r="M820">
        <f>RAVLT_Learning!N820</f>
        <v>81.400000000000006</v>
      </c>
      <c r="O820">
        <f>ABS(L820-RAVLT_Learning!$C$34)</f>
        <v>6.4561724333110968</v>
      </c>
      <c r="P820">
        <f t="shared" si="14"/>
        <v>81.400000000000006</v>
      </c>
    </row>
    <row r="821" spans="12:16">
      <c r="L821">
        <f>RAVLT_Learning!M821</f>
        <v>0.93019004000000005</v>
      </c>
      <c r="M821">
        <f>RAVLT_Learning!N821</f>
        <v>81.5</v>
      </c>
      <c r="O821">
        <f>ABS(L821-RAVLT_Learning!$C$34)</f>
        <v>6.4635412493110973</v>
      </c>
      <c r="P821">
        <f t="shared" si="14"/>
        <v>81.5</v>
      </c>
    </row>
    <row r="822" spans="12:16">
      <c r="L822">
        <f>RAVLT_Learning!M822</f>
        <v>0.937558856</v>
      </c>
      <c r="M822">
        <f>RAVLT_Learning!N822</f>
        <v>81.599999999999994</v>
      </c>
      <c r="O822">
        <f>ABS(L822-RAVLT_Learning!$C$34)</f>
        <v>6.4709100653110969</v>
      </c>
      <c r="P822">
        <f t="shared" si="14"/>
        <v>81.599999999999994</v>
      </c>
    </row>
    <row r="823" spans="12:16">
      <c r="L823">
        <f>RAVLT_Learning!M823</f>
        <v>0.94313484800000003</v>
      </c>
      <c r="M823">
        <f>RAVLT_Learning!N823</f>
        <v>81.7</v>
      </c>
      <c r="O823">
        <f>ABS(L823-RAVLT_Learning!$C$34)</f>
        <v>6.4764860573110967</v>
      </c>
      <c r="P823">
        <f t="shared" si="14"/>
        <v>81.7</v>
      </c>
    </row>
    <row r="824" spans="12:16">
      <c r="L824">
        <f>RAVLT_Learning!M824</f>
        <v>0.94784159199999996</v>
      </c>
      <c r="M824">
        <f>RAVLT_Learning!N824</f>
        <v>81.8</v>
      </c>
      <c r="O824">
        <f>ABS(L824-RAVLT_Learning!$C$34)</f>
        <v>6.4811928013110967</v>
      </c>
      <c r="P824">
        <f t="shared" si="14"/>
        <v>81.8</v>
      </c>
    </row>
    <row r="825" spans="12:16">
      <c r="L825">
        <f>RAVLT_Learning!M825</f>
        <v>0.95236286400000003</v>
      </c>
      <c r="M825">
        <f>RAVLT_Learning!N825</f>
        <v>81.900000000000006</v>
      </c>
      <c r="O825">
        <f>ABS(L825-RAVLT_Learning!$C$34)</f>
        <v>6.4857140733110974</v>
      </c>
      <c r="P825">
        <f t="shared" si="14"/>
        <v>81.900000000000006</v>
      </c>
    </row>
    <row r="826" spans="12:16">
      <c r="L826">
        <f>RAVLT_Learning!M826</f>
        <v>0.95555491999999997</v>
      </c>
      <c r="M826">
        <f>RAVLT_Learning!N826</f>
        <v>82</v>
      </c>
      <c r="O826">
        <f>ABS(L826-RAVLT_Learning!$C$34)</f>
        <v>6.488906129311097</v>
      </c>
      <c r="P826">
        <f t="shared" si="14"/>
        <v>82</v>
      </c>
    </row>
    <row r="827" spans="12:16">
      <c r="L827">
        <f>RAVLT_Learning!M827</f>
        <v>0.95874697600000003</v>
      </c>
      <c r="M827">
        <f>RAVLT_Learning!N827</f>
        <v>82.1</v>
      </c>
      <c r="O827">
        <f>ABS(L827-RAVLT_Learning!$C$34)</f>
        <v>6.4920981853110966</v>
      </c>
      <c r="P827">
        <f t="shared" si="14"/>
        <v>82.1</v>
      </c>
    </row>
    <row r="828" spans="12:16">
      <c r="L828">
        <f>RAVLT_Learning!M828</f>
        <v>0.96165029599999996</v>
      </c>
      <c r="M828">
        <f>RAVLT_Learning!N828</f>
        <v>82.2</v>
      </c>
      <c r="O828">
        <f>ABS(L828-RAVLT_Learning!$C$34)</f>
        <v>6.4950015053110972</v>
      </c>
      <c r="P828">
        <f t="shared" si="14"/>
        <v>82.2</v>
      </c>
    </row>
    <row r="829" spans="12:16">
      <c r="L829">
        <f>RAVLT_Learning!M829</f>
        <v>0.96433706399999997</v>
      </c>
      <c r="M829">
        <f>RAVLT_Learning!N829</f>
        <v>82.3</v>
      </c>
      <c r="O829">
        <f>ABS(L829-RAVLT_Learning!$C$34)</f>
        <v>6.4976882733110966</v>
      </c>
      <c r="P829">
        <f t="shared" si="14"/>
        <v>82.3</v>
      </c>
    </row>
    <row r="830" spans="12:16">
      <c r="L830">
        <f>RAVLT_Learning!M830</f>
        <v>0.967099288000001</v>
      </c>
      <c r="M830">
        <f>RAVLT_Learning!N830</f>
        <v>82.4</v>
      </c>
      <c r="O830">
        <f>ABS(L830-RAVLT_Learning!$C$34)</f>
        <v>6.5004504973110979</v>
      </c>
      <c r="P830">
        <f t="shared" si="14"/>
        <v>82.4</v>
      </c>
    </row>
    <row r="831" spans="12:16">
      <c r="L831">
        <f>RAVLT_Learning!M831</f>
        <v>0.973483400000001</v>
      </c>
      <c r="M831">
        <f>RAVLT_Learning!N831</f>
        <v>82.5</v>
      </c>
      <c r="O831">
        <f>ABS(L831-RAVLT_Learning!$C$34)</f>
        <v>6.506834609311098</v>
      </c>
      <c r="P831">
        <f t="shared" si="14"/>
        <v>82.5</v>
      </c>
    </row>
    <row r="832" spans="12:16">
      <c r="L832">
        <f>RAVLT_Learning!M832</f>
        <v>0.979867512</v>
      </c>
      <c r="M832">
        <f>RAVLT_Learning!N832</f>
        <v>82.6</v>
      </c>
      <c r="O832">
        <f>ABS(L832-RAVLT_Learning!$C$34)</f>
        <v>6.5132187213110972</v>
      </c>
      <c r="P832">
        <f t="shared" si="14"/>
        <v>82.6</v>
      </c>
    </row>
    <row r="833" spans="12:16">
      <c r="L833">
        <f>RAVLT_Learning!M833</f>
        <v>0.98852273600000096</v>
      </c>
      <c r="M833">
        <f>RAVLT_Learning!N833</f>
        <v>82.7</v>
      </c>
      <c r="O833">
        <f>ABS(L833-RAVLT_Learning!$C$34)</f>
        <v>6.5218739453110981</v>
      </c>
      <c r="P833">
        <f t="shared" si="14"/>
        <v>82.7</v>
      </c>
    </row>
    <row r="834" spans="12:16">
      <c r="L834">
        <f>RAVLT_Learning!M834</f>
        <v>0.99974530400000094</v>
      </c>
      <c r="M834">
        <f>RAVLT_Learning!N834</f>
        <v>82.8</v>
      </c>
      <c r="O834">
        <f>ABS(L834-RAVLT_Learning!$C$34)</f>
        <v>6.5330965133110981</v>
      </c>
      <c r="P834">
        <f t="shared" si="14"/>
        <v>82.8</v>
      </c>
    </row>
    <row r="835" spans="12:16">
      <c r="L835">
        <f>RAVLT_Learning!M835</f>
        <v>1.0109678719999999</v>
      </c>
      <c r="M835">
        <f>RAVLT_Learning!N835</f>
        <v>82.9</v>
      </c>
      <c r="O835">
        <f>ABS(L835-RAVLT_Learning!$C$34)</f>
        <v>6.5443190813110972</v>
      </c>
      <c r="P835">
        <f t="shared" si="14"/>
        <v>82.9</v>
      </c>
    </row>
    <row r="836" spans="12:16">
      <c r="L836">
        <f>RAVLT_Learning!M836</f>
        <v>1.01308424</v>
      </c>
      <c r="M836">
        <f>RAVLT_Learning!N836</f>
        <v>83</v>
      </c>
      <c r="O836">
        <f>ABS(L836-RAVLT_Learning!$C$34)</f>
        <v>6.5464354493110974</v>
      </c>
      <c r="P836">
        <f t="shared" si="14"/>
        <v>83</v>
      </c>
    </row>
    <row r="837" spans="12:16">
      <c r="L837">
        <f>RAVLT_Learning!M837</f>
        <v>1.014391168</v>
      </c>
      <c r="M837">
        <f>RAVLT_Learning!N837</f>
        <v>83.1</v>
      </c>
      <c r="O837">
        <f>ABS(L837-RAVLT_Learning!$C$34)</f>
        <v>6.5477423773110974</v>
      </c>
      <c r="P837">
        <f t="shared" si="14"/>
        <v>83.1</v>
      </c>
    </row>
    <row r="838" spans="12:16">
      <c r="L838">
        <f>RAVLT_Learning!M838</f>
        <v>1.015974288</v>
      </c>
      <c r="M838">
        <f>RAVLT_Learning!N838</f>
        <v>83.2</v>
      </c>
      <c r="O838">
        <f>ABS(L838-RAVLT_Learning!$C$34)</f>
        <v>6.5493254973110968</v>
      </c>
      <c r="P838">
        <f t="shared" si="14"/>
        <v>83.2</v>
      </c>
    </row>
    <row r="839" spans="12:16">
      <c r="L839">
        <f>RAVLT_Learning!M839</f>
        <v>1.0180330719999999</v>
      </c>
      <c r="M839">
        <f>RAVLT_Learning!N839</f>
        <v>83.3</v>
      </c>
      <c r="O839">
        <f>ABS(L839-RAVLT_Learning!$C$34)</f>
        <v>6.5513842813110967</v>
      </c>
      <c r="P839">
        <f t="shared" si="14"/>
        <v>83.3</v>
      </c>
    </row>
    <row r="840" spans="12:16">
      <c r="L840">
        <f>RAVLT_Learning!M840</f>
        <v>1.0200918560000001</v>
      </c>
      <c r="M840">
        <f>RAVLT_Learning!N840</f>
        <v>83.4</v>
      </c>
      <c r="O840">
        <f>ABS(L840-RAVLT_Learning!$C$34)</f>
        <v>6.5534430653110967</v>
      </c>
      <c r="P840">
        <f t="shared" si="14"/>
        <v>83.4</v>
      </c>
    </row>
    <row r="841" spans="12:16">
      <c r="L841">
        <f>RAVLT_Learning!M841</f>
        <v>1.0237375200000001</v>
      </c>
      <c r="M841">
        <f>RAVLT_Learning!N841</f>
        <v>83.5</v>
      </c>
      <c r="O841">
        <f>ABS(L841-RAVLT_Learning!$C$34)</f>
        <v>6.5570887293110971</v>
      </c>
      <c r="P841">
        <f t="shared" si="14"/>
        <v>83.5</v>
      </c>
    </row>
    <row r="842" spans="12:16">
      <c r="L842">
        <f>RAVLT_Learning!M842</f>
        <v>1.027740232</v>
      </c>
      <c r="M842">
        <f>RAVLT_Learning!N842</f>
        <v>83.6</v>
      </c>
      <c r="O842">
        <f>ABS(L842-RAVLT_Learning!$C$34)</f>
        <v>6.5610914413110972</v>
      </c>
      <c r="P842">
        <f t="shared" si="14"/>
        <v>83.6</v>
      </c>
    </row>
    <row r="843" spans="12:16">
      <c r="L843">
        <f>RAVLT_Learning!M843</f>
        <v>1.0323352240000001</v>
      </c>
      <c r="M843">
        <f>RAVLT_Learning!N843</f>
        <v>83.7</v>
      </c>
      <c r="O843">
        <f>ABS(L843-RAVLT_Learning!$C$34)</f>
        <v>6.5656864333110967</v>
      </c>
      <c r="P843">
        <f t="shared" si="14"/>
        <v>83.7</v>
      </c>
    </row>
    <row r="844" spans="12:16">
      <c r="L844">
        <f>RAVLT_Learning!M844</f>
        <v>1.038570376</v>
      </c>
      <c r="M844">
        <f>RAVLT_Learning!N844</f>
        <v>83.8</v>
      </c>
      <c r="O844">
        <f>ABS(L844-RAVLT_Learning!$C$34)</f>
        <v>6.571921585311097</v>
      </c>
      <c r="P844">
        <f t="shared" si="14"/>
        <v>83.8</v>
      </c>
    </row>
    <row r="845" spans="12:16">
      <c r="L845">
        <f>RAVLT_Learning!M845</f>
        <v>1.0448055279999999</v>
      </c>
      <c r="M845">
        <f>RAVLT_Learning!N845</f>
        <v>83.9</v>
      </c>
      <c r="O845">
        <f>ABS(L845-RAVLT_Learning!$C$34)</f>
        <v>6.5781567373110974</v>
      </c>
      <c r="P845">
        <f t="shared" si="14"/>
        <v>83.9</v>
      </c>
    </row>
    <row r="846" spans="12:16">
      <c r="L846">
        <f>RAVLT_Learning!M846</f>
        <v>1.0513134</v>
      </c>
      <c r="M846">
        <f>RAVLT_Learning!N846</f>
        <v>84</v>
      </c>
      <c r="O846">
        <f>ABS(L846-RAVLT_Learning!$C$34)</f>
        <v>6.5846646093110968</v>
      </c>
      <c r="P846">
        <f t="shared" si="14"/>
        <v>84</v>
      </c>
    </row>
    <row r="847" spans="12:16">
      <c r="L847">
        <f>RAVLT_Learning!M847</f>
        <v>1.0579303600000001</v>
      </c>
      <c r="M847">
        <f>RAVLT_Learning!N847</f>
        <v>84.1</v>
      </c>
      <c r="O847">
        <f>ABS(L847-RAVLT_Learning!$C$34)</f>
        <v>6.5912815693110973</v>
      </c>
      <c r="P847">
        <f t="shared" si="14"/>
        <v>84.1</v>
      </c>
    </row>
    <row r="848" spans="12:16">
      <c r="L848">
        <f>RAVLT_Learning!M848</f>
        <v>1.0639299120000001</v>
      </c>
      <c r="M848">
        <f>RAVLT_Learning!N848</f>
        <v>84.2</v>
      </c>
      <c r="O848">
        <f>ABS(L848-RAVLT_Learning!$C$34)</f>
        <v>6.5972811213110969</v>
      </c>
      <c r="P848">
        <f t="shared" si="14"/>
        <v>84.2</v>
      </c>
    </row>
    <row r="849" spans="12:16">
      <c r="L849">
        <f>RAVLT_Learning!M849</f>
        <v>1.0667652480000001</v>
      </c>
      <c r="M849">
        <f>RAVLT_Learning!N849</f>
        <v>84.3</v>
      </c>
      <c r="O849">
        <f>ABS(L849-RAVLT_Learning!$C$34)</f>
        <v>6.6001164573110973</v>
      </c>
      <c r="P849">
        <f t="shared" si="14"/>
        <v>84.3</v>
      </c>
    </row>
    <row r="850" spans="12:16">
      <c r="L850">
        <f>RAVLT_Learning!M850</f>
        <v>1.069600584</v>
      </c>
      <c r="M850">
        <f>RAVLT_Learning!N850</f>
        <v>84.4</v>
      </c>
      <c r="O850">
        <f>ABS(L850-RAVLT_Learning!$C$34)</f>
        <v>6.6029517933110968</v>
      </c>
      <c r="P850">
        <f t="shared" si="14"/>
        <v>84.4</v>
      </c>
    </row>
    <row r="851" spans="12:16">
      <c r="L851">
        <f>RAVLT_Learning!M851</f>
        <v>1.0877064000000001</v>
      </c>
      <c r="M851">
        <f>RAVLT_Learning!N851</f>
        <v>84.5</v>
      </c>
      <c r="O851">
        <f>ABS(L851-RAVLT_Learning!$C$34)</f>
        <v>6.6210576093110971</v>
      </c>
      <c r="P851">
        <f t="shared" si="14"/>
        <v>84.5</v>
      </c>
    </row>
    <row r="852" spans="12:16">
      <c r="L852">
        <f>RAVLT_Learning!M852</f>
        <v>1.11548352</v>
      </c>
      <c r="M852">
        <f>RAVLT_Learning!N852</f>
        <v>84.6</v>
      </c>
      <c r="O852">
        <f>ABS(L852-RAVLT_Learning!$C$34)</f>
        <v>6.6488347293110968</v>
      </c>
      <c r="P852">
        <f t="shared" si="14"/>
        <v>84.6</v>
      </c>
    </row>
    <row r="853" spans="12:16">
      <c r="L853">
        <f>RAVLT_Learning!M853</f>
        <v>1.1421047280000001</v>
      </c>
      <c r="M853">
        <f>RAVLT_Learning!N853</f>
        <v>84.7</v>
      </c>
      <c r="O853">
        <f>ABS(L853-RAVLT_Learning!$C$34)</f>
        <v>6.6754559373110975</v>
      </c>
      <c r="P853">
        <f t="shared" si="14"/>
        <v>84.7</v>
      </c>
    </row>
    <row r="854" spans="12:16">
      <c r="L854">
        <f>RAVLT_Learning!M854</f>
        <v>1.1510019520000001</v>
      </c>
      <c r="M854">
        <f>RAVLT_Learning!N854</f>
        <v>84.8</v>
      </c>
      <c r="O854">
        <f>ABS(L854-RAVLT_Learning!$C$34)</f>
        <v>6.6843531613110976</v>
      </c>
      <c r="P854">
        <f t="shared" si="14"/>
        <v>84.8</v>
      </c>
    </row>
    <row r="855" spans="12:16">
      <c r="L855">
        <f>RAVLT_Learning!M855</f>
        <v>1.1598991759999999</v>
      </c>
      <c r="M855">
        <f>RAVLT_Learning!N855</f>
        <v>84.9</v>
      </c>
      <c r="O855">
        <f>ABS(L855-RAVLT_Learning!$C$34)</f>
        <v>6.6932503853110967</v>
      </c>
      <c r="P855">
        <f t="shared" si="14"/>
        <v>84.9</v>
      </c>
    </row>
    <row r="856" spans="12:16">
      <c r="L856">
        <f>RAVLT_Learning!M856</f>
        <v>1.1679206</v>
      </c>
      <c r="M856">
        <f>RAVLT_Learning!N856</f>
        <v>85</v>
      </c>
      <c r="O856">
        <f>ABS(L856-RAVLT_Learning!$C$34)</f>
        <v>6.7012718093110966</v>
      </c>
      <c r="P856">
        <f t="shared" si="14"/>
        <v>85</v>
      </c>
    </row>
    <row r="857" spans="12:16">
      <c r="L857">
        <f>RAVLT_Learning!M857</f>
        <v>1.175101256</v>
      </c>
      <c r="M857">
        <f>RAVLT_Learning!N857</f>
        <v>85.1</v>
      </c>
      <c r="O857">
        <f>ABS(L857-RAVLT_Learning!$C$34)</f>
        <v>6.7084524653110975</v>
      </c>
      <c r="P857">
        <f t="shared" si="14"/>
        <v>85.1</v>
      </c>
    </row>
    <row r="858" spans="12:16">
      <c r="L858">
        <f>RAVLT_Learning!M858</f>
        <v>1.1822819120000001</v>
      </c>
      <c r="M858">
        <f>RAVLT_Learning!N858</f>
        <v>85.2</v>
      </c>
      <c r="O858">
        <f>ABS(L858-RAVLT_Learning!$C$34)</f>
        <v>6.7156331213110967</v>
      </c>
      <c r="P858">
        <f t="shared" si="14"/>
        <v>85.2</v>
      </c>
    </row>
    <row r="859" spans="12:16">
      <c r="L859">
        <f>RAVLT_Learning!M859</f>
        <v>1.1851280399999999</v>
      </c>
      <c r="M859">
        <f>RAVLT_Learning!N859</f>
        <v>85.3</v>
      </c>
      <c r="O859">
        <f>ABS(L859-RAVLT_Learning!$C$34)</f>
        <v>6.7184792493110965</v>
      </c>
      <c r="P859">
        <f t="shared" si="14"/>
        <v>85.3</v>
      </c>
    </row>
    <row r="860" spans="12:16">
      <c r="L860">
        <f>RAVLT_Learning!M860</f>
        <v>1.18778972</v>
      </c>
      <c r="M860">
        <f>RAVLT_Learning!N860</f>
        <v>85.4</v>
      </c>
      <c r="O860">
        <f>ABS(L860-RAVLT_Learning!$C$34)</f>
        <v>6.7211409293110975</v>
      </c>
      <c r="P860">
        <f t="shared" si="14"/>
        <v>85.4</v>
      </c>
    </row>
    <row r="861" spans="12:16">
      <c r="L861">
        <f>RAVLT_Learning!M861</f>
        <v>1.189365</v>
      </c>
      <c r="M861">
        <f>RAVLT_Learning!N861</f>
        <v>85.5</v>
      </c>
      <c r="O861">
        <f>ABS(L861-RAVLT_Learning!$C$34)</f>
        <v>6.7227162093110966</v>
      </c>
      <c r="P861">
        <f t="shared" si="14"/>
        <v>85.5</v>
      </c>
    </row>
    <row r="862" spans="12:16">
      <c r="L862">
        <f>RAVLT_Learning!M862</f>
        <v>1.189365</v>
      </c>
      <c r="M862">
        <f>RAVLT_Learning!N862</f>
        <v>85.6</v>
      </c>
      <c r="O862">
        <f>ABS(L862-RAVLT_Learning!$C$34)</f>
        <v>6.7227162093110966</v>
      </c>
      <c r="P862">
        <f t="shared" si="14"/>
        <v>85.6</v>
      </c>
    </row>
    <row r="863" spans="12:16">
      <c r="L863">
        <f>RAVLT_Learning!M863</f>
        <v>1.189365</v>
      </c>
      <c r="M863">
        <f>RAVLT_Learning!N863</f>
        <v>85.7</v>
      </c>
      <c r="O863">
        <f>ABS(L863-RAVLT_Learning!$C$34)</f>
        <v>6.7227162093110966</v>
      </c>
      <c r="P863">
        <f t="shared" si="14"/>
        <v>85.7</v>
      </c>
    </row>
    <row r="864" spans="12:16">
      <c r="L864">
        <f>RAVLT_Learning!M864</f>
        <v>1.1972892239999999</v>
      </c>
      <c r="M864">
        <f>RAVLT_Learning!N864</f>
        <v>85.8</v>
      </c>
      <c r="O864">
        <f>ABS(L864-RAVLT_Learning!$C$34)</f>
        <v>6.7306404333110965</v>
      </c>
      <c r="P864">
        <f t="shared" si="14"/>
        <v>85.8</v>
      </c>
    </row>
    <row r="865" spans="12:16">
      <c r="L865">
        <f>RAVLT_Learning!M865</f>
        <v>1.2065341519999999</v>
      </c>
      <c r="M865">
        <f>RAVLT_Learning!N865</f>
        <v>85.9</v>
      </c>
      <c r="O865">
        <f>ABS(L865-RAVLT_Learning!$C$34)</f>
        <v>6.7398853613110967</v>
      </c>
      <c r="P865">
        <f t="shared" si="14"/>
        <v>85.9</v>
      </c>
    </row>
    <row r="866" spans="12:16">
      <c r="L866">
        <f>RAVLT_Learning!M866</f>
        <v>1.2193158399999999</v>
      </c>
      <c r="M866">
        <f>RAVLT_Learning!N866</f>
        <v>86</v>
      </c>
      <c r="O866">
        <f>ABS(L866-RAVLT_Learning!$C$34)</f>
        <v>6.7526670493110972</v>
      </c>
      <c r="P866">
        <f t="shared" si="14"/>
        <v>86</v>
      </c>
    </row>
    <row r="867" spans="12:16">
      <c r="L867">
        <f>RAVLT_Learning!M867</f>
        <v>1.2401141840000001</v>
      </c>
      <c r="M867">
        <f>RAVLT_Learning!N867</f>
        <v>86.1</v>
      </c>
      <c r="O867">
        <f>ABS(L867-RAVLT_Learning!$C$34)</f>
        <v>6.7734653933110973</v>
      </c>
      <c r="P867">
        <f t="shared" si="14"/>
        <v>86.1</v>
      </c>
    </row>
    <row r="868" spans="12:16">
      <c r="L868">
        <f>RAVLT_Learning!M868</f>
        <v>1.260912528</v>
      </c>
      <c r="M868">
        <f>RAVLT_Learning!N868</f>
        <v>86.2</v>
      </c>
      <c r="O868">
        <f>ABS(L868-RAVLT_Learning!$C$34)</f>
        <v>6.7942637373110966</v>
      </c>
      <c r="P868">
        <f t="shared" si="14"/>
        <v>86.2</v>
      </c>
    </row>
    <row r="869" spans="12:16">
      <c r="L869">
        <f>RAVLT_Learning!M869</f>
        <v>1.269134424</v>
      </c>
      <c r="M869">
        <f>RAVLT_Learning!N869</f>
        <v>86.3</v>
      </c>
      <c r="O869">
        <f>ABS(L869-RAVLT_Learning!$C$34)</f>
        <v>6.8024856333110968</v>
      </c>
      <c r="P869">
        <f t="shared" si="14"/>
        <v>86.3</v>
      </c>
    </row>
    <row r="870" spans="12:16">
      <c r="L870">
        <f>RAVLT_Learning!M870</f>
        <v>1.273277472</v>
      </c>
      <c r="M870">
        <f>RAVLT_Learning!N870</f>
        <v>86.4</v>
      </c>
      <c r="O870">
        <f>ABS(L870-RAVLT_Learning!$C$34)</f>
        <v>6.8066286813110972</v>
      </c>
      <c r="P870">
        <f t="shared" si="14"/>
        <v>86.4</v>
      </c>
    </row>
    <row r="871" spans="12:16">
      <c r="L871">
        <f>RAVLT_Learning!M871</f>
        <v>1.2772029199999999</v>
      </c>
      <c r="M871">
        <f>RAVLT_Learning!N871</f>
        <v>86.5</v>
      </c>
      <c r="O871">
        <f>ABS(L871-RAVLT_Learning!$C$34)</f>
        <v>6.8105541293110967</v>
      </c>
      <c r="P871">
        <f t="shared" si="14"/>
        <v>86.5</v>
      </c>
    </row>
    <row r="872" spans="12:16">
      <c r="L872">
        <f>RAVLT_Learning!M872</f>
        <v>1.280279728</v>
      </c>
      <c r="M872">
        <f>RAVLT_Learning!N872</f>
        <v>86.6</v>
      </c>
      <c r="O872">
        <f>ABS(L872-RAVLT_Learning!$C$34)</f>
        <v>6.813630937311097</v>
      </c>
      <c r="P872">
        <f t="shared" si="14"/>
        <v>86.6</v>
      </c>
    </row>
    <row r="873" spans="12:16">
      <c r="L873">
        <f>RAVLT_Learning!M873</f>
        <v>1.2833565360000001</v>
      </c>
      <c r="M873">
        <f>RAVLT_Learning!N873</f>
        <v>86.7</v>
      </c>
      <c r="O873">
        <f>ABS(L873-RAVLT_Learning!$C$34)</f>
        <v>6.8167077453110974</v>
      </c>
      <c r="P873">
        <f t="shared" ref="P873:P936" si="15">M873</f>
        <v>86.7</v>
      </c>
    </row>
    <row r="874" spans="12:16">
      <c r="L874">
        <f>RAVLT_Learning!M874</f>
        <v>1.286757696</v>
      </c>
      <c r="M874">
        <f>RAVLT_Learning!N874</f>
        <v>86.8</v>
      </c>
      <c r="O874">
        <f>ABS(L874-RAVLT_Learning!$C$34)</f>
        <v>6.8201089053110966</v>
      </c>
      <c r="P874">
        <f t="shared" si="15"/>
        <v>86.8</v>
      </c>
    </row>
    <row r="875" spans="12:16">
      <c r="L875">
        <f>RAVLT_Learning!M875</f>
        <v>1.290331168</v>
      </c>
      <c r="M875">
        <f>RAVLT_Learning!N875</f>
        <v>86.9</v>
      </c>
      <c r="O875">
        <f>ABS(L875-RAVLT_Learning!$C$34)</f>
        <v>6.8236823773110968</v>
      </c>
      <c r="P875">
        <f t="shared" si="15"/>
        <v>86.9</v>
      </c>
    </row>
    <row r="876" spans="12:16">
      <c r="L876">
        <f>RAVLT_Learning!M876</f>
        <v>1.2940646</v>
      </c>
      <c r="M876">
        <f>RAVLT_Learning!N876</f>
        <v>87</v>
      </c>
      <c r="O876">
        <f>ABS(L876-RAVLT_Learning!$C$34)</f>
        <v>6.8274158093110966</v>
      </c>
      <c r="P876">
        <f t="shared" si="15"/>
        <v>87</v>
      </c>
    </row>
    <row r="877" spans="12:16">
      <c r="L877">
        <f>RAVLT_Learning!M877</f>
        <v>1.29920568</v>
      </c>
      <c r="M877">
        <f>RAVLT_Learning!N877</f>
        <v>87.1</v>
      </c>
      <c r="O877">
        <f>ABS(L877-RAVLT_Learning!$C$34)</f>
        <v>6.8325568893110971</v>
      </c>
      <c r="P877">
        <f t="shared" si="15"/>
        <v>87.1</v>
      </c>
    </row>
    <row r="878" spans="12:16">
      <c r="L878">
        <f>RAVLT_Learning!M878</f>
        <v>1.30434676</v>
      </c>
      <c r="M878">
        <f>RAVLT_Learning!N878</f>
        <v>87.2</v>
      </c>
      <c r="O878">
        <f>ABS(L878-RAVLT_Learning!$C$34)</f>
        <v>6.8376979693110975</v>
      </c>
      <c r="P878">
        <f t="shared" si="15"/>
        <v>87.2</v>
      </c>
    </row>
    <row r="879" spans="12:16">
      <c r="L879">
        <f>RAVLT_Learning!M879</f>
        <v>1.3108082480000001</v>
      </c>
      <c r="M879">
        <f>RAVLT_Learning!N879</f>
        <v>87.3</v>
      </c>
      <c r="O879">
        <f>ABS(L879-RAVLT_Learning!$C$34)</f>
        <v>6.8441594573110969</v>
      </c>
      <c r="P879">
        <f t="shared" si="15"/>
        <v>87.3</v>
      </c>
    </row>
    <row r="880" spans="12:16">
      <c r="L880">
        <f>RAVLT_Learning!M880</f>
        <v>1.318345624</v>
      </c>
      <c r="M880">
        <f>RAVLT_Learning!N880</f>
        <v>87.4</v>
      </c>
      <c r="O880">
        <f>ABS(L880-RAVLT_Learning!$C$34)</f>
        <v>6.851696833311097</v>
      </c>
      <c r="P880">
        <f t="shared" si="15"/>
        <v>87.4</v>
      </c>
    </row>
    <row r="881" spans="12:16">
      <c r="L881">
        <f>RAVLT_Learning!M881</f>
        <v>1.3258829999999999</v>
      </c>
      <c r="M881">
        <f>RAVLT_Learning!N881</f>
        <v>87.5</v>
      </c>
      <c r="O881">
        <f>ABS(L881-RAVLT_Learning!$C$34)</f>
        <v>6.8592342093110972</v>
      </c>
      <c r="P881">
        <f t="shared" si="15"/>
        <v>87.5</v>
      </c>
    </row>
    <row r="882" spans="12:16">
      <c r="L882">
        <f>RAVLT_Learning!M882</f>
        <v>1.3273776960000001</v>
      </c>
      <c r="M882">
        <f>RAVLT_Learning!N882</f>
        <v>87.6</v>
      </c>
      <c r="O882">
        <f>ABS(L882-RAVLT_Learning!$C$34)</f>
        <v>6.8607289053110971</v>
      </c>
      <c r="P882">
        <f t="shared" si="15"/>
        <v>87.6</v>
      </c>
    </row>
    <row r="883" spans="12:16">
      <c r="L883">
        <f>RAVLT_Learning!M883</f>
        <v>1.3288723920000001</v>
      </c>
      <c r="M883">
        <f>RAVLT_Learning!N883</f>
        <v>87.7</v>
      </c>
      <c r="O883">
        <f>ABS(L883-RAVLT_Learning!$C$34)</f>
        <v>6.8622236013110971</v>
      </c>
      <c r="P883">
        <f t="shared" si="15"/>
        <v>87.7</v>
      </c>
    </row>
    <row r="884" spans="12:16">
      <c r="L884">
        <f>RAVLT_Learning!M884</f>
        <v>1.330111536</v>
      </c>
      <c r="M884">
        <f>RAVLT_Learning!N884</f>
        <v>87.8</v>
      </c>
      <c r="O884">
        <f>ABS(L884-RAVLT_Learning!$C$34)</f>
        <v>6.8634627453110966</v>
      </c>
      <c r="P884">
        <f t="shared" si="15"/>
        <v>87.8</v>
      </c>
    </row>
    <row r="885" spans="12:16">
      <c r="L885">
        <f>RAVLT_Learning!M885</f>
        <v>1.331037048</v>
      </c>
      <c r="M885">
        <f>RAVLT_Learning!N885</f>
        <v>87.9</v>
      </c>
      <c r="O885">
        <f>ABS(L885-RAVLT_Learning!$C$34)</f>
        <v>6.8643882573110968</v>
      </c>
      <c r="P885">
        <f t="shared" si="15"/>
        <v>87.9</v>
      </c>
    </row>
    <row r="886" spans="12:16">
      <c r="L886">
        <f>RAVLT_Learning!M886</f>
        <v>1.33196256</v>
      </c>
      <c r="M886">
        <f>RAVLT_Learning!N886</f>
        <v>88</v>
      </c>
      <c r="O886">
        <f>ABS(L886-RAVLT_Learning!$C$34)</f>
        <v>6.865313769311097</v>
      </c>
      <c r="P886">
        <f t="shared" si="15"/>
        <v>88</v>
      </c>
    </row>
    <row r="887" spans="12:16">
      <c r="L887">
        <f>RAVLT_Learning!M887</f>
        <v>1.348244424</v>
      </c>
      <c r="M887">
        <f>RAVLT_Learning!N887</f>
        <v>88.1</v>
      </c>
      <c r="O887">
        <f>ABS(L887-RAVLT_Learning!$C$34)</f>
        <v>6.8815956333110968</v>
      </c>
      <c r="P887">
        <f t="shared" si="15"/>
        <v>88.1</v>
      </c>
    </row>
    <row r="888" spans="12:16">
      <c r="L888">
        <f>RAVLT_Learning!M888</f>
        <v>1.3662713280000001</v>
      </c>
      <c r="M888">
        <f>RAVLT_Learning!N888</f>
        <v>88.2</v>
      </c>
      <c r="O888">
        <f>ABS(L888-RAVLT_Learning!$C$34)</f>
        <v>6.8996225373110969</v>
      </c>
      <c r="P888">
        <f t="shared" si="15"/>
        <v>88.2</v>
      </c>
    </row>
    <row r="889" spans="12:16">
      <c r="L889">
        <f>RAVLT_Learning!M889</f>
        <v>1.378621184</v>
      </c>
      <c r="M889">
        <f>RAVLT_Learning!N889</f>
        <v>88.3</v>
      </c>
      <c r="O889">
        <f>ABS(L889-RAVLT_Learning!$C$34)</f>
        <v>6.911972393311097</v>
      </c>
      <c r="P889">
        <f t="shared" si="15"/>
        <v>88.3</v>
      </c>
    </row>
    <row r="890" spans="12:16">
      <c r="L890">
        <f>RAVLT_Learning!M890</f>
        <v>1.3802848320000001</v>
      </c>
      <c r="M890">
        <f>RAVLT_Learning!N890</f>
        <v>88.4</v>
      </c>
      <c r="O890">
        <f>ABS(L890-RAVLT_Learning!$C$34)</f>
        <v>6.9136360413110971</v>
      </c>
      <c r="P890">
        <f t="shared" si="15"/>
        <v>88.4</v>
      </c>
    </row>
    <row r="891" spans="12:16">
      <c r="L891">
        <f>RAVLT_Learning!M891</f>
        <v>1.3819484799999999</v>
      </c>
      <c r="M891">
        <f>RAVLT_Learning!N891</f>
        <v>88.5</v>
      </c>
      <c r="O891">
        <f>ABS(L891-RAVLT_Learning!$C$34)</f>
        <v>6.9152996893110972</v>
      </c>
      <c r="P891">
        <f t="shared" si="15"/>
        <v>88.5</v>
      </c>
    </row>
    <row r="892" spans="12:16">
      <c r="L892">
        <f>RAVLT_Learning!M892</f>
        <v>1.38245336</v>
      </c>
      <c r="M892">
        <f>RAVLT_Learning!N892</f>
        <v>88.6</v>
      </c>
      <c r="O892">
        <f>ABS(L892-RAVLT_Learning!$C$34)</f>
        <v>6.9158045693110974</v>
      </c>
      <c r="P892">
        <f t="shared" si="15"/>
        <v>88.6</v>
      </c>
    </row>
    <row r="893" spans="12:16">
      <c r="L893">
        <f>RAVLT_Learning!M893</f>
        <v>1.3826611200000001</v>
      </c>
      <c r="M893">
        <f>RAVLT_Learning!N893</f>
        <v>88.7</v>
      </c>
      <c r="O893">
        <f>ABS(L893-RAVLT_Learning!$C$34)</f>
        <v>6.9160123293110969</v>
      </c>
      <c r="P893">
        <f t="shared" si="15"/>
        <v>88.7</v>
      </c>
    </row>
    <row r="894" spans="12:16">
      <c r="L894">
        <f>RAVLT_Learning!M894</f>
        <v>1.3840674399999999</v>
      </c>
      <c r="M894">
        <f>RAVLT_Learning!N894</f>
        <v>88.8</v>
      </c>
      <c r="O894">
        <f>ABS(L894-RAVLT_Learning!$C$34)</f>
        <v>6.917418649311097</v>
      </c>
      <c r="P894">
        <f t="shared" si="15"/>
        <v>88.8</v>
      </c>
    </row>
    <row r="895" spans="12:16">
      <c r="L895">
        <f>RAVLT_Learning!M895</f>
        <v>1.3891693199999999</v>
      </c>
      <c r="M895">
        <f>RAVLT_Learning!N895</f>
        <v>88.9</v>
      </c>
      <c r="O895">
        <f>ABS(L895-RAVLT_Learning!$C$34)</f>
        <v>6.9225205293110967</v>
      </c>
      <c r="P895">
        <f t="shared" si="15"/>
        <v>88.9</v>
      </c>
    </row>
    <row r="896" spans="12:16">
      <c r="L896">
        <f>RAVLT_Learning!M896</f>
        <v>1.3942711999999999</v>
      </c>
      <c r="M896">
        <f>RAVLT_Learning!N896</f>
        <v>89</v>
      </c>
      <c r="O896">
        <f>ABS(L896-RAVLT_Learning!$C$34)</f>
        <v>6.9276224093110965</v>
      </c>
      <c r="P896">
        <f t="shared" si="15"/>
        <v>89</v>
      </c>
    </row>
    <row r="897" spans="12:16">
      <c r="L897">
        <f>RAVLT_Learning!M897</f>
        <v>1.3975359919999999</v>
      </c>
      <c r="M897">
        <f>RAVLT_Learning!N897</f>
        <v>89.1</v>
      </c>
      <c r="O897">
        <f>ABS(L897-RAVLT_Learning!$C$34)</f>
        <v>6.9308872013110969</v>
      </c>
      <c r="P897">
        <f t="shared" si="15"/>
        <v>89.1</v>
      </c>
    </row>
    <row r="898" spans="12:16">
      <c r="L898">
        <f>RAVLT_Learning!M898</f>
        <v>1.3999903039999999</v>
      </c>
      <c r="M898">
        <f>RAVLT_Learning!N898</f>
        <v>89.2</v>
      </c>
      <c r="O898">
        <f>ABS(L898-RAVLT_Learning!$C$34)</f>
        <v>6.9333415133110972</v>
      </c>
      <c r="P898">
        <f t="shared" si="15"/>
        <v>89.2</v>
      </c>
    </row>
    <row r="899" spans="12:16">
      <c r="L899">
        <f>RAVLT_Learning!M899</f>
        <v>1.402550008</v>
      </c>
      <c r="M899">
        <f>RAVLT_Learning!N899</f>
        <v>89.3</v>
      </c>
      <c r="O899">
        <f>ABS(L899-RAVLT_Learning!$C$34)</f>
        <v>6.9359012173110965</v>
      </c>
      <c r="P899">
        <f t="shared" si="15"/>
        <v>89.3</v>
      </c>
    </row>
    <row r="900" spans="12:16">
      <c r="L900">
        <f>RAVLT_Learning!M900</f>
        <v>1.405742064</v>
      </c>
      <c r="M900">
        <f>RAVLT_Learning!N900</f>
        <v>89.4</v>
      </c>
      <c r="O900">
        <f>ABS(L900-RAVLT_Learning!$C$34)</f>
        <v>6.939093273311097</v>
      </c>
      <c r="P900">
        <f t="shared" si="15"/>
        <v>89.4</v>
      </c>
    </row>
    <row r="901" spans="12:16">
      <c r="L901">
        <f>RAVLT_Learning!M901</f>
        <v>1.4089341200000001</v>
      </c>
      <c r="M901">
        <f>RAVLT_Learning!N901</f>
        <v>89.5</v>
      </c>
      <c r="O901">
        <f>ABS(L901-RAVLT_Learning!$C$34)</f>
        <v>6.9422853293110975</v>
      </c>
      <c r="P901">
        <f t="shared" si="15"/>
        <v>89.5</v>
      </c>
    </row>
    <row r="902" spans="12:16">
      <c r="L902">
        <f>RAVLT_Learning!M902</f>
        <v>1.410359728</v>
      </c>
      <c r="M902">
        <f>RAVLT_Learning!N902</f>
        <v>89.6</v>
      </c>
      <c r="O902">
        <f>ABS(L902-RAVLT_Learning!$C$34)</f>
        <v>6.9437109373110975</v>
      </c>
      <c r="P902">
        <f t="shared" si="15"/>
        <v>89.6</v>
      </c>
    </row>
    <row r="903" spans="12:16">
      <c r="L903">
        <f>RAVLT_Learning!M903</f>
        <v>1.4105670960000001</v>
      </c>
      <c r="M903">
        <f>RAVLT_Learning!N903</f>
        <v>89.7</v>
      </c>
      <c r="O903">
        <f>ABS(L903-RAVLT_Learning!$C$34)</f>
        <v>6.9439183053110973</v>
      </c>
      <c r="P903">
        <f t="shared" si="15"/>
        <v>89.7</v>
      </c>
    </row>
    <row r="904" spans="12:16">
      <c r="L904">
        <f>RAVLT_Learning!M904</f>
        <v>1.4108656159999999</v>
      </c>
      <c r="M904">
        <f>RAVLT_Learning!N904</f>
        <v>89.8</v>
      </c>
      <c r="O904">
        <f>ABS(L904-RAVLT_Learning!$C$34)</f>
        <v>6.9442168253110967</v>
      </c>
      <c r="P904">
        <f t="shared" si="15"/>
        <v>89.8</v>
      </c>
    </row>
    <row r="905" spans="12:16">
      <c r="L905">
        <f>RAVLT_Learning!M905</f>
        <v>1.4133062080000001</v>
      </c>
      <c r="M905">
        <f>RAVLT_Learning!N905</f>
        <v>89.9</v>
      </c>
      <c r="O905">
        <f>ABS(L905-RAVLT_Learning!$C$34)</f>
        <v>6.9466574173110969</v>
      </c>
      <c r="P905">
        <f t="shared" si="15"/>
        <v>89.9</v>
      </c>
    </row>
    <row r="906" spans="12:16">
      <c r="L906">
        <f>RAVLT_Learning!M906</f>
        <v>1.4157468</v>
      </c>
      <c r="M906">
        <f>RAVLT_Learning!N906</f>
        <v>90</v>
      </c>
      <c r="O906">
        <f>ABS(L906-RAVLT_Learning!$C$34)</f>
        <v>6.949098009311097</v>
      </c>
      <c r="P906">
        <f t="shared" si="15"/>
        <v>90</v>
      </c>
    </row>
    <row r="907" spans="12:16">
      <c r="L907">
        <f>RAVLT_Learning!M907</f>
        <v>1.4171855360000001</v>
      </c>
      <c r="M907">
        <f>RAVLT_Learning!N907</f>
        <v>90.1</v>
      </c>
      <c r="O907">
        <f>ABS(L907-RAVLT_Learning!$C$34)</f>
        <v>6.9505367453110969</v>
      </c>
      <c r="P907">
        <f t="shared" si="15"/>
        <v>90.1</v>
      </c>
    </row>
    <row r="908" spans="12:16">
      <c r="L908">
        <f>RAVLT_Learning!M908</f>
        <v>1.4175806719999999</v>
      </c>
      <c r="M908">
        <f>RAVLT_Learning!N908</f>
        <v>90.2</v>
      </c>
      <c r="O908">
        <f>ABS(L908-RAVLT_Learning!$C$34)</f>
        <v>6.9509318813110967</v>
      </c>
      <c r="P908">
        <f t="shared" si="15"/>
        <v>90.2</v>
      </c>
    </row>
    <row r="909" spans="12:16">
      <c r="L909">
        <f>RAVLT_Learning!M909</f>
        <v>1.417975808</v>
      </c>
      <c r="M909">
        <f>RAVLT_Learning!N909</f>
        <v>90.3</v>
      </c>
      <c r="O909">
        <f>ABS(L909-RAVLT_Learning!$C$34)</f>
        <v>6.9513270173110975</v>
      </c>
      <c r="P909">
        <f t="shared" si="15"/>
        <v>90.3</v>
      </c>
    </row>
    <row r="910" spans="12:16">
      <c r="L910">
        <f>RAVLT_Learning!M910</f>
        <v>1.4190638879999999</v>
      </c>
      <c r="M910">
        <f>RAVLT_Learning!N910</f>
        <v>90.4</v>
      </c>
      <c r="O910">
        <f>ABS(L910-RAVLT_Learning!$C$34)</f>
        <v>6.9524150973110972</v>
      </c>
      <c r="P910">
        <f t="shared" si="15"/>
        <v>90.4</v>
      </c>
    </row>
    <row r="911" spans="12:16">
      <c r="L911">
        <f>RAVLT_Learning!M911</f>
        <v>1.4201971600000001</v>
      </c>
      <c r="M911">
        <f>RAVLT_Learning!N911</f>
        <v>90.5</v>
      </c>
      <c r="O911">
        <f>ABS(L911-RAVLT_Learning!$C$34)</f>
        <v>6.9535483693110969</v>
      </c>
      <c r="P911">
        <f t="shared" si="15"/>
        <v>90.5</v>
      </c>
    </row>
    <row r="912" spans="12:16">
      <c r="L912">
        <f>RAVLT_Learning!M912</f>
        <v>1.4216316959999999</v>
      </c>
      <c r="M912">
        <f>RAVLT_Learning!N912</f>
        <v>90.6</v>
      </c>
      <c r="O912">
        <f>ABS(L912-RAVLT_Learning!$C$34)</f>
        <v>6.9549829053110965</v>
      </c>
      <c r="P912">
        <f t="shared" si="15"/>
        <v>90.6</v>
      </c>
    </row>
    <row r="913" spans="12:16">
      <c r="L913">
        <f>RAVLT_Learning!M913</f>
        <v>1.4235419119999999</v>
      </c>
      <c r="M913">
        <f>RAVLT_Learning!N913</f>
        <v>90.7</v>
      </c>
      <c r="O913">
        <f>ABS(L913-RAVLT_Learning!$C$34)</f>
        <v>6.9568931213110972</v>
      </c>
      <c r="P913">
        <f t="shared" si="15"/>
        <v>90.7</v>
      </c>
    </row>
    <row r="914" spans="12:16">
      <c r="L914">
        <f>RAVLT_Learning!M914</f>
        <v>1.4254521280000001</v>
      </c>
      <c r="M914">
        <f>RAVLT_Learning!N914</f>
        <v>90.8</v>
      </c>
      <c r="O914">
        <f>ABS(L914-RAVLT_Learning!$C$34)</f>
        <v>6.9588033373110969</v>
      </c>
      <c r="P914">
        <f t="shared" si="15"/>
        <v>90.8</v>
      </c>
    </row>
    <row r="915" spans="12:16">
      <c r="L915">
        <f>RAVLT_Learning!M915</f>
        <v>1.425937512</v>
      </c>
      <c r="M915">
        <f>RAVLT_Learning!N915</f>
        <v>90.9</v>
      </c>
      <c r="O915">
        <f>ABS(L915-RAVLT_Learning!$C$34)</f>
        <v>6.959288721311097</v>
      </c>
      <c r="P915">
        <f t="shared" si="15"/>
        <v>90.9</v>
      </c>
    </row>
    <row r="916" spans="12:16">
      <c r="L916">
        <f>RAVLT_Learning!M916</f>
        <v>1.4261448800000001</v>
      </c>
      <c r="M916">
        <f>RAVLT_Learning!N916</f>
        <v>91</v>
      </c>
      <c r="O916">
        <f>ABS(L916-RAVLT_Learning!$C$34)</f>
        <v>6.9594960893110969</v>
      </c>
      <c r="P916">
        <f t="shared" si="15"/>
        <v>91</v>
      </c>
    </row>
    <row r="917" spans="12:16">
      <c r="L917">
        <f>RAVLT_Learning!M917</f>
        <v>1.426649608</v>
      </c>
      <c r="M917">
        <f>RAVLT_Learning!N917</f>
        <v>91.1</v>
      </c>
      <c r="O917">
        <f>ABS(L917-RAVLT_Learning!$C$34)</f>
        <v>6.960000817311097</v>
      </c>
      <c r="P917">
        <f t="shared" si="15"/>
        <v>91.1</v>
      </c>
    </row>
    <row r="918" spans="12:16">
      <c r="L918">
        <f>RAVLT_Learning!M918</f>
        <v>1.427897736</v>
      </c>
      <c r="M918">
        <f>RAVLT_Learning!N918</f>
        <v>91.2</v>
      </c>
      <c r="O918">
        <f>ABS(L918-RAVLT_Learning!$C$34)</f>
        <v>6.9612489453110973</v>
      </c>
      <c r="P918">
        <f t="shared" si="15"/>
        <v>91.2</v>
      </c>
    </row>
    <row r="919" spans="12:16">
      <c r="L919">
        <f>RAVLT_Learning!M919</f>
        <v>1.4291458640000001</v>
      </c>
      <c r="M919">
        <f>RAVLT_Learning!N919</f>
        <v>91.3</v>
      </c>
      <c r="O919">
        <f>ABS(L919-RAVLT_Learning!$C$34)</f>
        <v>6.9624970733110967</v>
      </c>
      <c r="P919">
        <f t="shared" si="15"/>
        <v>91.3</v>
      </c>
    </row>
    <row r="920" spans="12:16">
      <c r="L920">
        <f>RAVLT_Learning!M920</f>
        <v>1.431185704</v>
      </c>
      <c r="M920">
        <f>RAVLT_Learning!N920</f>
        <v>91.4</v>
      </c>
      <c r="O920">
        <f>ABS(L920-RAVLT_Learning!$C$34)</f>
        <v>6.9645369133110968</v>
      </c>
      <c r="P920">
        <f t="shared" si="15"/>
        <v>91.4</v>
      </c>
    </row>
    <row r="921" spans="12:16">
      <c r="L921">
        <f>RAVLT_Learning!M921</f>
        <v>1.43351144</v>
      </c>
      <c r="M921">
        <f>RAVLT_Learning!N921</f>
        <v>91.5</v>
      </c>
      <c r="O921">
        <f>ABS(L921-RAVLT_Learning!$C$34)</f>
        <v>6.9668626493110972</v>
      </c>
      <c r="P921">
        <f t="shared" si="15"/>
        <v>91.5</v>
      </c>
    </row>
    <row r="922" spans="12:16">
      <c r="L922">
        <f>RAVLT_Learning!M922</f>
        <v>1.4384294639999999</v>
      </c>
      <c r="M922">
        <f>RAVLT_Learning!N922</f>
        <v>91.6</v>
      </c>
      <c r="O922">
        <f>ABS(L922-RAVLT_Learning!$C$34)</f>
        <v>6.9717806733110965</v>
      </c>
      <c r="P922">
        <f t="shared" si="15"/>
        <v>91.6</v>
      </c>
    </row>
    <row r="923" spans="12:16">
      <c r="L923">
        <f>RAVLT_Learning!M923</f>
        <v>1.4548687680000001</v>
      </c>
      <c r="M923">
        <f>RAVLT_Learning!N923</f>
        <v>91.7</v>
      </c>
      <c r="O923">
        <f>ABS(L923-RAVLT_Learning!$C$34)</f>
        <v>6.9882199773110969</v>
      </c>
      <c r="P923">
        <f t="shared" si="15"/>
        <v>91.7</v>
      </c>
    </row>
    <row r="924" spans="12:16">
      <c r="L924">
        <f>RAVLT_Learning!M924</f>
        <v>1.471308072</v>
      </c>
      <c r="M924">
        <f>RAVLT_Learning!N924</f>
        <v>91.8</v>
      </c>
      <c r="O924">
        <f>ABS(L924-RAVLT_Learning!$C$34)</f>
        <v>7.0046592813110973</v>
      </c>
      <c r="P924">
        <f t="shared" si="15"/>
        <v>91.8</v>
      </c>
    </row>
    <row r="925" spans="12:16">
      <c r="L925">
        <f>RAVLT_Learning!M925</f>
        <v>1.4783139519999999</v>
      </c>
      <c r="M925">
        <f>RAVLT_Learning!N925</f>
        <v>91.9</v>
      </c>
      <c r="O925">
        <f>ABS(L925-RAVLT_Learning!$C$34)</f>
        <v>7.0116651613110967</v>
      </c>
      <c r="P925">
        <f t="shared" si="15"/>
        <v>91.9</v>
      </c>
    </row>
    <row r="926" spans="12:16">
      <c r="L926">
        <f>RAVLT_Learning!M926</f>
        <v>1.4798423599999999</v>
      </c>
      <c r="M926">
        <f>RAVLT_Learning!N926</f>
        <v>92</v>
      </c>
      <c r="O926">
        <f>ABS(L926-RAVLT_Learning!$C$34)</f>
        <v>7.0131935693110972</v>
      </c>
      <c r="P926">
        <f t="shared" si="15"/>
        <v>92</v>
      </c>
    </row>
    <row r="927" spans="12:16">
      <c r="L927">
        <f>RAVLT_Learning!M927</f>
        <v>1.482063664</v>
      </c>
      <c r="M927">
        <f>RAVLT_Learning!N927</f>
        <v>92.1</v>
      </c>
      <c r="O927">
        <f>ABS(L927-RAVLT_Learning!$C$34)</f>
        <v>7.015414873311097</v>
      </c>
      <c r="P927">
        <f t="shared" si="15"/>
        <v>92.1</v>
      </c>
    </row>
    <row r="928" spans="12:16">
      <c r="L928">
        <f>RAVLT_Learning!M928</f>
        <v>1.492080048</v>
      </c>
      <c r="M928">
        <f>RAVLT_Learning!N928</f>
        <v>92.2</v>
      </c>
      <c r="O928">
        <f>ABS(L928-RAVLT_Learning!$C$34)</f>
        <v>7.0254312573110971</v>
      </c>
      <c r="P928">
        <f t="shared" si="15"/>
        <v>92.2</v>
      </c>
    </row>
    <row r="929" spans="12:16">
      <c r="L929">
        <f>RAVLT_Learning!M929</f>
        <v>1.5020964320000001</v>
      </c>
      <c r="M929">
        <f>RAVLT_Learning!N929</f>
        <v>92.3</v>
      </c>
      <c r="O929">
        <f>ABS(L929-RAVLT_Learning!$C$34)</f>
        <v>7.0354476413110971</v>
      </c>
      <c r="P929">
        <f t="shared" si="15"/>
        <v>92.3</v>
      </c>
    </row>
    <row r="930" spans="12:16">
      <c r="L930">
        <f>RAVLT_Learning!M930</f>
        <v>1.507399328</v>
      </c>
      <c r="M930">
        <f>RAVLT_Learning!N930</f>
        <v>92.4</v>
      </c>
      <c r="O930">
        <f>ABS(L930-RAVLT_Learning!$C$34)</f>
        <v>7.040750537311097</v>
      </c>
      <c r="P930">
        <f t="shared" si="15"/>
        <v>92.4</v>
      </c>
    </row>
    <row r="931" spans="12:16">
      <c r="L931">
        <f>RAVLT_Learning!M931</f>
        <v>1.5085325999999999</v>
      </c>
      <c r="M931">
        <f>RAVLT_Learning!N931</f>
        <v>92.5</v>
      </c>
      <c r="O931">
        <f>ABS(L931-RAVLT_Learning!$C$34)</f>
        <v>7.0418838093110967</v>
      </c>
      <c r="P931">
        <f t="shared" si="15"/>
        <v>92.5</v>
      </c>
    </row>
    <row r="932" spans="12:16">
      <c r="L932">
        <f>RAVLT_Learning!M932</f>
        <v>1.509665872</v>
      </c>
      <c r="M932">
        <f>RAVLT_Learning!N932</f>
        <v>92.6</v>
      </c>
      <c r="O932">
        <f>ABS(L932-RAVLT_Learning!$C$34)</f>
        <v>7.0430170813110973</v>
      </c>
      <c r="P932">
        <f t="shared" si="15"/>
        <v>92.6</v>
      </c>
    </row>
    <row r="933" spans="12:16">
      <c r="L933">
        <f>RAVLT_Learning!M933</f>
        <v>1.5115602319999999</v>
      </c>
      <c r="M933">
        <f>RAVLT_Learning!N933</f>
        <v>92.7</v>
      </c>
      <c r="O933">
        <f>ABS(L933-RAVLT_Learning!$C$34)</f>
        <v>7.0449114413110969</v>
      </c>
      <c r="P933">
        <f t="shared" si="15"/>
        <v>92.7</v>
      </c>
    </row>
    <row r="934" spans="12:16">
      <c r="L934">
        <f>RAVLT_Learning!M934</f>
        <v>1.5134704480000001</v>
      </c>
      <c r="M934">
        <f>RAVLT_Learning!N934</f>
        <v>92.8</v>
      </c>
      <c r="O934">
        <f>ABS(L934-RAVLT_Learning!$C$34)</f>
        <v>7.0468216573110976</v>
      </c>
      <c r="P934">
        <f t="shared" si="15"/>
        <v>92.8</v>
      </c>
    </row>
    <row r="935" spans="12:16">
      <c r="L935">
        <f>RAVLT_Learning!M935</f>
        <v>1.516163208</v>
      </c>
      <c r="M935">
        <f>RAVLT_Learning!N935</f>
        <v>92.9</v>
      </c>
      <c r="O935">
        <f>ABS(L935-RAVLT_Learning!$C$34)</f>
        <v>7.0495144173110971</v>
      </c>
      <c r="P935">
        <f t="shared" si="15"/>
        <v>92.9</v>
      </c>
    </row>
    <row r="936" spans="12:16">
      <c r="L936">
        <f>RAVLT_Learning!M936</f>
        <v>1.5198993599999999</v>
      </c>
      <c r="M936">
        <f>RAVLT_Learning!N936</f>
        <v>93</v>
      </c>
      <c r="O936">
        <f>ABS(L936-RAVLT_Learning!$C$34)</f>
        <v>7.0532505693110972</v>
      </c>
      <c r="P936">
        <f t="shared" si="15"/>
        <v>93</v>
      </c>
    </row>
    <row r="937" spans="12:16">
      <c r="L937">
        <f>RAVLT_Learning!M937</f>
        <v>1.523635512</v>
      </c>
      <c r="M937">
        <f>RAVLT_Learning!N937</f>
        <v>93.1</v>
      </c>
      <c r="O937">
        <f>ABS(L937-RAVLT_Learning!$C$34)</f>
        <v>7.0569867213110973</v>
      </c>
      <c r="P937">
        <f t="shared" ref="P937:P1000" si="16">M937</f>
        <v>93.1</v>
      </c>
    </row>
    <row r="938" spans="12:16">
      <c r="L938">
        <f>RAVLT_Learning!M938</f>
        <v>1.542832056</v>
      </c>
      <c r="M938">
        <f>RAVLT_Learning!N938</f>
        <v>93.2</v>
      </c>
      <c r="O938">
        <f>ABS(L938-RAVLT_Learning!$C$34)</f>
        <v>7.076183265311097</v>
      </c>
      <c r="P938">
        <f t="shared" si="16"/>
        <v>93.2</v>
      </c>
    </row>
    <row r="939" spans="12:16">
      <c r="L939">
        <f>RAVLT_Learning!M939</f>
        <v>1.5641858639999999</v>
      </c>
      <c r="M939">
        <f>RAVLT_Learning!N939</f>
        <v>93.3</v>
      </c>
      <c r="O939">
        <f>ABS(L939-RAVLT_Learning!$C$34)</f>
        <v>7.0975370733110967</v>
      </c>
      <c r="P939">
        <f t="shared" si="16"/>
        <v>93.3</v>
      </c>
    </row>
    <row r="940" spans="12:16">
      <c r="L940">
        <f>RAVLT_Learning!M940</f>
        <v>1.5823495279999999</v>
      </c>
      <c r="M940">
        <f>RAVLT_Learning!N940</f>
        <v>93.4</v>
      </c>
      <c r="O940">
        <f>ABS(L940-RAVLT_Learning!$C$34)</f>
        <v>7.115700737311097</v>
      </c>
      <c r="P940">
        <f t="shared" si="16"/>
        <v>93.4</v>
      </c>
    </row>
    <row r="941" spans="12:16">
      <c r="L941">
        <f>RAVLT_Learning!M941</f>
        <v>1.59393352</v>
      </c>
      <c r="M941">
        <f>RAVLT_Learning!N941</f>
        <v>93.5</v>
      </c>
      <c r="O941">
        <f>ABS(L941-RAVLT_Learning!$C$34)</f>
        <v>7.1272847293110972</v>
      </c>
      <c r="P941">
        <f t="shared" si="16"/>
        <v>93.5</v>
      </c>
    </row>
    <row r="942" spans="12:16">
      <c r="L942">
        <f>RAVLT_Learning!M942</f>
        <v>1.605517512</v>
      </c>
      <c r="M942">
        <f>RAVLT_Learning!N942</f>
        <v>93.6</v>
      </c>
      <c r="O942">
        <f>ABS(L942-RAVLT_Learning!$C$34)</f>
        <v>7.1388687213110966</v>
      </c>
      <c r="P942">
        <f t="shared" si="16"/>
        <v>93.6</v>
      </c>
    </row>
    <row r="943" spans="12:16">
      <c r="L943">
        <f>RAVLT_Learning!M943</f>
        <v>1.613245568</v>
      </c>
      <c r="M943">
        <f>RAVLT_Learning!N943</f>
        <v>93.7</v>
      </c>
      <c r="O943">
        <f>ABS(L943-RAVLT_Learning!$C$34)</f>
        <v>7.146596777311097</v>
      </c>
      <c r="P943">
        <f t="shared" si="16"/>
        <v>93.7</v>
      </c>
    </row>
    <row r="944" spans="12:16">
      <c r="L944">
        <f>RAVLT_Learning!M944</f>
        <v>1.6198574320000001</v>
      </c>
      <c r="M944">
        <f>RAVLT_Learning!N944</f>
        <v>93.8</v>
      </c>
      <c r="O944">
        <f>ABS(L944-RAVLT_Learning!$C$34)</f>
        <v>7.1532086413110969</v>
      </c>
      <c r="P944">
        <f t="shared" si="16"/>
        <v>93.8</v>
      </c>
    </row>
    <row r="945" spans="12:16">
      <c r="L945">
        <f>RAVLT_Learning!M945</f>
        <v>1.6251127759999999</v>
      </c>
      <c r="M945">
        <f>RAVLT_Learning!N945</f>
        <v>93.9</v>
      </c>
      <c r="O945">
        <f>ABS(L945-RAVLT_Learning!$C$34)</f>
        <v>7.158463985311097</v>
      </c>
      <c r="P945">
        <f t="shared" si="16"/>
        <v>93.9</v>
      </c>
    </row>
    <row r="946" spans="12:16">
      <c r="L946">
        <f>RAVLT_Learning!M946</f>
        <v>1.6256819600000001</v>
      </c>
      <c r="M946">
        <f>RAVLT_Learning!N946</f>
        <v>94</v>
      </c>
      <c r="O946">
        <f>ABS(L946-RAVLT_Learning!$C$34)</f>
        <v>7.1590331693110976</v>
      </c>
      <c r="P946">
        <f t="shared" si="16"/>
        <v>94</v>
      </c>
    </row>
    <row r="947" spans="12:16">
      <c r="L947">
        <f>RAVLT_Learning!M947</f>
        <v>1.626251144</v>
      </c>
      <c r="M947">
        <f>RAVLT_Learning!N947</f>
        <v>94.1</v>
      </c>
      <c r="O947">
        <f>ABS(L947-RAVLT_Learning!$C$34)</f>
        <v>7.1596023533110973</v>
      </c>
      <c r="P947">
        <f t="shared" si="16"/>
        <v>94.1</v>
      </c>
    </row>
    <row r="948" spans="12:16">
      <c r="L948">
        <f>RAVLT_Learning!M948</f>
        <v>1.6284468320000001</v>
      </c>
      <c r="M948">
        <f>RAVLT_Learning!N948</f>
        <v>94.2</v>
      </c>
      <c r="O948">
        <f>ABS(L948-RAVLT_Learning!$C$34)</f>
        <v>7.1617980413110969</v>
      </c>
      <c r="P948">
        <f t="shared" si="16"/>
        <v>94.2</v>
      </c>
    </row>
    <row r="949" spans="12:16">
      <c r="L949">
        <f>RAVLT_Learning!M949</f>
        <v>1.631431128</v>
      </c>
      <c r="M949">
        <f>RAVLT_Learning!N949</f>
        <v>94.3</v>
      </c>
      <c r="O949">
        <f>ABS(L949-RAVLT_Learning!$C$34)</f>
        <v>7.164782337311097</v>
      </c>
      <c r="P949">
        <f t="shared" si="16"/>
        <v>94.3</v>
      </c>
    </row>
    <row r="950" spans="12:16">
      <c r="L950">
        <f>RAVLT_Learning!M950</f>
        <v>1.6374371679999999</v>
      </c>
      <c r="M950">
        <f>RAVLT_Learning!N950</f>
        <v>94.4</v>
      </c>
      <c r="O950">
        <f>ABS(L950-RAVLT_Learning!$C$34)</f>
        <v>7.170788377311097</v>
      </c>
      <c r="P950">
        <f t="shared" si="16"/>
        <v>94.4</v>
      </c>
    </row>
    <row r="951" spans="12:16">
      <c r="L951">
        <f>RAVLT_Learning!M951</f>
        <v>1.6650990400000001</v>
      </c>
      <c r="M951">
        <f>RAVLT_Learning!N951</f>
        <v>94.5</v>
      </c>
      <c r="O951">
        <f>ABS(L951-RAVLT_Learning!$C$34)</f>
        <v>7.1984502493110973</v>
      </c>
      <c r="P951">
        <f t="shared" si="16"/>
        <v>94.5</v>
      </c>
    </row>
    <row r="952" spans="12:16">
      <c r="L952">
        <f>RAVLT_Learning!M952</f>
        <v>1.692760912</v>
      </c>
      <c r="M952">
        <f>RAVLT_Learning!N952</f>
        <v>94.6</v>
      </c>
      <c r="O952">
        <f>ABS(L952-RAVLT_Learning!$C$34)</f>
        <v>7.2261121213110968</v>
      </c>
      <c r="P952">
        <f t="shared" si="16"/>
        <v>94.6</v>
      </c>
    </row>
    <row r="953" spans="12:16">
      <c r="L953">
        <f>RAVLT_Learning!M953</f>
        <v>1.70968064</v>
      </c>
      <c r="M953">
        <f>RAVLT_Learning!N953</f>
        <v>94.7</v>
      </c>
      <c r="O953">
        <f>ABS(L953-RAVLT_Learning!$C$34)</f>
        <v>7.2430318493110972</v>
      </c>
      <c r="P953">
        <f t="shared" si="16"/>
        <v>94.7</v>
      </c>
    </row>
    <row r="954" spans="12:16">
      <c r="L954">
        <f>RAVLT_Learning!M954</f>
        <v>1.71854376</v>
      </c>
      <c r="M954">
        <f>RAVLT_Learning!N954</f>
        <v>94.8</v>
      </c>
      <c r="O954">
        <f>ABS(L954-RAVLT_Learning!$C$34)</f>
        <v>7.2518949693110972</v>
      </c>
      <c r="P954">
        <f t="shared" si="16"/>
        <v>94.8</v>
      </c>
    </row>
    <row r="955" spans="12:16">
      <c r="L955">
        <f>RAVLT_Learning!M955</f>
        <v>1.72768492</v>
      </c>
      <c r="M955">
        <f>RAVLT_Learning!N955</f>
        <v>94.9</v>
      </c>
      <c r="O955">
        <f>ABS(L955-RAVLT_Learning!$C$34)</f>
        <v>7.2610361293110968</v>
      </c>
      <c r="P955">
        <f t="shared" si="16"/>
        <v>94.9</v>
      </c>
    </row>
    <row r="956" spans="12:16">
      <c r="L956">
        <f>RAVLT_Learning!M956</f>
        <v>1.7501720000000001</v>
      </c>
      <c r="M956">
        <f>RAVLT_Learning!N956</f>
        <v>95</v>
      </c>
      <c r="O956">
        <f>ABS(L956-RAVLT_Learning!$C$34)</f>
        <v>7.2835232093110971</v>
      </c>
      <c r="P956">
        <f t="shared" si="16"/>
        <v>95</v>
      </c>
    </row>
    <row r="957" spans="12:16">
      <c r="L957">
        <f>RAVLT_Learning!M957</f>
        <v>1.7726590799999999</v>
      </c>
      <c r="M957">
        <f>RAVLT_Learning!N957</f>
        <v>95.1</v>
      </c>
      <c r="O957">
        <f>ABS(L957-RAVLT_Learning!$C$34)</f>
        <v>7.3060102893110965</v>
      </c>
      <c r="P957">
        <f t="shared" si="16"/>
        <v>95.1</v>
      </c>
    </row>
    <row r="958" spans="12:16">
      <c r="L958">
        <f>RAVLT_Learning!M958</f>
        <v>1.7860195759999999</v>
      </c>
      <c r="M958">
        <f>RAVLT_Learning!N958</f>
        <v>95.2</v>
      </c>
      <c r="O958">
        <f>ABS(L958-RAVLT_Learning!$C$34)</f>
        <v>7.3193707853110972</v>
      </c>
      <c r="P958">
        <f t="shared" si="16"/>
        <v>95.2</v>
      </c>
    </row>
    <row r="959" spans="12:16">
      <c r="L959">
        <f>RAVLT_Learning!M959</f>
        <v>1.789063064</v>
      </c>
      <c r="M959">
        <f>RAVLT_Learning!N959</f>
        <v>95.3</v>
      </c>
      <c r="O959">
        <f>ABS(L959-RAVLT_Learning!$C$34)</f>
        <v>7.3224142733110966</v>
      </c>
      <c r="P959">
        <f t="shared" si="16"/>
        <v>95.3</v>
      </c>
    </row>
    <row r="960" spans="12:16">
      <c r="L960">
        <f>RAVLT_Learning!M960</f>
        <v>1.7921065519999999</v>
      </c>
      <c r="M960">
        <f>RAVLT_Learning!N960</f>
        <v>95.4</v>
      </c>
      <c r="O960">
        <f>ABS(L960-RAVLT_Learning!$C$34)</f>
        <v>7.3254577613110969</v>
      </c>
      <c r="P960">
        <f t="shared" si="16"/>
        <v>95.4</v>
      </c>
    </row>
    <row r="961" spans="12:16">
      <c r="L961">
        <f>RAVLT_Learning!M961</f>
        <v>1.80972464</v>
      </c>
      <c r="M961">
        <f>RAVLT_Learning!N961</f>
        <v>95.5</v>
      </c>
      <c r="O961">
        <f>ABS(L961-RAVLT_Learning!$C$34)</f>
        <v>7.3430758493110968</v>
      </c>
      <c r="P961">
        <f t="shared" si="16"/>
        <v>95.5</v>
      </c>
    </row>
    <row r="962" spans="12:16">
      <c r="L962">
        <f>RAVLT_Learning!M962</f>
        <v>1.8286382480000001</v>
      </c>
      <c r="M962">
        <f>RAVLT_Learning!N962</f>
        <v>95.6</v>
      </c>
      <c r="O962">
        <f>ABS(L962-RAVLT_Learning!$C$34)</f>
        <v>7.3619894573110969</v>
      </c>
      <c r="P962">
        <f t="shared" si="16"/>
        <v>95.6</v>
      </c>
    </row>
    <row r="963" spans="12:16">
      <c r="L963">
        <f>RAVLT_Learning!M963</f>
        <v>1.841374544</v>
      </c>
      <c r="M963">
        <f>RAVLT_Learning!N963</f>
        <v>95.7</v>
      </c>
      <c r="O963">
        <f>ABS(L963-RAVLT_Learning!$C$34)</f>
        <v>7.3747257533110968</v>
      </c>
      <c r="P963">
        <f t="shared" si="16"/>
        <v>95.7</v>
      </c>
    </row>
    <row r="964" spans="12:16">
      <c r="L964">
        <f>RAVLT_Learning!M964</f>
        <v>1.8434721359999999</v>
      </c>
      <c r="M964">
        <f>RAVLT_Learning!N964</f>
        <v>95.8</v>
      </c>
      <c r="O964">
        <f>ABS(L964-RAVLT_Learning!$C$34)</f>
        <v>7.376823345311097</v>
      </c>
      <c r="P964">
        <f t="shared" si="16"/>
        <v>95.8</v>
      </c>
    </row>
    <row r="965" spans="12:16">
      <c r="L965">
        <f>RAVLT_Learning!M965</f>
        <v>1.8455697280000001</v>
      </c>
      <c r="M965">
        <f>RAVLT_Learning!N965</f>
        <v>95.9</v>
      </c>
      <c r="O965">
        <f>ABS(L965-RAVLT_Learning!$C$34)</f>
        <v>7.3789209373110971</v>
      </c>
      <c r="P965">
        <f t="shared" si="16"/>
        <v>95.9</v>
      </c>
    </row>
    <row r="966" spans="12:16">
      <c r="L966">
        <f>RAVLT_Learning!M966</f>
        <v>1.84899372</v>
      </c>
      <c r="M966">
        <f>RAVLT_Learning!N966</f>
        <v>96</v>
      </c>
      <c r="O966">
        <f>ABS(L966-RAVLT_Learning!$C$34)</f>
        <v>7.3823449293110972</v>
      </c>
      <c r="P966">
        <f t="shared" si="16"/>
        <v>96</v>
      </c>
    </row>
    <row r="967" spans="12:16">
      <c r="L967">
        <f>RAVLT_Learning!M967</f>
        <v>1.8527161519999999</v>
      </c>
      <c r="M967">
        <f>RAVLT_Learning!N967</f>
        <v>96.1</v>
      </c>
      <c r="O967">
        <f>ABS(L967-RAVLT_Learning!$C$34)</f>
        <v>7.3860673613110972</v>
      </c>
      <c r="P967">
        <f t="shared" si="16"/>
        <v>96.1</v>
      </c>
    </row>
    <row r="968" spans="12:16">
      <c r="L968">
        <f>RAVLT_Learning!M968</f>
        <v>1.85615716</v>
      </c>
      <c r="M968">
        <f>RAVLT_Learning!N968</f>
        <v>96.2</v>
      </c>
      <c r="O968">
        <f>ABS(L968-RAVLT_Learning!$C$34)</f>
        <v>7.3895083693110966</v>
      </c>
      <c r="P968">
        <f t="shared" si="16"/>
        <v>96.2</v>
      </c>
    </row>
    <row r="969" spans="12:16">
      <c r="L969">
        <f>RAVLT_Learning!M969</f>
        <v>1.8588188400000001</v>
      </c>
      <c r="M969">
        <f>RAVLT_Learning!N969</f>
        <v>96.3</v>
      </c>
      <c r="O969">
        <f>ABS(L969-RAVLT_Learning!$C$34)</f>
        <v>7.3921700493110976</v>
      </c>
      <c r="P969">
        <f t="shared" si="16"/>
        <v>96.3</v>
      </c>
    </row>
    <row r="970" spans="12:16">
      <c r="L970">
        <f>RAVLT_Learning!M970</f>
        <v>1.86148052</v>
      </c>
      <c r="M970">
        <f>RAVLT_Learning!N970</f>
        <v>96.4</v>
      </c>
      <c r="O970">
        <f>ABS(L970-RAVLT_Learning!$C$34)</f>
        <v>7.3948317293110968</v>
      </c>
      <c r="P970">
        <f t="shared" si="16"/>
        <v>96.4</v>
      </c>
    </row>
    <row r="971" spans="12:16">
      <c r="L971">
        <f>RAVLT_Learning!M971</f>
        <v>1.8823962400000001</v>
      </c>
      <c r="M971">
        <f>RAVLT_Learning!N971</f>
        <v>96.5</v>
      </c>
      <c r="O971">
        <f>ABS(L971-RAVLT_Learning!$C$34)</f>
        <v>7.4157474493110973</v>
      </c>
      <c r="P971">
        <f t="shared" si="16"/>
        <v>96.5</v>
      </c>
    </row>
    <row r="972" spans="12:16">
      <c r="L972">
        <f>RAVLT_Learning!M972</f>
        <v>1.910613576</v>
      </c>
      <c r="M972">
        <f>RAVLT_Learning!N972</f>
        <v>96.6</v>
      </c>
      <c r="O972">
        <f>ABS(L972-RAVLT_Learning!$C$34)</f>
        <v>7.4439647853110973</v>
      </c>
      <c r="P972">
        <f t="shared" si="16"/>
        <v>96.6</v>
      </c>
    </row>
    <row r="973" spans="12:16">
      <c r="L973">
        <f>RAVLT_Learning!M973</f>
        <v>1.93669376</v>
      </c>
      <c r="M973">
        <f>RAVLT_Learning!N973</f>
        <v>96.7</v>
      </c>
      <c r="O973">
        <f>ABS(L973-RAVLT_Learning!$C$34)</f>
        <v>7.4700449693110968</v>
      </c>
      <c r="P973">
        <f t="shared" si="16"/>
        <v>96.7</v>
      </c>
    </row>
    <row r="974" spans="12:16">
      <c r="L974">
        <f>RAVLT_Learning!M974</f>
        <v>1.95182104</v>
      </c>
      <c r="M974">
        <f>RAVLT_Learning!N974</f>
        <v>96.8</v>
      </c>
      <c r="O974">
        <f>ABS(L974-RAVLT_Learning!$C$34)</f>
        <v>7.4851722493110966</v>
      </c>
      <c r="P974">
        <f t="shared" si="16"/>
        <v>96.8</v>
      </c>
    </row>
    <row r="975" spans="12:16">
      <c r="L975">
        <f>RAVLT_Learning!M975</f>
        <v>1.96694832</v>
      </c>
      <c r="M975">
        <f>RAVLT_Learning!N975</f>
        <v>96.9</v>
      </c>
      <c r="O975">
        <f>ABS(L975-RAVLT_Learning!$C$34)</f>
        <v>7.5002995293110972</v>
      </c>
      <c r="P975">
        <f t="shared" si="16"/>
        <v>96.9</v>
      </c>
    </row>
    <row r="976" spans="12:16">
      <c r="L976">
        <f>RAVLT_Learning!M976</f>
        <v>1.98691784</v>
      </c>
      <c r="M976">
        <f>RAVLT_Learning!N976</f>
        <v>97</v>
      </c>
      <c r="O976">
        <f>ABS(L976-RAVLT_Learning!$C$34)</f>
        <v>7.5202690493110973</v>
      </c>
      <c r="P976">
        <f t="shared" si="16"/>
        <v>97</v>
      </c>
    </row>
    <row r="977" spans="12:16">
      <c r="L977">
        <f>RAVLT_Learning!M977</f>
        <v>2.009954112</v>
      </c>
      <c r="M977">
        <f>RAVLT_Learning!N977</f>
        <v>97.1</v>
      </c>
      <c r="O977">
        <f>ABS(L977-RAVLT_Learning!$C$34)</f>
        <v>7.543305321311097</v>
      </c>
      <c r="P977">
        <f t="shared" si="16"/>
        <v>97.1</v>
      </c>
    </row>
    <row r="978" spans="12:16">
      <c r="L978">
        <f>RAVLT_Learning!M978</f>
        <v>2.0316402880000002</v>
      </c>
      <c r="M978">
        <f>RAVLT_Learning!N978</f>
        <v>97.2</v>
      </c>
      <c r="O978">
        <f>ABS(L978-RAVLT_Learning!$C$34)</f>
        <v>7.5649914973110972</v>
      </c>
      <c r="P978">
        <f t="shared" si="16"/>
        <v>97.2</v>
      </c>
    </row>
    <row r="979" spans="12:16">
      <c r="L979">
        <f>RAVLT_Learning!M979</f>
        <v>2.0326249920000001</v>
      </c>
      <c r="M979">
        <f>RAVLT_Learning!N979</f>
        <v>97.3</v>
      </c>
      <c r="O979">
        <f>ABS(L979-RAVLT_Learning!$C$34)</f>
        <v>7.5659762013110967</v>
      </c>
      <c r="P979">
        <f t="shared" si="16"/>
        <v>97.3</v>
      </c>
    </row>
    <row r="980" spans="12:16">
      <c r="L980">
        <f>RAVLT_Learning!M980</f>
        <v>2.0336096960000001</v>
      </c>
      <c r="M980">
        <f>RAVLT_Learning!N980</f>
        <v>97.4</v>
      </c>
      <c r="O980">
        <f>ABS(L980-RAVLT_Learning!$C$34)</f>
        <v>7.5669609053110971</v>
      </c>
      <c r="P980">
        <f t="shared" si="16"/>
        <v>97.4</v>
      </c>
    </row>
    <row r="981" spans="12:16">
      <c r="L981">
        <f>RAVLT_Learning!M981</f>
        <v>2.0381217999999999</v>
      </c>
      <c r="M981">
        <f>RAVLT_Learning!N981</f>
        <v>97.5</v>
      </c>
      <c r="O981">
        <f>ABS(L981-RAVLT_Learning!$C$34)</f>
        <v>7.5714730093110969</v>
      </c>
      <c r="P981">
        <f t="shared" si="16"/>
        <v>97.5</v>
      </c>
    </row>
    <row r="982" spans="12:16">
      <c r="L982">
        <f>RAVLT_Learning!M982</f>
        <v>2.0460202079999998</v>
      </c>
      <c r="M982">
        <f>RAVLT_Learning!N982</f>
        <v>97.6</v>
      </c>
      <c r="O982">
        <f>ABS(L982-RAVLT_Learning!$C$34)</f>
        <v>7.5793714173110969</v>
      </c>
      <c r="P982">
        <f t="shared" si="16"/>
        <v>97.6</v>
      </c>
    </row>
    <row r="983" spans="12:16">
      <c r="L983">
        <f>RAVLT_Learning!M983</f>
        <v>2.0539186159999998</v>
      </c>
      <c r="M983">
        <f>RAVLT_Learning!N983</f>
        <v>97.7</v>
      </c>
      <c r="O983">
        <f>ABS(L983-RAVLT_Learning!$C$34)</f>
        <v>7.5872698253110968</v>
      </c>
      <c r="P983">
        <f t="shared" si="16"/>
        <v>97.7</v>
      </c>
    </row>
    <row r="984" spans="12:16">
      <c r="L984">
        <f>RAVLT_Learning!M984</f>
        <v>2.0542977759999999</v>
      </c>
      <c r="M984">
        <f>RAVLT_Learning!N984</f>
        <v>97.8</v>
      </c>
      <c r="O984">
        <f>ABS(L984-RAVLT_Learning!$C$34)</f>
        <v>7.5876489853110964</v>
      </c>
      <c r="P984">
        <f t="shared" si="16"/>
        <v>97.8</v>
      </c>
    </row>
    <row r="985" spans="12:16">
      <c r="L985">
        <f>RAVLT_Learning!M985</f>
        <v>2.054356968</v>
      </c>
      <c r="M985">
        <f>RAVLT_Learning!N985</f>
        <v>97.9</v>
      </c>
      <c r="O985">
        <f>ABS(L985-RAVLT_Learning!$C$34)</f>
        <v>7.5877081773110966</v>
      </c>
      <c r="P985">
        <f t="shared" si="16"/>
        <v>97.9</v>
      </c>
    </row>
    <row r="986" spans="12:16">
      <c r="L986">
        <f>RAVLT_Learning!M986</f>
        <v>2.0657054399999999</v>
      </c>
      <c r="M986">
        <f>RAVLT_Learning!N986</f>
        <v>98</v>
      </c>
      <c r="O986">
        <f>ABS(L986-RAVLT_Learning!$C$34)</f>
        <v>7.5990566493110965</v>
      </c>
      <c r="P986">
        <f t="shared" si="16"/>
        <v>98</v>
      </c>
    </row>
    <row r="987" spans="12:16">
      <c r="L987">
        <f>RAVLT_Learning!M987</f>
        <v>2.0934233679999998</v>
      </c>
      <c r="M987">
        <f>RAVLT_Learning!N987</f>
        <v>98.1</v>
      </c>
      <c r="O987">
        <f>ABS(L987-RAVLT_Learning!$C$34)</f>
        <v>7.6267745773110969</v>
      </c>
      <c r="P987">
        <f t="shared" si="16"/>
        <v>98.1</v>
      </c>
    </row>
    <row r="988" spans="12:16">
      <c r="L988">
        <f>RAVLT_Learning!M988</f>
        <v>2.1211412959999998</v>
      </c>
      <c r="M988">
        <f>RAVLT_Learning!N988</f>
        <v>98.2</v>
      </c>
      <c r="O988">
        <f>ABS(L988-RAVLT_Learning!$C$34)</f>
        <v>7.6544925053110973</v>
      </c>
      <c r="P988">
        <f t="shared" si="16"/>
        <v>98.2</v>
      </c>
    </row>
    <row r="989" spans="12:16">
      <c r="L989">
        <f>RAVLT_Learning!M989</f>
        <v>2.1272507279999999</v>
      </c>
      <c r="M989">
        <f>RAVLT_Learning!N989</f>
        <v>98.3</v>
      </c>
      <c r="O989">
        <f>ABS(L989-RAVLT_Learning!$C$34)</f>
        <v>7.660601937311097</v>
      </c>
      <c r="P989">
        <f t="shared" si="16"/>
        <v>98.3</v>
      </c>
    </row>
    <row r="990" spans="12:16">
      <c r="L990">
        <f>RAVLT_Learning!M990</f>
        <v>2.1297587440000001</v>
      </c>
      <c r="M990">
        <f>RAVLT_Learning!N990</f>
        <v>98.4</v>
      </c>
      <c r="O990">
        <f>ABS(L990-RAVLT_Learning!$C$34)</f>
        <v>7.6631099533110971</v>
      </c>
      <c r="P990">
        <f t="shared" si="16"/>
        <v>98.4</v>
      </c>
    </row>
    <row r="991" spans="12:16">
      <c r="L991">
        <f>RAVLT_Learning!M991</f>
        <v>2.1343864400000001</v>
      </c>
      <c r="M991">
        <f>RAVLT_Learning!N991</f>
        <v>98.5</v>
      </c>
      <c r="O991">
        <f>ABS(L991-RAVLT_Learning!$C$34)</f>
        <v>7.6677376493110971</v>
      </c>
      <c r="P991">
        <f t="shared" si="16"/>
        <v>98.5</v>
      </c>
    </row>
    <row r="992" spans="12:16">
      <c r="L992">
        <f>RAVLT_Learning!M992</f>
        <v>2.1438187439999998</v>
      </c>
      <c r="M992">
        <f>RAVLT_Learning!N992</f>
        <v>98.6</v>
      </c>
      <c r="O992">
        <f>ABS(L992-RAVLT_Learning!$C$34)</f>
        <v>7.6771699533110969</v>
      </c>
      <c r="P992">
        <f t="shared" si="16"/>
        <v>98.6</v>
      </c>
    </row>
    <row r="993" spans="12:16">
      <c r="L993">
        <f>RAVLT_Learning!M993</f>
        <v>2.153251048</v>
      </c>
      <c r="M993">
        <f>RAVLT_Learning!N993</f>
        <v>98.7</v>
      </c>
      <c r="O993">
        <f>ABS(L993-RAVLT_Learning!$C$34)</f>
        <v>7.6866022573110975</v>
      </c>
      <c r="P993">
        <f t="shared" si="16"/>
        <v>98.7</v>
      </c>
    </row>
    <row r="994" spans="12:16">
      <c r="L994">
        <f>RAVLT_Learning!M994</f>
        <v>2.1712851120000001</v>
      </c>
      <c r="M994">
        <f>RAVLT_Learning!N994</f>
        <v>98.8</v>
      </c>
      <c r="O994">
        <f>ABS(L994-RAVLT_Learning!$C$34)</f>
        <v>7.7046363213110975</v>
      </c>
      <c r="P994">
        <f t="shared" si="16"/>
        <v>98.8</v>
      </c>
    </row>
    <row r="995" spans="12:16">
      <c r="L995">
        <f>RAVLT_Learning!M995</f>
        <v>2.1921089359999999</v>
      </c>
      <c r="M995">
        <f>RAVLT_Learning!N995</f>
        <v>98.9</v>
      </c>
      <c r="O995">
        <f>ABS(L995-RAVLT_Learning!$C$34)</f>
        <v>7.7254601453110965</v>
      </c>
      <c r="P995">
        <f t="shared" si="16"/>
        <v>98.9</v>
      </c>
    </row>
    <row r="996" spans="12:16">
      <c r="L996">
        <f>RAVLT_Learning!M996</f>
        <v>2.2091454800000001</v>
      </c>
      <c r="M996">
        <f>RAVLT_Learning!N996</f>
        <v>99</v>
      </c>
      <c r="O996">
        <f>ABS(L996-RAVLT_Learning!$C$34)</f>
        <v>7.7424966893110971</v>
      </c>
      <c r="P996">
        <f t="shared" si="16"/>
        <v>99</v>
      </c>
    </row>
    <row r="997" spans="12:16">
      <c r="L997">
        <f>RAVLT_Learning!M997</f>
        <v>2.2114116319999999</v>
      </c>
      <c r="M997">
        <f>RAVLT_Learning!N997</f>
        <v>99.1</v>
      </c>
      <c r="O997">
        <f>ABS(L997-RAVLT_Learning!$C$34)</f>
        <v>7.7447628413110969</v>
      </c>
      <c r="P997">
        <f t="shared" si="16"/>
        <v>99.1</v>
      </c>
    </row>
    <row r="998" spans="12:16">
      <c r="L998">
        <f>RAVLT_Learning!M998</f>
        <v>2.2136777840000001</v>
      </c>
      <c r="M998">
        <f>RAVLT_Learning!N998</f>
        <v>99.2</v>
      </c>
      <c r="O998">
        <f>ABS(L998-RAVLT_Learning!$C$34)</f>
        <v>7.7470289933110976</v>
      </c>
      <c r="P998">
        <f t="shared" si="16"/>
        <v>99.2</v>
      </c>
    </row>
    <row r="999" spans="12:16">
      <c r="L999">
        <f>RAVLT_Learning!M999</f>
        <v>2.220016384</v>
      </c>
      <c r="M999">
        <f>RAVLT_Learning!N999</f>
        <v>99.3</v>
      </c>
      <c r="O999">
        <f>ABS(L999-RAVLT_Learning!$C$34)</f>
        <v>7.753367593311097</v>
      </c>
      <c r="P999">
        <f t="shared" si="16"/>
        <v>99.3</v>
      </c>
    </row>
    <row r="1000" spans="12:16">
      <c r="L1000">
        <f>RAVLT_Learning!M1000</f>
        <v>2.2285184720000002</v>
      </c>
      <c r="M1000">
        <f>RAVLT_Learning!N1000</f>
        <v>99.4</v>
      </c>
      <c r="O1000">
        <f>ABS(L1000-RAVLT_Learning!$C$34)</f>
        <v>7.7618696813110972</v>
      </c>
      <c r="P1000">
        <f t="shared" si="16"/>
        <v>99.4</v>
      </c>
    </row>
    <row r="1001" spans="12:16">
      <c r="L1001">
        <f>RAVLT_Learning!M1001</f>
        <v>2.2438118</v>
      </c>
      <c r="M1001">
        <f>RAVLT_Learning!N1001</f>
        <v>99.5</v>
      </c>
      <c r="O1001">
        <f>ABS(L1001-RAVLT_Learning!$C$34)</f>
        <v>7.7771630093110975</v>
      </c>
      <c r="P1001">
        <f t="shared" ref="P1001:P1004" si="17">M1001</f>
        <v>99.5</v>
      </c>
    </row>
    <row r="1002" spans="12:16">
      <c r="L1002">
        <f>RAVLT_Learning!M1002</f>
        <v>2.3188680399999999</v>
      </c>
      <c r="M1002">
        <f>RAVLT_Learning!N1002</f>
        <v>99.6</v>
      </c>
      <c r="O1002">
        <f>ABS(L1002-RAVLT_Learning!$C$34)</f>
        <v>7.8522192493110969</v>
      </c>
      <c r="P1002">
        <f t="shared" si="17"/>
        <v>99.6</v>
      </c>
    </row>
    <row r="1003" spans="12:16">
      <c r="L1003">
        <f>RAVLT_Learning!M1003</f>
        <v>2.3939242799999998</v>
      </c>
      <c r="M1003">
        <f>RAVLT_Learning!N1003</f>
        <v>99.7</v>
      </c>
      <c r="O1003">
        <f>ABS(L1003-RAVLT_Learning!$C$34)</f>
        <v>7.9272754893110964</v>
      </c>
      <c r="P1003">
        <f t="shared" si="17"/>
        <v>99.7</v>
      </c>
    </row>
    <row r="1004" spans="12:16">
      <c r="L1004">
        <f>RAVLT_Learning!M1004</f>
        <v>2.449603808</v>
      </c>
      <c r="M1004">
        <f>RAVLT_Learning!N1004</f>
        <v>99.8</v>
      </c>
      <c r="O1004">
        <f>ABS(L1004-RAVLT_Learning!$C$34)</f>
        <v>7.982955017311097</v>
      </c>
      <c r="P1004">
        <f t="shared" si="17"/>
        <v>99.8</v>
      </c>
    </row>
    <row r="1005" spans="12:16">
      <c r="L1005">
        <f>RAVLT_Learning!M1005</f>
        <v>2.4894949039999998</v>
      </c>
      <c r="M1005">
        <f>RAVLT_Learning!N1005</f>
        <v>99.9</v>
      </c>
      <c r="O1005">
        <f>ABS(L1005-RAVLT_Learning!$C$34)</f>
        <v>8.0228461133110969</v>
      </c>
      <c r="P1005">
        <f t="shared" ref="P1005:P1006" si="18">M1005</f>
        <v>99.9</v>
      </c>
    </row>
    <row r="1006" spans="12:16">
      <c r="L1006">
        <f>RAVLT_Learning!M1006</f>
        <v>2.5293860000000001</v>
      </c>
      <c r="M1006">
        <f>RAVLT_Learning!N1006</f>
        <v>100</v>
      </c>
      <c r="O1006">
        <f>ABS(L1006-RAVLT_Learning!$C$34)</f>
        <v>8.0627372093110967</v>
      </c>
      <c r="P1006">
        <f t="shared" si="18"/>
        <v>100</v>
      </c>
    </row>
  </sheetData>
  <sheetProtection algorithmName="SHA-512" hashValue="iZF1M7tgBAGHc4Zq/vVKUhZvKh9ZhfN+LGsCidF5B2+MxghCVOol4woGumet3eNhaph3eAdpdZiuFijW8SMtDQ==" saltValue="o9ahSWYXNRZqRJLiFT3LjQ==" spinCount="100000" sheet="1" objects="1" scenarios="1"/>
  <pageMargins left="0.7" right="0.7" top="0.75" bottom="0.75" header="0.3" footer="0.3"/>
  <pageSetup paperSize="9" orientation="portrait" horizontalDpi="0" verticalDpi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1006"/>
  <sheetViews>
    <sheetView showGridLines="0" topLeftCell="A17" zoomScaleNormal="100" workbookViewId="0">
      <selection activeCell="C34" sqref="C34"/>
    </sheetView>
  </sheetViews>
  <sheetFormatPr baseColWidth="10" defaultRowHeight="15.5"/>
  <cols>
    <col min="1" max="1" width="3" customWidth="1"/>
    <col min="2" max="2" width="19.6640625" customWidth="1"/>
    <col min="3" max="3" width="16" bestFit="1" customWidth="1"/>
    <col min="4" max="4" width="8.33203125" customWidth="1"/>
    <col min="5" max="5" width="8.83203125" customWidth="1"/>
    <col min="6" max="6" width="8.33203125" customWidth="1"/>
    <col min="7" max="7" width="3.1640625" style="5" customWidth="1"/>
    <col min="8" max="8" width="3.5" style="9" customWidth="1"/>
    <col min="9" max="9" width="24.6640625" customWidth="1"/>
    <col min="10" max="10" width="36.5" customWidth="1"/>
    <col min="11" max="11" width="4.1640625" style="5" customWidth="1"/>
    <col min="12" max="12" width="4.1640625" customWidth="1"/>
    <col min="14" max="14" width="13.33203125" bestFit="1" customWidth="1"/>
  </cols>
  <sheetData>
    <row r="1" spans="1:14">
      <c r="B1" s="2" t="s">
        <v>5</v>
      </c>
      <c r="I1" s="22" t="e">
        <f>#REF!</f>
        <v>#REF!</v>
      </c>
    </row>
    <row r="2" spans="1:14">
      <c r="B2" s="2"/>
    </row>
    <row r="3" spans="1:14">
      <c r="A3" s="33">
        <v>1</v>
      </c>
      <c r="B3" s="2" t="s">
        <v>39</v>
      </c>
      <c r="H3" s="33">
        <v>2</v>
      </c>
      <c r="I3" s="2" t="s">
        <v>40</v>
      </c>
      <c r="J3" s="2"/>
      <c r="K3" s="6"/>
      <c r="L3" s="33">
        <v>3</v>
      </c>
      <c r="M3" s="2" t="s">
        <v>43</v>
      </c>
    </row>
    <row r="5" spans="1:14">
      <c r="B5" t="s">
        <v>1</v>
      </c>
      <c r="C5" t="s">
        <v>17</v>
      </c>
      <c r="H5" s="9" t="s">
        <v>33</v>
      </c>
      <c r="I5" s="56" t="s">
        <v>18</v>
      </c>
      <c r="J5" s="57"/>
      <c r="M5" s="27" t="s">
        <v>11</v>
      </c>
      <c r="N5" s="28" t="s">
        <v>44</v>
      </c>
    </row>
    <row r="6" spans="1:14">
      <c r="B6" t="s">
        <v>63</v>
      </c>
      <c r="C6">
        <v>4.70312693329672</v>
      </c>
      <c r="I6" s="10" t="s">
        <v>36</v>
      </c>
      <c r="J6">
        <v>7.8668188962250003</v>
      </c>
      <c r="M6">
        <v>-2.3760379999999999</v>
      </c>
      <c r="N6">
        <v>0</v>
      </c>
    </row>
    <row r="7" spans="1:14">
      <c r="B7" t="s">
        <v>64</v>
      </c>
      <c r="C7">
        <v>-0.13068071306575699</v>
      </c>
      <c r="M7">
        <v>-2.3514223599999999</v>
      </c>
      <c r="N7">
        <v>0.1</v>
      </c>
    </row>
    <row r="8" spans="1:14">
      <c r="B8" t="s">
        <v>65</v>
      </c>
      <c r="C8">
        <v>1.4011577495501599</v>
      </c>
      <c r="I8" s="9"/>
      <c r="J8" s="9"/>
      <c r="M8">
        <v>-2.32680672</v>
      </c>
      <c r="N8">
        <v>0.2</v>
      </c>
    </row>
    <row r="9" spans="1:14">
      <c r="B9" t="s">
        <v>66</v>
      </c>
      <c r="C9">
        <v>0.10998105982564201</v>
      </c>
      <c r="H9" s="9" t="s">
        <v>34</v>
      </c>
      <c r="I9" s="56" t="s">
        <v>37</v>
      </c>
      <c r="J9" s="57"/>
      <c r="M9">
        <v>-2.304470808</v>
      </c>
      <c r="N9">
        <v>0.3</v>
      </c>
    </row>
    <row r="10" spans="1:14">
      <c r="I10" s="12" t="s">
        <v>3</v>
      </c>
      <c r="J10" s="13" t="s">
        <v>36</v>
      </c>
      <c r="M10">
        <v>-2.2849327439999998</v>
      </c>
      <c r="N10">
        <v>0.4</v>
      </c>
    </row>
    <row r="11" spans="1:14">
      <c r="B11" s="29"/>
      <c r="C11" s="30"/>
      <c r="I11" s="14"/>
      <c r="J11" s="15"/>
      <c r="M11">
        <v>-2.26539468</v>
      </c>
      <c r="N11">
        <v>0.5</v>
      </c>
    </row>
    <row r="12" spans="1:14">
      <c r="B12" s="29"/>
      <c r="C12" s="30"/>
      <c r="I12" s="14"/>
      <c r="J12" s="15"/>
      <c r="M12">
        <v>-2.2226291919999999</v>
      </c>
      <c r="N12">
        <v>0.6</v>
      </c>
    </row>
    <row r="13" spans="1:14">
      <c r="B13" s="29"/>
      <c r="C13" s="30"/>
      <c r="I13" s="14"/>
      <c r="J13" s="15"/>
      <c r="M13">
        <v>-2.1772242240000002</v>
      </c>
      <c r="N13">
        <v>0.7</v>
      </c>
    </row>
    <row r="14" spans="1:14">
      <c r="B14" s="29"/>
      <c r="C14" s="30"/>
      <c r="I14" s="14"/>
      <c r="J14" s="15"/>
      <c r="M14">
        <v>-2.1455151360000002</v>
      </c>
      <c r="N14">
        <v>0.8</v>
      </c>
    </row>
    <row r="15" spans="1:14">
      <c r="B15" s="29"/>
      <c r="C15" s="30"/>
      <c r="I15" s="14"/>
      <c r="J15" s="15"/>
      <c r="M15">
        <v>-2.1395865280000002</v>
      </c>
      <c r="N15">
        <v>0.9</v>
      </c>
    </row>
    <row r="16" spans="1:14">
      <c r="B16" s="29"/>
      <c r="C16" s="30"/>
      <c r="I16" s="14"/>
      <c r="J16" s="15"/>
      <c r="M16">
        <v>-2.1336579200000001</v>
      </c>
      <c r="N16">
        <v>1</v>
      </c>
    </row>
    <row r="17" spans="1:14">
      <c r="B17" s="29"/>
      <c r="C17" s="30"/>
      <c r="I17" s="14"/>
      <c r="J17" s="15"/>
      <c r="M17">
        <v>-2.1153376079999999</v>
      </c>
      <c r="N17">
        <v>1.1000000000000001</v>
      </c>
    </row>
    <row r="18" spans="1:14">
      <c r="B18" s="29"/>
      <c r="C18" s="30"/>
      <c r="I18" s="14"/>
      <c r="J18" s="15"/>
      <c r="M18">
        <v>-2.0938399360000002</v>
      </c>
      <c r="N18">
        <v>1.2</v>
      </c>
    </row>
    <row r="19" spans="1:14">
      <c r="B19" s="29"/>
      <c r="C19" s="30"/>
      <c r="I19" s="14"/>
      <c r="J19" s="15"/>
      <c r="M19">
        <v>-2.076843416</v>
      </c>
      <c r="N19">
        <v>1.3</v>
      </c>
    </row>
    <row r="20" spans="1:14">
      <c r="B20" s="29"/>
      <c r="C20" s="30"/>
      <c r="I20" s="14"/>
      <c r="J20" s="15"/>
      <c r="M20">
        <v>-2.0737254479999998</v>
      </c>
      <c r="N20">
        <v>1.4</v>
      </c>
    </row>
    <row r="21" spans="1:14">
      <c r="B21" s="29"/>
      <c r="C21" s="30"/>
      <c r="I21" s="14"/>
      <c r="J21" s="15"/>
      <c r="M21">
        <v>-2.0706074800000001</v>
      </c>
      <c r="N21">
        <v>1.5</v>
      </c>
    </row>
    <row r="22" spans="1:14">
      <c r="B22" s="29"/>
      <c r="C22" s="30"/>
      <c r="I22" s="16"/>
      <c r="J22" s="17"/>
      <c r="M22">
        <v>-2.0686857679999999</v>
      </c>
      <c r="N22">
        <v>1.6</v>
      </c>
    </row>
    <row r="23" spans="1:14">
      <c r="B23" s="29"/>
      <c r="C23" s="30"/>
      <c r="M23">
        <v>-2.067291816</v>
      </c>
      <c r="N23">
        <v>1.7</v>
      </c>
    </row>
    <row r="24" spans="1:14">
      <c r="B24" s="31"/>
      <c r="C24" s="11"/>
      <c r="M24">
        <v>-2.0608786399999999</v>
      </c>
      <c r="N24">
        <v>1.8</v>
      </c>
    </row>
    <row r="25" spans="1:14">
      <c r="H25" s="9" t="s">
        <v>35</v>
      </c>
      <c r="I25" s="56" t="s">
        <v>42</v>
      </c>
      <c r="J25" s="57"/>
      <c r="M25">
        <v>-2.0243501199999998</v>
      </c>
      <c r="N25">
        <v>1.9</v>
      </c>
    </row>
    <row r="26" spans="1:14">
      <c r="I26" s="12" t="s">
        <v>1</v>
      </c>
      <c r="J26" s="13" t="s">
        <v>17</v>
      </c>
      <c r="M26">
        <v>-1.9878216</v>
      </c>
      <c r="N26">
        <v>2</v>
      </c>
    </row>
    <row r="27" spans="1:14">
      <c r="A27" s="34">
        <v>4</v>
      </c>
      <c r="B27" s="2" t="s">
        <v>2</v>
      </c>
      <c r="C27" s="32">
        <f>C6+(C7*('Normative data'!C6-71.28))+(RAVLT_Delayed!C8*'Normative data'!C7)+(C9*'Normative data'!C8)</f>
        <v>8.8981358441363234</v>
      </c>
      <c r="M27">
        <v>-1.9311854079999999</v>
      </c>
      <c r="N27">
        <v>2.1</v>
      </c>
    </row>
    <row r="28" spans="1:14">
      <c r="B28" s="2" t="s">
        <v>6</v>
      </c>
      <c r="C28" s="2"/>
      <c r="D28" s="2"/>
      <c r="E28" s="2"/>
      <c r="F28" s="2"/>
      <c r="M28">
        <v>-1.860681856</v>
      </c>
      <c r="N28">
        <v>2.2000000000000002</v>
      </c>
    </row>
    <row r="29" spans="1:14">
      <c r="B29" s="2" t="s">
        <v>7</v>
      </c>
      <c r="C29" s="2"/>
      <c r="D29" s="2"/>
      <c r="E29" s="2"/>
      <c r="F29" s="2"/>
      <c r="M29">
        <v>-1.7929717279999999</v>
      </c>
      <c r="N29">
        <v>2.2999999999999998</v>
      </c>
    </row>
    <row r="30" spans="1:14">
      <c r="B30" s="2" t="s">
        <v>8</v>
      </c>
      <c r="M30">
        <v>-1.790907064</v>
      </c>
      <c r="N30">
        <v>2.4</v>
      </c>
    </row>
    <row r="31" spans="1:14">
      <c r="I31" s="14"/>
      <c r="J31" s="15"/>
      <c r="M31">
        <v>-1.7888424000000001</v>
      </c>
      <c r="N31">
        <v>2.5</v>
      </c>
    </row>
    <row r="32" spans="1:14">
      <c r="I32" s="35"/>
      <c r="J32" s="17"/>
      <c r="M32">
        <v>-1.7823980239999999</v>
      </c>
      <c r="N32">
        <v>2.6</v>
      </c>
    </row>
    <row r="33" spans="2:14">
      <c r="B33" t="s">
        <v>9</v>
      </c>
      <c r="C33">
        <f>'Normative data'!C13-RAVLT_Delayed!C27</f>
        <v>-7.8981358441363234</v>
      </c>
      <c r="M33">
        <v>-1.7713914479999999</v>
      </c>
      <c r="N33">
        <v>2.7</v>
      </c>
    </row>
    <row r="34" spans="2:14">
      <c r="B34" t="s">
        <v>12</v>
      </c>
      <c r="C34">
        <f>C33/SD_PERC_RAVLTD!I38</f>
        <v>-2.8159505431383596</v>
      </c>
      <c r="I34" t="s">
        <v>41</v>
      </c>
      <c r="J34">
        <f>SD_PERC_RAVLTD!I38</f>
        <v>2.8047849999999999</v>
      </c>
      <c r="M34">
        <v>-1.7603848719999999</v>
      </c>
      <c r="N34">
        <v>2.8</v>
      </c>
    </row>
    <row r="35" spans="2:14">
      <c r="M35">
        <v>-1.758402392</v>
      </c>
      <c r="N35">
        <v>2.9</v>
      </c>
    </row>
    <row r="36" spans="2:14">
      <c r="M36">
        <v>-1.7570084399999999</v>
      </c>
      <c r="N36">
        <v>3</v>
      </c>
    </row>
    <row r="37" spans="2:14">
      <c r="M37">
        <v>-1.752076384</v>
      </c>
      <c r="N37">
        <v>3.1</v>
      </c>
    </row>
    <row r="38" spans="2:14">
      <c r="M38">
        <v>-1.741557848</v>
      </c>
      <c r="N38">
        <v>3.2</v>
      </c>
    </row>
    <row r="39" spans="2:14">
      <c r="M39">
        <v>-1.7310393120000001</v>
      </c>
      <c r="N39">
        <v>3.3</v>
      </c>
    </row>
    <row r="40" spans="2:14">
      <c r="M40">
        <v>-1.727682328</v>
      </c>
      <c r="N40">
        <v>3.4</v>
      </c>
    </row>
    <row r="41" spans="2:14">
      <c r="M41">
        <v>-1.72572272</v>
      </c>
      <c r="N41">
        <v>3.5</v>
      </c>
    </row>
    <row r="42" spans="2:14">
      <c r="M42">
        <v>-1.717857688</v>
      </c>
      <c r="N42">
        <v>3.6</v>
      </c>
    </row>
    <row r="43" spans="2:14">
      <c r="M43">
        <v>-1.695229096</v>
      </c>
      <c r="N43">
        <v>3.7</v>
      </c>
    </row>
    <row r="44" spans="2:14">
      <c r="M44">
        <v>-1.672600504</v>
      </c>
      <c r="N44">
        <v>3.8</v>
      </c>
    </row>
    <row r="45" spans="2:14">
      <c r="M45">
        <v>-1.6583452240000001</v>
      </c>
      <c r="N45">
        <v>3.9</v>
      </c>
    </row>
    <row r="46" spans="2:14">
      <c r="M46">
        <v>-1.6471136399999999</v>
      </c>
      <c r="N46">
        <v>4</v>
      </c>
    </row>
    <row r="47" spans="2:14">
      <c r="M47">
        <v>-1.6358608880000001</v>
      </c>
      <c r="N47">
        <v>4.0999999999999996</v>
      </c>
    </row>
    <row r="48" spans="2:14">
      <c r="M48">
        <v>-1.624514056</v>
      </c>
      <c r="N48">
        <v>4.2</v>
      </c>
    </row>
    <row r="49" spans="13:14">
      <c r="M49">
        <v>-1.6131672239999999</v>
      </c>
      <c r="N49">
        <v>4.3</v>
      </c>
    </row>
    <row r="50" spans="13:14">
      <c r="M50">
        <v>-1.604980656</v>
      </c>
      <c r="N50">
        <v>4.4000000000000004</v>
      </c>
    </row>
    <row r="51" spans="13:14">
      <c r="M51">
        <v>-1.59862908</v>
      </c>
      <c r="N51">
        <v>4.5</v>
      </c>
    </row>
    <row r="52" spans="13:14">
      <c r="M52">
        <v>-1.5924096640000001</v>
      </c>
      <c r="N52">
        <v>4.5999999999999996</v>
      </c>
    </row>
    <row r="53" spans="13:14">
      <c r="M53">
        <v>-1.587677048</v>
      </c>
      <c r="N53">
        <v>4.7</v>
      </c>
    </row>
    <row r="54" spans="13:14">
      <c r="M54">
        <v>-1.5829444319999999</v>
      </c>
      <c r="N54">
        <v>4.8</v>
      </c>
    </row>
    <row r="55" spans="13:14">
      <c r="M55">
        <v>-1.5694354639999999</v>
      </c>
      <c r="N55">
        <v>4.9000000000000004</v>
      </c>
    </row>
    <row r="56" spans="13:14">
      <c r="M56">
        <v>-1.5481628000000001</v>
      </c>
      <c r="N56">
        <v>5</v>
      </c>
    </row>
    <row r="57" spans="13:14">
      <c r="M57">
        <v>-1.526890136</v>
      </c>
      <c r="N57">
        <v>5.0999999999999996</v>
      </c>
    </row>
    <row r="58" spans="13:14">
      <c r="M58">
        <v>-1.5229235839999999</v>
      </c>
      <c r="N58">
        <v>5.2</v>
      </c>
    </row>
    <row r="59" spans="13:14">
      <c r="M59">
        <v>-1.5193175759999999</v>
      </c>
      <c r="N59">
        <v>5.3</v>
      </c>
    </row>
    <row r="60" spans="13:14">
      <c r="M60">
        <v>-1.509881128</v>
      </c>
      <c r="N60">
        <v>5.4</v>
      </c>
    </row>
    <row r="61" spans="13:14">
      <c r="M61">
        <v>-1.49267076</v>
      </c>
      <c r="N61">
        <v>5.5</v>
      </c>
    </row>
    <row r="62" spans="13:14">
      <c r="M62">
        <v>-1.475460392</v>
      </c>
      <c r="N62">
        <v>5.6</v>
      </c>
    </row>
    <row r="63" spans="13:14">
      <c r="M63">
        <v>-1.4713103279999999</v>
      </c>
      <c r="N63">
        <v>5.7</v>
      </c>
    </row>
    <row r="64" spans="13:14">
      <c r="M64">
        <v>-1.4689826319999999</v>
      </c>
      <c r="N64">
        <v>5.8</v>
      </c>
    </row>
    <row r="65" spans="13:14">
      <c r="M65">
        <v>-1.4651564399999999</v>
      </c>
      <c r="N65">
        <v>5.9</v>
      </c>
    </row>
    <row r="66" spans="13:14">
      <c r="M66">
        <v>-1.4582396</v>
      </c>
      <c r="N66">
        <v>6</v>
      </c>
    </row>
    <row r="67" spans="13:14">
      <c r="M67">
        <v>-1.45132276</v>
      </c>
      <c r="N67">
        <v>6.1</v>
      </c>
    </row>
    <row r="68" spans="13:14">
      <c r="M68">
        <v>-1.4486889759999999</v>
      </c>
      <c r="N68">
        <v>6.2</v>
      </c>
    </row>
    <row r="69" spans="13:14">
      <c r="M69">
        <v>-1.447295024</v>
      </c>
      <c r="N69">
        <v>6.3</v>
      </c>
    </row>
    <row r="70" spans="13:14">
      <c r="M70">
        <v>-1.445183608</v>
      </c>
      <c r="N70">
        <v>6.4</v>
      </c>
    </row>
    <row r="71" spans="13:14">
      <c r="M71">
        <v>-1.4405936800000001</v>
      </c>
      <c r="N71">
        <v>6.5</v>
      </c>
    </row>
    <row r="72" spans="13:14">
      <c r="M72">
        <v>-1.436003752</v>
      </c>
      <c r="N72">
        <v>6.6</v>
      </c>
    </row>
    <row r="73" spans="13:14">
      <c r="M73">
        <v>-1.424914936</v>
      </c>
      <c r="N73">
        <v>6.7</v>
      </c>
    </row>
    <row r="74" spans="13:14">
      <c r="M74">
        <v>-1.410675144</v>
      </c>
      <c r="N74">
        <v>6.8</v>
      </c>
    </row>
    <row r="75" spans="13:14">
      <c r="M75">
        <v>-1.3969602800000001</v>
      </c>
      <c r="N75">
        <v>6.9</v>
      </c>
    </row>
    <row r="76" spans="13:14">
      <c r="M76">
        <v>-1.3870073999999999</v>
      </c>
      <c r="N76">
        <v>7</v>
      </c>
    </row>
    <row r="77" spans="13:14">
      <c r="M77">
        <v>-1.3770545199999999</v>
      </c>
      <c r="N77">
        <v>7.1</v>
      </c>
    </row>
    <row r="78" spans="13:14">
      <c r="M78">
        <v>-1.3686416400000001</v>
      </c>
      <c r="N78">
        <v>7.2</v>
      </c>
    </row>
    <row r="79" spans="13:14">
      <c r="M79">
        <v>-1.3613837600000001</v>
      </c>
      <c r="N79">
        <v>7.3</v>
      </c>
    </row>
    <row r="80" spans="13:14">
      <c r="M80">
        <v>-1.3540147600000001</v>
      </c>
      <c r="N80">
        <v>7.4</v>
      </c>
    </row>
    <row r="81" spans="13:14">
      <c r="M81">
        <v>-1.3413120000000001</v>
      </c>
      <c r="N81">
        <v>7.5</v>
      </c>
    </row>
    <row r="82" spans="13:14">
      <c r="M82">
        <v>-1.32860924</v>
      </c>
      <c r="N82">
        <v>7.6</v>
      </c>
    </row>
    <row r="83" spans="13:14">
      <c r="M83">
        <v>-1.315782832</v>
      </c>
      <c r="N83">
        <v>7.7</v>
      </c>
    </row>
    <row r="84" spans="13:14">
      <c r="M84">
        <v>-1.3028166480000001</v>
      </c>
      <c r="N84">
        <v>7.8</v>
      </c>
    </row>
    <row r="85" spans="13:14">
      <c r="M85">
        <v>-1.2898504639999999</v>
      </c>
      <c r="N85">
        <v>7.9</v>
      </c>
    </row>
    <row r="86" spans="13:14">
      <c r="M86">
        <v>-1.2861351999999999</v>
      </c>
      <c r="N86">
        <v>8</v>
      </c>
    </row>
    <row r="87" spans="13:14">
      <c r="M87">
        <v>-1.2832422400000001</v>
      </c>
      <c r="N87">
        <v>8.1</v>
      </c>
    </row>
    <row r="88" spans="13:14">
      <c r="M88">
        <v>-1.279576864</v>
      </c>
      <c r="N88">
        <v>8.1999999999999993</v>
      </c>
    </row>
    <row r="89" spans="13:14">
      <c r="M89">
        <v>-1.2745812160000001</v>
      </c>
      <c r="N89">
        <v>8.3000000000000007</v>
      </c>
    </row>
    <row r="90" spans="13:14">
      <c r="M90">
        <v>-1.2695855680000001</v>
      </c>
      <c r="N90">
        <v>8.4</v>
      </c>
    </row>
    <row r="91" spans="13:14">
      <c r="M91">
        <v>-1.2591582400000001</v>
      </c>
      <c r="N91">
        <v>8.5</v>
      </c>
    </row>
    <row r="92" spans="13:14">
      <c r="M92">
        <v>-1.2475087840000001</v>
      </c>
      <c r="N92">
        <v>8.6</v>
      </c>
    </row>
    <row r="93" spans="13:14">
      <c r="M93">
        <v>-1.236744992</v>
      </c>
      <c r="N93">
        <v>8.6999999999999993</v>
      </c>
    </row>
    <row r="94" spans="13:14">
      <c r="M94">
        <v>-1.2284338079999999</v>
      </c>
      <c r="N94">
        <v>8.8000000000000007</v>
      </c>
    </row>
    <row r="95" spans="13:14">
      <c r="M95">
        <v>-1.220122624</v>
      </c>
      <c r="N95">
        <v>8.9</v>
      </c>
    </row>
    <row r="96" spans="13:14">
      <c r="M96">
        <v>-1.2106387999999999</v>
      </c>
      <c r="N96">
        <v>9</v>
      </c>
    </row>
    <row r="97" spans="13:14">
      <c r="M97">
        <v>-1.20068592</v>
      </c>
      <c r="N97">
        <v>9.1</v>
      </c>
    </row>
    <row r="98" spans="13:14">
      <c r="M98">
        <v>-1.1920380639999999</v>
      </c>
      <c r="N98">
        <v>9.1999999999999993</v>
      </c>
    </row>
    <row r="99" spans="13:14">
      <c r="M99">
        <v>-1.190078456</v>
      </c>
      <c r="N99">
        <v>9.3000000000000007</v>
      </c>
    </row>
    <row r="100" spans="13:14">
      <c r="M100">
        <v>-1.188118848</v>
      </c>
      <c r="N100">
        <v>9.4</v>
      </c>
    </row>
    <row r="101" spans="13:14">
      <c r="M101">
        <v>-1.1871336400000001</v>
      </c>
      <c r="N101">
        <v>9.5</v>
      </c>
    </row>
    <row r="102" spans="13:14">
      <c r="M102">
        <v>-1.186765552</v>
      </c>
      <c r="N102">
        <v>9.6</v>
      </c>
    </row>
    <row r="103" spans="13:14">
      <c r="M103">
        <v>-1.1861575360000001</v>
      </c>
      <c r="N103">
        <v>9.6999999999999993</v>
      </c>
    </row>
    <row r="104" spans="13:14">
      <c r="M104">
        <v>-1.1818706240000001</v>
      </c>
      <c r="N104">
        <v>9.8000000000000007</v>
      </c>
    </row>
    <row r="105" spans="13:14">
      <c r="M105">
        <v>-1.1775837119999999</v>
      </c>
      <c r="N105">
        <v>9.9</v>
      </c>
    </row>
    <row r="106" spans="13:14">
      <c r="M106">
        <v>-1.1751955999999999</v>
      </c>
      <c r="N106">
        <v>10</v>
      </c>
    </row>
    <row r="107" spans="13:14">
      <c r="M107">
        <v>-1.1746303360000001</v>
      </c>
      <c r="N107">
        <v>10.1</v>
      </c>
    </row>
    <row r="108" spans="13:14">
      <c r="M108">
        <v>-1.1740650720000001</v>
      </c>
      <c r="N108">
        <v>10.199999999999999</v>
      </c>
    </row>
    <row r="109" spans="13:14">
      <c r="M109">
        <v>-1.1729568640000001</v>
      </c>
      <c r="N109">
        <v>10.3</v>
      </c>
    </row>
    <row r="110" spans="13:14">
      <c r="M110">
        <v>-1.171825552</v>
      </c>
      <c r="N110">
        <v>10.4</v>
      </c>
    </row>
    <row r="111" spans="13:14">
      <c r="M111">
        <v>-1.1708668799999999</v>
      </c>
      <c r="N111">
        <v>10.5</v>
      </c>
    </row>
    <row r="112" spans="13:14">
      <c r="M112">
        <v>-1.170158536</v>
      </c>
      <c r="N112">
        <v>10.6</v>
      </c>
    </row>
    <row r="113" spans="13:14">
      <c r="M113">
        <v>-1.169450192</v>
      </c>
      <c r="N113">
        <v>10.7</v>
      </c>
    </row>
    <row r="114" spans="13:14">
      <c r="M114">
        <v>-1.16686932</v>
      </c>
      <c r="N114">
        <v>10.8</v>
      </c>
    </row>
    <row r="115" spans="13:14">
      <c r="M115">
        <v>-1.1639763599999999</v>
      </c>
      <c r="N115">
        <v>10.9</v>
      </c>
    </row>
    <row r="116" spans="13:14">
      <c r="M116">
        <v>-1.16019768</v>
      </c>
      <c r="N116">
        <v>11</v>
      </c>
    </row>
    <row r="117" spans="13:14">
      <c r="M117">
        <v>-1.1544113680000001</v>
      </c>
      <c r="N117">
        <v>11.1</v>
      </c>
    </row>
    <row r="118" spans="13:14">
      <c r="M118">
        <v>-1.148625056</v>
      </c>
      <c r="N118">
        <v>11.2</v>
      </c>
    </row>
    <row r="119" spans="13:14">
      <c r="M119">
        <v>-1.147208</v>
      </c>
      <c r="N119">
        <v>11.3</v>
      </c>
    </row>
    <row r="120" spans="13:14">
      <c r="M120">
        <v>-1.147208</v>
      </c>
      <c r="N120">
        <v>11.4</v>
      </c>
    </row>
    <row r="121" spans="13:14">
      <c r="M121">
        <v>-1.14643272</v>
      </c>
      <c r="N121">
        <v>11.5</v>
      </c>
    </row>
    <row r="122" spans="13:14">
      <c r="M122">
        <v>-1.142633848</v>
      </c>
      <c r="N122">
        <v>11.6</v>
      </c>
    </row>
    <row r="123" spans="13:14">
      <c r="M123">
        <v>-1.1388349760000001</v>
      </c>
      <c r="N123">
        <v>11.7</v>
      </c>
    </row>
    <row r="124" spans="13:14">
      <c r="M124">
        <v>-1.136829128</v>
      </c>
      <c r="N124">
        <v>11.8</v>
      </c>
    </row>
    <row r="125" spans="13:14">
      <c r="M125">
        <v>-1.135775824</v>
      </c>
      <c r="N125">
        <v>11.9</v>
      </c>
    </row>
    <row r="126" spans="13:14">
      <c r="M126">
        <v>-1.13346144</v>
      </c>
      <c r="N126">
        <v>12</v>
      </c>
    </row>
    <row r="127" spans="13:14">
      <c r="M127">
        <v>-1.120049552</v>
      </c>
      <c r="N127">
        <v>12.1</v>
      </c>
    </row>
    <row r="128" spans="13:14">
      <c r="M128">
        <v>-1.106637664</v>
      </c>
      <c r="N128">
        <v>12.2</v>
      </c>
    </row>
    <row r="129" spans="13:14">
      <c r="M129">
        <v>-1.100616</v>
      </c>
      <c r="N129">
        <v>12.3</v>
      </c>
    </row>
    <row r="130" spans="13:14">
      <c r="M130">
        <v>-1.100616</v>
      </c>
      <c r="N130">
        <v>12.4</v>
      </c>
    </row>
    <row r="131" spans="13:14">
      <c r="M131">
        <v>-1.100616</v>
      </c>
      <c r="N131">
        <v>12.5</v>
      </c>
    </row>
    <row r="132" spans="13:14">
      <c r="M132">
        <v>-1.0963290880000001</v>
      </c>
      <c r="N132">
        <v>12.6</v>
      </c>
    </row>
    <row r="133" spans="13:14">
      <c r="M133">
        <v>-1.0920421760000001</v>
      </c>
      <c r="N133">
        <v>12.7</v>
      </c>
    </row>
    <row r="134" spans="13:14">
      <c r="M134">
        <v>-1.08838112</v>
      </c>
      <c r="N134">
        <v>12.8</v>
      </c>
    </row>
    <row r="135" spans="13:14">
      <c r="M135">
        <v>-1.0854881599999999</v>
      </c>
      <c r="N135">
        <v>12.9</v>
      </c>
    </row>
    <row r="136" spans="13:14">
      <c r="M136">
        <v>-1.0825952000000001</v>
      </c>
      <c r="N136">
        <v>13</v>
      </c>
    </row>
    <row r="137" spans="13:14">
      <c r="M137">
        <v>-1.0700796159999999</v>
      </c>
      <c r="N137">
        <v>13.1</v>
      </c>
    </row>
    <row r="138" spans="13:14">
      <c r="M138">
        <v>-1.056470552</v>
      </c>
      <c r="N138">
        <v>13.2</v>
      </c>
    </row>
    <row r="139" spans="13:14">
      <c r="M139">
        <v>-1.0474552960000001</v>
      </c>
      <c r="N139">
        <v>13.3</v>
      </c>
    </row>
    <row r="140" spans="13:14">
      <c r="M140">
        <v>-1.047087208</v>
      </c>
      <c r="N140">
        <v>13.4</v>
      </c>
    </row>
    <row r="141" spans="13:14">
      <c r="M141">
        <v>-1.0467191199999999</v>
      </c>
      <c r="N141">
        <v>13.5</v>
      </c>
    </row>
    <row r="142" spans="13:14">
      <c r="M142">
        <v>-1.0466439999999999</v>
      </c>
      <c r="N142">
        <v>13.6</v>
      </c>
    </row>
    <row r="143" spans="13:14">
      <c r="M143">
        <v>-1.0466439999999999</v>
      </c>
      <c r="N143">
        <v>13.7</v>
      </c>
    </row>
    <row r="144" spans="13:14">
      <c r="M144">
        <v>-1.045732576</v>
      </c>
      <c r="N144">
        <v>13.8</v>
      </c>
    </row>
    <row r="145" spans="13:14">
      <c r="M145">
        <v>-1.0420109280000001</v>
      </c>
      <c r="N145">
        <v>13.9</v>
      </c>
    </row>
    <row r="146" spans="13:14">
      <c r="M146">
        <v>-1.0382892800000001</v>
      </c>
      <c r="N146">
        <v>14</v>
      </c>
    </row>
    <row r="147" spans="13:14">
      <c r="M147">
        <v>-1.0343579199999999</v>
      </c>
      <c r="N147">
        <v>14.1</v>
      </c>
    </row>
    <row r="148" spans="13:14">
      <c r="M148">
        <v>-1.0303340400000001</v>
      </c>
      <c r="N148">
        <v>14.2</v>
      </c>
    </row>
    <row r="149" spans="13:14">
      <c r="M149">
        <v>-1.026160304</v>
      </c>
      <c r="N149">
        <v>14.3</v>
      </c>
    </row>
    <row r="150" spans="13:14">
      <c r="M150">
        <v>-1.0210874320000001</v>
      </c>
      <c r="N150">
        <v>14.4</v>
      </c>
    </row>
    <row r="151" spans="13:14">
      <c r="M151">
        <v>-1.0160145599999999</v>
      </c>
      <c r="N151">
        <v>14.5</v>
      </c>
    </row>
    <row r="152" spans="13:14">
      <c r="M152">
        <v>-1.0123162880000001</v>
      </c>
      <c r="N152">
        <v>14.6</v>
      </c>
    </row>
    <row r="153" spans="13:14">
      <c r="M153">
        <v>-1.009566016</v>
      </c>
      <c r="N153">
        <v>14.7</v>
      </c>
    </row>
    <row r="154" spans="13:14">
      <c r="M154">
        <v>-1.006817984</v>
      </c>
      <c r="N154">
        <v>14.8</v>
      </c>
    </row>
    <row r="155" spans="13:14">
      <c r="M155">
        <v>-1.0041225920000001</v>
      </c>
      <c r="N155">
        <v>14.9</v>
      </c>
    </row>
    <row r="156" spans="13:14">
      <c r="M156">
        <v>-1.0014272</v>
      </c>
      <c r="N156">
        <v>15</v>
      </c>
    </row>
    <row r="157" spans="13:14">
      <c r="M157">
        <v>-0.99978838400000003</v>
      </c>
      <c r="N157">
        <v>15.1</v>
      </c>
    </row>
    <row r="158" spans="13:14">
      <c r="M158">
        <v>-0.99925016799999999</v>
      </c>
      <c r="N158">
        <v>15.2</v>
      </c>
    </row>
    <row r="159" spans="13:14">
      <c r="M159">
        <v>-0.99871195199999996</v>
      </c>
      <c r="N159">
        <v>15.3</v>
      </c>
    </row>
    <row r="160" spans="13:14">
      <c r="M160">
        <v>-0.99833381600000004</v>
      </c>
      <c r="N160">
        <v>15.4</v>
      </c>
    </row>
    <row r="161" spans="13:14">
      <c r="M161">
        <v>-0.99796611999999996</v>
      </c>
      <c r="N161">
        <v>15.5</v>
      </c>
    </row>
    <row r="162" spans="13:14">
      <c r="M162">
        <v>-0.99486956800000004</v>
      </c>
      <c r="N162">
        <v>15.6</v>
      </c>
    </row>
    <row r="163" spans="13:14">
      <c r="M163">
        <v>-0.98746429599999996</v>
      </c>
      <c r="N163">
        <v>15.7</v>
      </c>
    </row>
    <row r="164" spans="13:14">
      <c r="M164">
        <v>-0.980059024</v>
      </c>
      <c r="N164">
        <v>15.8</v>
      </c>
    </row>
    <row r="165" spans="13:14">
      <c r="M165">
        <v>-0.97825730399999999</v>
      </c>
      <c r="N165">
        <v>15.9</v>
      </c>
    </row>
    <row r="166" spans="13:14">
      <c r="M166">
        <v>-0.97754896000000002</v>
      </c>
      <c r="N166">
        <v>16</v>
      </c>
    </row>
    <row r="167" spans="13:14">
      <c r="M167">
        <v>-0.97482999199999998</v>
      </c>
      <c r="N167">
        <v>16.100000000000001</v>
      </c>
    </row>
    <row r="168" spans="13:14">
      <c r="M168">
        <v>-0.96708446400000003</v>
      </c>
      <c r="N168">
        <v>16.2</v>
      </c>
    </row>
    <row r="169" spans="13:14">
      <c r="M169">
        <v>-0.95933893599999998</v>
      </c>
      <c r="N169">
        <v>16.3</v>
      </c>
    </row>
    <row r="170" spans="13:14">
      <c r="M170">
        <v>-0.95618268799999995</v>
      </c>
      <c r="N170">
        <v>16.399999999999999</v>
      </c>
    </row>
    <row r="171" spans="13:14">
      <c r="M171">
        <v>-0.95468368000000003</v>
      </c>
      <c r="N171">
        <v>16.5</v>
      </c>
    </row>
    <row r="172" spans="13:14">
      <c r="M172">
        <v>-0.95116809599999996</v>
      </c>
      <c r="N172">
        <v>16.600000000000001</v>
      </c>
    </row>
    <row r="173" spans="13:14">
      <c r="M173">
        <v>-0.93868995200000005</v>
      </c>
      <c r="N173">
        <v>16.7</v>
      </c>
    </row>
    <row r="174" spans="13:14">
      <c r="M174">
        <v>-0.92621180800000003</v>
      </c>
      <c r="N174">
        <v>16.8</v>
      </c>
    </row>
    <row r="175" spans="13:14">
      <c r="M175">
        <v>-0.92060375999999999</v>
      </c>
      <c r="N175">
        <v>16.899999999999999</v>
      </c>
    </row>
    <row r="176" spans="13:14">
      <c r="M176">
        <v>-0.91898480000000005</v>
      </c>
      <c r="N176">
        <v>17</v>
      </c>
    </row>
    <row r="177" spans="13:14">
      <c r="M177">
        <v>-0.91742404799999999</v>
      </c>
      <c r="N177">
        <v>17.100000000000001</v>
      </c>
    </row>
    <row r="178" spans="13:14">
      <c r="M178">
        <v>-0.91651813599999998</v>
      </c>
      <c r="N178">
        <v>17.2</v>
      </c>
    </row>
    <row r="179" spans="13:14">
      <c r="M179">
        <v>-0.91561222399999997</v>
      </c>
      <c r="N179">
        <v>17.3</v>
      </c>
    </row>
    <row r="180" spans="13:14">
      <c r="M180">
        <v>-0.91481093599999996</v>
      </c>
      <c r="N180">
        <v>17.399999999999999</v>
      </c>
    </row>
    <row r="181" spans="13:14">
      <c r="M181">
        <v>-0.91410219999999998</v>
      </c>
      <c r="N181">
        <v>17.5</v>
      </c>
    </row>
    <row r="182" spans="13:14">
      <c r="M182">
        <v>-0.91339346399999999</v>
      </c>
      <c r="N182">
        <v>17.600000000000001</v>
      </c>
    </row>
    <row r="183" spans="13:14">
      <c r="M183">
        <v>-0.910878776</v>
      </c>
      <c r="N183">
        <v>17.7</v>
      </c>
    </row>
    <row r="184" spans="13:14">
      <c r="M184">
        <v>-0.90832646399999994</v>
      </c>
      <c r="N184">
        <v>17.8</v>
      </c>
    </row>
    <row r="185" spans="13:14">
      <c r="M185">
        <v>-0.90686800000000001</v>
      </c>
      <c r="N185">
        <v>17.899999999999999</v>
      </c>
    </row>
    <row r="186" spans="13:14">
      <c r="M186">
        <v>-0.90686800000000001</v>
      </c>
      <c r="N186">
        <v>18</v>
      </c>
    </row>
    <row r="187" spans="13:14">
      <c r="M187">
        <v>-0.90686800000000001</v>
      </c>
      <c r="N187">
        <v>18.100000000000001</v>
      </c>
    </row>
    <row r="188" spans="13:14">
      <c r="M188">
        <v>-0.90637160800000005</v>
      </c>
      <c r="N188">
        <v>18.2</v>
      </c>
    </row>
    <row r="189" spans="13:14">
      <c r="M189">
        <v>-0.90580595200000003</v>
      </c>
      <c r="N189">
        <v>18.3</v>
      </c>
    </row>
    <row r="190" spans="13:14">
      <c r="M190">
        <v>-0.90473853599999998</v>
      </c>
      <c r="N190">
        <v>18.399999999999999</v>
      </c>
    </row>
    <row r="191" spans="13:14">
      <c r="M191">
        <v>-0.90263623999999998</v>
      </c>
      <c r="N191">
        <v>18.5</v>
      </c>
    </row>
    <row r="192" spans="13:14">
      <c r="M192">
        <v>-0.90053394399999998</v>
      </c>
      <c r="N192">
        <v>18.600000000000001</v>
      </c>
    </row>
    <row r="193" spans="13:14">
      <c r="M193">
        <v>-0.89361659199999999</v>
      </c>
      <c r="N193">
        <v>18.7</v>
      </c>
    </row>
    <row r="194" spans="13:14">
      <c r="M194">
        <v>-0.88530540800000002</v>
      </c>
      <c r="N194">
        <v>18.8</v>
      </c>
    </row>
    <row r="195" spans="13:14">
      <c r="M195">
        <v>-0.87768810399999997</v>
      </c>
      <c r="N195">
        <v>18.899999999999999</v>
      </c>
    </row>
    <row r="196" spans="13:14">
      <c r="M196">
        <v>-0.87246783999999999</v>
      </c>
      <c r="N196">
        <v>19</v>
      </c>
    </row>
    <row r="197" spans="13:14">
      <c r="M197">
        <v>-0.86724757600000002</v>
      </c>
      <c r="N197">
        <v>19.100000000000001</v>
      </c>
    </row>
    <row r="198" spans="13:14">
      <c r="M198">
        <v>-0.86516204799999996</v>
      </c>
      <c r="N198">
        <v>19.2</v>
      </c>
    </row>
    <row r="199" spans="13:14">
      <c r="M199">
        <v>-0.86459639200000005</v>
      </c>
      <c r="N199">
        <v>19.3</v>
      </c>
    </row>
    <row r="200" spans="13:14">
      <c r="M200">
        <v>-0.86396152000000004</v>
      </c>
      <c r="N200">
        <v>19.399999999999999</v>
      </c>
    </row>
    <row r="201" spans="13:14">
      <c r="M201">
        <v>-0.8628306</v>
      </c>
      <c r="N201">
        <v>19.5</v>
      </c>
    </row>
    <row r="202" spans="13:14">
      <c r="M202">
        <v>-0.86169967999999997</v>
      </c>
      <c r="N202">
        <v>19.600000000000001</v>
      </c>
    </row>
    <row r="203" spans="13:14">
      <c r="M203">
        <v>-0.860487</v>
      </c>
      <c r="N203">
        <v>19.7</v>
      </c>
    </row>
    <row r="204" spans="13:14">
      <c r="M204">
        <v>-0.859213</v>
      </c>
      <c r="N204">
        <v>19.8</v>
      </c>
    </row>
    <row r="205" spans="13:14">
      <c r="M205">
        <v>-0.85795963200000003</v>
      </c>
      <c r="N205">
        <v>19.899999999999999</v>
      </c>
    </row>
    <row r="206" spans="13:14">
      <c r="M206">
        <v>-0.85769660000000003</v>
      </c>
      <c r="N206">
        <v>20</v>
      </c>
    </row>
    <row r="207" spans="13:14">
      <c r="M207">
        <v>-0.85743356800000003</v>
      </c>
      <c r="N207">
        <v>20.100000000000001</v>
      </c>
    </row>
    <row r="208" spans="13:14">
      <c r="M208">
        <v>-0.85718838399999997</v>
      </c>
      <c r="N208">
        <v>20.2</v>
      </c>
    </row>
    <row r="209" spans="13:14">
      <c r="M209">
        <v>-0.85696337600000005</v>
      </c>
      <c r="N209">
        <v>20.3</v>
      </c>
    </row>
    <row r="210" spans="13:14">
      <c r="M210">
        <v>-0.85673836800000003</v>
      </c>
      <c r="N210">
        <v>20.399999999999999</v>
      </c>
    </row>
    <row r="211" spans="13:14">
      <c r="M211">
        <v>-0.85568104</v>
      </c>
      <c r="N211">
        <v>20.5</v>
      </c>
    </row>
    <row r="212" spans="13:14">
      <c r="M212">
        <v>-0.85454972799999995</v>
      </c>
      <c r="N212">
        <v>20.6</v>
      </c>
    </row>
    <row r="213" spans="13:14">
      <c r="M213">
        <v>-0.852979072</v>
      </c>
      <c r="N213">
        <v>20.7</v>
      </c>
    </row>
    <row r="214" spans="13:14">
      <c r="M214">
        <v>-0.85065176799999997</v>
      </c>
      <c r="N214">
        <v>20.8</v>
      </c>
    </row>
    <row r="215" spans="13:14">
      <c r="M215">
        <v>-0.84832446399999994</v>
      </c>
      <c r="N215">
        <v>20.9</v>
      </c>
    </row>
    <row r="216" spans="13:14">
      <c r="M216">
        <v>-0.84657892000000001</v>
      </c>
      <c r="N216">
        <v>21</v>
      </c>
    </row>
    <row r="217" spans="13:14">
      <c r="M217">
        <v>-0.84496427200000002</v>
      </c>
      <c r="N217">
        <v>21.1</v>
      </c>
    </row>
    <row r="218" spans="13:14">
      <c r="M218">
        <v>-0.84243099200000005</v>
      </c>
      <c r="N218">
        <v>21.2</v>
      </c>
    </row>
    <row r="219" spans="13:14">
      <c r="M219">
        <v>-0.83735380800000003</v>
      </c>
      <c r="N219">
        <v>21.3</v>
      </c>
    </row>
    <row r="220" spans="13:14">
      <c r="M220">
        <v>-0.83227662400000002</v>
      </c>
      <c r="N220">
        <v>21.4</v>
      </c>
    </row>
    <row r="221" spans="13:14">
      <c r="M221">
        <v>-0.82991572000000002</v>
      </c>
      <c r="N221">
        <v>21.5</v>
      </c>
    </row>
    <row r="222" spans="13:14">
      <c r="M222">
        <v>-0.82864132800000001</v>
      </c>
      <c r="N222">
        <v>21.6</v>
      </c>
    </row>
    <row r="223" spans="13:14">
      <c r="M223">
        <v>-0.827366296</v>
      </c>
      <c r="N223">
        <v>21.7</v>
      </c>
    </row>
    <row r="224" spans="13:14">
      <c r="M224">
        <v>-0.82608798400000005</v>
      </c>
      <c r="N224">
        <v>21.8</v>
      </c>
    </row>
    <row r="225" spans="13:14">
      <c r="M225">
        <v>-0.82480967199999999</v>
      </c>
      <c r="N225">
        <v>21.9</v>
      </c>
    </row>
    <row r="226" spans="13:14">
      <c r="M226">
        <v>-0.82302664000000003</v>
      </c>
      <c r="N226">
        <v>22</v>
      </c>
    </row>
    <row r="227" spans="13:14">
      <c r="M227">
        <v>-0.82092395200000001</v>
      </c>
      <c r="N227">
        <v>22.1</v>
      </c>
    </row>
    <row r="228" spans="13:14">
      <c r="M228">
        <v>-0.81894999999999996</v>
      </c>
      <c r="N228">
        <v>22.2</v>
      </c>
    </row>
    <row r="229" spans="13:14">
      <c r="M229">
        <v>-0.81894999999999996</v>
      </c>
      <c r="N229">
        <v>22.3</v>
      </c>
    </row>
    <row r="230" spans="13:14">
      <c r="M230">
        <v>-0.81894999999999996</v>
      </c>
      <c r="N230">
        <v>22.4</v>
      </c>
    </row>
    <row r="231" spans="13:14">
      <c r="M231">
        <v>-0.81789679999999998</v>
      </c>
      <c r="N231">
        <v>22.5</v>
      </c>
    </row>
    <row r="232" spans="13:14">
      <c r="M232">
        <v>-0.81583252799999995</v>
      </c>
      <c r="N232">
        <v>22.6</v>
      </c>
    </row>
    <row r="233" spans="13:14">
      <c r="M233">
        <v>-0.81376825600000002</v>
      </c>
      <c r="N233">
        <v>22.7</v>
      </c>
    </row>
    <row r="234" spans="13:14">
      <c r="M234">
        <v>-0.81281468800000001</v>
      </c>
      <c r="N234">
        <v>22.8</v>
      </c>
    </row>
    <row r="235" spans="13:14">
      <c r="M235">
        <v>-0.81190838399999998</v>
      </c>
      <c r="N235">
        <v>22.9</v>
      </c>
    </row>
    <row r="236" spans="13:14">
      <c r="M236">
        <v>-0.81065295999999998</v>
      </c>
      <c r="N236">
        <v>23</v>
      </c>
    </row>
    <row r="237" spans="13:14">
      <c r="M237">
        <v>-0.80889131199999997</v>
      </c>
      <c r="N237">
        <v>23.1</v>
      </c>
    </row>
    <row r="238" spans="13:14">
      <c r="M238">
        <v>-0.80712966399999997</v>
      </c>
      <c r="N238">
        <v>23.2</v>
      </c>
    </row>
    <row r="239" spans="13:14">
      <c r="M239">
        <v>-0.80439832</v>
      </c>
      <c r="N239">
        <v>23.3</v>
      </c>
    </row>
    <row r="240" spans="13:14">
      <c r="M240">
        <v>-0.80150535999999994</v>
      </c>
      <c r="N240">
        <v>23.4</v>
      </c>
    </row>
    <row r="241" spans="13:14">
      <c r="M241">
        <v>-0.79922055999999997</v>
      </c>
      <c r="N241">
        <v>23.5</v>
      </c>
    </row>
    <row r="242" spans="13:14">
      <c r="M242">
        <v>-0.79831425600000006</v>
      </c>
      <c r="N242">
        <v>23.6</v>
      </c>
    </row>
    <row r="243" spans="13:14">
      <c r="M243">
        <v>-0.79740795200000003</v>
      </c>
      <c r="N243">
        <v>23.7</v>
      </c>
    </row>
    <row r="244" spans="13:14">
      <c r="M244">
        <v>-0.79307426400000003</v>
      </c>
      <c r="N244">
        <v>23.8</v>
      </c>
    </row>
    <row r="245" spans="13:14">
      <c r="M245">
        <v>-0.78762899200000003</v>
      </c>
      <c r="N245">
        <v>23.9</v>
      </c>
    </row>
    <row r="246" spans="13:14">
      <c r="M246">
        <v>-0.78299468000000005</v>
      </c>
      <c r="N246">
        <v>24</v>
      </c>
    </row>
    <row r="247" spans="13:14">
      <c r="M247">
        <v>-0.78152311200000002</v>
      </c>
      <c r="N247">
        <v>24.1</v>
      </c>
    </row>
    <row r="248" spans="13:14">
      <c r="M248">
        <v>-0.78005154399999999</v>
      </c>
      <c r="N248">
        <v>24.2</v>
      </c>
    </row>
    <row r="249" spans="13:14">
      <c r="M249">
        <v>-0.77272218400000003</v>
      </c>
      <c r="N249">
        <v>24.3</v>
      </c>
    </row>
    <row r="250" spans="13:14">
      <c r="M250">
        <v>-0.76228087200000005</v>
      </c>
      <c r="N250">
        <v>24.4</v>
      </c>
    </row>
    <row r="251" spans="13:14">
      <c r="M251">
        <v>-0.75255212000000005</v>
      </c>
      <c r="N251">
        <v>24.5</v>
      </c>
    </row>
    <row r="252" spans="13:14">
      <c r="M252">
        <v>-0.74909389599999998</v>
      </c>
      <c r="N252">
        <v>24.6</v>
      </c>
    </row>
    <row r="253" spans="13:14">
      <c r="M253">
        <v>-0.74563567200000003</v>
      </c>
      <c r="N253">
        <v>24.7</v>
      </c>
    </row>
    <row r="254" spans="13:14">
      <c r="M254">
        <v>-0.74101882399999996</v>
      </c>
      <c r="N254">
        <v>24.8</v>
      </c>
    </row>
    <row r="255" spans="13:14">
      <c r="M255">
        <v>-0.73545791199999999</v>
      </c>
      <c r="N255">
        <v>24.9</v>
      </c>
    </row>
    <row r="256" spans="13:14">
      <c r="M256">
        <v>-0.72989700000000002</v>
      </c>
      <c r="N256">
        <v>25</v>
      </c>
    </row>
    <row r="257" spans="13:14">
      <c r="M257">
        <v>-0.72827803999999996</v>
      </c>
      <c r="N257">
        <v>25.1</v>
      </c>
    </row>
    <row r="258" spans="13:14">
      <c r="M258">
        <v>-0.72665908000000001</v>
      </c>
      <c r="N258">
        <v>25.2</v>
      </c>
    </row>
    <row r="259" spans="13:14">
      <c r="M259">
        <v>-0.72484000800000004</v>
      </c>
      <c r="N259">
        <v>25.3</v>
      </c>
    </row>
    <row r="260" spans="13:14">
      <c r="M260">
        <v>-0.72277534399999999</v>
      </c>
      <c r="N260">
        <v>25.4</v>
      </c>
    </row>
    <row r="261" spans="13:14">
      <c r="M261">
        <v>-0.72071068000000005</v>
      </c>
      <c r="N261">
        <v>25.5</v>
      </c>
    </row>
    <row r="262" spans="13:14">
      <c r="M262">
        <v>-0.71583670399999999</v>
      </c>
      <c r="N262">
        <v>25.6</v>
      </c>
    </row>
    <row r="263" spans="13:14">
      <c r="M263">
        <v>-0.71064348799999999</v>
      </c>
      <c r="N263">
        <v>25.7</v>
      </c>
    </row>
    <row r="264" spans="13:14">
      <c r="M264">
        <v>-0.70536268800000002</v>
      </c>
      <c r="N264">
        <v>25.8</v>
      </c>
    </row>
    <row r="265" spans="13:14">
      <c r="M265">
        <v>-0.699917024</v>
      </c>
      <c r="N265">
        <v>25.9</v>
      </c>
    </row>
    <row r="266" spans="13:14">
      <c r="M266">
        <v>-0.69447135999999998</v>
      </c>
      <c r="N266">
        <v>26</v>
      </c>
    </row>
    <row r="267" spans="13:14">
      <c r="M267">
        <v>-0.69263896800000002</v>
      </c>
      <c r="N267">
        <v>26.1</v>
      </c>
    </row>
    <row r="268" spans="13:14">
      <c r="M268">
        <v>-0.69173305600000001</v>
      </c>
      <c r="N268">
        <v>26.2</v>
      </c>
    </row>
    <row r="269" spans="13:14">
      <c r="M269">
        <v>-0.69101405599999999</v>
      </c>
      <c r="N269">
        <v>26.3</v>
      </c>
    </row>
    <row r="270" spans="13:14">
      <c r="M270">
        <v>-0.69087136800000004</v>
      </c>
      <c r="N270">
        <v>26.4</v>
      </c>
    </row>
    <row r="271" spans="13:14">
      <c r="M271">
        <v>-0.69072867999999998</v>
      </c>
      <c r="N271">
        <v>26.5</v>
      </c>
    </row>
    <row r="272" spans="13:14">
      <c r="M272">
        <v>-0.69052887200000002</v>
      </c>
      <c r="N272">
        <v>26.6</v>
      </c>
    </row>
    <row r="273" spans="13:14">
      <c r="M273">
        <v>-0.69030386399999999</v>
      </c>
      <c r="N273">
        <v>26.7</v>
      </c>
    </row>
    <row r="274" spans="13:14">
      <c r="M274">
        <v>-0.68874168800000002</v>
      </c>
      <c r="N274">
        <v>26.8</v>
      </c>
    </row>
    <row r="275" spans="13:14">
      <c r="M275">
        <v>-0.67915650400000005</v>
      </c>
      <c r="N275">
        <v>26.9</v>
      </c>
    </row>
    <row r="276" spans="13:14">
      <c r="M276">
        <v>-0.66957131999999997</v>
      </c>
      <c r="N276">
        <v>27</v>
      </c>
    </row>
    <row r="277" spans="13:14">
      <c r="M277">
        <v>-0.664031288</v>
      </c>
      <c r="N277">
        <v>27.1</v>
      </c>
    </row>
    <row r="278" spans="13:14">
      <c r="M278">
        <v>-0.661281016</v>
      </c>
      <c r="N278">
        <v>27.2</v>
      </c>
    </row>
    <row r="279" spans="13:14">
      <c r="M279">
        <v>-0.65858028000000002</v>
      </c>
      <c r="N279">
        <v>27.3</v>
      </c>
    </row>
    <row r="280" spans="13:14">
      <c r="M280">
        <v>-0.65704364000000004</v>
      </c>
      <c r="N280">
        <v>27.4</v>
      </c>
    </row>
    <row r="281" spans="13:14">
      <c r="M281">
        <v>-0.65550699999999995</v>
      </c>
      <c r="N281">
        <v>27.5</v>
      </c>
    </row>
    <row r="282" spans="13:14">
      <c r="M282">
        <v>-0.65437586400000003</v>
      </c>
      <c r="N282">
        <v>27.6</v>
      </c>
    </row>
    <row r="283" spans="13:14">
      <c r="M283">
        <v>-0.65366712800000004</v>
      </c>
      <c r="N283">
        <v>27.7</v>
      </c>
    </row>
    <row r="284" spans="13:14">
      <c r="M284">
        <v>-0.65295839200000005</v>
      </c>
      <c r="N284">
        <v>27.8</v>
      </c>
    </row>
    <row r="285" spans="13:14">
      <c r="M285">
        <v>-0.65217274400000003</v>
      </c>
      <c r="N285">
        <v>27.9</v>
      </c>
    </row>
    <row r="286" spans="13:14">
      <c r="M286">
        <v>-0.65138207999999997</v>
      </c>
      <c r="N286">
        <v>28</v>
      </c>
    </row>
    <row r="287" spans="13:14">
      <c r="M287">
        <v>-0.64901654399999997</v>
      </c>
      <c r="N287">
        <v>28.1</v>
      </c>
    </row>
    <row r="288" spans="13:14">
      <c r="M288">
        <v>-0.64416436799999999</v>
      </c>
      <c r="N288">
        <v>28.2</v>
      </c>
    </row>
    <row r="289" spans="13:14">
      <c r="M289">
        <v>-0.639312192</v>
      </c>
      <c r="N289">
        <v>28.3</v>
      </c>
    </row>
    <row r="290" spans="13:14">
      <c r="M290">
        <v>-0.63320541600000002</v>
      </c>
      <c r="N290">
        <v>28.4</v>
      </c>
    </row>
    <row r="291" spans="13:14">
      <c r="M291">
        <v>-0.62685384</v>
      </c>
      <c r="N291">
        <v>28.5</v>
      </c>
    </row>
    <row r="292" spans="13:14">
      <c r="M292">
        <v>-0.62036416800000005</v>
      </c>
      <c r="N292">
        <v>28.6</v>
      </c>
    </row>
    <row r="293" spans="13:14">
      <c r="M293">
        <v>-0.61352925599999997</v>
      </c>
      <c r="N293">
        <v>28.7</v>
      </c>
    </row>
    <row r="294" spans="13:14">
      <c r="M294">
        <v>-0.606694344</v>
      </c>
      <c r="N294">
        <v>28.8</v>
      </c>
    </row>
    <row r="295" spans="13:14">
      <c r="M295">
        <v>-0.60286039199999997</v>
      </c>
      <c r="N295">
        <v>28.9</v>
      </c>
    </row>
    <row r="296" spans="13:14">
      <c r="M296">
        <v>-0.60011011999999997</v>
      </c>
      <c r="N296">
        <v>29</v>
      </c>
    </row>
    <row r="297" spans="13:14">
      <c r="M297">
        <v>-0.59614074399999994</v>
      </c>
      <c r="N297">
        <v>29.1</v>
      </c>
    </row>
    <row r="298" spans="13:14">
      <c r="M298">
        <v>-0.58675312800000001</v>
      </c>
      <c r="N298">
        <v>29.2</v>
      </c>
    </row>
    <row r="299" spans="13:14">
      <c r="M299">
        <v>-0.57736551199999997</v>
      </c>
      <c r="N299">
        <v>29.3</v>
      </c>
    </row>
    <row r="300" spans="13:14">
      <c r="M300">
        <v>-0.56937463200000005</v>
      </c>
      <c r="N300">
        <v>29.4</v>
      </c>
    </row>
    <row r="301" spans="13:14">
      <c r="M301">
        <v>-0.56219476000000002</v>
      </c>
      <c r="N301">
        <v>29.5</v>
      </c>
    </row>
    <row r="302" spans="13:14">
      <c r="M302">
        <v>-0.55560100000000001</v>
      </c>
      <c r="N302">
        <v>29.6</v>
      </c>
    </row>
    <row r="303" spans="13:14">
      <c r="M303">
        <v>-0.55560100000000001</v>
      </c>
      <c r="N303">
        <v>29.7</v>
      </c>
    </row>
    <row r="304" spans="13:14">
      <c r="M304">
        <v>-0.55560100000000001</v>
      </c>
      <c r="N304">
        <v>29.8</v>
      </c>
    </row>
    <row r="305" spans="13:14">
      <c r="M305">
        <v>-0.55530085600000001</v>
      </c>
      <c r="N305">
        <v>29.9</v>
      </c>
    </row>
    <row r="306" spans="13:14">
      <c r="M306">
        <v>-0.55473519999999998</v>
      </c>
      <c r="N306">
        <v>30</v>
      </c>
    </row>
    <row r="307" spans="13:14">
      <c r="M307">
        <v>-0.55416954399999996</v>
      </c>
      <c r="N307">
        <v>30.1</v>
      </c>
    </row>
    <row r="308" spans="13:14">
      <c r="M308">
        <v>-0.55180216000000004</v>
      </c>
      <c r="N308">
        <v>30.2</v>
      </c>
    </row>
    <row r="309" spans="13:14">
      <c r="M309">
        <v>-0.54939724000000001</v>
      </c>
      <c r="N309">
        <v>30.3</v>
      </c>
    </row>
    <row r="310" spans="13:14">
      <c r="M310">
        <v>-0.54757158399999994</v>
      </c>
      <c r="N310">
        <v>30.4</v>
      </c>
    </row>
    <row r="311" spans="13:14">
      <c r="M311">
        <v>-0.54651828000000002</v>
      </c>
      <c r="N311">
        <v>30.5</v>
      </c>
    </row>
    <row r="312" spans="13:14">
      <c r="M312">
        <v>-0.54546497599999999</v>
      </c>
      <c r="N312">
        <v>30.6</v>
      </c>
    </row>
    <row r="313" spans="13:14">
      <c r="M313">
        <v>-0.54138034400000001</v>
      </c>
      <c r="N313">
        <v>30.7</v>
      </c>
    </row>
    <row r="314" spans="13:14">
      <c r="M314">
        <v>-0.53687273599999996</v>
      </c>
      <c r="N314">
        <v>30.8</v>
      </c>
    </row>
    <row r="315" spans="13:14">
      <c r="M315">
        <v>-0.53383700000000001</v>
      </c>
      <c r="N315">
        <v>30.9</v>
      </c>
    </row>
    <row r="316" spans="13:14">
      <c r="M316">
        <v>-0.53383700000000001</v>
      </c>
      <c r="N316">
        <v>31</v>
      </c>
    </row>
    <row r="317" spans="13:14">
      <c r="M317">
        <v>-0.53383700000000001</v>
      </c>
      <c r="N317">
        <v>31.1</v>
      </c>
    </row>
    <row r="318" spans="13:14">
      <c r="M318">
        <v>-0.53383700000000001</v>
      </c>
      <c r="N318">
        <v>31.2</v>
      </c>
    </row>
    <row r="319" spans="13:14">
      <c r="M319">
        <v>-0.53383700000000001</v>
      </c>
      <c r="N319">
        <v>31.3</v>
      </c>
    </row>
    <row r="320" spans="13:14">
      <c r="M320">
        <v>-0.53365950399999995</v>
      </c>
      <c r="N320">
        <v>31.4</v>
      </c>
    </row>
    <row r="321" spans="13:14">
      <c r="M321">
        <v>-0.53286884000000001</v>
      </c>
      <c r="N321">
        <v>31.5</v>
      </c>
    </row>
    <row r="322" spans="13:14">
      <c r="M322">
        <v>-0.53207817599999996</v>
      </c>
      <c r="N322">
        <v>31.6</v>
      </c>
    </row>
    <row r="323" spans="13:14">
      <c r="M323">
        <v>-0.52954299999999999</v>
      </c>
      <c r="N323">
        <v>31.7</v>
      </c>
    </row>
    <row r="324" spans="13:14">
      <c r="M324">
        <v>-0.52616200000000002</v>
      </c>
      <c r="N324">
        <v>31.8</v>
      </c>
    </row>
    <row r="325" spans="13:14">
      <c r="M325">
        <v>-0.52319499999999997</v>
      </c>
      <c r="N325">
        <v>31.9</v>
      </c>
    </row>
    <row r="326" spans="13:14">
      <c r="M326">
        <v>-0.52319499999999997</v>
      </c>
      <c r="N326">
        <v>32</v>
      </c>
    </row>
    <row r="327" spans="13:14">
      <c r="M327">
        <v>-0.52319499999999997</v>
      </c>
      <c r="N327">
        <v>32.1</v>
      </c>
    </row>
    <row r="328" spans="13:14">
      <c r="M328">
        <v>-0.52300056800000005</v>
      </c>
      <c r="N328">
        <v>32.200000000000003</v>
      </c>
    </row>
    <row r="329" spans="13:14">
      <c r="M329">
        <v>-0.52266031199999996</v>
      </c>
      <c r="N329">
        <v>32.299999999999997</v>
      </c>
    </row>
    <row r="330" spans="13:14">
      <c r="M330">
        <v>-0.52231545599999996</v>
      </c>
      <c r="N330">
        <v>32.4</v>
      </c>
    </row>
    <row r="331" spans="13:14">
      <c r="M331">
        <v>-0.52174980000000004</v>
      </c>
      <c r="N331">
        <v>32.5</v>
      </c>
    </row>
    <row r="332" spans="13:14">
      <c r="M332">
        <v>-0.52118414400000002</v>
      </c>
      <c r="N332">
        <v>32.6</v>
      </c>
    </row>
    <row r="333" spans="13:14">
      <c r="M333">
        <v>-0.52088400000000001</v>
      </c>
      <c r="N333">
        <v>32.700000000000003</v>
      </c>
    </row>
    <row r="334" spans="13:14">
      <c r="M334">
        <v>-0.52088400000000001</v>
      </c>
      <c r="N334">
        <v>32.799999999999997</v>
      </c>
    </row>
    <row r="335" spans="13:14">
      <c r="M335">
        <v>-0.52088400000000001</v>
      </c>
      <c r="N335">
        <v>32.9</v>
      </c>
    </row>
    <row r="336" spans="13:14">
      <c r="M336">
        <v>-0.52054595999999997</v>
      </c>
      <c r="N336">
        <v>33</v>
      </c>
    </row>
    <row r="337" spans="13:14">
      <c r="M337">
        <v>-0.52017787199999999</v>
      </c>
      <c r="N337">
        <v>33.1</v>
      </c>
    </row>
    <row r="338" spans="13:14">
      <c r="M338">
        <v>-0.51867448800000004</v>
      </c>
      <c r="N338">
        <v>33.200000000000003</v>
      </c>
    </row>
    <row r="339" spans="13:14">
      <c r="M339">
        <v>-0.51521587199999996</v>
      </c>
      <c r="N339">
        <v>33.299999999999997</v>
      </c>
    </row>
    <row r="340" spans="13:14">
      <c r="M340">
        <v>-0.51175725599999999</v>
      </c>
      <c r="N340">
        <v>33.4</v>
      </c>
    </row>
    <row r="341" spans="13:14">
      <c r="M341">
        <v>-0.51066056000000004</v>
      </c>
      <c r="N341">
        <v>33.5</v>
      </c>
    </row>
    <row r="342" spans="13:14">
      <c r="M342">
        <v>-0.51009529600000003</v>
      </c>
      <c r="N342">
        <v>33.6</v>
      </c>
    </row>
    <row r="343" spans="13:14">
      <c r="M343">
        <v>-0.509062448</v>
      </c>
      <c r="N343">
        <v>33.700000000000003</v>
      </c>
    </row>
    <row r="344" spans="13:14">
      <c r="M344">
        <v>-0.50673475199999995</v>
      </c>
      <c r="N344">
        <v>33.799999999999997</v>
      </c>
    </row>
    <row r="345" spans="13:14">
      <c r="M345">
        <v>-0.50440705600000002</v>
      </c>
      <c r="N345">
        <v>33.9</v>
      </c>
    </row>
    <row r="346" spans="13:14">
      <c r="M346">
        <v>-0.50309492</v>
      </c>
      <c r="N346">
        <v>34</v>
      </c>
    </row>
    <row r="347" spans="13:14">
      <c r="M347">
        <v>-0.50218900799999999</v>
      </c>
      <c r="N347">
        <v>34.1</v>
      </c>
    </row>
    <row r="348" spans="13:14">
      <c r="M348">
        <v>-0.50125896800000003</v>
      </c>
      <c r="N348">
        <v>34.200000000000003</v>
      </c>
    </row>
    <row r="349" spans="13:14">
      <c r="M349">
        <v>-0.50020527199999998</v>
      </c>
      <c r="N349">
        <v>34.299999999999997</v>
      </c>
    </row>
    <row r="350" spans="13:14">
      <c r="M350">
        <v>-0.49915157599999999</v>
      </c>
      <c r="N350">
        <v>34.4</v>
      </c>
    </row>
    <row r="351" spans="13:14">
      <c r="M351">
        <v>-0.49731811999999997</v>
      </c>
      <c r="N351">
        <v>34.5</v>
      </c>
    </row>
    <row r="352" spans="13:14">
      <c r="M352">
        <v>-0.494990816</v>
      </c>
      <c r="N352">
        <v>34.6</v>
      </c>
    </row>
    <row r="353" spans="13:14">
      <c r="M353">
        <v>-0.49275053600000002</v>
      </c>
      <c r="N353">
        <v>34.700000000000003</v>
      </c>
    </row>
    <row r="354" spans="13:14">
      <c r="M354">
        <v>-0.49184462400000001</v>
      </c>
      <c r="N354">
        <v>34.799999999999997</v>
      </c>
    </row>
    <row r="355" spans="13:14">
      <c r="M355">
        <v>-0.490938712</v>
      </c>
      <c r="N355">
        <v>34.9</v>
      </c>
    </row>
    <row r="356" spans="13:14">
      <c r="M356">
        <v>-0.49049500000000001</v>
      </c>
      <c r="N356">
        <v>35</v>
      </c>
    </row>
    <row r="357" spans="13:14">
      <c r="M357">
        <v>-0.49049500000000001</v>
      </c>
      <c r="N357">
        <v>35.1</v>
      </c>
    </row>
    <row r="358" spans="13:14">
      <c r="M358">
        <v>-0.49049500000000001</v>
      </c>
      <c r="N358">
        <v>35.200000000000003</v>
      </c>
    </row>
    <row r="359" spans="13:14">
      <c r="M359">
        <v>-0.48995243199999999</v>
      </c>
      <c r="N359">
        <v>35.299999999999997</v>
      </c>
    </row>
    <row r="360" spans="13:14">
      <c r="M360">
        <v>-0.48938677600000002</v>
      </c>
      <c r="N360">
        <v>35.4</v>
      </c>
    </row>
    <row r="361" spans="13:14">
      <c r="M361">
        <v>-0.48446768000000001</v>
      </c>
      <c r="N361">
        <v>35.5</v>
      </c>
    </row>
    <row r="362" spans="13:14">
      <c r="M362">
        <v>-0.47323609599999999</v>
      </c>
      <c r="N362">
        <v>35.6</v>
      </c>
    </row>
    <row r="363" spans="13:14">
      <c r="M363">
        <v>-0.46200451199999998</v>
      </c>
      <c r="N363">
        <v>35.700000000000003</v>
      </c>
    </row>
    <row r="364" spans="13:14">
      <c r="M364">
        <v>-0.45962350400000002</v>
      </c>
      <c r="N364">
        <v>35.799999999999997</v>
      </c>
    </row>
    <row r="365" spans="13:14">
      <c r="M365">
        <v>-0.45871759200000001</v>
      </c>
      <c r="N365">
        <v>35.9</v>
      </c>
    </row>
    <row r="366" spans="13:14">
      <c r="M366">
        <v>-0.45797631999999999</v>
      </c>
      <c r="N366">
        <v>36</v>
      </c>
    </row>
    <row r="367" spans="13:14">
      <c r="M367">
        <v>-0.457608232</v>
      </c>
      <c r="N367">
        <v>36.1</v>
      </c>
    </row>
    <row r="368" spans="13:14">
      <c r="M368">
        <v>-0.45724014400000002</v>
      </c>
      <c r="N368">
        <v>36.200000000000003</v>
      </c>
    </row>
    <row r="369" spans="13:14">
      <c r="M369">
        <v>-0.45359711200000002</v>
      </c>
      <c r="N369">
        <v>36.299999999999997</v>
      </c>
    </row>
    <row r="370" spans="13:14">
      <c r="M370">
        <v>-0.44889193599999999</v>
      </c>
      <c r="N370">
        <v>36.4</v>
      </c>
    </row>
    <row r="371" spans="13:14">
      <c r="M371">
        <v>-0.44242580000000098</v>
      </c>
      <c r="N371">
        <v>36.5</v>
      </c>
    </row>
    <row r="372" spans="13:14">
      <c r="M372">
        <v>-0.42909192000000002</v>
      </c>
      <c r="N372">
        <v>36.6</v>
      </c>
    </row>
    <row r="373" spans="13:14">
      <c r="M373">
        <v>-0.41575804</v>
      </c>
      <c r="N373">
        <v>36.700000000000003</v>
      </c>
    </row>
    <row r="374" spans="13:14">
      <c r="M374">
        <v>-0.407077472</v>
      </c>
      <c r="N374">
        <v>36.799999999999997</v>
      </c>
    </row>
    <row r="375" spans="13:14">
      <c r="M375">
        <v>-0.40086897599999999</v>
      </c>
      <c r="N375">
        <v>36.9</v>
      </c>
    </row>
    <row r="376" spans="13:14">
      <c r="M376">
        <v>-0.39524468000000001</v>
      </c>
      <c r="N376">
        <v>37</v>
      </c>
    </row>
    <row r="377" spans="13:14">
      <c r="M377">
        <v>-0.39476134400000001</v>
      </c>
      <c r="N377">
        <v>37.1</v>
      </c>
    </row>
    <row r="378" spans="13:14">
      <c r="M378">
        <v>-0.39427800800000001</v>
      </c>
      <c r="N378">
        <v>37.200000000000003</v>
      </c>
    </row>
    <row r="379" spans="13:14">
      <c r="M379">
        <v>-0.39348039200000001</v>
      </c>
      <c r="N379">
        <v>37.299999999999997</v>
      </c>
    </row>
    <row r="380" spans="13:14">
      <c r="M380">
        <v>-0.39242669600000002</v>
      </c>
      <c r="N380">
        <v>37.4</v>
      </c>
    </row>
    <row r="381" spans="13:14">
      <c r="M381">
        <v>-0.39137300000000003</v>
      </c>
      <c r="N381">
        <v>37.5</v>
      </c>
    </row>
    <row r="382" spans="13:14">
      <c r="M382">
        <v>-0.38389050400000002</v>
      </c>
      <c r="N382">
        <v>37.6</v>
      </c>
    </row>
    <row r="383" spans="13:14">
      <c r="M383">
        <v>-0.37640800800000002</v>
      </c>
      <c r="N383">
        <v>37.700000000000003</v>
      </c>
    </row>
    <row r="384" spans="13:14">
      <c r="M384">
        <v>-0.370296024</v>
      </c>
      <c r="N384">
        <v>37.799999999999997</v>
      </c>
    </row>
    <row r="385" spans="13:14">
      <c r="M385">
        <v>-0.36586603200000001</v>
      </c>
      <c r="N385">
        <v>37.9</v>
      </c>
    </row>
    <row r="386" spans="13:14">
      <c r="M386">
        <v>-0.36143604000000001</v>
      </c>
      <c r="N386">
        <v>38</v>
      </c>
    </row>
    <row r="387" spans="13:14">
      <c r="M387">
        <v>-0.359130016</v>
      </c>
      <c r="N387">
        <v>38.1</v>
      </c>
    </row>
    <row r="388" spans="13:14">
      <c r="M388">
        <v>-0.357065352</v>
      </c>
      <c r="N388">
        <v>38.200000000000003</v>
      </c>
    </row>
    <row r="389" spans="13:14">
      <c r="M389">
        <v>-0.35490956800000001</v>
      </c>
      <c r="N389">
        <v>38.299999999999997</v>
      </c>
    </row>
    <row r="390" spans="13:14">
      <c r="M390">
        <v>-0.35258226399999998</v>
      </c>
      <c r="N390">
        <v>38.4</v>
      </c>
    </row>
    <row r="391" spans="13:14">
      <c r="M391">
        <v>-0.35025496</v>
      </c>
      <c r="N391">
        <v>38.5</v>
      </c>
    </row>
    <row r="392" spans="13:14">
      <c r="M392">
        <v>-0.34501732000000002</v>
      </c>
      <c r="N392">
        <v>38.6</v>
      </c>
    </row>
    <row r="393" spans="13:14">
      <c r="M393">
        <v>-0.33903344000000002</v>
      </c>
      <c r="N393">
        <v>38.700000000000003</v>
      </c>
    </row>
    <row r="394" spans="13:14">
      <c r="M394">
        <v>-0.33451500000000001</v>
      </c>
      <c r="N394">
        <v>38.799999999999997</v>
      </c>
    </row>
    <row r="395" spans="13:14">
      <c r="M395">
        <v>-0.33451500000000001</v>
      </c>
      <c r="N395">
        <v>38.9</v>
      </c>
    </row>
    <row r="396" spans="13:14">
      <c r="M396">
        <v>-0.33451500000000001</v>
      </c>
      <c r="N396">
        <v>39</v>
      </c>
    </row>
    <row r="397" spans="13:14">
      <c r="M397">
        <v>-0.33425986400000002</v>
      </c>
      <c r="N397">
        <v>39.1</v>
      </c>
    </row>
    <row r="398" spans="13:14">
      <c r="M398">
        <v>-0.33389216799999999</v>
      </c>
      <c r="N398">
        <v>39.200000000000003</v>
      </c>
    </row>
    <row r="399" spans="13:14">
      <c r="M399">
        <v>-0.33344758400000002</v>
      </c>
      <c r="N399">
        <v>39.299999999999997</v>
      </c>
    </row>
    <row r="400" spans="13:14">
      <c r="M400">
        <v>-0.33254167200000001</v>
      </c>
      <c r="N400">
        <v>39.4</v>
      </c>
    </row>
    <row r="401" spans="13:14">
      <c r="M401">
        <v>-0.33163576</v>
      </c>
      <c r="N401">
        <v>39.5</v>
      </c>
    </row>
    <row r="402" spans="13:14">
      <c r="M402">
        <v>-0.32926499999999997</v>
      </c>
      <c r="N402">
        <v>39.6</v>
      </c>
    </row>
    <row r="403" spans="13:14">
      <c r="M403">
        <v>-0.32588400000000001</v>
      </c>
      <c r="N403">
        <v>39.700000000000003</v>
      </c>
    </row>
    <row r="404" spans="13:14">
      <c r="M404">
        <v>-0.32242474399999999</v>
      </c>
      <c r="N404">
        <v>39.799999999999997</v>
      </c>
    </row>
    <row r="405" spans="13:14">
      <c r="M405">
        <v>-0.31712647199999999</v>
      </c>
      <c r="N405">
        <v>39.9</v>
      </c>
    </row>
    <row r="406" spans="13:14">
      <c r="M406">
        <v>-0.3118282</v>
      </c>
      <c r="N406">
        <v>40</v>
      </c>
    </row>
    <row r="407" spans="13:14">
      <c r="M407">
        <v>-0.30754138399999997</v>
      </c>
      <c r="N407">
        <v>40.1</v>
      </c>
    </row>
    <row r="408" spans="13:14">
      <c r="M408">
        <v>-0.30430816799999999</v>
      </c>
      <c r="N408">
        <v>40.200000000000003</v>
      </c>
    </row>
    <row r="409" spans="13:14">
      <c r="M409">
        <v>-0.30107495200000001</v>
      </c>
      <c r="N409">
        <v>40.299999999999997</v>
      </c>
    </row>
    <row r="410" spans="13:14">
      <c r="M410">
        <v>-0.29848058399999999</v>
      </c>
      <c r="N410">
        <v>40.4</v>
      </c>
    </row>
    <row r="411" spans="13:14">
      <c r="M411">
        <v>-0.29592787999999998</v>
      </c>
      <c r="N411">
        <v>40.5</v>
      </c>
    </row>
    <row r="412" spans="13:14">
      <c r="M412">
        <v>-0.292891968</v>
      </c>
      <c r="N412">
        <v>40.6</v>
      </c>
    </row>
    <row r="413" spans="13:14">
      <c r="M413">
        <v>-0.28909309599999999</v>
      </c>
      <c r="N413">
        <v>40.700000000000003</v>
      </c>
    </row>
    <row r="414" spans="13:14">
      <c r="M414">
        <v>-0.28529422399999999</v>
      </c>
      <c r="N414">
        <v>40.799999999999997</v>
      </c>
    </row>
    <row r="415" spans="13:14">
      <c r="M415">
        <v>-0.281371696</v>
      </c>
      <c r="N415">
        <v>40.9</v>
      </c>
    </row>
    <row r="416" spans="13:14">
      <c r="M416">
        <v>-0.27742504000000001</v>
      </c>
      <c r="N416">
        <v>41</v>
      </c>
    </row>
    <row r="417" spans="13:14">
      <c r="M417">
        <v>-0.27450867200000001</v>
      </c>
      <c r="N417">
        <v>41.1</v>
      </c>
    </row>
    <row r="418" spans="13:14">
      <c r="M418">
        <v>-0.27416802400000001</v>
      </c>
      <c r="N418">
        <v>41.2</v>
      </c>
    </row>
    <row r="419" spans="13:14">
      <c r="M419">
        <v>-0.27382737600000001</v>
      </c>
      <c r="N419">
        <v>41.3</v>
      </c>
    </row>
    <row r="420" spans="13:14">
      <c r="M420">
        <v>-0.27346685599999998</v>
      </c>
      <c r="N420">
        <v>41.4</v>
      </c>
    </row>
    <row r="421" spans="13:14">
      <c r="M421">
        <v>-0.27309916000000001</v>
      </c>
      <c r="N421">
        <v>41.5</v>
      </c>
    </row>
    <row r="422" spans="13:14">
      <c r="M422">
        <v>-0.27272138400000001</v>
      </c>
      <c r="N422">
        <v>41.6</v>
      </c>
    </row>
    <row r="423" spans="13:14">
      <c r="M423">
        <v>-0.272298808</v>
      </c>
      <c r="N423">
        <v>41.7</v>
      </c>
    </row>
    <row r="424" spans="13:14">
      <c r="M424">
        <v>-0.271876232</v>
      </c>
      <c r="N424">
        <v>41.8</v>
      </c>
    </row>
    <row r="425" spans="13:14">
      <c r="M425">
        <v>-0.26980024000000002</v>
      </c>
      <c r="N425">
        <v>41.9</v>
      </c>
    </row>
    <row r="426" spans="13:14">
      <c r="M426">
        <v>-0.26676420000000001</v>
      </c>
      <c r="N426">
        <v>42</v>
      </c>
    </row>
    <row r="427" spans="13:14">
      <c r="M427">
        <v>-0.26391369599999998</v>
      </c>
      <c r="N427">
        <v>42.1</v>
      </c>
    </row>
    <row r="428" spans="13:14">
      <c r="M428">
        <v>-0.26315047200000002</v>
      </c>
      <c r="N428">
        <v>42.2</v>
      </c>
    </row>
    <row r="429" spans="13:14">
      <c r="M429">
        <v>-0.26238724800000002</v>
      </c>
      <c r="N429">
        <v>42.3</v>
      </c>
    </row>
    <row r="430" spans="13:14">
      <c r="M430">
        <v>-0.26109424799999997</v>
      </c>
      <c r="N430">
        <v>42.4</v>
      </c>
    </row>
    <row r="431" spans="13:14">
      <c r="M431">
        <v>-0.25933260000000002</v>
      </c>
      <c r="N431">
        <v>42.5</v>
      </c>
    </row>
    <row r="432" spans="13:14">
      <c r="M432">
        <v>-0.25757095200000002</v>
      </c>
      <c r="N432">
        <v>42.6</v>
      </c>
    </row>
    <row r="433" spans="13:14">
      <c r="M433">
        <v>-0.25628661600000002</v>
      </c>
      <c r="N433">
        <v>42.7</v>
      </c>
    </row>
    <row r="434" spans="13:14">
      <c r="M434">
        <v>-0.25501222400000001</v>
      </c>
      <c r="N434">
        <v>42.8</v>
      </c>
    </row>
    <row r="435" spans="13:14">
      <c r="M435">
        <v>-0.25283499999999998</v>
      </c>
      <c r="N435">
        <v>42.9</v>
      </c>
    </row>
    <row r="436" spans="13:14">
      <c r="M436">
        <v>-0.24945400000000001</v>
      </c>
      <c r="N436">
        <v>43</v>
      </c>
    </row>
    <row r="437" spans="13:14">
      <c r="M437">
        <v>-0.24607299999999999</v>
      </c>
      <c r="N437">
        <v>43.1</v>
      </c>
    </row>
    <row r="438" spans="13:14">
      <c r="M438">
        <v>-0.24417051200000001</v>
      </c>
      <c r="N438">
        <v>43.2</v>
      </c>
    </row>
    <row r="439" spans="13:14">
      <c r="M439">
        <v>-0.24247432799999999</v>
      </c>
      <c r="N439">
        <v>43.3</v>
      </c>
    </row>
    <row r="440" spans="13:14">
      <c r="M440">
        <v>-0.240267168</v>
      </c>
      <c r="N440">
        <v>43.4</v>
      </c>
    </row>
    <row r="441" spans="13:14">
      <c r="M441">
        <v>-0.23700611999999999</v>
      </c>
      <c r="N441">
        <v>43.5</v>
      </c>
    </row>
    <row r="442" spans="13:14">
      <c r="M442">
        <v>-0.233745072</v>
      </c>
      <c r="N442">
        <v>43.6</v>
      </c>
    </row>
    <row r="443" spans="13:14">
      <c r="M443">
        <v>-0.23193167200000001</v>
      </c>
      <c r="N443">
        <v>43.7</v>
      </c>
    </row>
    <row r="444" spans="13:14">
      <c r="M444">
        <v>-0.23053732800000001</v>
      </c>
      <c r="N444">
        <v>43.8</v>
      </c>
    </row>
    <row r="445" spans="13:14">
      <c r="M445">
        <v>-0.22907513600000001</v>
      </c>
      <c r="N445">
        <v>43.9</v>
      </c>
    </row>
    <row r="446" spans="13:14">
      <c r="M446">
        <v>-0.22737856000000001</v>
      </c>
      <c r="N446">
        <v>44</v>
      </c>
    </row>
    <row r="447" spans="13:14">
      <c r="M447">
        <v>-0.225681984</v>
      </c>
      <c r="N447">
        <v>44.1</v>
      </c>
    </row>
    <row r="448" spans="13:14">
      <c r="M448">
        <v>-0.221382896</v>
      </c>
      <c r="N448">
        <v>44.2</v>
      </c>
    </row>
    <row r="449" spans="13:14">
      <c r="M449">
        <v>-0.21582198399999999</v>
      </c>
      <c r="N449">
        <v>44.3</v>
      </c>
    </row>
    <row r="450" spans="13:14">
      <c r="M450">
        <v>-0.21094199999999999</v>
      </c>
      <c r="N450">
        <v>44.4</v>
      </c>
    </row>
    <row r="451" spans="13:14">
      <c r="M451">
        <v>-0.21094199999999999</v>
      </c>
      <c r="N451">
        <v>44.5</v>
      </c>
    </row>
    <row r="452" spans="13:14">
      <c r="M452">
        <v>-0.21094199999999999</v>
      </c>
      <c r="N452">
        <v>44.6</v>
      </c>
    </row>
    <row r="453" spans="13:14">
      <c r="M453">
        <v>-0.21073188800000001</v>
      </c>
      <c r="N453">
        <v>44.7</v>
      </c>
    </row>
    <row r="454" spans="13:14">
      <c r="M454">
        <v>-0.21036419200000001</v>
      </c>
      <c r="N454">
        <v>44.8</v>
      </c>
    </row>
    <row r="455" spans="13:14">
      <c r="M455">
        <v>-0.210004</v>
      </c>
      <c r="N455">
        <v>44.9</v>
      </c>
    </row>
    <row r="456" spans="13:14">
      <c r="M456">
        <v>-0.210004</v>
      </c>
      <c r="N456">
        <v>45</v>
      </c>
    </row>
    <row r="457" spans="13:14">
      <c r="M457">
        <v>-0.210004</v>
      </c>
      <c r="N457">
        <v>45.1</v>
      </c>
    </row>
    <row r="458" spans="13:14">
      <c r="M458">
        <v>-0.20908418400000001</v>
      </c>
      <c r="N458">
        <v>45.2</v>
      </c>
    </row>
    <row r="459" spans="13:14">
      <c r="M459">
        <v>-0.207124576</v>
      </c>
      <c r="N459">
        <v>45.3</v>
      </c>
    </row>
    <row r="460" spans="13:14">
      <c r="M460">
        <v>-0.205164968</v>
      </c>
      <c r="N460">
        <v>45.4</v>
      </c>
    </row>
    <row r="461" spans="13:14">
      <c r="M461">
        <v>-0.20500499999999999</v>
      </c>
      <c r="N461">
        <v>45.5</v>
      </c>
    </row>
    <row r="462" spans="13:14">
      <c r="M462">
        <v>-0.20500499999999999</v>
      </c>
      <c r="N462">
        <v>45.6</v>
      </c>
    </row>
    <row r="463" spans="13:14">
      <c r="M463">
        <v>-0.20500499999999999</v>
      </c>
      <c r="N463">
        <v>45.7</v>
      </c>
    </row>
    <row r="464" spans="13:14">
      <c r="M464">
        <v>-0.20500499999999999</v>
      </c>
      <c r="N464">
        <v>45.8</v>
      </c>
    </row>
    <row r="465" spans="13:14">
      <c r="M465">
        <v>-0.20500499999999999</v>
      </c>
      <c r="N465">
        <v>45.9</v>
      </c>
    </row>
    <row r="466" spans="13:14">
      <c r="M466">
        <v>-0.20141972</v>
      </c>
      <c r="N466">
        <v>46</v>
      </c>
    </row>
    <row r="467" spans="13:14">
      <c r="M467">
        <v>-0.197027752</v>
      </c>
      <c r="N467">
        <v>46.1</v>
      </c>
    </row>
    <row r="468" spans="13:14">
      <c r="M468">
        <v>-0.193801</v>
      </c>
      <c r="N468">
        <v>46.2</v>
      </c>
    </row>
    <row r="469" spans="13:14">
      <c r="M469">
        <v>-0.193801</v>
      </c>
      <c r="N469">
        <v>46.3</v>
      </c>
    </row>
    <row r="470" spans="13:14">
      <c r="M470">
        <v>-0.193801</v>
      </c>
      <c r="N470">
        <v>46.4</v>
      </c>
    </row>
    <row r="471" spans="13:14">
      <c r="M471">
        <v>-0.19341655999999999</v>
      </c>
      <c r="N471">
        <v>46.5</v>
      </c>
    </row>
    <row r="472" spans="13:14">
      <c r="M472">
        <v>-0.19287834400000001</v>
      </c>
      <c r="N472">
        <v>46.6</v>
      </c>
    </row>
    <row r="473" spans="13:14">
      <c r="M473">
        <v>-0.192367968</v>
      </c>
      <c r="N473">
        <v>46.7</v>
      </c>
    </row>
    <row r="474" spans="13:14">
      <c r="M474">
        <v>-0.192000272</v>
      </c>
      <c r="N474">
        <v>46.8</v>
      </c>
    </row>
    <row r="475" spans="13:14">
      <c r="M475">
        <v>-0.191632576</v>
      </c>
      <c r="N475">
        <v>46.9</v>
      </c>
    </row>
    <row r="476" spans="13:14">
      <c r="M476">
        <v>-0.19006487999999999</v>
      </c>
      <c r="N476">
        <v>47</v>
      </c>
    </row>
    <row r="477" spans="13:14">
      <c r="M477">
        <v>-0.187737184</v>
      </c>
      <c r="N477">
        <v>47.1</v>
      </c>
    </row>
    <row r="478" spans="13:14">
      <c r="M478">
        <v>-0.18535402400000001</v>
      </c>
      <c r="N478">
        <v>47.2</v>
      </c>
    </row>
    <row r="479" spans="13:14">
      <c r="M479">
        <v>-0.18212041600000001</v>
      </c>
      <c r="N479">
        <v>47.3</v>
      </c>
    </row>
    <row r="480" spans="13:14">
      <c r="M480">
        <v>-0.17888680800000001</v>
      </c>
      <c r="N480">
        <v>47.4</v>
      </c>
    </row>
    <row r="481" spans="13:14">
      <c r="M481">
        <v>-0.1759</v>
      </c>
      <c r="N481">
        <v>47.5</v>
      </c>
    </row>
    <row r="482" spans="13:14">
      <c r="M482">
        <v>-0.17315011999999999</v>
      </c>
      <c r="N482">
        <v>47.6</v>
      </c>
    </row>
    <row r="483" spans="13:14">
      <c r="M483">
        <v>-0.17040024000000001</v>
      </c>
      <c r="N483">
        <v>47.7</v>
      </c>
    </row>
    <row r="484" spans="13:14">
      <c r="M484">
        <v>-0.167702248</v>
      </c>
      <c r="N484">
        <v>47.8</v>
      </c>
    </row>
    <row r="485" spans="13:14">
      <c r="M485">
        <v>-0.16500646399999999</v>
      </c>
      <c r="N485">
        <v>47.9</v>
      </c>
    </row>
    <row r="486" spans="13:14">
      <c r="M486">
        <v>-0.16304124</v>
      </c>
      <c r="N486">
        <v>48</v>
      </c>
    </row>
    <row r="487" spans="13:14">
      <c r="M487">
        <v>-0.162135328</v>
      </c>
      <c r="N487">
        <v>48.1</v>
      </c>
    </row>
    <row r="488" spans="13:14">
      <c r="M488">
        <v>-0.16122941599999999</v>
      </c>
      <c r="N488">
        <v>48.2</v>
      </c>
    </row>
    <row r="489" spans="13:14">
      <c r="M489">
        <v>-0.15643262399999999</v>
      </c>
      <c r="N489">
        <v>48.3</v>
      </c>
    </row>
    <row r="490" spans="13:14">
      <c r="M490">
        <v>-0.15098735199999999</v>
      </c>
      <c r="N490">
        <v>48.4</v>
      </c>
    </row>
    <row r="491" spans="13:14">
      <c r="M491">
        <v>-0.14660912000000001</v>
      </c>
      <c r="N491">
        <v>48.5</v>
      </c>
    </row>
    <row r="492" spans="13:14">
      <c r="M492">
        <v>-0.14464951200000001</v>
      </c>
      <c r="N492">
        <v>48.6</v>
      </c>
    </row>
    <row r="493" spans="13:14">
      <c r="M493">
        <v>-0.14268990400000001</v>
      </c>
      <c r="N493">
        <v>48.7</v>
      </c>
    </row>
    <row r="494" spans="13:14">
      <c r="M494">
        <v>-0.13976829599999999</v>
      </c>
      <c r="N494">
        <v>48.8</v>
      </c>
    </row>
    <row r="495" spans="13:14">
      <c r="M495">
        <v>-0.13653468799999999</v>
      </c>
      <c r="N495">
        <v>48.9</v>
      </c>
    </row>
    <row r="496" spans="13:14">
      <c r="M496">
        <v>-0.13377052</v>
      </c>
      <c r="N496">
        <v>49</v>
      </c>
    </row>
    <row r="497" spans="13:14">
      <c r="M497">
        <v>-0.13283716800000001</v>
      </c>
      <c r="N497">
        <v>49.1</v>
      </c>
    </row>
    <row r="498" spans="13:14">
      <c r="M498">
        <v>-0.13190381600000001</v>
      </c>
      <c r="N498">
        <v>49.2</v>
      </c>
    </row>
    <row r="499" spans="13:14">
      <c r="M499">
        <v>-0.12983766399999999</v>
      </c>
      <c r="N499">
        <v>49.3</v>
      </c>
    </row>
    <row r="500" spans="13:14">
      <c r="M500">
        <v>-0.12716971199999999</v>
      </c>
      <c r="N500">
        <v>49.4</v>
      </c>
    </row>
    <row r="501" spans="13:14">
      <c r="M501">
        <v>-0.12440092</v>
      </c>
      <c r="N501">
        <v>49.5</v>
      </c>
    </row>
    <row r="502" spans="13:14">
      <c r="M502">
        <v>-0.12074473600000001</v>
      </c>
      <c r="N502">
        <v>49.6</v>
      </c>
    </row>
    <row r="503" spans="13:14">
      <c r="M503">
        <v>-0.117088552</v>
      </c>
      <c r="N503">
        <v>49.7</v>
      </c>
    </row>
    <row r="504" spans="13:14">
      <c r="M504">
        <v>-0.114932488</v>
      </c>
      <c r="N504">
        <v>49.8</v>
      </c>
    </row>
    <row r="505" spans="13:14">
      <c r="M505">
        <v>-0.113998744</v>
      </c>
      <c r="N505">
        <v>49.9</v>
      </c>
    </row>
    <row r="506" spans="13:14">
      <c r="M506">
        <v>-0.113065</v>
      </c>
      <c r="N506">
        <v>50</v>
      </c>
    </row>
    <row r="507" spans="13:14">
      <c r="M507">
        <v>-0.102426512</v>
      </c>
      <c r="N507">
        <v>50.1</v>
      </c>
    </row>
    <row r="508" spans="13:14">
      <c r="M508">
        <v>-9.1788024000000204E-2</v>
      </c>
      <c r="N508">
        <v>50.2</v>
      </c>
    </row>
    <row r="509" spans="13:14">
      <c r="M509">
        <v>-8.3328240000000206E-2</v>
      </c>
      <c r="N509">
        <v>50.3</v>
      </c>
    </row>
    <row r="510" spans="13:14">
      <c r="M510">
        <v>-7.7542319999999804E-2</v>
      </c>
      <c r="N510">
        <v>50.4</v>
      </c>
    </row>
    <row r="511" spans="13:14">
      <c r="M511">
        <v>-7.1756399999999901E-2</v>
      </c>
      <c r="N511">
        <v>50.5</v>
      </c>
    </row>
    <row r="512" spans="13:14">
      <c r="M512">
        <v>-7.0022000000000001E-2</v>
      </c>
      <c r="N512">
        <v>50.6</v>
      </c>
    </row>
    <row r="513" spans="13:14">
      <c r="M513">
        <v>-6.8748000000000004E-2</v>
      </c>
      <c r="N513">
        <v>50.7</v>
      </c>
    </row>
    <row r="514" spans="13:14">
      <c r="M514">
        <v>-6.7550568000000005E-2</v>
      </c>
      <c r="N514">
        <v>50.8</v>
      </c>
    </row>
    <row r="515" spans="13:14">
      <c r="M515">
        <v>-6.6497264E-2</v>
      </c>
      <c r="N515">
        <v>50.9</v>
      </c>
    </row>
    <row r="516" spans="13:14">
      <c r="M516">
        <v>-6.5443959999999995E-2</v>
      </c>
      <c r="N516">
        <v>51</v>
      </c>
    </row>
    <row r="517" spans="13:14">
      <c r="M517">
        <v>-6.3376343999999904E-2</v>
      </c>
      <c r="N517">
        <v>51.1</v>
      </c>
    </row>
    <row r="518" spans="13:14">
      <c r="M518">
        <v>-6.1048647999999997E-2</v>
      </c>
      <c r="N518">
        <v>51.2</v>
      </c>
    </row>
    <row r="519" spans="13:14">
      <c r="M519">
        <v>-5.8875511999999998E-2</v>
      </c>
      <c r="N519">
        <v>51.3</v>
      </c>
    </row>
    <row r="520" spans="13:14">
      <c r="M520">
        <v>-5.7178936E-2</v>
      </c>
      <c r="N520">
        <v>51.4</v>
      </c>
    </row>
    <row r="521" spans="13:14">
      <c r="M521">
        <v>-5.5482360000000001E-2</v>
      </c>
      <c r="N521">
        <v>51.5</v>
      </c>
    </row>
    <row r="522" spans="13:14">
      <c r="M522">
        <v>-5.3348135999999997E-2</v>
      </c>
      <c r="N522">
        <v>51.6</v>
      </c>
    </row>
    <row r="523" spans="13:14">
      <c r="M523">
        <v>-5.1020831999999898E-2</v>
      </c>
      <c r="N523">
        <v>51.7</v>
      </c>
    </row>
    <row r="524" spans="13:14">
      <c r="M524">
        <v>-4.8382055999999903E-2</v>
      </c>
      <c r="N524">
        <v>51.8</v>
      </c>
    </row>
    <row r="525" spans="13:14">
      <c r="M525">
        <v>-4.3874447999999899E-2</v>
      </c>
      <c r="N525">
        <v>51.9</v>
      </c>
    </row>
    <row r="526" spans="13:14">
      <c r="M526">
        <v>-3.936684E-2</v>
      </c>
      <c r="N526">
        <v>52</v>
      </c>
    </row>
    <row r="527" spans="13:14">
      <c r="M527">
        <v>-2.9385424E-2</v>
      </c>
      <c r="N527">
        <v>52.1</v>
      </c>
    </row>
    <row r="528" spans="13:14">
      <c r="M528">
        <v>-1.5628968000000201E-2</v>
      </c>
      <c r="N528">
        <v>52.2</v>
      </c>
    </row>
    <row r="529" spans="13:14">
      <c r="M529">
        <v>-2.3389919999998801E-3</v>
      </c>
      <c r="N529">
        <v>52.3</v>
      </c>
    </row>
    <row r="530" spans="13:14">
      <c r="M530">
        <v>-1.12959999999081E-5</v>
      </c>
      <c r="N530">
        <v>52.4</v>
      </c>
    </row>
    <row r="531" spans="13:14">
      <c r="M531">
        <v>2.31640000000007E-3</v>
      </c>
      <c r="N531">
        <v>52.5</v>
      </c>
    </row>
    <row r="532" spans="13:14">
      <c r="M532">
        <v>3.9477120000000199E-3</v>
      </c>
      <c r="N532">
        <v>52.6</v>
      </c>
    </row>
    <row r="533" spans="13:14">
      <c r="M533">
        <v>4.8536240000000104E-3</v>
      </c>
      <c r="N533">
        <v>52.7</v>
      </c>
    </row>
    <row r="534" spans="13:14">
      <c r="M534">
        <v>5.759536E-3</v>
      </c>
      <c r="N534">
        <v>52.8</v>
      </c>
    </row>
    <row r="535" spans="13:14">
      <c r="M535">
        <v>6.1605520000000196E-3</v>
      </c>
      <c r="N535">
        <v>52.9</v>
      </c>
    </row>
    <row r="536" spans="13:14">
      <c r="M536">
        <v>6.5286400000000196E-3</v>
      </c>
      <c r="N536">
        <v>53</v>
      </c>
    </row>
    <row r="537" spans="13:14">
      <c r="M537">
        <v>1.0251368000000399E-2</v>
      </c>
      <c r="N537">
        <v>53.1</v>
      </c>
    </row>
    <row r="538" spans="13:14">
      <c r="M538">
        <v>1.9270896000000301E-2</v>
      </c>
      <c r="N538">
        <v>53.2</v>
      </c>
    </row>
    <row r="539" spans="13:14">
      <c r="M539">
        <v>2.8290424000000199E-2</v>
      </c>
      <c r="N539">
        <v>53.3</v>
      </c>
    </row>
    <row r="540" spans="13:14">
      <c r="M540">
        <v>3.2537223999999997E-2</v>
      </c>
      <c r="N540">
        <v>53.4</v>
      </c>
    </row>
    <row r="541" spans="13:14">
      <c r="M541">
        <v>3.5852759999999997E-2</v>
      </c>
      <c r="N541">
        <v>53.5</v>
      </c>
    </row>
    <row r="542" spans="13:14">
      <c r="M542">
        <v>3.8843832000000099E-2</v>
      </c>
      <c r="N542">
        <v>53.6</v>
      </c>
    </row>
    <row r="543" spans="13:14">
      <c r="M543">
        <v>4.1023744000000098E-2</v>
      </c>
      <c r="N543">
        <v>53.7</v>
      </c>
    </row>
    <row r="544" spans="13:14">
      <c r="M544">
        <v>4.3203656000000097E-2</v>
      </c>
      <c r="N544">
        <v>53.8</v>
      </c>
    </row>
    <row r="545" spans="13:14">
      <c r="M545">
        <v>4.6266000000000099E-2</v>
      </c>
      <c r="N545">
        <v>53.9</v>
      </c>
    </row>
    <row r="546" spans="13:14">
      <c r="M546">
        <v>4.9647000000000101E-2</v>
      </c>
      <c r="N546">
        <v>54</v>
      </c>
    </row>
    <row r="547" spans="13:14">
      <c r="M547">
        <v>5.2641E-2</v>
      </c>
      <c r="N547">
        <v>54.1</v>
      </c>
    </row>
    <row r="548" spans="13:14">
      <c r="M548">
        <v>5.3915000000000102E-2</v>
      </c>
      <c r="N548">
        <v>54.2</v>
      </c>
    </row>
    <row r="549" spans="13:14">
      <c r="M549">
        <v>5.5189000000000099E-2</v>
      </c>
      <c r="N549">
        <v>54.3</v>
      </c>
    </row>
    <row r="550" spans="13:14">
      <c r="M550">
        <v>6.40024480000006E-2</v>
      </c>
      <c r="N550">
        <v>54.4</v>
      </c>
    </row>
    <row r="551" spans="13:14">
      <c r="M551">
        <v>7.7193640000000494E-2</v>
      </c>
      <c r="N551">
        <v>54.5</v>
      </c>
    </row>
    <row r="552" spans="13:14">
      <c r="M552">
        <v>8.9354143999999996E-2</v>
      </c>
      <c r="N552">
        <v>54.6</v>
      </c>
    </row>
    <row r="553" spans="13:14">
      <c r="M553">
        <v>8.9919408000000006E-2</v>
      </c>
      <c r="N553">
        <v>54.7</v>
      </c>
    </row>
    <row r="554" spans="13:14">
      <c r="M554">
        <v>9.0484672000000002E-2</v>
      </c>
      <c r="N554">
        <v>54.8</v>
      </c>
    </row>
    <row r="555" spans="13:14">
      <c r="M555">
        <v>9.1126064000000007E-2</v>
      </c>
      <c r="N555">
        <v>54.9</v>
      </c>
    </row>
    <row r="556" spans="13:14">
      <c r="M556">
        <v>9.1834799999999994E-2</v>
      </c>
      <c r="N556">
        <v>55</v>
      </c>
    </row>
    <row r="557" spans="13:14">
      <c r="M557">
        <v>9.2543535999999996E-2</v>
      </c>
      <c r="N557">
        <v>55.1</v>
      </c>
    </row>
    <row r="558" spans="13:14">
      <c r="M558">
        <v>9.3111728000000005E-2</v>
      </c>
      <c r="N558">
        <v>55.2</v>
      </c>
    </row>
    <row r="559" spans="13:14">
      <c r="M559">
        <v>9.3676992000000001E-2</v>
      </c>
      <c r="N559">
        <v>55.3</v>
      </c>
    </row>
    <row r="560" spans="13:14">
      <c r="M560">
        <v>9.4451584000000005E-2</v>
      </c>
      <c r="N560">
        <v>55.4</v>
      </c>
    </row>
    <row r="561" spans="13:14">
      <c r="M561">
        <v>9.5505280000000095E-2</v>
      </c>
      <c r="N561">
        <v>55.5</v>
      </c>
    </row>
    <row r="562" spans="13:14">
      <c r="M562">
        <v>9.6558976000000102E-2</v>
      </c>
      <c r="N562">
        <v>55.6</v>
      </c>
    </row>
    <row r="563" spans="13:14">
      <c r="M563">
        <v>9.7482984000000106E-2</v>
      </c>
      <c r="N563">
        <v>55.7</v>
      </c>
    </row>
    <row r="564" spans="13:14">
      <c r="M564">
        <v>9.8388896000000003E-2</v>
      </c>
      <c r="N564">
        <v>55.8</v>
      </c>
    </row>
    <row r="565" spans="13:14">
      <c r="M565">
        <v>0.100248536</v>
      </c>
      <c r="N565">
        <v>55.9</v>
      </c>
    </row>
    <row r="566" spans="13:14">
      <c r="M566">
        <v>0.10407524</v>
      </c>
      <c r="N566">
        <v>56</v>
      </c>
    </row>
    <row r="567" spans="13:14">
      <c r="M567">
        <v>0.107901944</v>
      </c>
      <c r="N567">
        <v>56.1</v>
      </c>
    </row>
    <row r="568" spans="13:14">
      <c r="M568">
        <v>0.11071906400000001</v>
      </c>
      <c r="N568">
        <v>56.2</v>
      </c>
    </row>
    <row r="569" spans="13:14">
      <c r="M569">
        <v>0.113243936</v>
      </c>
      <c r="N569">
        <v>56.3</v>
      </c>
    </row>
    <row r="570" spans="13:14">
      <c r="M570">
        <v>0.115202</v>
      </c>
      <c r="N570">
        <v>56.4</v>
      </c>
    </row>
    <row r="571" spans="13:14">
      <c r="M571">
        <v>0.115202</v>
      </c>
      <c r="N571">
        <v>56.5</v>
      </c>
    </row>
    <row r="572" spans="13:14">
      <c r="M572">
        <v>0.115202</v>
      </c>
      <c r="N572">
        <v>56.6</v>
      </c>
    </row>
    <row r="573" spans="13:14">
      <c r="M573">
        <v>0.117627632</v>
      </c>
      <c r="N573">
        <v>56.7</v>
      </c>
    </row>
    <row r="574" spans="13:14">
      <c r="M574">
        <v>0.121229328</v>
      </c>
      <c r="N574">
        <v>56.8</v>
      </c>
    </row>
    <row r="575" spans="13:14">
      <c r="M575">
        <v>0.12494247999999999</v>
      </c>
      <c r="N575">
        <v>56.9</v>
      </c>
    </row>
    <row r="576" spans="13:14">
      <c r="M576">
        <v>0.1294544</v>
      </c>
      <c r="N576">
        <v>57</v>
      </c>
    </row>
    <row r="577" spans="13:14">
      <c r="M577">
        <v>0.13396632</v>
      </c>
      <c r="N577">
        <v>57.1</v>
      </c>
    </row>
    <row r="578" spans="13:14">
      <c r="M578">
        <v>0.13742454400000001</v>
      </c>
      <c r="N578">
        <v>57.2</v>
      </c>
    </row>
    <row r="579" spans="13:14">
      <c r="M579">
        <v>0.14009249600000001</v>
      </c>
      <c r="N579">
        <v>57.3</v>
      </c>
    </row>
    <row r="580" spans="13:14">
      <c r="M580">
        <v>0.142710592</v>
      </c>
      <c r="N580">
        <v>57.4</v>
      </c>
    </row>
    <row r="581" spans="13:14">
      <c r="M581">
        <v>0.1429356</v>
      </c>
      <c r="N581">
        <v>57.5</v>
      </c>
    </row>
    <row r="582" spans="13:14">
      <c r="M582">
        <v>0.14316060799999999</v>
      </c>
      <c r="N582">
        <v>57.6</v>
      </c>
    </row>
    <row r="583" spans="13:14">
      <c r="M583">
        <v>0.14652667999999899</v>
      </c>
      <c r="N583">
        <v>57.7</v>
      </c>
    </row>
    <row r="584" spans="13:14">
      <c r="M584">
        <v>0.15344352</v>
      </c>
      <c r="N584">
        <v>57.8</v>
      </c>
    </row>
    <row r="585" spans="13:14">
      <c r="M585">
        <v>0.16036036000000001</v>
      </c>
      <c r="N585">
        <v>57.9</v>
      </c>
    </row>
    <row r="586" spans="13:14">
      <c r="M586">
        <v>0.16157588000000001</v>
      </c>
      <c r="N586">
        <v>58</v>
      </c>
    </row>
    <row r="587" spans="13:14">
      <c r="M587">
        <v>0.16228461599999999</v>
      </c>
      <c r="N587">
        <v>58.1</v>
      </c>
    </row>
    <row r="588" spans="13:14">
      <c r="M588">
        <v>0.16339856799999999</v>
      </c>
      <c r="N588">
        <v>58.2</v>
      </c>
    </row>
    <row r="589" spans="13:14">
      <c r="M589">
        <v>0.16521039200000001</v>
      </c>
      <c r="N589">
        <v>58.3</v>
      </c>
    </row>
    <row r="590" spans="13:14">
      <c r="M590">
        <v>0.167022216</v>
      </c>
      <c r="N590">
        <v>58.4</v>
      </c>
    </row>
    <row r="591" spans="13:14">
      <c r="M591">
        <v>0.16869932000000001</v>
      </c>
      <c r="N591">
        <v>58.5</v>
      </c>
    </row>
    <row r="592" spans="13:14">
      <c r="M592">
        <v>0.17034611199999999</v>
      </c>
      <c r="N592">
        <v>58.6</v>
      </c>
    </row>
    <row r="593" spans="13:14">
      <c r="M593">
        <v>0.17346086399999999</v>
      </c>
      <c r="N593">
        <v>58.7</v>
      </c>
    </row>
    <row r="594" spans="13:14">
      <c r="M594">
        <v>0.180640736</v>
      </c>
      <c r="N594">
        <v>58.8</v>
      </c>
    </row>
    <row r="595" spans="13:14">
      <c r="M595">
        <v>0.187820608</v>
      </c>
      <c r="N595">
        <v>58.9</v>
      </c>
    </row>
    <row r="596" spans="13:14">
      <c r="M596">
        <v>0.19051908000000001</v>
      </c>
      <c r="N596">
        <v>59</v>
      </c>
    </row>
    <row r="597" spans="13:14">
      <c r="M597">
        <v>0.19142499199999999</v>
      </c>
      <c r="N597">
        <v>59.1</v>
      </c>
    </row>
    <row r="598" spans="13:14">
      <c r="M598">
        <v>0.192563032</v>
      </c>
      <c r="N598">
        <v>59.2</v>
      </c>
    </row>
    <row r="599" spans="13:14">
      <c r="M599">
        <v>0.19489072800000001</v>
      </c>
      <c r="N599">
        <v>59.3</v>
      </c>
    </row>
    <row r="600" spans="13:14">
      <c r="M600">
        <v>0.197218424</v>
      </c>
      <c r="N600">
        <v>59.4</v>
      </c>
    </row>
    <row r="601" spans="13:14">
      <c r="M601">
        <v>0.2005846</v>
      </c>
      <c r="N601">
        <v>59.5</v>
      </c>
    </row>
    <row r="602" spans="13:14">
      <c r="M602">
        <v>0.20460848000000001</v>
      </c>
      <c r="N602">
        <v>59.6</v>
      </c>
    </row>
    <row r="603" spans="13:14">
      <c r="M603">
        <v>0.20881823999999999</v>
      </c>
      <c r="N603">
        <v>59.7</v>
      </c>
    </row>
    <row r="604" spans="13:14">
      <c r="M604">
        <v>0.21587816000000001</v>
      </c>
      <c r="N604">
        <v>59.8</v>
      </c>
    </row>
    <row r="605" spans="13:14">
      <c r="M605">
        <v>0.22293808000000001</v>
      </c>
      <c r="N605">
        <v>59.9</v>
      </c>
    </row>
    <row r="606" spans="13:14">
      <c r="M606">
        <v>0.2297708</v>
      </c>
      <c r="N606">
        <v>60</v>
      </c>
    </row>
    <row r="607" spans="13:14">
      <c r="M607">
        <v>0.23638540799999999</v>
      </c>
      <c r="N607">
        <v>60.1</v>
      </c>
    </row>
    <row r="608" spans="13:14">
      <c r="M608">
        <v>0.24300001600000001</v>
      </c>
      <c r="N608">
        <v>60.2</v>
      </c>
    </row>
    <row r="609" spans="13:14">
      <c r="M609">
        <v>0.24449199999999999</v>
      </c>
      <c r="N609">
        <v>60.3</v>
      </c>
    </row>
    <row r="610" spans="13:14">
      <c r="M610">
        <v>0.24576600000000001</v>
      </c>
      <c r="N610">
        <v>60.4</v>
      </c>
    </row>
    <row r="611" spans="13:14">
      <c r="M611">
        <v>0.24741167999999999</v>
      </c>
      <c r="N611">
        <v>60.5</v>
      </c>
    </row>
    <row r="612" spans="13:14">
      <c r="M612">
        <v>0.249596296</v>
      </c>
      <c r="N612">
        <v>60.6</v>
      </c>
    </row>
    <row r="613" spans="13:14">
      <c r="M613">
        <v>0.25178091200000002</v>
      </c>
      <c r="N613">
        <v>60.7</v>
      </c>
    </row>
    <row r="614" spans="13:14">
      <c r="M614">
        <v>0.25238498399999998</v>
      </c>
      <c r="N614">
        <v>60.8</v>
      </c>
    </row>
    <row r="615" spans="13:14">
      <c r="M615">
        <v>0.25272563199999998</v>
      </c>
      <c r="N615">
        <v>60.9</v>
      </c>
    </row>
    <row r="616" spans="13:14">
      <c r="M616">
        <v>0.25402064000000002</v>
      </c>
      <c r="N616">
        <v>61</v>
      </c>
    </row>
    <row r="617" spans="13:14">
      <c r="M617">
        <v>0.25747886399999997</v>
      </c>
      <c r="N617">
        <v>61.1</v>
      </c>
    </row>
    <row r="618" spans="13:14">
      <c r="M618">
        <v>0.26093708799999998</v>
      </c>
      <c r="N618">
        <v>61.2</v>
      </c>
    </row>
    <row r="619" spans="13:14">
      <c r="M619">
        <v>0.26328442400000002</v>
      </c>
      <c r="N619">
        <v>61.3</v>
      </c>
    </row>
    <row r="620" spans="13:14">
      <c r="M620">
        <v>0.26527147200000001</v>
      </c>
      <c r="N620">
        <v>61.4</v>
      </c>
    </row>
    <row r="621" spans="13:14">
      <c r="M621">
        <v>0.26781884</v>
      </c>
      <c r="N621">
        <v>61.5</v>
      </c>
    </row>
    <row r="622" spans="13:14">
      <c r="M622">
        <v>0.27255145600000003</v>
      </c>
      <c r="N622">
        <v>61.6</v>
      </c>
    </row>
    <row r="623" spans="13:14">
      <c r="M623">
        <v>0.27728407199999999</v>
      </c>
      <c r="N623">
        <v>61.7</v>
      </c>
    </row>
    <row r="624" spans="13:14">
      <c r="M624">
        <v>0.28199876800000001</v>
      </c>
      <c r="N624">
        <v>61.8</v>
      </c>
    </row>
    <row r="625" spans="13:14">
      <c r="M625">
        <v>0.28670394399999999</v>
      </c>
      <c r="N625">
        <v>61.9</v>
      </c>
    </row>
    <row r="626" spans="13:14">
      <c r="M626">
        <v>0.29131151999999999</v>
      </c>
      <c r="N626">
        <v>62</v>
      </c>
    </row>
    <row r="627" spans="13:14">
      <c r="M627">
        <v>0.29506021599999999</v>
      </c>
      <c r="N627">
        <v>62.1</v>
      </c>
    </row>
    <row r="628" spans="13:14">
      <c r="M628">
        <v>0.29880891199999998</v>
      </c>
      <c r="N628">
        <v>62.2</v>
      </c>
    </row>
    <row r="629" spans="13:14">
      <c r="M629">
        <v>0.30239776800000001</v>
      </c>
      <c r="N629">
        <v>62.3</v>
      </c>
    </row>
    <row r="630" spans="13:14">
      <c r="M630">
        <v>0.30585638399999998</v>
      </c>
      <c r="N630">
        <v>62.4</v>
      </c>
    </row>
    <row r="631" spans="13:14">
      <c r="M631">
        <v>0.30931500000000001</v>
      </c>
      <c r="N631">
        <v>62.5</v>
      </c>
    </row>
    <row r="632" spans="13:14">
      <c r="M632">
        <v>0.31819144799999999</v>
      </c>
      <c r="N632">
        <v>62.6</v>
      </c>
    </row>
    <row r="633" spans="13:14">
      <c r="M633">
        <v>0.32706789600000002</v>
      </c>
      <c r="N633">
        <v>62.7</v>
      </c>
    </row>
    <row r="634" spans="13:14">
      <c r="M634">
        <v>0.332124264</v>
      </c>
      <c r="N634">
        <v>62.8</v>
      </c>
    </row>
    <row r="635" spans="13:14">
      <c r="M635">
        <v>0.33249235199999999</v>
      </c>
      <c r="N635">
        <v>62.9</v>
      </c>
    </row>
    <row r="636" spans="13:14">
      <c r="M636">
        <v>0.33286043999999998</v>
      </c>
      <c r="N636">
        <v>63</v>
      </c>
    </row>
    <row r="637" spans="13:14">
      <c r="M637">
        <v>0.33674747199999999</v>
      </c>
      <c r="N637">
        <v>63.1</v>
      </c>
    </row>
    <row r="638" spans="13:14">
      <c r="M638">
        <v>0.34103438400000002</v>
      </c>
      <c r="N638">
        <v>63.2</v>
      </c>
    </row>
    <row r="639" spans="13:14">
      <c r="M639">
        <v>0.346037608</v>
      </c>
      <c r="N639">
        <v>63.3</v>
      </c>
    </row>
    <row r="640" spans="13:14">
      <c r="M640">
        <v>0.35238918400000002</v>
      </c>
      <c r="N640">
        <v>63.4</v>
      </c>
    </row>
    <row r="641" spans="13:14">
      <c r="M641">
        <v>0.35874075999999999</v>
      </c>
      <c r="N641">
        <v>63.5</v>
      </c>
    </row>
    <row r="642" spans="13:14">
      <c r="M642">
        <v>0.36030812800000001</v>
      </c>
      <c r="N642">
        <v>63.6</v>
      </c>
    </row>
    <row r="643" spans="13:14">
      <c r="M643">
        <v>0.360648776</v>
      </c>
      <c r="N643">
        <v>63.7</v>
      </c>
    </row>
    <row r="644" spans="13:14">
      <c r="M644">
        <v>0.36198158400000002</v>
      </c>
      <c r="N644">
        <v>63.8</v>
      </c>
    </row>
    <row r="645" spans="13:14">
      <c r="M645">
        <v>0.36637355199999999</v>
      </c>
      <c r="N645">
        <v>63.9</v>
      </c>
    </row>
    <row r="646" spans="13:14">
      <c r="M646">
        <v>0.37076552000000002</v>
      </c>
      <c r="N646">
        <v>64</v>
      </c>
    </row>
    <row r="647" spans="13:14">
      <c r="M647">
        <v>0.37547708800000001</v>
      </c>
      <c r="N647">
        <v>64.099999999999994</v>
      </c>
    </row>
    <row r="648" spans="13:14">
      <c r="M648">
        <v>0.38032965600000002</v>
      </c>
      <c r="N648">
        <v>64.2</v>
      </c>
    </row>
    <row r="649" spans="13:14">
      <c r="M649">
        <v>0.38539636799999999</v>
      </c>
      <c r="N649">
        <v>64.3</v>
      </c>
    </row>
    <row r="650" spans="13:14">
      <c r="M650">
        <v>0.39174794400000001</v>
      </c>
      <c r="N650">
        <v>64.400000000000006</v>
      </c>
    </row>
    <row r="651" spans="13:14">
      <c r="M651">
        <v>0.39809951999999998</v>
      </c>
      <c r="N651">
        <v>64.5</v>
      </c>
    </row>
    <row r="652" spans="13:14">
      <c r="M652">
        <v>0.40111122399999999</v>
      </c>
      <c r="N652">
        <v>64.599999999999994</v>
      </c>
    </row>
    <row r="653" spans="13:14">
      <c r="M653">
        <v>0.40181956800000002</v>
      </c>
      <c r="N653">
        <v>64.7</v>
      </c>
    </row>
    <row r="654" spans="13:14">
      <c r="M654">
        <v>0.40256508000000002</v>
      </c>
      <c r="N654">
        <v>64.8</v>
      </c>
    </row>
    <row r="655" spans="13:14">
      <c r="M655">
        <v>0.40418404000000002</v>
      </c>
      <c r="N655">
        <v>64.900000000000006</v>
      </c>
    </row>
    <row r="656" spans="13:14">
      <c r="M656">
        <v>0.40580300000000002</v>
      </c>
      <c r="N656">
        <v>65</v>
      </c>
    </row>
    <row r="657" spans="13:14">
      <c r="M657">
        <v>0.40725299999999998</v>
      </c>
      <c r="N657">
        <v>65.099999999999994</v>
      </c>
    </row>
    <row r="658" spans="13:14">
      <c r="M658">
        <v>0.40852699999999997</v>
      </c>
      <c r="N658">
        <v>65.2</v>
      </c>
    </row>
    <row r="659" spans="13:14">
      <c r="M659">
        <v>0.40980100000000003</v>
      </c>
      <c r="N659">
        <v>65.3</v>
      </c>
    </row>
    <row r="660" spans="13:14">
      <c r="M660">
        <v>0.41118760799999998</v>
      </c>
      <c r="N660">
        <v>65.400000000000006</v>
      </c>
    </row>
    <row r="661" spans="13:14">
      <c r="M661">
        <v>0.41258156000000001</v>
      </c>
      <c r="N661">
        <v>65.5</v>
      </c>
    </row>
    <row r="662" spans="13:14">
      <c r="M662">
        <v>0.41365433600000001</v>
      </c>
      <c r="N662">
        <v>65.599999999999994</v>
      </c>
    </row>
    <row r="663" spans="13:14">
      <c r="M663">
        <v>0.41421999199999998</v>
      </c>
      <c r="N663">
        <v>65.7</v>
      </c>
    </row>
    <row r="664" spans="13:14">
      <c r="M664">
        <v>0.41478564800000001</v>
      </c>
      <c r="N664">
        <v>65.8</v>
      </c>
    </row>
    <row r="665" spans="13:14">
      <c r="M665">
        <v>0.41824492000000002</v>
      </c>
      <c r="N665">
        <v>65.900000000000006</v>
      </c>
    </row>
    <row r="666" spans="13:14">
      <c r="M666">
        <v>0.4222688</v>
      </c>
      <c r="N666">
        <v>66</v>
      </c>
    </row>
    <row r="667" spans="13:14">
      <c r="M667">
        <v>0.42524816799999998</v>
      </c>
      <c r="N667">
        <v>66.099999999999994</v>
      </c>
    </row>
    <row r="668" spans="13:14">
      <c r="M668">
        <v>0.42561625600000003</v>
      </c>
      <c r="N668">
        <v>66.2</v>
      </c>
    </row>
    <row r="669" spans="13:14">
      <c r="M669">
        <v>0.42598434400000001</v>
      </c>
      <c r="N669">
        <v>66.3</v>
      </c>
    </row>
    <row r="670" spans="13:14">
      <c r="M670">
        <v>0.42608200000000002</v>
      </c>
      <c r="N670">
        <v>66.400000000000006</v>
      </c>
    </row>
    <row r="671" spans="13:14">
      <c r="M671">
        <v>0.42608200000000002</v>
      </c>
      <c r="N671">
        <v>66.5</v>
      </c>
    </row>
    <row r="672" spans="13:14">
      <c r="M672">
        <v>0.42789085599999999</v>
      </c>
      <c r="N672">
        <v>66.599999999999994</v>
      </c>
    </row>
    <row r="673" spans="13:14">
      <c r="M673">
        <v>0.43773907200000001</v>
      </c>
      <c r="N673">
        <v>66.7</v>
      </c>
    </row>
    <row r="674" spans="13:14">
      <c r="M674">
        <v>0.44758728800000003</v>
      </c>
      <c r="N674">
        <v>66.8</v>
      </c>
    </row>
    <row r="675" spans="13:14">
      <c r="M675">
        <v>0.45251096800000001</v>
      </c>
      <c r="N675">
        <v>66.900000000000006</v>
      </c>
    </row>
    <row r="676" spans="13:14">
      <c r="M676">
        <v>0.45457523999999999</v>
      </c>
      <c r="N676">
        <v>67</v>
      </c>
    </row>
    <row r="677" spans="13:14">
      <c r="M677">
        <v>0.45673496800000002</v>
      </c>
      <c r="N677">
        <v>67.099999999999994</v>
      </c>
    </row>
    <row r="678" spans="13:14">
      <c r="M678">
        <v>0.45996857600000002</v>
      </c>
      <c r="N678">
        <v>67.2</v>
      </c>
    </row>
    <row r="679" spans="13:14">
      <c r="M679">
        <v>0.46320218400000002</v>
      </c>
      <c r="N679">
        <v>67.3</v>
      </c>
    </row>
    <row r="680" spans="13:14">
      <c r="M680">
        <v>0.466179328</v>
      </c>
      <c r="N680">
        <v>67.400000000000006</v>
      </c>
    </row>
    <row r="681" spans="13:14">
      <c r="M681">
        <v>0.4689296</v>
      </c>
      <c r="N681">
        <v>67.5</v>
      </c>
    </row>
    <row r="682" spans="13:14">
      <c r="M682">
        <v>0.471679872</v>
      </c>
      <c r="N682">
        <v>67.599999999999994</v>
      </c>
    </row>
    <row r="683" spans="13:14">
      <c r="M683">
        <v>0.47209619200000003</v>
      </c>
      <c r="N683">
        <v>67.7</v>
      </c>
    </row>
    <row r="684" spans="13:14">
      <c r="M684">
        <v>0.472463888</v>
      </c>
      <c r="N684">
        <v>67.8</v>
      </c>
    </row>
    <row r="685" spans="13:14">
      <c r="M685">
        <v>0.47306241599999999</v>
      </c>
      <c r="N685">
        <v>67.900000000000006</v>
      </c>
    </row>
    <row r="686" spans="13:14">
      <c r="M686">
        <v>0.47396872000000001</v>
      </c>
      <c r="N686">
        <v>68</v>
      </c>
    </row>
    <row r="687" spans="13:14">
      <c r="M687">
        <v>0.47487502399999998</v>
      </c>
      <c r="N687">
        <v>68.099999999999994</v>
      </c>
    </row>
    <row r="688" spans="13:14">
      <c r="M688">
        <v>0.47498600000000002</v>
      </c>
      <c r="N688">
        <v>68.2</v>
      </c>
    </row>
    <row r="689" spans="13:14">
      <c r="M689">
        <v>0.47498600000000002</v>
      </c>
      <c r="N689">
        <v>68.3</v>
      </c>
    </row>
    <row r="690" spans="13:14">
      <c r="M690">
        <v>0.47556135999999999</v>
      </c>
      <c r="N690">
        <v>68.400000000000006</v>
      </c>
    </row>
    <row r="691" spans="13:14">
      <c r="M691">
        <v>0.47732340000000001</v>
      </c>
      <c r="N691">
        <v>68.5</v>
      </c>
    </row>
    <row r="692" spans="13:14">
      <c r="M692">
        <v>0.47908543999999997</v>
      </c>
      <c r="N692">
        <v>68.599999999999994</v>
      </c>
    </row>
    <row r="693" spans="13:14">
      <c r="M693">
        <v>0.48440640800000001</v>
      </c>
      <c r="N693">
        <v>68.7</v>
      </c>
    </row>
    <row r="694" spans="13:14">
      <c r="M694">
        <v>0.49075759200000002</v>
      </c>
      <c r="N694">
        <v>68.8</v>
      </c>
    </row>
    <row r="695" spans="13:14">
      <c r="M695">
        <v>0.49604643999999998</v>
      </c>
      <c r="N695">
        <v>68.900000000000006</v>
      </c>
    </row>
    <row r="696" spans="13:14">
      <c r="M696">
        <v>0.49766539999999998</v>
      </c>
      <c r="N696">
        <v>69</v>
      </c>
    </row>
    <row r="697" spans="13:14">
      <c r="M697">
        <v>0.49928435999999998</v>
      </c>
      <c r="N697">
        <v>69.099999999999994</v>
      </c>
    </row>
    <row r="698" spans="13:14">
      <c r="M698">
        <v>0.49981300000000001</v>
      </c>
      <c r="N698">
        <v>69.2</v>
      </c>
    </row>
    <row r="699" spans="13:14">
      <c r="M699">
        <v>0.49981300000000001</v>
      </c>
      <c r="N699">
        <v>69.3</v>
      </c>
    </row>
    <row r="700" spans="13:14">
      <c r="M700">
        <v>0.49992397599999999</v>
      </c>
      <c r="N700">
        <v>69.400000000000006</v>
      </c>
    </row>
    <row r="701" spans="13:14">
      <c r="M701">
        <v>0.50083027999999996</v>
      </c>
      <c r="N701">
        <v>69.5</v>
      </c>
    </row>
    <row r="702" spans="13:14">
      <c r="M702">
        <v>0.50173658399999999</v>
      </c>
      <c r="N702">
        <v>69.599999999999994</v>
      </c>
    </row>
    <row r="703" spans="13:14">
      <c r="M703">
        <v>0.50478500000000104</v>
      </c>
      <c r="N703">
        <v>69.7</v>
      </c>
    </row>
    <row r="704" spans="13:14">
      <c r="M704">
        <v>0.509440000000001</v>
      </c>
      <c r="N704">
        <v>69.8</v>
      </c>
    </row>
    <row r="705" spans="13:14">
      <c r="M705">
        <v>0.51404213600000004</v>
      </c>
      <c r="N705">
        <v>69.900000000000006</v>
      </c>
    </row>
    <row r="706" spans="13:14">
      <c r="M706">
        <v>0.51610679999999998</v>
      </c>
      <c r="N706">
        <v>70</v>
      </c>
    </row>
    <row r="707" spans="13:14">
      <c r="M707">
        <v>0.51817146400000003</v>
      </c>
      <c r="N707">
        <v>70.099999999999994</v>
      </c>
    </row>
    <row r="708" spans="13:14">
      <c r="M708">
        <v>0.52127904000000003</v>
      </c>
      <c r="N708">
        <v>70.2</v>
      </c>
    </row>
    <row r="709" spans="13:14">
      <c r="M709">
        <v>0.52556555999999999</v>
      </c>
      <c r="N709">
        <v>70.3</v>
      </c>
    </row>
    <row r="710" spans="13:14">
      <c r="M710">
        <v>0.52985207999999995</v>
      </c>
      <c r="N710">
        <v>70.400000000000006</v>
      </c>
    </row>
    <row r="711" spans="13:14">
      <c r="M711">
        <v>0.53486111999999897</v>
      </c>
      <c r="N711">
        <v>70.5</v>
      </c>
    </row>
    <row r="712" spans="13:14">
      <c r="M712">
        <v>0.53993438400000004</v>
      </c>
      <c r="N712">
        <v>70.599999999999994</v>
      </c>
    </row>
    <row r="713" spans="13:14">
      <c r="M713">
        <v>0.54612451200000001</v>
      </c>
      <c r="N713">
        <v>70.7</v>
      </c>
    </row>
    <row r="714" spans="13:14">
      <c r="M714">
        <v>0.55423812800000005</v>
      </c>
      <c r="N714">
        <v>70.8</v>
      </c>
    </row>
    <row r="715" spans="13:14">
      <c r="M715">
        <v>0.56235174399999999</v>
      </c>
      <c r="N715">
        <v>70.900000000000006</v>
      </c>
    </row>
    <row r="716" spans="13:14">
      <c r="M716">
        <v>0.56666536000000001</v>
      </c>
      <c r="N716">
        <v>71</v>
      </c>
    </row>
    <row r="717" spans="13:14">
      <c r="M717">
        <v>0.57012397599999998</v>
      </c>
      <c r="N717">
        <v>71.099999999999994</v>
      </c>
    </row>
    <row r="718" spans="13:14">
      <c r="M718">
        <v>0.57309452000000005</v>
      </c>
      <c r="N718">
        <v>71.2</v>
      </c>
    </row>
    <row r="719" spans="13:14">
      <c r="M719">
        <v>0.57471348</v>
      </c>
      <c r="N719">
        <v>71.3</v>
      </c>
    </row>
    <row r="720" spans="13:14">
      <c r="M720">
        <v>0.57633243999999995</v>
      </c>
      <c r="N720">
        <v>71.400000000000006</v>
      </c>
    </row>
    <row r="721" spans="13:14">
      <c r="M721">
        <v>0.57744207999999997</v>
      </c>
      <c r="N721">
        <v>71.5</v>
      </c>
    </row>
    <row r="722" spans="13:14">
      <c r="M722">
        <v>0.57834799199999998</v>
      </c>
      <c r="N722">
        <v>71.599999999999994</v>
      </c>
    </row>
    <row r="723" spans="13:14">
      <c r="M723">
        <v>0.57916609600000002</v>
      </c>
      <c r="N723">
        <v>71.7</v>
      </c>
    </row>
    <row r="724" spans="13:14">
      <c r="M724">
        <v>0.57953418400000001</v>
      </c>
      <c r="N724">
        <v>71.8</v>
      </c>
    </row>
    <row r="725" spans="13:14">
      <c r="M725">
        <v>0.579902272</v>
      </c>
      <c r="N725">
        <v>71.900000000000006</v>
      </c>
    </row>
    <row r="726" spans="13:14">
      <c r="M726">
        <v>0.58039107999999995</v>
      </c>
      <c r="N726">
        <v>72</v>
      </c>
    </row>
    <row r="727" spans="13:14">
      <c r="M727">
        <v>0.58095634399999996</v>
      </c>
      <c r="N727">
        <v>72.099999999999994</v>
      </c>
    </row>
    <row r="728" spans="13:14">
      <c r="M728">
        <v>0.581606976</v>
      </c>
      <c r="N728">
        <v>72.2</v>
      </c>
    </row>
    <row r="729" spans="13:14">
      <c r="M729">
        <v>0.58356658400000005</v>
      </c>
      <c r="N729">
        <v>72.3</v>
      </c>
    </row>
    <row r="730" spans="13:14">
      <c r="M730">
        <v>0.585526192</v>
      </c>
      <c r="N730">
        <v>72.400000000000006</v>
      </c>
    </row>
    <row r="731" spans="13:14">
      <c r="M731">
        <v>0.59062559999999997</v>
      </c>
      <c r="N731">
        <v>72.5</v>
      </c>
    </row>
    <row r="732" spans="13:14">
      <c r="M732">
        <v>0.59873921600000002</v>
      </c>
      <c r="N732">
        <v>72.599999999999994</v>
      </c>
    </row>
    <row r="733" spans="13:14">
      <c r="M733">
        <v>0.60685283199999995</v>
      </c>
      <c r="N733">
        <v>72.7</v>
      </c>
    </row>
    <row r="734" spans="13:14">
      <c r="M734">
        <v>0.61104364</v>
      </c>
      <c r="N734">
        <v>72.8</v>
      </c>
    </row>
    <row r="735" spans="13:14">
      <c r="M735">
        <v>0.61506751999999998</v>
      </c>
      <c r="N735">
        <v>72.900000000000006</v>
      </c>
    </row>
    <row r="736" spans="13:14">
      <c r="M736">
        <v>0.62151155999999896</v>
      </c>
      <c r="N736">
        <v>73</v>
      </c>
    </row>
    <row r="737" spans="13:14">
      <c r="M737">
        <v>0.63146483200000003</v>
      </c>
      <c r="N737">
        <v>73.099999999999994</v>
      </c>
    </row>
    <row r="738" spans="13:14">
      <c r="M738">
        <v>0.64141810399999999</v>
      </c>
      <c r="N738">
        <v>73.2</v>
      </c>
    </row>
    <row r="739" spans="13:14">
      <c r="M739">
        <v>0.644519328</v>
      </c>
      <c r="N739">
        <v>73.3</v>
      </c>
    </row>
    <row r="740" spans="13:14">
      <c r="M740">
        <v>0.64647854400000004</v>
      </c>
      <c r="N740">
        <v>73.400000000000006</v>
      </c>
    </row>
    <row r="741" spans="13:14">
      <c r="M741">
        <v>0.64918260000000005</v>
      </c>
      <c r="N741">
        <v>73.5</v>
      </c>
    </row>
    <row r="742" spans="13:14">
      <c r="M742">
        <v>0.65357496000000004</v>
      </c>
      <c r="N742">
        <v>73.599999999999994</v>
      </c>
    </row>
    <row r="743" spans="13:14">
      <c r="M743">
        <v>0.65796732000000002</v>
      </c>
      <c r="N743">
        <v>73.7</v>
      </c>
    </row>
    <row r="744" spans="13:14">
      <c r="M744">
        <v>0.67127519999999996</v>
      </c>
      <c r="N744">
        <v>73.8</v>
      </c>
    </row>
    <row r="745" spans="13:14">
      <c r="M745">
        <v>0.68747459999999905</v>
      </c>
      <c r="N745">
        <v>73.900000000000006</v>
      </c>
    </row>
    <row r="746" spans="13:14">
      <c r="M746">
        <v>0.70048343999999996</v>
      </c>
      <c r="N746">
        <v>74</v>
      </c>
    </row>
    <row r="747" spans="13:14">
      <c r="M747">
        <v>0.70104909599999998</v>
      </c>
      <c r="N747">
        <v>74.099999999999994</v>
      </c>
    </row>
    <row r="748" spans="13:14">
      <c r="M748">
        <v>0.70161475200000001</v>
      </c>
      <c r="N748">
        <v>74.2</v>
      </c>
    </row>
    <row r="749" spans="13:14">
      <c r="M749">
        <v>0.70338155999999996</v>
      </c>
      <c r="N749">
        <v>74.3</v>
      </c>
    </row>
    <row r="750" spans="13:14">
      <c r="M750">
        <v>0.70578647999999999</v>
      </c>
      <c r="N750">
        <v>74.400000000000006</v>
      </c>
    </row>
    <row r="751" spans="13:14">
      <c r="M751">
        <v>0.70799579999999995</v>
      </c>
      <c r="N751">
        <v>74.5</v>
      </c>
    </row>
    <row r="752" spans="13:14">
      <c r="M752">
        <v>0.70848383999999998</v>
      </c>
      <c r="N752">
        <v>74.599999999999994</v>
      </c>
    </row>
    <row r="753" spans="13:14">
      <c r="M753">
        <v>0.70897188</v>
      </c>
      <c r="N753">
        <v>74.7</v>
      </c>
    </row>
    <row r="754" spans="13:14">
      <c r="M754">
        <v>0.711284256</v>
      </c>
      <c r="N754">
        <v>74.8</v>
      </c>
    </row>
    <row r="755" spans="13:14">
      <c r="M755">
        <v>0.71508312799999996</v>
      </c>
      <c r="N755">
        <v>74.900000000000006</v>
      </c>
    </row>
    <row r="756" spans="13:14">
      <c r="M756">
        <v>0.71888200000000002</v>
      </c>
      <c r="N756">
        <v>75</v>
      </c>
    </row>
    <row r="757" spans="13:14">
      <c r="M757">
        <v>0.71888200000000002</v>
      </c>
      <c r="N757">
        <v>75.099999999999994</v>
      </c>
    </row>
    <row r="758" spans="13:14">
      <c r="M758">
        <v>0.71888200000000002</v>
      </c>
      <c r="N758">
        <v>75.2</v>
      </c>
    </row>
    <row r="759" spans="13:14">
      <c r="M759">
        <v>0.71992708800000005</v>
      </c>
      <c r="N759">
        <v>75.3</v>
      </c>
    </row>
    <row r="760" spans="13:14">
      <c r="M760">
        <v>0.72225478399999998</v>
      </c>
      <c r="N760">
        <v>75.400000000000006</v>
      </c>
    </row>
    <row r="761" spans="13:14">
      <c r="M761">
        <v>0.72458248000000003</v>
      </c>
      <c r="N761">
        <v>75.5</v>
      </c>
    </row>
    <row r="762" spans="13:14">
      <c r="M762">
        <v>0.72792534399999997</v>
      </c>
      <c r="N762">
        <v>75.599999999999994</v>
      </c>
    </row>
    <row r="763" spans="13:14">
      <c r="M763">
        <v>0.73138356800000004</v>
      </c>
      <c r="N763">
        <v>75.7</v>
      </c>
    </row>
    <row r="764" spans="13:14">
      <c r="M764">
        <v>0.73366892800000005</v>
      </c>
      <c r="N764">
        <v>75.8</v>
      </c>
    </row>
    <row r="765" spans="13:14">
      <c r="M765">
        <v>0.73374654399999995</v>
      </c>
      <c r="N765">
        <v>75.900000000000006</v>
      </c>
    </row>
    <row r="766" spans="13:14">
      <c r="M766">
        <v>0.73382415999999995</v>
      </c>
      <c r="N766">
        <v>76</v>
      </c>
    </row>
    <row r="767" spans="13:14">
      <c r="M767">
        <v>0.73928377599999995</v>
      </c>
      <c r="N767">
        <v>76.099999999999994</v>
      </c>
    </row>
    <row r="768" spans="13:14">
      <c r="M768">
        <v>0.746123392</v>
      </c>
      <c r="N768">
        <v>76.2</v>
      </c>
    </row>
    <row r="769" spans="13:14">
      <c r="M769">
        <v>0.75207990400000002</v>
      </c>
      <c r="N769">
        <v>76.3</v>
      </c>
    </row>
    <row r="770" spans="13:14">
      <c r="M770">
        <v>0.75531351199999996</v>
      </c>
      <c r="N770">
        <v>76.400000000000006</v>
      </c>
    </row>
    <row r="771" spans="13:14">
      <c r="M771">
        <v>0.75854712000000002</v>
      </c>
      <c r="N771">
        <v>76.5</v>
      </c>
    </row>
    <row r="772" spans="13:14">
      <c r="M772">
        <v>0.76438186399999997</v>
      </c>
      <c r="N772">
        <v>76.599999999999994</v>
      </c>
    </row>
    <row r="773" spans="13:14">
      <c r="M773">
        <v>0.77136416799999996</v>
      </c>
      <c r="N773">
        <v>76.7</v>
      </c>
    </row>
    <row r="774" spans="13:14">
      <c r="M774">
        <v>0.77810589600000002</v>
      </c>
      <c r="N774">
        <v>76.8</v>
      </c>
    </row>
    <row r="775" spans="13:14">
      <c r="M775">
        <v>0.78340416800000001</v>
      </c>
      <c r="N775">
        <v>76.900000000000006</v>
      </c>
    </row>
    <row r="776" spans="13:14">
      <c r="M776">
        <v>0.78870244</v>
      </c>
      <c r="N776">
        <v>77</v>
      </c>
    </row>
    <row r="777" spans="13:14">
      <c r="M777">
        <v>0.79168999200000001</v>
      </c>
      <c r="N777">
        <v>77.099999999999994</v>
      </c>
    </row>
    <row r="778" spans="13:14">
      <c r="M778">
        <v>0.79308394400000004</v>
      </c>
      <c r="N778">
        <v>77.2</v>
      </c>
    </row>
    <row r="779" spans="13:14">
      <c r="M779">
        <v>0.794548264</v>
      </c>
      <c r="N779">
        <v>77.3</v>
      </c>
    </row>
    <row r="780" spans="13:14">
      <c r="M780">
        <v>0.79766623199999998</v>
      </c>
      <c r="N780">
        <v>77.400000000000006</v>
      </c>
    </row>
    <row r="781" spans="13:14">
      <c r="M781">
        <v>0.80078419999999995</v>
      </c>
      <c r="N781">
        <v>77.5</v>
      </c>
    </row>
    <row r="782" spans="13:14">
      <c r="M782">
        <v>0.80423567200000001</v>
      </c>
      <c r="N782">
        <v>77.599999999999994</v>
      </c>
    </row>
    <row r="783" spans="13:14">
      <c r="M783">
        <v>0.80803454399999997</v>
      </c>
      <c r="N783">
        <v>77.7</v>
      </c>
    </row>
    <row r="784" spans="13:14">
      <c r="M784">
        <v>0.81183341600000003</v>
      </c>
      <c r="N784">
        <v>77.8</v>
      </c>
    </row>
    <row r="785" spans="13:14">
      <c r="M785">
        <v>0.81326200000000004</v>
      </c>
      <c r="N785">
        <v>77.900000000000006</v>
      </c>
    </row>
    <row r="786" spans="13:14">
      <c r="M786">
        <v>0.81453600000000004</v>
      </c>
      <c r="N786">
        <v>78</v>
      </c>
    </row>
    <row r="787" spans="13:14">
      <c r="M787">
        <v>0.81742758400000004</v>
      </c>
      <c r="N787">
        <v>78.099999999999994</v>
      </c>
    </row>
    <row r="788" spans="13:14">
      <c r="M788">
        <v>0.82287324799999995</v>
      </c>
      <c r="N788">
        <v>78.2</v>
      </c>
    </row>
    <row r="789" spans="13:14">
      <c r="M789">
        <v>0.82831891200000096</v>
      </c>
      <c r="N789">
        <v>78.3</v>
      </c>
    </row>
    <row r="790" spans="13:14">
      <c r="M790">
        <v>0.83037436799999997</v>
      </c>
      <c r="N790">
        <v>78.400000000000006</v>
      </c>
    </row>
    <row r="791" spans="13:14">
      <c r="M791">
        <v>0.83176832000000001</v>
      </c>
      <c r="N791">
        <v>78.5</v>
      </c>
    </row>
    <row r="792" spans="13:14">
      <c r="M792">
        <v>0.83395456000000001</v>
      </c>
      <c r="N792">
        <v>78.599999999999994</v>
      </c>
    </row>
    <row r="793" spans="13:14">
      <c r="M793">
        <v>0.83812151999999995</v>
      </c>
      <c r="N793">
        <v>78.7</v>
      </c>
    </row>
    <row r="794" spans="13:14">
      <c r="M794">
        <v>0.84228848000000001</v>
      </c>
      <c r="N794">
        <v>78.8</v>
      </c>
    </row>
    <row r="795" spans="13:14">
      <c r="M795">
        <v>0.84541460800000001</v>
      </c>
      <c r="N795">
        <v>78.900000000000006</v>
      </c>
    </row>
    <row r="796" spans="13:14">
      <c r="M796">
        <v>0.84816488000000001</v>
      </c>
      <c r="N796">
        <v>79</v>
      </c>
    </row>
    <row r="797" spans="13:14">
      <c r="M797">
        <v>0.851858856</v>
      </c>
      <c r="N797">
        <v>79.099999999999994</v>
      </c>
    </row>
    <row r="798" spans="13:14">
      <c r="M798">
        <v>0.859747072</v>
      </c>
      <c r="N798">
        <v>79.2</v>
      </c>
    </row>
    <row r="799" spans="13:14">
      <c r="M799">
        <v>0.867635288</v>
      </c>
      <c r="N799">
        <v>79.3</v>
      </c>
    </row>
    <row r="800" spans="13:14">
      <c r="M800">
        <v>0.87455134400000001</v>
      </c>
      <c r="N800">
        <v>79.400000000000006</v>
      </c>
    </row>
    <row r="801" spans="13:14">
      <c r="M801">
        <v>0.88090292000000103</v>
      </c>
      <c r="N801">
        <v>79.5</v>
      </c>
    </row>
    <row r="802" spans="13:14">
      <c r="M802">
        <v>0.88683999999999996</v>
      </c>
      <c r="N802">
        <v>79.599999999999994</v>
      </c>
    </row>
    <row r="803" spans="13:14">
      <c r="M803">
        <v>0.88811399999999996</v>
      </c>
      <c r="N803">
        <v>79.7</v>
      </c>
    </row>
    <row r="804" spans="13:14">
      <c r="M804">
        <v>0.88938799999999996</v>
      </c>
      <c r="N804">
        <v>79.8</v>
      </c>
    </row>
    <row r="805" spans="13:14">
      <c r="M805">
        <v>0.89114518399999998</v>
      </c>
      <c r="N805">
        <v>79.900000000000006</v>
      </c>
    </row>
    <row r="806" spans="13:14">
      <c r="M806">
        <v>0.89332979999999995</v>
      </c>
      <c r="N806">
        <v>80</v>
      </c>
    </row>
    <row r="807" spans="13:14">
      <c r="M807">
        <v>0.89551441600000004</v>
      </c>
      <c r="N807">
        <v>80.099999999999994</v>
      </c>
    </row>
    <row r="808" spans="13:14">
      <c r="M808">
        <v>0.89680700000000002</v>
      </c>
      <c r="N808">
        <v>80.2</v>
      </c>
    </row>
    <row r="809" spans="13:14">
      <c r="M809">
        <v>0.89808100000000002</v>
      </c>
      <c r="N809">
        <v>80.3</v>
      </c>
    </row>
    <row r="810" spans="13:14">
      <c r="M810">
        <v>0.89905142400000004</v>
      </c>
      <c r="N810">
        <v>80.400000000000006</v>
      </c>
    </row>
    <row r="811" spans="13:14">
      <c r="M811">
        <v>0.89961707999999996</v>
      </c>
      <c r="N811">
        <v>80.5</v>
      </c>
    </row>
    <row r="812" spans="13:14">
      <c r="M812">
        <v>0.90018273599999998</v>
      </c>
      <c r="N812">
        <v>80.599999999999994</v>
      </c>
    </row>
    <row r="813" spans="13:14">
      <c r="M813">
        <v>0.90117632800000003</v>
      </c>
      <c r="N813">
        <v>80.7</v>
      </c>
    </row>
    <row r="814" spans="13:14">
      <c r="M814">
        <v>0.90222963199999995</v>
      </c>
      <c r="N814">
        <v>80.8</v>
      </c>
    </row>
    <row r="815" spans="13:14">
      <c r="M815">
        <v>0.903234808</v>
      </c>
      <c r="N815">
        <v>80.900000000000006</v>
      </c>
    </row>
    <row r="816" spans="13:14">
      <c r="M816">
        <v>0.90414072000000001</v>
      </c>
      <c r="N816">
        <v>81</v>
      </c>
    </row>
    <row r="817" spans="13:14">
      <c r="M817">
        <v>0.90504663200000002</v>
      </c>
      <c r="N817">
        <v>81.099999999999994</v>
      </c>
    </row>
    <row r="818" spans="13:14">
      <c r="M818">
        <v>0.90705515199999998</v>
      </c>
      <c r="N818">
        <v>81.2</v>
      </c>
    </row>
    <row r="819" spans="13:14">
      <c r="M819">
        <v>0.90938284800000002</v>
      </c>
      <c r="N819">
        <v>81.3</v>
      </c>
    </row>
    <row r="820" spans="13:14">
      <c r="M820">
        <v>0.911710456</v>
      </c>
      <c r="N820">
        <v>81.400000000000006</v>
      </c>
    </row>
    <row r="821" spans="13:14">
      <c r="M821">
        <v>0.91403776000000003</v>
      </c>
      <c r="N821">
        <v>81.5</v>
      </c>
    </row>
    <row r="822" spans="13:14">
      <c r="M822">
        <v>0.91636506399999995</v>
      </c>
      <c r="N822">
        <v>81.599999999999994</v>
      </c>
    </row>
    <row r="823" spans="13:14">
      <c r="M823">
        <v>0.91826759199999997</v>
      </c>
      <c r="N823">
        <v>81.7</v>
      </c>
    </row>
    <row r="824" spans="13:14">
      <c r="M824">
        <v>0.91996416800000003</v>
      </c>
      <c r="N824">
        <v>81.8</v>
      </c>
    </row>
    <row r="825" spans="13:14">
      <c r="M825">
        <v>0.92145299999999997</v>
      </c>
      <c r="N825">
        <v>81.900000000000006</v>
      </c>
    </row>
    <row r="826" spans="13:14">
      <c r="M826">
        <v>0.92145299999999997</v>
      </c>
      <c r="N826">
        <v>82</v>
      </c>
    </row>
    <row r="827" spans="13:14">
      <c r="M827">
        <v>0.92145299999999997</v>
      </c>
      <c r="N827">
        <v>82.1</v>
      </c>
    </row>
    <row r="828" spans="13:14">
      <c r="M828">
        <v>0.92166333600000006</v>
      </c>
      <c r="N828">
        <v>82.2</v>
      </c>
    </row>
    <row r="829" spans="13:14">
      <c r="M829">
        <v>0.92203142400000004</v>
      </c>
      <c r="N829">
        <v>82.3</v>
      </c>
    </row>
    <row r="830" spans="13:14">
      <c r="M830">
        <v>0.92267510400000097</v>
      </c>
      <c r="N830">
        <v>82.4</v>
      </c>
    </row>
    <row r="831" spans="13:14">
      <c r="M831">
        <v>0.93654720000000102</v>
      </c>
      <c r="N831">
        <v>82.5</v>
      </c>
    </row>
    <row r="832" spans="13:14">
      <c r="M832">
        <v>0.95041929600000097</v>
      </c>
      <c r="N832">
        <v>82.6</v>
      </c>
    </row>
    <row r="833" spans="13:14">
      <c r="M833">
        <v>0.95913791999999998</v>
      </c>
      <c r="N833">
        <v>82.7</v>
      </c>
    </row>
    <row r="834" spans="13:14">
      <c r="M834">
        <v>0.96203088000000003</v>
      </c>
      <c r="N834">
        <v>82.8</v>
      </c>
    </row>
    <row r="835" spans="13:14">
      <c r="M835">
        <v>0.96492383999999998</v>
      </c>
      <c r="N835">
        <v>82.9</v>
      </c>
    </row>
    <row r="836" spans="13:14">
      <c r="M836">
        <v>0.96950628000000005</v>
      </c>
      <c r="N836">
        <v>83</v>
      </c>
    </row>
    <row r="837" spans="13:14">
      <c r="M837">
        <v>0.97423889600000002</v>
      </c>
      <c r="N837">
        <v>83.1</v>
      </c>
    </row>
    <row r="838" spans="13:14">
      <c r="M838">
        <v>0.97761992799999997</v>
      </c>
      <c r="N838">
        <v>83.2</v>
      </c>
    </row>
    <row r="839" spans="13:14">
      <c r="M839">
        <v>0.978673232</v>
      </c>
      <c r="N839">
        <v>83.3</v>
      </c>
    </row>
    <row r="840" spans="13:14">
      <c r="M840">
        <v>0.97972653600000004</v>
      </c>
      <c r="N840">
        <v>83.4</v>
      </c>
    </row>
    <row r="841" spans="13:14">
      <c r="M841">
        <v>0.99292959999999997</v>
      </c>
      <c r="N841">
        <v>83.5</v>
      </c>
    </row>
    <row r="842" spans="13:14">
      <c r="M842">
        <v>1.0088663600000001</v>
      </c>
      <c r="N842">
        <v>83.6</v>
      </c>
    </row>
    <row r="843" spans="13:14">
      <c r="M843">
        <v>1.020575</v>
      </c>
      <c r="N843">
        <v>83.7</v>
      </c>
    </row>
    <row r="844" spans="13:14">
      <c r="M844">
        <v>1.020575</v>
      </c>
      <c r="N844">
        <v>83.8</v>
      </c>
    </row>
    <row r="845" spans="13:14">
      <c r="M845">
        <v>1.020575</v>
      </c>
      <c r="N845">
        <v>83.9</v>
      </c>
    </row>
    <row r="846" spans="13:14">
      <c r="M846">
        <v>1.02288472</v>
      </c>
      <c r="N846">
        <v>84</v>
      </c>
    </row>
    <row r="847" spans="13:14">
      <c r="M847">
        <v>1.0261183279999999</v>
      </c>
      <c r="N847">
        <v>84.1</v>
      </c>
    </row>
    <row r="848" spans="13:14">
      <c r="M848">
        <v>1.0288840319999999</v>
      </c>
      <c r="N848">
        <v>84.2</v>
      </c>
    </row>
    <row r="849" spans="13:14">
      <c r="M849">
        <v>1.029251728</v>
      </c>
      <c r="N849">
        <v>84.3</v>
      </c>
    </row>
    <row r="850" spans="13:14">
      <c r="M850">
        <v>1.0296194240000001</v>
      </c>
      <c r="N850">
        <v>84.4</v>
      </c>
    </row>
    <row r="851" spans="13:14">
      <c r="M851">
        <v>1.0298829599999999</v>
      </c>
      <c r="N851">
        <v>84.5</v>
      </c>
    </row>
    <row r="852" spans="13:14">
      <c r="M852">
        <v>1.0300805280000001</v>
      </c>
      <c r="N852">
        <v>84.6</v>
      </c>
    </row>
    <row r="853" spans="13:14">
      <c r="M853">
        <v>1.0316184960000001</v>
      </c>
      <c r="N853">
        <v>84.7</v>
      </c>
    </row>
    <row r="854" spans="13:14">
      <c r="M854">
        <v>1.0537092640000001</v>
      </c>
      <c r="N854">
        <v>84.8</v>
      </c>
    </row>
    <row r="855" spans="13:14">
      <c r="M855">
        <v>1.0758000320000001</v>
      </c>
      <c r="N855">
        <v>84.9</v>
      </c>
    </row>
    <row r="856" spans="13:14">
      <c r="M856">
        <v>1.0888072</v>
      </c>
      <c r="N856">
        <v>85</v>
      </c>
    </row>
    <row r="857" spans="13:14">
      <c r="M857">
        <v>1.093094112</v>
      </c>
      <c r="N857">
        <v>85.1</v>
      </c>
    </row>
    <row r="858" spans="13:14">
      <c r="M858">
        <v>1.0973810239999999</v>
      </c>
      <c r="N858">
        <v>85.2</v>
      </c>
    </row>
    <row r="859" spans="13:14">
      <c r="M859">
        <v>1.100873448</v>
      </c>
      <c r="N859">
        <v>85.3</v>
      </c>
    </row>
    <row r="860" spans="13:14">
      <c r="M860">
        <v>1.1043320640000001</v>
      </c>
      <c r="N860">
        <v>85.4</v>
      </c>
    </row>
    <row r="861" spans="13:14">
      <c r="M861">
        <v>1.106379</v>
      </c>
      <c r="N861">
        <v>85.5</v>
      </c>
    </row>
    <row r="862" spans="13:14">
      <c r="M862">
        <v>1.106379</v>
      </c>
      <c r="N862">
        <v>85.6</v>
      </c>
    </row>
    <row r="863" spans="13:14">
      <c r="M863">
        <v>1.106379</v>
      </c>
      <c r="N863">
        <v>85.7</v>
      </c>
    </row>
    <row r="864" spans="13:14">
      <c r="M864">
        <v>1.1065016400000001</v>
      </c>
      <c r="N864">
        <v>85.8</v>
      </c>
    </row>
    <row r="865" spans="13:14">
      <c r="M865">
        <v>1.10664472</v>
      </c>
      <c r="N865">
        <v>85.9</v>
      </c>
    </row>
    <row r="866" spans="13:14">
      <c r="M866">
        <v>1.1069170399999999</v>
      </c>
      <c r="N866">
        <v>86</v>
      </c>
    </row>
    <row r="867" spans="13:14">
      <c r="M867">
        <v>1.1074823039999999</v>
      </c>
      <c r="N867">
        <v>86.1</v>
      </c>
    </row>
    <row r="868" spans="13:14">
      <c r="M868">
        <v>1.1080475679999999</v>
      </c>
      <c r="N868">
        <v>86.2</v>
      </c>
    </row>
    <row r="869" spans="13:14">
      <c r="M869">
        <v>1.128787896</v>
      </c>
      <c r="N869">
        <v>86.3</v>
      </c>
    </row>
    <row r="870" spans="13:14">
      <c r="M870">
        <v>1.156071488</v>
      </c>
      <c r="N870">
        <v>86.4</v>
      </c>
    </row>
    <row r="871" spans="13:14">
      <c r="M871">
        <v>1.17834828</v>
      </c>
      <c r="N871">
        <v>86.5</v>
      </c>
    </row>
    <row r="872" spans="13:14">
      <c r="M872">
        <v>1.1810985519999999</v>
      </c>
      <c r="N872">
        <v>86.6</v>
      </c>
    </row>
    <row r="873" spans="13:14">
      <c r="M873">
        <v>1.183848824</v>
      </c>
      <c r="N873">
        <v>86.7</v>
      </c>
    </row>
    <row r="874" spans="13:14">
      <c r="M874">
        <v>1.185635</v>
      </c>
      <c r="N874">
        <v>86.8</v>
      </c>
    </row>
    <row r="875" spans="13:14">
      <c r="M875">
        <v>1.186909</v>
      </c>
      <c r="N875">
        <v>86.9</v>
      </c>
    </row>
    <row r="876" spans="13:14">
      <c r="M876">
        <v>1.1893990000000001</v>
      </c>
      <c r="N876">
        <v>87</v>
      </c>
    </row>
    <row r="877" spans="13:14">
      <c r="M877">
        <v>1.2025897999999999</v>
      </c>
      <c r="N877">
        <v>87.1</v>
      </c>
    </row>
    <row r="878" spans="13:14">
      <c r="M878">
        <v>1.2157806</v>
      </c>
      <c r="N878">
        <v>87.2</v>
      </c>
    </row>
    <row r="879" spans="13:14">
      <c r="M879">
        <v>1.222014688</v>
      </c>
      <c r="N879">
        <v>87.3</v>
      </c>
    </row>
    <row r="880" spans="13:14">
      <c r="M880">
        <v>1.222580344</v>
      </c>
      <c r="N880">
        <v>87.4</v>
      </c>
    </row>
    <row r="881" spans="13:14">
      <c r="M881">
        <v>1.2231460000000001</v>
      </c>
      <c r="N881">
        <v>87.5</v>
      </c>
    </row>
    <row r="882" spans="13:14">
      <c r="M882">
        <v>1.2236293359999999</v>
      </c>
      <c r="N882">
        <v>87.6</v>
      </c>
    </row>
    <row r="883" spans="13:14">
      <c r="M883">
        <v>1.224112672</v>
      </c>
      <c r="N883">
        <v>87.7</v>
      </c>
    </row>
    <row r="884" spans="13:14">
      <c r="M884">
        <v>1.231280312</v>
      </c>
      <c r="N884">
        <v>87.8</v>
      </c>
    </row>
    <row r="885" spans="13:14">
      <c r="M885">
        <v>1.246651416</v>
      </c>
      <c r="N885">
        <v>87.9</v>
      </c>
    </row>
    <row r="886" spans="13:14">
      <c r="M886">
        <v>1.2620225199999999</v>
      </c>
      <c r="N886">
        <v>88</v>
      </c>
    </row>
    <row r="887" spans="13:14">
      <c r="M887">
        <v>1.2724001519999999</v>
      </c>
      <c r="N887">
        <v>88.1</v>
      </c>
    </row>
    <row r="888" spans="13:14">
      <c r="M888">
        <v>1.2822103439999999</v>
      </c>
      <c r="N888">
        <v>88.2</v>
      </c>
    </row>
    <row r="889" spans="13:14">
      <c r="M889">
        <v>1.289374928</v>
      </c>
      <c r="N889">
        <v>88.3</v>
      </c>
    </row>
    <row r="890" spans="13:14">
      <c r="M890">
        <v>1.2915595440000001</v>
      </c>
      <c r="N890">
        <v>88.4</v>
      </c>
    </row>
    <row r="891" spans="13:14">
      <c r="M891">
        <v>1.2937441599999999</v>
      </c>
      <c r="N891">
        <v>88.5</v>
      </c>
    </row>
    <row r="892" spans="13:14">
      <c r="M892">
        <v>1.296042344</v>
      </c>
      <c r="N892">
        <v>88.6</v>
      </c>
    </row>
    <row r="893" spans="13:14">
      <c r="M893">
        <v>1.298369648</v>
      </c>
      <c r="N893">
        <v>88.7</v>
      </c>
    </row>
    <row r="894" spans="13:14">
      <c r="M894">
        <v>1.302786392</v>
      </c>
      <c r="N894">
        <v>88.8</v>
      </c>
    </row>
    <row r="895" spans="13:14">
      <c r="M895">
        <v>1.3136455760000001</v>
      </c>
      <c r="N895">
        <v>88.9</v>
      </c>
    </row>
    <row r="896" spans="13:14">
      <c r="M896">
        <v>1.3245047599999999</v>
      </c>
      <c r="N896">
        <v>89</v>
      </c>
    </row>
    <row r="897" spans="13:14">
      <c r="M897">
        <v>1.328559864</v>
      </c>
      <c r="N897">
        <v>89.1</v>
      </c>
    </row>
    <row r="898" spans="13:14">
      <c r="M898">
        <v>1.3296131680000001</v>
      </c>
      <c r="N898">
        <v>89.2</v>
      </c>
    </row>
    <row r="899" spans="13:14">
      <c r="M899">
        <v>1.330516</v>
      </c>
      <c r="N899">
        <v>89.3</v>
      </c>
    </row>
    <row r="900" spans="13:14">
      <c r="M900">
        <v>1.330516</v>
      </c>
      <c r="N900">
        <v>89.4</v>
      </c>
    </row>
    <row r="901" spans="13:14">
      <c r="M901">
        <v>1.330516</v>
      </c>
      <c r="N901">
        <v>89.5</v>
      </c>
    </row>
    <row r="902" spans="13:14">
      <c r="M902">
        <v>1.3318936159999999</v>
      </c>
      <c r="N902">
        <v>89.6</v>
      </c>
    </row>
    <row r="903" spans="13:14">
      <c r="M903">
        <v>1.3342213119999999</v>
      </c>
      <c r="N903">
        <v>89.7</v>
      </c>
    </row>
    <row r="904" spans="13:14">
      <c r="M904">
        <v>1.3366702399999999</v>
      </c>
      <c r="N904">
        <v>89.8</v>
      </c>
    </row>
    <row r="905" spans="13:14">
      <c r="M905">
        <v>1.34196812</v>
      </c>
      <c r="N905">
        <v>89.9</v>
      </c>
    </row>
    <row r="906" spans="13:14">
      <c r="M906">
        <v>1.3472660000000001</v>
      </c>
      <c r="N906">
        <v>90</v>
      </c>
    </row>
    <row r="907" spans="13:14">
      <c r="M907">
        <v>1.3515528080000001</v>
      </c>
      <c r="N907">
        <v>90.1</v>
      </c>
    </row>
    <row r="908" spans="13:14">
      <c r="M908">
        <v>1.354786416</v>
      </c>
      <c r="N908">
        <v>90.2</v>
      </c>
    </row>
    <row r="909" spans="13:14">
      <c r="M909">
        <v>1.358020024</v>
      </c>
      <c r="N909">
        <v>90.3</v>
      </c>
    </row>
    <row r="910" spans="13:14">
      <c r="M910">
        <v>1.361923024</v>
      </c>
      <c r="N910">
        <v>90.4</v>
      </c>
    </row>
    <row r="911" spans="13:14">
      <c r="M911">
        <v>1.3658696800000001</v>
      </c>
      <c r="N911">
        <v>90.5</v>
      </c>
    </row>
    <row r="912" spans="13:14">
      <c r="M912">
        <v>1.371783368</v>
      </c>
      <c r="N912">
        <v>90.6</v>
      </c>
    </row>
    <row r="913" spans="13:14">
      <c r="M913">
        <v>1.3808028960000001</v>
      </c>
      <c r="N913">
        <v>90.7</v>
      </c>
    </row>
    <row r="914" spans="13:14">
      <c r="M914">
        <v>1.3898224239999999</v>
      </c>
      <c r="N914">
        <v>90.8</v>
      </c>
    </row>
    <row r="915" spans="13:14">
      <c r="M915">
        <v>1.3939039120000001</v>
      </c>
      <c r="N915">
        <v>90.9</v>
      </c>
    </row>
    <row r="916" spans="13:14">
      <c r="M916">
        <v>1.39702188</v>
      </c>
      <c r="N916">
        <v>91</v>
      </c>
    </row>
    <row r="917" spans="13:14">
      <c r="M917">
        <v>1.399249</v>
      </c>
      <c r="N917">
        <v>91.1</v>
      </c>
    </row>
    <row r="918" spans="13:14">
      <c r="M918">
        <v>1.399249</v>
      </c>
      <c r="N918">
        <v>91.2</v>
      </c>
    </row>
    <row r="919" spans="13:14">
      <c r="M919">
        <v>1.399249</v>
      </c>
      <c r="N919">
        <v>91.3</v>
      </c>
    </row>
    <row r="920" spans="13:14">
      <c r="M920">
        <v>1.400185</v>
      </c>
      <c r="N920">
        <v>91.4</v>
      </c>
    </row>
    <row r="921" spans="13:14">
      <c r="M921">
        <v>1.401459</v>
      </c>
      <c r="N921">
        <v>91.5</v>
      </c>
    </row>
    <row r="922" spans="13:14">
      <c r="M922">
        <v>1.4035203919999999</v>
      </c>
      <c r="N922">
        <v>91.6</v>
      </c>
    </row>
    <row r="923" spans="13:14">
      <c r="M923">
        <v>1.4090813040000001</v>
      </c>
      <c r="N923">
        <v>91.7</v>
      </c>
    </row>
    <row r="924" spans="13:14">
      <c r="M924">
        <v>1.4146422160000001</v>
      </c>
      <c r="N924">
        <v>91.8</v>
      </c>
    </row>
    <row r="925" spans="13:14">
      <c r="M925">
        <v>1.419897344</v>
      </c>
      <c r="N925">
        <v>91.9</v>
      </c>
    </row>
    <row r="926" spans="13:14">
      <c r="M926">
        <v>1.4249749199999999</v>
      </c>
      <c r="N926">
        <v>92</v>
      </c>
    </row>
    <row r="927" spans="13:14">
      <c r="M927">
        <v>1.4297420000000001</v>
      </c>
      <c r="N927">
        <v>92.1</v>
      </c>
    </row>
    <row r="928" spans="13:14">
      <c r="M928">
        <v>1.4310160000000001</v>
      </c>
      <c r="N928">
        <v>92.2</v>
      </c>
    </row>
    <row r="929" spans="13:14">
      <c r="M929">
        <v>1.4322900000000001</v>
      </c>
      <c r="N929">
        <v>92.3</v>
      </c>
    </row>
    <row r="930" spans="13:14">
      <c r="M930">
        <v>1.436738912</v>
      </c>
      <c r="N930">
        <v>92.4</v>
      </c>
    </row>
    <row r="931" spans="13:14">
      <c r="M931">
        <v>1.4439964000000001</v>
      </c>
      <c r="N931">
        <v>92.5</v>
      </c>
    </row>
    <row r="932" spans="13:14">
      <c r="M932">
        <v>1.4512538880000001</v>
      </c>
      <c r="N932">
        <v>92.6</v>
      </c>
    </row>
    <row r="933" spans="13:14">
      <c r="M933">
        <v>1.455123728</v>
      </c>
      <c r="N933">
        <v>92.7</v>
      </c>
    </row>
    <row r="934" spans="13:14">
      <c r="M934">
        <v>1.458922992</v>
      </c>
      <c r="N934">
        <v>92.8</v>
      </c>
    </row>
    <row r="935" spans="13:14">
      <c r="M935">
        <v>1.463185432</v>
      </c>
      <c r="N935">
        <v>92.9</v>
      </c>
    </row>
    <row r="936" spans="13:14">
      <c r="M936">
        <v>1.4680654399999999</v>
      </c>
      <c r="N936">
        <v>93</v>
      </c>
    </row>
    <row r="937" spans="13:14">
      <c r="M937">
        <v>1.4729454479999999</v>
      </c>
      <c r="N937">
        <v>93.1</v>
      </c>
    </row>
    <row r="938" spans="13:14">
      <c r="M938">
        <v>1.479347312</v>
      </c>
      <c r="N938">
        <v>93.2</v>
      </c>
    </row>
    <row r="939" spans="13:14">
      <c r="M939">
        <v>1.485961528</v>
      </c>
      <c r="N939">
        <v>93.3</v>
      </c>
    </row>
    <row r="940" spans="13:14">
      <c r="M940">
        <v>1.494979968</v>
      </c>
      <c r="N940">
        <v>93.4</v>
      </c>
    </row>
    <row r="941" spans="13:14">
      <c r="M941">
        <v>1.50895712</v>
      </c>
      <c r="N941">
        <v>93.5</v>
      </c>
    </row>
    <row r="942" spans="13:14">
      <c r="M942">
        <v>1.5229342720000001</v>
      </c>
      <c r="N942">
        <v>93.6</v>
      </c>
    </row>
    <row r="943" spans="13:14">
      <c r="M943">
        <v>1.5330667360000001</v>
      </c>
      <c r="N943">
        <v>93.7</v>
      </c>
    </row>
    <row r="944" spans="13:14">
      <c r="M944">
        <v>1.5420862639999999</v>
      </c>
      <c r="N944">
        <v>93.8</v>
      </c>
    </row>
    <row r="945" spans="13:14">
      <c r="M945">
        <v>1.549857424</v>
      </c>
      <c r="N945">
        <v>93.9</v>
      </c>
    </row>
    <row r="946" spans="13:14">
      <c r="M946">
        <v>1.5533160399999999</v>
      </c>
      <c r="N946">
        <v>94</v>
      </c>
    </row>
    <row r="947" spans="13:14">
      <c r="M947">
        <v>1.556774656</v>
      </c>
      <c r="N947">
        <v>94.1</v>
      </c>
    </row>
    <row r="948" spans="13:14">
      <c r="M948">
        <v>1.562181592</v>
      </c>
      <c r="N948">
        <v>94.2</v>
      </c>
    </row>
    <row r="949" spans="13:14">
      <c r="M949">
        <v>1.5685331680000001</v>
      </c>
      <c r="N949">
        <v>94.3</v>
      </c>
    </row>
    <row r="950" spans="13:14">
      <c r="M950">
        <v>1.5752356240000001</v>
      </c>
      <c r="N950">
        <v>94.4</v>
      </c>
    </row>
    <row r="951" spans="13:14">
      <c r="M951">
        <v>1.58445272</v>
      </c>
      <c r="N951">
        <v>94.5</v>
      </c>
    </row>
    <row r="952" spans="13:14">
      <c r="M952">
        <v>1.593669816</v>
      </c>
      <c r="N952">
        <v>94.6</v>
      </c>
    </row>
    <row r="953" spans="13:14">
      <c r="M953">
        <v>1.6072157119999999</v>
      </c>
      <c r="N953">
        <v>94.7</v>
      </c>
    </row>
    <row r="954" spans="13:14">
      <c r="M954">
        <v>1.624008208</v>
      </c>
      <c r="N954">
        <v>94.8</v>
      </c>
    </row>
    <row r="955" spans="13:14">
      <c r="M955">
        <v>1.6405315039999999</v>
      </c>
      <c r="N955">
        <v>94.9</v>
      </c>
    </row>
    <row r="956" spans="13:14">
      <c r="M956">
        <v>1.6441332</v>
      </c>
      <c r="N956">
        <v>95</v>
      </c>
    </row>
    <row r="957" spans="13:14">
      <c r="M957">
        <v>1.647734896</v>
      </c>
      <c r="N957">
        <v>95.1</v>
      </c>
    </row>
    <row r="958" spans="13:14">
      <c r="M958">
        <v>1.649911328</v>
      </c>
      <c r="N958">
        <v>95.2</v>
      </c>
    </row>
    <row r="959" spans="13:14">
      <c r="M959">
        <v>1.650476592</v>
      </c>
      <c r="N959">
        <v>95.3</v>
      </c>
    </row>
    <row r="960" spans="13:14">
      <c r="M960">
        <v>1.651041856</v>
      </c>
      <c r="N960">
        <v>95.4</v>
      </c>
    </row>
    <row r="961" spans="13:14">
      <c r="M961">
        <v>1.65937124</v>
      </c>
      <c r="N961">
        <v>95.5</v>
      </c>
    </row>
    <row r="962" spans="13:14">
      <c r="M962">
        <v>1.6683907680000001</v>
      </c>
      <c r="N962">
        <v>95.6</v>
      </c>
    </row>
    <row r="963" spans="13:14">
      <c r="M963">
        <v>1.68119332</v>
      </c>
      <c r="N963">
        <v>95.7</v>
      </c>
    </row>
    <row r="964" spans="13:14">
      <c r="M964">
        <v>1.7005110800000001</v>
      </c>
      <c r="N964">
        <v>95.8</v>
      </c>
    </row>
    <row r="965" spans="13:14">
      <c r="M965">
        <v>1.7198288399999999</v>
      </c>
      <c r="N965">
        <v>95.9</v>
      </c>
    </row>
    <row r="966" spans="13:14">
      <c r="M966">
        <v>1.73448644</v>
      </c>
      <c r="N966">
        <v>96</v>
      </c>
    </row>
    <row r="967" spans="13:14">
      <c r="M967">
        <v>1.7480955039999999</v>
      </c>
      <c r="N967">
        <v>96.1</v>
      </c>
    </row>
    <row r="968" spans="13:14">
      <c r="M968">
        <v>1.7602464879999999</v>
      </c>
      <c r="N968">
        <v>96.2</v>
      </c>
    </row>
    <row r="969" spans="13:14">
      <c r="M969">
        <v>1.7683597120000001</v>
      </c>
      <c r="N969">
        <v>96.3</v>
      </c>
    </row>
    <row r="970" spans="13:14">
      <c r="M970">
        <v>1.776472936</v>
      </c>
      <c r="N970">
        <v>96.4</v>
      </c>
    </row>
    <row r="971" spans="13:14">
      <c r="M971">
        <v>1.7889625600000001</v>
      </c>
      <c r="N971">
        <v>96.5</v>
      </c>
    </row>
    <row r="972" spans="13:14">
      <c r="M972">
        <v>1.803202744</v>
      </c>
      <c r="N972">
        <v>96.6</v>
      </c>
    </row>
    <row r="973" spans="13:14">
      <c r="M973">
        <v>1.81645528</v>
      </c>
      <c r="N973">
        <v>96.7</v>
      </c>
    </row>
    <row r="974" spans="13:14">
      <c r="M974">
        <v>1.8246461199999999</v>
      </c>
      <c r="N974">
        <v>96.8</v>
      </c>
    </row>
    <row r="975" spans="13:14">
      <c r="M975">
        <v>1.8328369600000001</v>
      </c>
      <c r="N975">
        <v>96.9</v>
      </c>
    </row>
    <row r="976" spans="13:14">
      <c r="M976">
        <v>1.8503038000000001</v>
      </c>
      <c r="N976">
        <v>97</v>
      </c>
    </row>
    <row r="977" spans="13:14">
      <c r="M977">
        <v>1.87364544</v>
      </c>
      <c r="N977">
        <v>97.1</v>
      </c>
    </row>
    <row r="978" spans="13:14">
      <c r="M978">
        <v>1.8956360240000001</v>
      </c>
      <c r="N978">
        <v>97.2</v>
      </c>
    </row>
    <row r="979" spans="13:14">
      <c r="M979">
        <v>1.8969104160000001</v>
      </c>
      <c r="N979">
        <v>97.3</v>
      </c>
    </row>
    <row r="980" spans="13:14">
      <c r="M980">
        <v>1.8981848079999999</v>
      </c>
      <c r="N980">
        <v>97.4</v>
      </c>
    </row>
    <row r="981" spans="13:14">
      <c r="M981">
        <v>1.9205715999999999</v>
      </c>
      <c r="N981">
        <v>97.5</v>
      </c>
    </row>
    <row r="982" spans="13:14">
      <c r="M982">
        <v>1.963226296</v>
      </c>
      <c r="N982">
        <v>97.6</v>
      </c>
    </row>
    <row r="983" spans="13:14">
      <c r="M983">
        <v>2.0058809919999998</v>
      </c>
      <c r="N983">
        <v>97.7</v>
      </c>
    </row>
    <row r="984" spans="13:14">
      <c r="M984">
        <v>2.0089590560000001</v>
      </c>
      <c r="N984">
        <v>97.8</v>
      </c>
    </row>
    <row r="985" spans="13:14">
      <c r="M985">
        <v>2.0103530080000001</v>
      </c>
      <c r="N985">
        <v>97.9</v>
      </c>
    </row>
    <row r="986" spans="13:14">
      <c r="M986">
        <v>2.0315615199999999</v>
      </c>
      <c r="N986">
        <v>98</v>
      </c>
    </row>
    <row r="987" spans="13:14">
      <c r="M987">
        <v>2.0815011440000002</v>
      </c>
      <c r="N987">
        <v>98.1</v>
      </c>
    </row>
    <row r="988" spans="13:14">
      <c r="M988">
        <v>2.131440768</v>
      </c>
      <c r="N988">
        <v>98.2</v>
      </c>
    </row>
    <row r="989" spans="13:14">
      <c r="M989">
        <v>2.146498888</v>
      </c>
      <c r="N989">
        <v>98.3</v>
      </c>
    </row>
    <row r="990" spans="13:14">
      <c r="M990">
        <v>2.1557434240000002</v>
      </c>
      <c r="N990">
        <v>98.4</v>
      </c>
    </row>
    <row r="991" spans="13:14">
      <c r="M991">
        <v>2.1676363599999999</v>
      </c>
      <c r="N991">
        <v>98.5</v>
      </c>
    </row>
    <row r="992" spans="13:14">
      <c r="M992">
        <v>2.1855323360000001</v>
      </c>
      <c r="N992">
        <v>98.6</v>
      </c>
    </row>
    <row r="993" spans="13:14">
      <c r="M993">
        <v>2.2034283119999998</v>
      </c>
      <c r="N993">
        <v>98.7</v>
      </c>
    </row>
    <row r="994" spans="13:14">
      <c r="M994">
        <v>2.2971121280000002</v>
      </c>
      <c r="N994">
        <v>98.8</v>
      </c>
    </row>
    <row r="995" spans="13:14">
      <c r="M995">
        <v>2.4153757840000001</v>
      </c>
      <c r="N995">
        <v>98.9</v>
      </c>
    </row>
    <row r="996" spans="13:14">
      <c r="M996">
        <v>2.5102389600000001</v>
      </c>
      <c r="N996">
        <v>99</v>
      </c>
    </row>
    <row r="997" spans="13:14">
      <c r="M997">
        <v>2.5138402640000002</v>
      </c>
      <c r="N997">
        <v>99.1</v>
      </c>
    </row>
    <row r="998" spans="13:14">
      <c r="M998">
        <v>2.5174415680000002</v>
      </c>
      <c r="N998">
        <v>99.2</v>
      </c>
    </row>
    <row r="999" spans="13:14">
      <c r="M999">
        <v>2.5666239279999901</v>
      </c>
      <c r="N999">
        <v>99.3</v>
      </c>
    </row>
    <row r="1000" spans="13:14">
      <c r="M1000">
        <v>2.6400212239999998</v>
      </c>
      <c r="N1000">
        <v>99.4</v>
      </c>
    </row>
    <row r="1001" spans="13:14">
      <c r="M1001">
        <v>2.71054196</v>
      </c>
      <c r="N1001">
        <v>99.5</v>
      </c>
    </row>
    <row r="1002" spans="13:14">
      <c r="M1002">
        <v>2.7557489679999998</v>
      </c>
      <c r="N1002">
        <v>99.6</v>
      </c>
    </row>
    <row r="1003" spans="13:14">
      <c r="M1003">
        <v>2.800955976</v>
      </c>
      <c r="N1003">
        <v>99.7</v>
      </c>
    </row>
    <row r="1004" spans="13:14">
      <c r="M1004">
        <v>2.8757590880000001</v>
      </c>
      <c r="N1004">
        <v>99.8</v>
      </c>
    </row>
    <row r="1005" spans="13:14">
      <c r="M1005">
        <v>2.974677544</v>
      </c>
      <c r="N1005">
        <v>99.9</v>
      </c>
    </row>
    <row r="1006" spans="13:14">
      <c r="M1006">
        <v>3.0735960000000002</v>
      </c>
      <c r="N1006">
        <v>100</v>
      </c>
    </row>
  </sheetData>
  <mergeCells count="3">
    <mergeCell ref="I5:J5"/>
    <mergeCell ref="I9:J9"/>
    <mergeCell ref="I25:J25"/>
  </mergeCells>
  <pageMargins left="0.7" right="0.7" top="0.75" bottom="0.75" header="0.3" footer="0.3"/>
  <pageSetup paperSize="9" scale="31" orientation="landscape" horizontalDpi="0" verticalDpi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008"/>
  <sheetViews>
    <sheetView topLeftCell="A25" workbookViewId="0">
      <selection activeCell="O9" sqref="O9"/>
    </sheetView>
  </sheetViews>
  <sheetFormatPr baseColWidth="10" defaultRowHeight="15.5"/>
  <sheetData>
    <row r="1" spans="1:16">
      <c r="A1" s="2" t="s">
        <v>4</v>
      </c>
      <c r="J1" s="5"/>
      <c r="L1" s="2" t="s">
        <v>13</v>
      </c>
    </row>
    <row r="2" spans="1:16">
      <c r="A2" s="2"/>
      <c r="J2" s="5"/>
      <c r="L2" s="2"/>
    </row>
    <row r="3" spans="1:16">
      <c r="A3" s="23" t="s">
        <v>18</v>
      </c>
      <c r="G3" s="21">
        <f>SQRT(RAVLT_Rec!J6)</f>
        <v>0</v>
      </c>
      <c r="J3" s="5"/>
    </row>
    <row r="4" spans="1:16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16">
      <c r="J5" s="5"/>
      <c r="L5">
        <f>RAVLT_Rec!M6</f>
        <v>-3.3768419999999999</v>
      </c>
      <c r="M5">
        <f>RAVLT_Rec!N6</f>
        <v>0</v>
      </c>
      <c r="O5" t="e">
        <f>ABS(L5-RAVLT_Rec!$C$34)</f>
        <v>#REF!</v>
      </c>
      <c r="P5">
        <f>M5</f>
        <v>0</v>
      </c>
    </row>
    <row r="6" spans="1:16">
      <c r="A6" s="2" t="s">
        <v>28</v>
      </c>
      <c r="J6" s="5"/>
      <c r="L6">
        <f>RAVLT_Rec!M7</f>
        <v>-3.1789388459999999</v>
      </c>
      <c r="M6">
        <f>RAVLT_Rec!N7</f>
        <v>0.1</v>
      </c>
      <c r="O6" t="e">
        <f>ABS(L6-RAVLT_Rec!$C$34)</f>
        <v>#REF!</v>
      </c>
      <c r="P6">
        <f t="shared" ref="P6:P70" si="0">M6</f>
        <v>0.1</v>
      </c>
    </row>
    <row r="7" spans="1:16">
      <c r="J7" s="5"/>
      <c r="L7">
        <f>RAVLT_Rec!M8</f>
        <v>-2.9810356919999998</v>
      </c>
      <c r="M7">
        <f>RAVLT_Rec!N8</f>
        <v>0.2</v>
      </c>
      <c r="O7" t="e">
        <f>ABS(L7-RAVLT_Rec!$C$34)</f>
        <v>#REF!</v>
      </c>
      <c r="P7">
        <f t="shared" si="0"/>
        <v>0.2</v>
      </c>
    </row>
    <row r="8" spans="1:16">
      <c r="A8" t="s">
        <v>16</v>
      </c>
      <c r="B8">
        <f>RAVLT_Delayed!C27</f>
        <v>8.8981358441363234</v>
      </c>
      <c r="J8" s="5"/>
    </row>
    <row r="9" spans="1:16">
      <c r="J9" s="5"/>
      <c r="L9">
        <f>RAVLT_Rec!M9</f>
        <v>-2.8361230000000002</v>
      </c>
      <c r="M9">
        <f>RAVLT_Rec!N9</f>
        <v>0.3</v>
      </c>
      <c r="O9" t="e">
        <f>ABS(L9-RAVLT_Rec!$C$34)</f>
        <v>#REF!</v>
      </c>
      <c r="P9">
        <f t="shared" si="0"/>
        <v>0.3</v>
      </c>
    </row>
    <row r="10" spans="1:16">
      <c r="B10" t="str">
        <f>RAVLT_Learning!J10</f>
        <v>Residual variance</v>
      </c>
      <c r="C10" t="str">
        <f>RAVLT_Learning!I10</f>
        <v>Predicted test score</v>
      </c>
      <c r="J10" s="5"/>
      <c r="L10">
        <f>RAVLT_Rec!M10</f>
        <v>-2.8361230000000002</v>
      </c>
      <c r="M10">
        <f>RAVLT_Rec!N10</f>
        <v>0.4</v>
      </c>
      <c r="O10" t="e">
        <f>ABS(L10-RAVLT_Rec!$C$34)</f>
        <v>#REF!</v>
      </c>
      <c r="P10">
        <f t="shared" si="0"/>
        <v>0.4</v>
      </c>
    </row>
    <row r="11" spans="1:16">
      <c r="B11">
        <f>RAVLT_Rec!J11</f>
        <v>0</v>
      </c>
      <c r="C11">
        <f>RAVLT_Rec!I11</f>
        <v>0</v>
      </c>
      <c r="J11" s="5"/>
      <c r="L11">
        <f>RAVLT_Rec!M11</f>
        <v>-2.8361230000000002</v>
      </c>
      <c r="M11">
        <f>RAVLT_Rec!N11</f>
        <v>0.5</v>
      </c>
      <c r="O11" t="e">
        <f>ABS(L11-RAVLT_Rec!$C$34)</f>
        <v>#REF!</v>
      </c>
      <c r="P11">
        <f t="shared" si="0"/>
        <v>0.5</v>
      </c>
    </row>
    <row r="12" spans="1:16">
      <c r="B12">
        <f>RAVLT_Rec!J12</f>
        <v>0</v>
      </c>
      <c r="C12">
        <f>RAVLT_Rec!I12</f>
        <v>0</v>
      </c>
      <c r="J12" s="5"/>
      <c r="L12">
        <f>RAVLT_Rec!M12</f>
        <v>-2.8310479719999999</v>
      </c>
      <c r="M12">
        <f>RAVLT_Rec!N12</f>
        <v>0.6</v>
      </c>
      <c r="O12" t="e">
        <f>ABS(L12-RAVLT_Rec!$C$34)</f>
        <v>#REF!</v>
      </c>
      <c r="P12">
        <f t="shared" si="0"/>
        <v>0.6</v>
      </c>
    </row>
    <row r="13" spans="1:16">
      <c r="B13">
        <f>RAVLT_Rec!J13</f>
        <v>0</v>
      </c>
      <c r="C13">
        <f>RAVLT_Rec!I13</f>
        <v>0</v>
      </c>
      <c r="J13" s="5"/>
      <c r="L13">
        <f>RAVLT_Rec!M13</f>
        <v>-2.821571134</v>
      </c>
      <c r="M13">
        <f>RAVLT_Rec!N13</f>
        <v>0.7</v>
      </c>
      <c r="O13" t="e">
        <f>ABS(L13-RAVLT_Rec!$C$34)</f>
        <v>#REF!</v>
      </c>
      <c r="P13">
        <f t="shared" si="0"/>
        <v>0.7</v>
      </c>
    </row>
    <row r="14" spans="1:16">
      <c r="B14">
        <f>RAVLT_Rec!J14</f>
        <v>0</v>
      </c>
      <c r="C14">
        <f>RAVLT_Rec!I14</f>
        <v>0</v>
      </c>
      <c r="J14" s="5"/>
      <c r="L14">
        <f>RAVLT_Rec!M14</f>
        <v>-2.8120942960000002</v>
      </c>
      <c r="M14">
        <f>RAVLT_Rec!N14</f>
        <v>0.8</v>
      </c>
      <c r="O14" t="e">
        <f>ABS(L14-RAVLT_Rec!$C$34)</f>
        <v>#REF!</v>
      </c>
      <c r="P14">
        <f t="shared" si="0"/>
        <v>0.8</v>
      </c>
    </row>
    <row r="15" spans="1:16">
      <c r="B15">
        <f>RAVLT_Rec!J15</f>
        <v>0</v>
      </c>
      <c r="C15">
        <f>RAVLT_Rec!I15</f>
        <v>0</v>
      </c>
      <c r="J15" s="5"/>
      <c r="L15">
        <f>RAVLT_Rec!M15</f>
        <v>-2.8070289279999998</v>
      </c>
      <c r="M15">
        <f>RAVLT_Rec!N15</f>
        <v>0.9</v>
      </c>
      <c r="O15" t="e">
        <f>ABS(L15-RAVLT_Rec!$C$34)</f>
        <v>#REF!</v>
      </c>
      <c r="P15">
        <f t="shared" si="0"/>
        <v>0.9</v>
      </c>
    </row>
    <row r="16" spans="1:16">
      <c r="B16">
        <f>RAVLT_Rec!J16</f>
        <v>0</v>
      </c>
      <c r="C16">
        <f>RAVLT_Rec!I16</f>
        <v>0</v>
      </c>
      <c r="J16" s="5"/>
      <c r="L16">
        <f>RAVLT_Rec!M16</f>
        <v>-2.8030439199999999</v>
      </c>
      <c r="M16">
        <f>RAVLT_Rec!N16</f>
        <v>1</v>
      </c>
      <c r="O16" t="e">
        <f>ABS(L16-RAVLT_Rec!$C$34)</f>
        <v>#REF!</v>
      </c>
      <c r="P16">
        <f t="shared" si="0"/>
        <v>1</v>
      </c>
    </row>
    <row r="17" spans="1:16">
      <c r="B17">
        <f>RAVLT_Rec!J17</f>
        <v>0</v>
      </c>
      <c r="C17">
        <f>RAVLT_Rec!I17</f>
        <v>0</v>
      </c>
      <c r="J17" s="5"/>
      <c r="L17">
        <f>RAVLT_Rec!M17</f>
        <v>-2.7980566379999998</v>
      </c>
      <c r="M17">
        <f>RAVLT_Rec!N17</f>
        <v>1.1000000000000001</v>
      </c>
      <c r="O17" t="e">
        <f>ABS(L17-RAVLT_Rec!$C$34)</f>
        <v>#REF!</v>
      </c>
      <c r="P17">
        <f t="shared" si="0"/>
        <v>1.1000000000000001</v>
      </c>
    </row>
    <row r="18" spans="1:16">
      <c r="B18">
        <f>RAVLT_Rec!J18</f>
        <v>0</v>
      </c>
      <c r="C18">
        <f>RAVLT_Rec!I18</f>
        <v>0</v>
      </c>
      <c r="J18" s="5"/>
      <c r="L18">
        <f>RAVLT_Rec!M18</f>
        <v>-2.7799626960000001</v>
      </c>
      <c r="M18">
        <f>RAVLT_Rec!N18</f>
        <v>1.2</v>
      </c>
      <c r="O18" t="e">
        <f>ABS(L18-RAVLT_Rec!$C$34)</f>
        <v>#REF!</v>
      </c>
      <c r="P18">
        <f t="shared" si="0"/>
        <v>1.2</v>
      </c>
    </row>
    <row r="19" spans="1:16">
      <c r="B19">
        <f>RAVLT_Rec!J19</f>
        <v>0</v>
      </c>
      <c r="C19">
        <f>RAVLT_Rec!I19</f>
        <v>0</v>
      </c>
      <c r="J19" s="5"/>
      <c r="L19">
        <f>RAVLT_Rec!M19</f>
        <v>-2.761868754</v>
      </c>
      <c r="M19">
        <f>RAVLT_Rec!N19</f>
        <v>1.3</v>
      </c>
      <c r="O19" t="e">
        <f>ABS(L19-RAVLT_Rec!$C$34)</f>
        <v>#REF!</v>
      </c>
      <c r="P19">
        <f t="shared" si="0"/>
        <v>1.3</v>
      </c>
    </row>
    <row r="20" spans="1:16">
      <c r="B20">
        <f>RAVLT_Rec!J20</f>
        <v>0</v>
      </c>
      <c r="C20">
        <f>RAVLT_Rec!I20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RAVLT_Rec!M20</f>
        <v>-2.7280026319999999</v>
      </c>
      <c r="M20">
        <f>RAVLT_Rec!N20</f>
        <v>1.4</v>
      </c>
      <c r="O20" t="e">
        <f>ABS(L20-RAVLT_Rec!$C$34)</f>
        <v>#REF!</v>
      </c>
      <c r="P20">
        <f t="shared" si="0"/>
        <v>1.4</v>
      </c>
    </row>
    <row r="21" spans="1:16">
      <c r="B21">
        <f>RAVLT_Rec!J21</f>
        <v>0</v>
      </c>
      <c r="C21">
        <f>RAVLT_Rec!I21</f>
        <v>0</v>
      </c>
      <c r="E21" t="s">
        <v>38</v>
      </c>
      <c r="G21" s="21">
        <f>SQRT(G20)</f>
        <v>0</v>
      </c>
      <c r="J21" s="5"/>
      <c r="L21">
        <f>RAVLT_Rec!M21</f>
        <v>-2.66335532</v>
      </c>
      <c r="M21">
        <f>RAVLT_Rec!N21</f>
        <v>1.5</v>
      </c>
      <c r="O21" t="e">
        <f>ABS(L21-RAVLT_Rec!$C$34)</f>
        <v>#REF!</v>
      </c>
      <c r="P21">
        <f t="shared" si="0"/>
        <v>1.5</v>
      </c>
    </row>
    <row r="22" spans="1:16">
      <c r="B22">
        <f>RAVLT_Rec!J22</f>
        <v>0</v>
      </c>
      <c r="C22">
        <f>RAVLT_Rec!I22</f>
        <v>0</v>
      </c>
      <c r="J22" s="5"/>
      <c r="L22">
        <f>RAVLT_Rec!M22</f>
        <v>-2.598708008</v>
      </c>
      <c r="M22">
        <f>RAVLT_Rec!N22</f>
        <v>1.6</v>
      </c>
      <c r="O22" t="e">
        <f>ABS(L22-RAVLT_Rec!$C$34)</f>
        <v>#REF!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RAVLT_Rec!M23</f>
        <v>-2.534177246</v>
      </c>
      <c r="M23">
        <f>RAVLT_Rec!N23</f>
        <v>1.7</v>
      </c>
      <c r="O23" t="e">
        <f>ABS(L23-RAVLT_Rec!$C$34)</f>
        <v>#REF!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RAVLT_Rec!M24</f>
        <v>-2.4697220839999998</v>
      </c>
      <c r="M24">
        <f>RAVLT_Rec!N24</f>
        <v>1.8</v>
      </c>
      <c r="O24" t="e">
        <f>ABS(L24-RAVLT_Rec!$C$34)</f>
        <v>#REF!</v>
      </c>
      <c r="P24">
        <f t="shared" si="0"/>
        <v>1.8</v>
      </c>
    </row>
    <row r="25" spans="1:16">
      <c r="A25" s="2" t="s">
        <v>27</v>
      </c>
      <c r="J25" s="5"/>
      <c r="L25">
        <f>RAVLT_Rec!M25</f>
        <v>-2.405266922</v>
      </c>
      <c r="M25">
        <f>RAVLT_Rec!N25</f>
        <v>1.9</v>
      </c>
      <c r="O25" t="e">
        <f>ABS(L25-RAVLT_Rec!$C$34)</f>
        <v>#REF!</v>
      </c>
      <c r="P25">
        <f t="shared" si="0"/>
        <v>1.9</v>
      </c>
    </row>
    <row r="26" spans="1:16">
      <c r="H26" s="1"/>
      <c r="J26" s="5"/>
      <c r="L26">
        <f>RAVLT_Rec!M26</f>
        <v>-2.3969426399999998</v>
      </c>
      <c r="M26">
        <f>RAVLT_Rec!N26</f>
        <v>2</v>
      </c>
      <c r="O26" t="e">
        <f>ABS(L26-RAVLT_Rec!$C$34)</f>
        <v>#REF!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RAVLT_Rec!M27</f>
        <v>-2.396687172</v>
      </c>
      <c r="M27">
        <f>RAVLT_Rec!N27</f>
        <v>2.1</v>
      </c>
      <c r="O27" t="e">
        <f>ABS(L27-RAVLT_Rec!$C$34)</f>
        <v>#REF!</v>
      </c>
      <c r="P27">
        <f t="shared" si="0"/>
        <v>2.1</v>
      </c>
    </row>
    <row r="28" spans="1:16">
      <c r="A28" t="str">
        <f>RAVLT_Rec!I27</f>
        <v>(Intercept)</v>
      </c>
      <c r="B28">
        <f>RAVLT_Rec!J27</f>
        <v>12426.3302809098</v>
      </c>
      <c r="C28">
        <v>1</v>
      </c>
      <c r="D28">
        <f>B28*C28</f>
        <v>12426.3302809098</v>
      </c>
      <c r="J28" s="5"/>
      <c r="L28">
        <f>RAVLT_Rec!M28</f>
        <v>-2.3960220479999998</v>
      </c>
      <c r="M28">
        <f>RAVLT_Rec!N28</f>
        <v>2.2000000000000002</v>
      </c>
      <c r="O28" t="e">
        <f>ABS(L28-RAVLT_Rec!$C$34)</f>
        <v>#REF!</v>
      </c>
      <c r="P28">
        <f t="shared" si="0"/>
        <v>2.2000000000000002</v>
      </c>
    </row>
    <row r="29" spans="1:16">
      <c r="A29" t="str">
        <f>RAVLT_Rec!I28</f>
        <v>Pred.Y</v>
      </c>
      <c r="B29">
        <f>RAVLT_Rec!J28</f>
        <v>-3071.3826801369401</v>
      </c>
      <c r="C29">
        <f>B8</f>
        <v>8.8981358441363234</v>
      </c>
      <c r="D29">
        <f t="shared" ref="D29:D33" si="1">B29*C29</f>
        <v>-27329.580317185995</v>
      </c>
      <c r="J29" s="5"/>
      <c r="L29">
        <f>RAVLT_Rec!M29</f>
        <v>-2.392883232</v>
      </c>
      <c r="M29">
        <f>RAVLT_Rec!N29</f>
        <v>2.2999999999999998</v>
      </c>
      <c r="O29" t="e">
        <f>ABS(L29-RAVLT_Rec!$C$34)</f>
        <v>#REF!</v>
      </c>
      <c r="P29">
        <f t="shared" si="0"/>
        <v>2.2999999999999998</v>
      </c>
    </row>
    <row r="30" spans="1:16">
      <c r="A30" t="str">
        <f>RAVLT_Rec!I29</f>
        <v>Pred.Y.2</v>
      </c>
      <c r="B30">
        <f>RAVLT_Rec!J29</f>
        <v>252.938866623953</v>
      </c>
      <c r="C30">
        <f>B8^2</f>
        <v>79.176821500703639</v>
      </c>
      <c r="D30">
        <f t="shared" si="1"/>
        <v>20026.895493275013</v>
      </c>
      <c r="J30" s="5"/>
      <c r="L30">
        <f>RAVLT_Rec!M30</f>
        <v>-2.3897444160000001</v>
      </c>
      <c r="M30">
        <f>RAVLT_Rec!N30</f>
        <v>2.4</v>
      </c>
      <c r="O30" t="e">
        <f>ABS(L30-RAVLT_Rec!$C$34)</f>
        <v>#REF!</v>
      </c>
      <c r="P30">
        <f t="shared" si="0"/>
        <v>2.4</v>
      </c>
    </row>
    <row r="31" spans="1:16">
      <c r="A31" t="str">
        <f>RAVLT_Rec!I30</f>
        <v>Pred.Y.3</v>
      </c>
      <c r="B31">
        <f>RAVLT_Rec!J30</f>
        <v>-6.9378657214228303</v>
      </c>
      <c r="C31">
        <f>B8^3</f>
        <v>704.52611342019452</v>
      </c>
      <c r="D31">
        <f t="shared" si="1"/>
        <v>-4887.9075721452209</v>
      </c>
      <c r="J31" s="5"/>
      <c r="L31">
        <f>RAVLT_Rec!M31</f>
        <v>-2.3856358499999999</v>
      </c>
      <c r="M31">
        <f>RAVLT_Rec!N31</f>
        <v>2.5</v>
      </c>
      <c r="O31" t="e">
        <f>ABS(L31-RAVLT_Rec!$C$34)</f>
        <v>#REF!</v>
      </c>
      <c r="P31">
        <f t="shared" si="0"/>
        <v>2.5</v>
      </c>
    </row>
    <row r="32" spans="1:16">
      <c r="A32">
        <f>RAVLT_Rec!I31</f>
        <v>0</v>
      </c>
      <c r="B32">
        <f>RAVLT_Rec!J31</f>
        <v>0</v>
      </c>
      <c r="C32">
        <f>B8^4</f>
        <v>6268.9690629542856</v>
      </c>
      <c r="D32">
        <f t="shared" si="1"/>
        <v>0</v>
      </c>
      <c r="J32" s="5"/>
      <c r="L32">
        <f>RAVLT_Rec!M32</f>
        <v>-2.380130844</v>
      </c>
      <c r="M32">
        <f>RAVLT_Rec!N32</f>
        <v>2.6</v>
      </c>
      <c r="O32" t="e">
        <f>ABS(L32-RAVLT_Rec!$C$34)</f>
        <v>#REF!</v>
      </c>
      <c r="P32">
        <f t="shared" si="0"/>
        <v>2.6</v>
      </c>
    </row>
    <row r="33" spans="1:16">
      <c r="A33">
        <f>RAVLT_Rec!I32</f>
        <v>0</v>
      </c>
      <c r="B33">
        <f>RAVLT_Rec!J32</f>
        <v>0</v>
      </c>
      <c r="C33">
        <f>B8^5</f>
        <v>55782.13832485523</v>
      </c>
      <c r="D33">
        <f t="shared" si="1"/>
        <v>0</v>
      </c>
      <c r="J33" s="5"/>
      <c r="L33">
        <f>RAVLT_Rec!M33</f>
        <v>-2.374625838</v>
      </c>
      <c r="M33">
        <f>RAVLT_Rec!N33</f>
        <v>2.7</v>
      </c>
      <c r="O33" t="e">
        <f>ABS(L33-RAVLT_Rec!$C$34)</f>
        <v>#REF!</v>
      </c>
      <c r="P33">
        <f t="shared" si="0"/>
        <v>2.7</v>
      </c>
    </row>
    <row r="34" spans="1:16">
      <c r="G34" s="21">
        <f>SQRT(D35)</f>
        <v>15.35375800426714</v>
      </c>
      <c r="J34" s="5"/>
      <c r="L34">
        <f>RAVLT_Rec!M34</f>
        <v>-2.3710105920000002</v>
      </c>
      <c r="M34">
        <f>RAVLT_Rec!N34</f>
        <v>2.8</v>
      </c>
      <c r="O34" t="e">
        <f>ABS(L34-RAVLT_Rec!$C$34)</f>
        <v>#REF!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235.73788485359728</v>
      </c>
      <c r="E35" s="18"/>
      <c r="F35" s="18"/>
      <c r="G35" s="18"/>
      <c r="H35" s="18"/>
      <c r="I35" s="18"/>
      <c r="J35" s="19"/>
      <c r="L35">
        <f>RAVLT_Rec!M35</f>
        <v>-2.3682945059999998</v>
      </c>
      <c r="M35">
        <f>RAVLT_Rec!N35</f>
        <v>2.9</v>
      </c>
      <c r="O35" t="e">
        <f>ABS(L35-RAVLT_Rec!$C$34)</f>
        <v>#REF!</v>
      </c>
      <c r="P35">
        <f t="shared" si="0"/>
        <v>2.9</v>
      </c>
    </row>
    <row r="36" spans="1:16">
      <c r="J36" s="5"/>
      <c r="L36">
        <f>RAVLT_Rec!M36</f>
        <v>-2.3655784199999998</v>
      </c>
      <c r="M36">
        <f>RAVLT_Rec!N36</f>
        <v>3</v>
      </c>
      <c r="O36" t="e">
        <f>ABS(L36-RAVLT_Rec!$C$34)</f>
        <v>#REF!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RAVLT_Rec!M37</f>
        <v>-2.3411788599999999</v>
      </c>
      <c r="M37">
        <f>RAVLT_Rec!N37</f>
        <v>3.1</v>
      </c>
      <c r="O37" t="e">
        <f>ABS(L37-RAVLT_Rec!$C$34)</f>
        <v>#REF!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0</v>
      </c>
      <c r="E38" s="24"/>
      <c r="F38" s="24"/>
      <c r="G38" s="2" t="s">
        <v>21</v>
      </c>
      <c r="H38" s="2"/>
      <c r="I38" s="2">
        <f>IF(D41=1, G3+G21+G34, )</f>
        <v>15.35375800426714</v>
      </c>
      <c r="J38" s="5"/>
      <c r="L38">
        <f>RAVLT_Rec!M38</f>
        <v>-2.3155259199999998</v>
      </c>
      <c r="M38">
        <f>RAVLT_Rec!N38</f>
        <v>3.2</v>
      </c>
      <c r="O38" t="e">
        <f>ABS(L38-RAVLT_Rec!$C$34)</f>
        <v>#REF!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RAVLT_Rec!M39</f>
        <v>-2.2820020780000001</v>
      </c>
      <c r="M39">
        <f>RAVLT_Rec!N39</f>
        <v>3.3</v>
      </c>
      <c r="O39" t="e">
        <f>ABS(L39-RAVLT_Rec!$C$34)</f>
        <v>#REF!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1</v>
      </c>
      <c r="E40" s="24"/>
      <c r="F40" s="24"/>
      <c r="J40" s="5"/>
      <c r="L40">
        <f>RAVLT_Rec!M40</f>
        <v>-2.2194164440000002</v>
      </c>
      <c r="M40">
        <f>RAVLT_Rec!N40</f>
        <v>3.4</v>
      </c>
      <c r="O40" t="e">
        <f>ABS(L40-RAVLT_Rec!$C$34)</f>
        <v>#REF!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RAVLT_Rec!M41</f>
        <v>-2.1568308100000002</v>
      </c>
      <c r="M41">
        <f>RAVLT_Rec!N41</f>
        <v>3.5</v>
      </c>
      <c r="O41" t="e">
        <f>ABS(L41-RAVLT_Rec!$C$34)</f>
        <v>#REF!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RAVLT_Rec!M42</f>
        <v>-2.0952219759999999</v>
      </c>
      <c r="M42">
        <f>RAVLT_Rec!N42</f>
        <v>3.6</v>
      </c>
      <c r="O42" t="e">
        <f>ABS(L42-RAVLT_Rec!$C$34)</f>
        <v>#REF!</v>
      </c>
      <c r="P42">
        <f t="shared" si="0"/>
        <v>3.6</v>
      </c>
    </row>
    <row r="43" spans="1:16">
      <c r="A43" s="22"/>
      <c r="J43" s="5"/>
      <c r="L43">
        <f>RAVLT_Rec!M43</f>
        <v>-2.0346676420000001</v>
      </c>
      <c r="M43">
        <f>RAVLT_Rec!N43</f>
        <v>3.7</v>
      </c>
      <c r="O43" t="e">
        <f>ABS(L43-RAVLT_Rec!$C$34)</f>
        <v>#REF!</v>
      </c>
      <c r="P43">
        <f t="shared" si="0"/>
        <v>3.7</v>
      </c>
    </row>
    <row r="44" spans="1:16">
      <c r="J44" s="5"/>
      <c r="L44">
        <f>RAVLT_Rec!M44</f>
        <v>-1.974113308</v>
      </c>
      <c r="M44">
        <f>RAVLT_Rec!N44</f>
        <v>3.8</v>
      </c>
      <c r="O44" t="e">
        <f>ABS(L44-RAVLT_Rec!$C$34)</f>
        <v>#REF!</v>
      </c>
      <c r="P44">
        <f t="shared" si="0"/>
        <v>3.8</v>
      </c>
    </row>
    <row r="45" spans="1:16">
      <c r="J45" s="5"/>
      <c r="L45">
        <f>RAVLT_Rec!M45</f>
        <v>-1.9506278859999999</v>
      </c>
      <c r="M45">
        <f>RAVLT_Rec!N45</f>
        <v>3.9</v>
      </c>
      <c r="O45" t="e">
        <f>ABS(L45-RAVLT_Rec!$C$34)</f>
        <v>#REF!</v>
      </c>
      <c r="P45">
        <f t="shared" si="0"/>
        <v>3.9</v>
      </c>
    </row>
    <row r="46" spans="1:16">
      <c r="J46" s="5"/>
      <c r="L46">
        <f>RAVLT_Rec!M46</f>
        <v>-1.93958896</v>
      </c>
      <c r="M46">
        <f>RAVLT_Rec!N46</f>
        <v>4</v>
      </c>
      <c r="O46" t="e">
        <f>ABS(L46-RAVLT_Rec!$C$34)</f>
        <v>#REF!</v>
      </c>
      <c r="P46">
        <f t="shared" si="0"/>
        <v>4</v>
      </c>
    </row>
    <row r="47" spans="1:16">
      <c r="J47" s="5"/>
      <c r="L47">
        <f>RAVLT_Rec!M47</f>
        <v>-1.9287051040000001</v>
      </c>
      <c r="M47">
        <f>RAVLT_Rec!N47</f>
        <v>4.0999999999999996</v>
      </c>
      <c r="O47" t="e">
        <f>ABS(L47-RAVLT_Rec!$C$34)</f>
        <v>#REF!</v>
      </c>
      <c r="P47">
        <f t="shared" si="0"/>
        <v>4.0999999999999996</v>
      </c>
    </row>
    <row r="48" spans="1:16">
      <c r="J48" s="5"/>
      <c r="L48">
        <f>RAVLT_Rec!M48</f>
        <v>-1.927125448</v>
      </c>
      <c r="M48">
        <f>RAVLT_Rec!N48</f>
        <v>4.2</v>
      </c>
      <c r="O48" t="e">
        <f>ABS(L48-RAVLT_Rec!$C$34)</f>
        <v>#REF!</v>
      </c>
      <c r="P48">
        <f t="shared" si="0"/>
        <v>4.2</v>
      </c>
    </row>
    <row r="49" spans="10:16">
      <c r="J49" s="5"/>
      <c r="L49">
        <f>RAVLT_Rec!M49</f>
        <v>-1.9255457920000001</v>
      </c>
      <c r="M49">
        <f>RAVLT_Rec!N49</f>
        <v>4.3</v>
      </c>
      <c r="O49" t="e">
        <f>ABS(L49-RAVLT_Rec!$C$34)</f>
        <v>#REF!</v>
      </c>
      <c r="P49">
        <f t="shared" si="0"/>
        <v>4.3</v>
      </c>
    </row>
    <row r="50" spans="10:16">
      <c r="J50" s="5"/>
      <c r="L50">
        <f>RAVLT_Rec!M50</f>
        <v>-1.924391808</v>
      </c>
      <c r="M50">
        <f>RAVLT_Rec!N50</f>
        <v>4.4000000000000004</v>
      </c>
      <c r="O50" t="e">
        <f>ABS(L50-RAVLT_Rec!$C$34)</f>
        <v>#REF!</v>
      </c>
      <c r="P50">
        <f t="shared" si="0"/>
        <v>4.4000000000000004</v>
      </c>
    </row>
    <row r="51" spans="10:16">
      <c r="J51" s="5"/>
      <c r="L51">
        <f>RAVLT_Rec!M51</f>
        <v>-1.9243101899999999</v>
      </c>
      <c r="M51">
        <f>RAVLT_Rec!N51</f>
        <v>4.5</v>
      </c>
      <c r="O51" t="e">
        <f>ABS(L51-RAVLT_Rec!$C$34)</f>
        <v>#REF!</v>
      </c>
      <c r="P51">
        <f t="shared" si="0"/>
        <v>4.5</v>
      </c>
    </row>
    <row r="52" spans="10:16">
      <c r="J52" s="5"/>
      <c r="L52">
        <f>RAVLT_Rec!M52</f>
        <v>-1.9242285720000001</v>
      </c>
      <c r="M52">
        <f>RAVLT_Rec!N52</f>
        <v>4.5999999999999996</v>
      </c>
      <c r="O52" t="e">
        <f>ABS(L52-RAVLT_Rec!$C$34)</f>
        <v>#REF!</v>
      </c>
      <c r="P52">
        <f t="shared" si="0"/>
        <v>4.5999999999999996</v>
      </c>
    </row>
    <row r="53" spans="10:16">
      <c r="J53" s="5"/>
      <c r="L53">
        <f>RAVLT_Rec!M53</f>
        <v>-1.923711038</v>
      </c>
      <c r="M53">
        <f>RAVLT_Rec!N53</f>
        <v>4.7</v>
      </c>
      <c r="O53" t="e">
        <f>ABS(L53-RAVLT_Rec!$C$34)</f>
        <v>#REF!</v>
      </c>
      <c r="P53">
        <f t="shared" si="0"/>
        <v>4.7</v>
      </c>
    </row>
    <row r="54" spans="10:16">
      <c r="J54" s="5"/>
      <c r="L54">
        <f>RAVLT_Rec!M54</f>
        <v>-1.9228395920000001</v>
      </c>
      <c r="M54">
        <f>RAVLT_Rec!N54</f>
        <v>4.8</v>
      </c>
      <c r="O54" t="e">
        <f>ABS(L54-RAVLT_Rec!$C$34)</f>
        <v>#REF!</v>
      </c>
      <c r="P54">
        <f t="shared" si="0"/>
        <v>4.8</v>
      </c>
    </row>
    <row r="55" spans="10:16">
      <c r="J55" s="5"/>
      <c r="L55">
        <f>RAVLT_Rec!M55</f>
        <v>-1.921968146</v>
      </c>
      <c r="M55">
        <f>RAVLT_Rec!N55</f>
        <v>4.9000000000000004</v>
      </c>
      <c r="O55" t="e">
        <f>ABS(L55-RAVLT_Rec!$C$34)</f>
        <v>#REF!</v>
      </c>
      <c r="P55">
        <f t="shared" si="0"/>
        <v>4.9000000000000004</v>
      </c>
    </row>
    <row r="56" spans="10:16">
      <c r="J56" s="5"/>
      <c r="L56">
        <f>RAVLT_Rec!M56</f>
        <v>-1.9049777000000001</v>
      </c>
      <c r="M56">
        <f>RAVLT_Rec!N56</f>
        <v>5</v>
      </c>
      <c r="O56" t="e">
        <f>ABS(L56-RAVLT_Rec!$C$34)</f>
        <v>#REF!</v>
      </c>
      <c r="P56">
        <f t="shared" si="0"/>
        <v>5</v>
      </c>
    </row>
    <row r="57" spans="10:16">
      <c r="J57" s="5"/>
      <c r="L57">
        <f>RAVLT_Rec!M57</f>
        <v>-1.8844410739999999</v>
      </c>
      <c r="M57">
        <f>RAVLT_Rec!N57</f>
        <v>5.0999999999999996</v>
      </c>
      <c r="O57" t="e">
        <f>ABS(L57-RAVLT_Rec!$C$34)</f>
        <v>#REF!</v>
      </c>
      <c r="P57">
        <f t="shared" si="0"/>
        <v>5.0999999999999996</v>
      </c>
    </row>
    <row r="58" spans="10:16">
      <c r="J58" s="5"/>
      <c r="L58">
        <f>RAVLT_Rec!M58</f>
        <v>-1.8644885440000001</v>
      </c>
      <c r="M58">
        <f>RAVLT_Rec!N58</f>
        <v>5.2</v>
      </c>
      <c r="O58" t="e">
        <f>ABS(L58-RAVLT_Rec!$C$34)</f>
        <v>#REF!</v>
      </c>
      <c r="P58">
        <f t="shared" si="0"/>
        <v>5.2</v>
      </c>
    </row>
    <row r="59" spans="10:16">
      <c r="J59" s="5"/>
      <c r="L59">
        <f>RAVLT_Rec!M59</f>
        <v>-1.8506325159999999</v>
      </c>
      <c r="M59">
        <f>RAVLT_Rec!N59</f>
        <v>5.3</v>
      </c>
      <c r="O59" t="e">
        <f>ABS(L59-RAVLT_Rec!$C$34)</f>
        <v>#REF!</v>
      </c>
      <c r="P59">
        <f t="shared" si="0"/>
        <v>5.3</v>
      </c>
    </row>
    <row r="60" spans="10:16">
      <c r="J60" s="5"/>
      <c r="L60">
        <f>RAVLT_Rec!M60</f>
        <v>-1.8367764879999999</v>
      </c>
      <c r="M60">
        <f>RAVLT_Rec!N60</f>
        <v>5.4</v>
      </c>
      <c r="O60" t="e">
        <f>ABS(L60-RAVLT_Rec!$C$34)</f>
        <v>#REF!</v>
      </c>
      <c r="P60">
        <f t="shared" si="0"/>
        <v>5.4</v>
      </c>
    </row>
    <row r="61" spans="10:16">
      <c r="J61" s="5"/>
      <c r="L61">
        <f>RAVLT_Rec!M61</f>
        <v>-1.8215513000000001</v>
      </c>
      <c r="M61">
        <f>RAVLT_Rec!N61</f>
        <v>5.5</v>
      </c>
      <c r="O61" t="e">
        <f>ABS(L61-RAVLT_Rec!$C$34)</f>
        <v>#REF!</v>
      </c>
      <c r="P61">
        <f t="shared" si="0"/>
        <v>5.5</v>
      </c>
    </row>
    <row r="62" spans="10:16">
      <c r="J62" s="5"/>
      <c r="L62">
        <f>RAVLT_Rec!M62</f>
        <v>-1.80384056</v>
      </c>
      <c r="M62">
        <f>RAVLT_Rec!N62</f>
        <v>5.6</v>
      </c>
      <c r="O62" t="e">
        <f>ABS(L62-RAVLT_Rec!$C$34)</f>
        <v>#REF!</v>
      </c>
      <c r="P62">
        <f t="shared" si="0"/>
        <v>5.6</v>
      </c>
    </row>
    <row r="63" spans="10:16">
      <c r="J63" s="5"/>
      <c r="L63">
        <f>RAVLT_Rec!M63</f>
        <v>-1.78612982</v>
      </c>
      <c r="M63">
        <f>RAVLT_Rec!N63</f>
        <v>5.7</v>
      </c>
      <c r="O63" t="e">
        <f>ABS(L63-RAVLT_Rec!$C$34)</f>
        <v>#REF!</v>
      </c>
      <c r="P63">
        <f t="shared" si="0"/>
        <v>5.7</v>
      </c>
    </row>
    <row r="64" spans="10:16">
      <c r="J64" s="5"/>
      <c r="L64">
        <f>RAVLT_Rec!M64</f>
        <v>-1.779452</v>
      </c>
      <c r="M64">
        <f>RAVLT_Rec!N64</f>
        <v>5.8</v>
      </c>
      <c r="O64" t="e">
        <f>ABS(L64-RAVLT_Rec!$C$34)</f>
        <v>#REF!</v>
      </c>
      <c r="P64">
        <f t="shared" si="0"/>
        <v>5.8</v>
      </c>
    </row>
    <row r="65" spans="10:16">
      <c r="J65" s="5"/>
      <c r="L65">
        <f>RAVLT_Rec!M65</f>
        <v>-1.779452</v>
      </c>
      <c r="M65">
        <f>RAVLT_Rec!N65</f>
        <v>5.9</v>
      </c>
      <c r="O65" t="e">
        <f>ABS(L65-RAVLT_Rec!$C$34)</f>
        <v>#REF!</v>
      </c>
      <c r="P65">
        <f t="shared" si="0"/>
        <v>5.9</v>
      </c>
    </row>
    <row r="66" spans="10:16">
      <c r="J66" s="5"/>
      <c r="L66">
        <f>RAVLT_Rec!M66</f>
        <v>-1.779452</v>
      </c>
      <c r="M66">
        <f>RAVLT_Rec!N66</f>
        <v>6</v>
      </c>
      <c r="O66" t="e">
        <f>ABS(L66-RAVLT_Rec!$C$34)</f>
        <v>#REF!</v>
      </c>
      <c r="P66">
        <f t="shared" si="0"/>
        <v>6</v>
      </c>
    </row>
    <row r="67" spans="10:16">
      <c r="J67" s="5"/>
      <c r="L67">
        <f>RAVLT_Rec!M67</f>
        <v>-1.7430902859999999</v>
      </c>
      <c r="M67">
        <f>RAVLT_Rec!N67</f>
        <v>6.1</v>
      </c>
      <c r="O67" t="e">
        <f>ABS(L67-RAVLT_Rec!$C$34)</f>
        <v>#REF!</v>
      </c>
      <c r="P67">
        <f t="shared" si="0"/>
        <v>6.1</v>
      </c>
    </row>
    <row r="68" spans="10:16">
      <c r="J68" s="5"/>
      <c r="L68">
        <f>RAVLT_Rec!M68</f>
        <v>-1.7022670120000001</v>
      </c>
      <c r="M68">
        <f>RAVLT_Rec!N68</f>
        <v>6.2</v>
      </c>
      <c r="O68" t="e">
        <f>ABS(L68-RAVLT_Rec!$C$34)</f>
        <v>#REF!</v>
      </c>
      <c r="P68">
        <f t="shared" si="0"/>
        <v>6.2</v>
      </c>
    </row>
    <row r="69" spans="10:16">
      <c r="J69" s="5"/>
      <c r="L69">
        <f>RAVLT_Rec!M69</f>
        <v>-1.6670591239999999</v>
      </c>
      <c r="M69">
        <f>RAVLT_Rec!N69</f>
        <v>6.3</v>
      </c>
      <c r="O69" t="e">
        <f>ABS(L69-RAVLT_Rec!$C$34)</f>
        <v>#REF!</v>
      </c>
      <c r="P69">
        <f t="shared" si="0"/>
        <v>6.3</v>
      </c>
    </row>
    <row r="70" spans="10:16">
      <c r="J70" s="5"/>
      <c r="L70">
        <f>RAVLT_Rec!M70</f>
        <v>-1.661670872</v>
      </c>
      <c r="M70">
        <f>RAVLT_Rec!N70</f>
        <v>6.4</v>
      </c>
      <c r="O70" t="e">
        <f>ABS(L70-RAVLT_Rec!$C$34)</f>
        <v>#REF!</v>
      </c>
      <c r="P70">
        <f t="shared" si="0"/>
        <v>6.4</v>
      </c>
    </row>
    <row r="71" spans="10:16">
      <c r="J71" s="5"/>
      <c r="L71">
        <f>RAVLT_Rec!M71</f>
        <v>-1.65628262</v>
      </c>
      <c r="M71">
        <f>RAVLT_Rec!N71</f>
        <v>6.5</v>
      </c>
      <c r="O71" t="e">
        <f>ABS(L71-RAVLT_Rec!$C$34)</f>
        <v>#REF!</v>
      </c>
      <c r="P71">
        <f t="shared" ref="P71:P134" si="2">M71</f>
        <v>6.5</v>
      </c>
    </row>
    <row r="72" spans="10:16">
      <c r="J72" s="5"/>
      <c r="L72">
        <f>RAVLT_Rec!M72</f>
        <v>-1.6414735279999999</v>
      </c>
      <c r="M72">
        <f>RAVLT_Rec!N72</f>
        <v>6.6</v>
      </c>
      <c r="O72" t="e">
        <f>ABS(L72-RAVLT_Rec!$C$34)</f>
        <v>#REF!</v>
      </c>
      <c r="P72">
        <f t="shared" si="2"/>
        <v>6.6</v>
      </c>
    </row>
    <row r="73" spans="10:16">
      <c r="J73" s="5"/>
      <c r="L73">
        <f>RAVLT_Rec!M73</f>
        <v>-1.613982536</v>
      </c>
      <c r="M73">
        <f>RAVLT_Rec!N73</f>
        <v>6.7</v>
      </c>
      <c r="O73" t="e">
        <f>ABS(L73-RAVLT_Rec!$C$34)</f>
        <v>#REF!</v>
      </c>
      <c r="P73">
        <f t="shared" si="2"/>
        <v>6.7</v>
      </c>
    </row>
    <row r="74" spans="10:16">
      <c r="J74" s="5"/>
      <c r="L74">
        <f>RAVLT_Rec!M74</f>
        <v>-1.586491544</v>
      </c>
      <c r="M74">
        <f>RAVLT_Rec!N74</f>
        <v>6.8</v>
      </c>
      <c r="O74" t="e">
        <f>ABS(L74-RAVLT_Rec!$C$34)</f>
        <v>#REF!</v>
      </c>
      <c r="P74">
        <f t="shared" si="2"/>
        <v>6.8</v>
      </c>
    </row>
    <row r="75" spans="10:16">
      <c r="J75" s="5"/>
      <c r="L75">
        <f>RAVLT_Rec!M75</f>
        <v>-1.5712674820000001</v>
      </c>
      <c r="M75">
        <f>RAVLT_Rec!N75</f>
        <v>6.9</v>
      </c>
      <c r="O75" t="e">
        <f>ABS(L75-RAVLT_Rec!$C$34)</f>
        <v>#REF!</v>
      </c>
      <c r="P75">
        <f t="shared" si="2"/>
        <v>6.9</v>
      </c>
    </row>
    <row r="76" spans="10:16">
      <c r="J76" s="5"/>
      <c r="L76">
        <f>RAVLT_Rec!M76</f>
        <v>-1.5614524599999999</v>
      </c>
      <c r="M76">
        <f>RAVLT_Rec!N76</f>
        <v>7</v>
      </c>
      <c r="O76" t="e">
        <f>ABS(L76-RAVLT_Rec!$C$34)</f>
        <v>#REF!</v>
      </c>
      <c r="P76">
        <f t="shared" si="2"/>
        <v>7</v>
      </c>
    </row>
    <row r="77" spans="10:16">
      <c r="J77" s="5"/>
      <c r="L77">
        <f>RAVLT_Rec!M77</f>
        <v>-1.551637438</v>
      </c>
      <c r="M77">
        <f>RAVLT_Rec!N77</f>
        <v>7.1</v>
      </c>
      <c r="O77" t="e">
        <f>ABS(L77-RAVLT_Rec!$C$34)</f>
        <v>#REF!</v>
      </c>
      <c r="P77">
        <f t="shared" si="2"/>
        <v>7.1</v>
      </c>
    </row>
    <row r="78" spans="10:16">
      <c r="J78" s="5"/>
      <c r="L78">
        <f>RAVLT_Rec!M78</f>
        <v>-1.53237544</v>
      </c>
      <c r="M78">
        <f>RAVLT_Rec!N78</f>
        <v>7.2</v>
      </c>
      <c r="O78" t="e">
        <f>ABS(L78-RAVLT_Rec!$C$34)</f>
        <v>#REF!</v>
      </c>
      <c r="P78">
        <f t="shared" si="2"/>
        <v>7.2</v>
      </c>
    </row>
    <row r="79" spans="10:16">
      <c r="J79" s="5"/>
      <c r="L79">
        <f>RAVLT_Rec!M79</f>
        <v>-1.5127377099999999</v>
      </c>
      <c r="M79">
        <f>RAVLT_Rec!N79</f>
        <v>7.3</v>
      </c>
      <c r="O79" t="e">
        <f>ABS(L79-RAVLT_Rec!$C$34)</f>
        <v>#REF!</v>
      </c>
      <c r="P79">
        <f t="shared" si="2"/>
        <v>7.3</v>
      </c>
    </row>
    <row r="80" spans="10:16">
      <c r="J80" s="5"/>
      <c r="L80">
        <f>RAVLT_Rec!M80</f>
        <v>-1.4968487319999999</v>
      </c>
      <c r="M80">
        <f>RAVLT_Rec!N80</f>
        <v>7.4</v>
      </c>
      <c r="O80" t="e">
        <f>ABS(L80-RAVLT_Rec!$C$34)</f>
        <v>#REF!</v>
      </c>
      <c r="P80">
        <f t="shared" si="2"/>
        <v>7.4</v>
      </c>
    </row>
    <row r="81" spans="10:16">
      <c r="J81" s="5"/>
      <c r="L81">
        <f>RAVLT_Rec!M81</f>
        <v>-1.4935448499999999</v>
      </c>
      <c r="M81">
        <f>RAVLT_Rec!N81</f>
        <v>7.5</v>
      </c>
      <c r="O81" t="e">
        <f>ABS(L81-RAVLT_Rec!$C$34)</f>
        <v>#REF!</v>
      </c>
      <c r="P81">
        <f t="shared" si="2"/>
        <v>7.5</v>
      </c>
    </row>
    <row r="82" spans="10:16">
      <c r="J82" s="5"/>
      <c r="L82">
        <f>RAVLT_Rec!M82</f>
        <v>-1.4902409679999999</v>
      </c>
      <c r="M82">
        <f>RAVLT_Rec!N82</f>
        <v>7.6</v>
      </c>
      <c r="O82" t="e">
        <f>ABS(L82-RAVLT_Rec!$C$34)</f>
        <v>#REF!</v>
      </c>
      <c r="P82">
        <f t="shared" si="2"/>
        <v>7.6</v>
      </c>
    </row>
    <row r="83" spans="10:16">
      <c r="J83" s="5"/>
      <c r="L83">
        <f>RAVLT_Rec!M83</f>
        <v>-1.4866984839999999</v>
      </c>
      <c r="M83">
        <f>RAVLT_Rec!N83</f>
        <v>7.7</v>
      </c>
      <c r="O83" t="e">
        <f>ABS(L83-RAVLT_Rec!$C$34)</f>
        <v>#REF!</v>
      </c>
      <c r="P83">
        <f t="shared" si="2"/>
        <v>7.7</v>
      </c>
    </row>
    <row r="84" spans="10:16">
      <c r="J84" s="5"/>
      <c r="L84">
        <f>RAVLT_Rec!M84</f>
        <v>-1.4829147760000001</v>
      </c>
      <c r="M84">
        <f>RAVLT_Rec!N84</f>
        <v>7.8</v>
      </c>
      <c r="O84" t="e">
        <f>ABS(L84-RAVLT_Rec!$C$34)</f>
        <v>#REF!</v>
      </c>
      <c r="P84">
        <f t="shared" si="2"/>
        <v>7.8</v>
      </c>
    </row>
    <row r="85" spans="10:16">
      <c r="J85" s="5"/>
      <c r="L85">
        <f>RAVLT_Rec!M85</f>
        <v>-1.479131068</v>
      </c>
      <c r="M85">
        <f>RAVLT_Rec!N85</f>
        <v>7.9</v>
      </c>
      <c r="O85" t="e">
        <f>ABS(L85-RAVLT_Rec!$C$34)</f>
        <v>#REF!</v>
      </c>
      <c r="P85">
        <f t="shared" si="2"/>
        <v>7.9</v>
      </c>
    </row>
    <row r="86" spans="10:16">
      <c r="J86" s="5"/>
      <c r="L86">
        <f>RAVLT_Rec!M86</f>
        <v>-1.4660026399999999</v>
      </c>
      <c r="M86">
        <f>RAVLT_Rec!N86</f>
        <v>8</v>
      </c>
      <c r="O86" t="e">
        <f>ABS(L86-RAVLT_Rec!$C$34)</f>
        <v>#REF!</v>
      </c>
      <c r="P86">
        <f t="shared" si="2"/>
        <v>8</v>
      </c>
    </row>
    <row r="87" spans="10:16">
      <c r="J87" s="5"/>
      <c r="L87">
        <f>RAVLT_Rec!M87</f>
        <v>-1.450004048</v>
      </c>
      <c r="M87">
        <f>RAVLT_Rec!N87</f>
        <v>8.1</v>
      </c>
      <c r="O87" t="e">
        <f>ABS(L87-RAVLT_Rec!$C$34)</f>
        <v>#REF!</v>
      </c>
      <c r="P87">
        <f t="shared" si="2"/>
        <v>8.1</v>
      </c>
    </row>
    <row r="88" spans="10:16">
      <c r="J88" s="5"/>
      <c r="L88">
        <f>RAVLT_Rec!M88</f>
        <v>-1.434351092</v>
      </c>
      <c r="M88">
        <f>RAVLT_Rec!N88</f>
        <v>8.1999999999999993</v>
      </c>
      <c r="O88" t="e">
        <f>ABS(L88-RAVLT_Rec!$C$34)</f>
        <v>#REF!</v>
      </c>
      <c r="P88">
        <f t="shared" si="2"/>
        <v>8.1999999999999993</v>
      </c>
    </row>
    <row r="89" spans="10:16">
      <c r="J89" s="5"/>
      <c r="L89">
        <f>RAVLT_Rec!M89</f>
        <v>-1.428894398</v>
      </c>
      <c r="M89">
        <f>RAVLT_Rec!N89</f>
        <v>8.3000000000000007</v>
      </c>
      <c r="O89" t="e">
        <f>ABS(L89-RAVLT_Rec!$C$34)</f>
        <v>#REF!</v>
      </c>
      <c r="P89">
        <f t="shared" si="2"/>
        <v>8.3000000000000007</v>
      </c>
    </row>
    <row r="90" spans="10:16">
      <c r="J90" s="5"/>
      <c r="L90">
        <f>RAVLT_Rec!M90</f>
        <v>-1.4234377039999999</v>
      </c>
      <c r="M90">
        <f>RAVLT_Rec!N90</f>
        <v>8.4</v>
      </c>
      <c r="O90" t="e">
        <f>ABS(L90-RAVLT_Rec!$C$34)</f>
        <v>#REF!</v>
      </c>
      <c r="P90">
        <f t="shared" si="2"/>
        <v>8.4</v>
      </c>
    </row>
    <row r="91" spans="10:16">
      <c r="J91" s="5"/>
      <c r="L91">
        <f>RAVLT_Rec!M91</f>
        <v>-1.419621</v>
      </c>
      <c r="M91">
        <f>RAVLT_Rec!N91</f>
        <v>8.5</v>
      </c>
      <c r="O91" t="e">
        <f>ABS(L91-RAVLT_Rec!$C$34)</f>
        <v>#REF!</v>
      </c>
      <c r="P91">
        <f t="shared" si="2"/>
        <v>8.5</v>
      </c>
    </row>
    <row r="92" spans="10:16">
      <c r="J92" s="5"/>
      <c r="L92">
        <f>RAVLT_Rec!M92</f>
        <v>-1.419621</v>
      </c>
      <c r="M92">
        <f>RAVLT_Rec!N92</f>
        <v>8.6</v>
      </c>
      <c r="O92" t="e">
        <f>ABS(L92-RAVLT_Rec!$C$34)</f>
        <v>#REF!</v>
      </c>
      <c r="P92">
        <f t="shared" si="2"/>
        <v>8.6</v>
      </c>
    </row>
    <row r="93" spans="10:16">
      <c r="J93" s="5"/>
      <c r="L93">
        <f>RAVLT_Rec!M93</f>
        <v>-1.419621</v>
      </c>
      <c r="M93">
        <f>RAVLT_Rec!N93</f>
        <v>8.6999999999999993</v>
      </c>
      <c r="O93" t="e">
        <f>ABS(L93-RAVLT_Rec!$C$34)</f>
        <v>#REF!</v>
      </c>
      <c r="P93">
        <f t="shared" si="2"/>
        <v>8.6999999999999993</v>
      </c>
    </row>
    <row r="94" spans="10:16">
      <c r="J94" s="5"/>
      <c r="L94">
        <f>RAVLT_Rec!M94</f>
        <v>-1.419621</v>
      </c>
      <c r="M94">
        <f>RAVLT_Rec!N94</f>
        <v>8.8000000000000007</v>
      </c>
      <c r="O94" t="e">
        <f>ABS(L94-RAVLT_Rec!$C$34)</f>
        <v>#REF!</v>
      </c>
      <c r="P94">
        <f t="shared" si="2"/>
        <v>8.8000000000000007</v>
      </c>
    </row>
    <row r="95" spans="10:16">
      <c r="J95" s="5"/>
      <c r="L95">
        <f>RAVLT_Rec!M95</f>
        <v>-1.419621</v>
      </c>
      <c r="M95">
        <f>RAVLT_Rec!N95</f>
        <v>8.9</v>
      </c>
      <c r="O95" t="e">
        <f>ABS(L95-RAVLT_Rec!$C$34)</f>
        <v>#REF!</v>
      </c>
      <c r="P95">
        <f t="shared" si="2"/>
        <v>8.9</v>
      </c>
    </row>
    <row r="96" spans="10:16">
      <c r="J96" s="5"/>
      <c r="L96">
        <f>RAVLT_Rec!M96</f>
        <v>-1.419621</v>
      </c>
      <c r="M96">
        <f>RAVLT_Rec!N96</f>
        <v>9</v>
      </c>
      <c r="O96" t="e">
        <f>ABS(L96-RAVLT_Rec!$C$34)</f>
        <v>#REF!</v>
      </c>
      <c r="P96">
        <f t="shared" si="2"/>
        <v>9</v>
      </c>
    </row>
    <row r="97" spans="10:16">
      <c r="J97" s="5"/>
      <c r="L97">
        <f>RAVLT_Rec!M97</f>
        <v>-1.419621</v>
      </c>
      <c r="M97">
        <f>RAVLT_Rec!N97</f>
        <v>9.1</v>
      </c>
      <c r="O97" t="e">
        <f>ABS(L97-RAVLT_Rec!$C$34)</f>
        <v>#REF!</v>
      </c>
      <c r="P97">
        <f t="shared" si="2"/>
        <v>9.1</v>
      </c>
    </row>
    <row r="98" spans="10:16">
      <c r="J98" s="5"/>
      <c r="L98">
        <f>RAVLT_Rec!M98</f>
        <v>-1.419621</v>
      </c>
      <c r="M98">
        <f>RAVLT_Rec!N98</f>
        <v>9.1999999999999993</v>
      </c>
      <c r="O98" t="e">
        <f>ABS(L98-RAVLT_Rec!$C$34)</f>
        <v>#REF!</v>
      </c>
      <c r="P98">
        <f t="shared" si="2"/>
        <v>9.1999999999999993</v>
      </c>
    </row>
    <row r="99" spans="10:16">
      <c r="J99" s="5"/>
      <c r="L99">
        <f>RAVLT_Rec!M99</f>
        <v>-1.4177923640000001</v>
      </c>
      <c r="M99">
        <f>RAVLT_Rec!N99</f>
        <v>9.3000000000000007</v>
      </c>
      <c r="O99" t="e">
        <f>ABS(L99-RAVLT_Rec!$C$34)</f>
        <v>#REF!</v>
      </c>
      <c r="P99">
        <f t="shared" si="2"/>
        <v>9.3000000000000007</v>
      </c>
    </row>
    <row r="100" spans="10:16">
      <c r="J100" s="5"/>
      <c r="L100">
        <f>RAVLT_Rec!M100</f>
        <v>-1.4001797119999999</v>
      </c>
      <c r="M100">
        <f>RAVLT_Rec!N100</f>
        <v>9.4</v>
      </c>
      <c r="O100" t="e">
        <f>ABS(L100-RAVLT_Rec!$C$34)</f>
        <v>#REF!</v>
      </c>
      <c r="P100">
        <f t="shared" si="2"/>
        <v>9.4</v>
      </c>
    </row>
    <row r="101" spans="10:16">
      <c r="J101" s="5"/>
      <c r="L101">
        <f>RAVLT_Rec!M101</f>
        <v>-1.38256706</v>
      </c>
      <c r="M101">
        <f>RAVLT_Rec!N101</f>
        <v>9.5</v>
      </c>
      <c r="O101" t="e">
        <f>ABS(L101-RAVLT_Rec!$C$34)</f>
        <v>#REF!</v>
      </c>
      <c r="P101">
        <f t="shared" si="2"/>
        <v>9.5</v>
      </c>
    </row>
    <row r="102" spans="10:16">
      <c r="J102" s="5"/>
      <c r="L102">
        <f>RAVLT_Rec!M102</f>
        <v>-1.3667592639999999</v>
      </c>
      <c r="M102">
        <f>RAVLT_Rec!N102</f>
        <v>9.6</v>
      </c>
      <c r="O102" t="e">
        <f>ABS(L102-RAVLT_Rec!$C$34)</f>
        <v>#REF!</v>
      </c>
      <c r="P102">
        <f t="shared" si="2"/>
        <v>9.6</v>
      </c>
    </row>
    <row r="103" spans="10:16">
      <c r="J103" s="5"/>
      <c r="L103">
        <f>RAVLT_Rec!M103</f>
        <v>-1.3540037979999999</v>
      </c>
      <c r="M103">
        <f>RAVLT_Rec!N103</f>
        <v>9.6999999999999993</v>
      </c>
      <c r="O103" t="e">
        <f>ABS(L103-RAVLT_Rec!$C$34)</f>
        <v>#REF!</v>
      </c>
      <c r="P103">
        <f t="shared" si="2"/>
        <v>9.6999999999999993</v>
      </c>
    </row>
    <row r="104" spans="10:16">
      <c r="J104" s="5"/>
      <c r="L104">
        <f>RAVLT_Rec!M104</f>
        <v>-1.3412483319999999</v>
      </c>
      <c r="M104">
        <f>RAVLT_Rec!N104</f>
        <v>9.8000000000000007</v>
      </c>
      <c r="O104" t="e">
        <f>ABS(L104-RAVLT_Rec!$C$34)</f>
        <v>#REF!</v>
      </c>
      <c r="P104">
        <f t="shared" si="2"/>
        <v>9.8000000000000007</v>
      </c>
    </row>
    <row r="105" spans="10:16">
      <c r="J105" s="5"/>
      <c r="L105">
        <f>RAVLT_Rec!M105</f>
        <v>-1.3366480000000001</v>
      </c>
      <c r="M105">
        <f>RAVLT_Rec!N105</f>
        <v>9.9</v>
      </c>
      <c r="O105" t="e">
        <f>ABS(L105-RAVLT_Rec!$C$34)</f>
        <v>#REF!</v>
      </c>
      <c r="P105">
        <f t="shared" si="2"/>
        <v>9.9</v>
      </c>
    </row>
    <row r="106" spans="10:16">
      <c r="J106" s="5"/>
      <c r="L106">
        <f>RAVLT_Rec!M106</f>
        <v>-1.3366480000000001</v>
      </c>
      <c r="M106">
        <f>RAVLT_Rec!N106</f>
        <v>10</v>
      </c>
      <c r="O106" t="e">
        <f>ABS(L106-RAVLT_Rec!$C$34)</f>
        <v>#REF!</v>
      </c>
      <c r="P106">
        <f t="shared" si="2"/>
        <v>10</v>
      </c>
    </row>
    <row r="107" spans="10:16">
      <c r="J107" s="5"/>
      <c r="L107">
        <f>RAVLT_Rec!M107</f>
        <v>-1.3366480000000001</v>
      </c>
      <c r="M107">
        <f>RAVLT_Rec!N107</f>
        <v>10.1</v>
      </c>
      <c r="O107" t="e">
        <f>ABS(L107-RAVLT_Rec!$C$34)</f>
        <v>#REF!</v>
      </c>
      <c r="P107">
        <f t="shared" si="2"/>
        <v>10.1</v>
      </c>
    </row>
    <row r="108" spans="10:16">
      <c r="J108" s="5"/>
      <c r="L108">
        <f>RAVLT_Rec!M108</f>
        <v>-1.3341838960000001</v>
      </c>
      <c r="M108">
        <f>RAVLT_Rec!N108</f>
        <v>10.199999999999999</v>
      </c>
      <c r="O108" t="e">
        <f>ABS(L108-RAVLT_Rec!$C$34)</f>
        <v>#REF!</v>
      </c>
      <c r="P108">
        <f t="shared" si="2"/>
        <v>10.199999999999999</v>
      </c>
    </row>
    <row r="109" spans="10:16">
      <c r="J109" s="5"/>
      <c r="L109">
        <f>RAVLT_Rec!M109</f>
        <v>-1.3314674440000001</v>
      </c>
      <c r="M109">
        <f>RAVLT_Rec!N109</f>
        <v>10.3</v>
      </c>
      <c r="O109" t="e">
        <f>ABS(L109-RAVLT_Rec!$C$34)</f>
        <v>#REF!</v>
      </c>
      <c r="P109">
        <f t="shared" si="2"/>
        <v>10.3</v>
      </c>
    </row>
    <row r="110" spans="10:16">
      <c r="J110" s="5"/>
      <c r="L110">
        <f>RAVLT_Rec!M110</f>
        <v>-1.32384904</v>
      </c>
      <c r="M110">
        <f>RAVLT_Rec!N110</f>
        <v>10.4</v>
      </c>
      <c r="O110" t="e">
        <f>ABS(L110-RAVLT_Rec!$C$34)</f>
        <v>#REF!</v>
      </c>
      <c r="P110">
        <f t="shared" si="2"/>
        <v>10.4</v>
      </c>
    </row>
    <row r="111" spans="10:16">
      <c r="J111" s="5"/>
      <c r="L111">
        <f>RAVLT_Rec!M111</f>
        <v>-1.29309955</v>
      </c>
      <c r="M111">
        <f>RAVLT_Rec!N111</f>
        <v>10.5</v>
      </c>
      <c r="O111" t="e">
        <f>ABS(L111-RAVLT_Rec!$C$34)</f>
        <v>#REF!</v>
      </c>
      <c r="P111">
        <f t="shared" si="2"/>
        <v>10.5</v>
      </c>
    </row>
    <row r="112" spans="10:16">
      <c r="J112" s="5"/>
      <c r="L112">
        <f>RAVLT_Rec!M112</f>
        <v>-1.2623500599999999</v>
      </c>
      <c r="M112">
        <f>RAVLT_Rec!N112</f>
        <v>10.6</v>
      </c>
      <c r="O112" t="e">
        <f>ABS(L112-RAVLT_Rec!$C$34)</f>
        <v>#REF!</v>
      </c>
      <c r="P112">
        <f t="shared" si="2"/>
        <v>10.6</v>
      </c>
    </row>
    <row r="113" spans="10:16">
      <c r="J113" s="5"/>
      <c r="L113">
        <f>RAVLT_Rec!M113</f>
        <v>-1.245114286</v>
      </c>
      <c r="M113">
        <f>RAVLT_Rec!N113</f>
        <v>10.7</v>
      </c>
      <c r="O113" t="e">
        <f>ABS(L113-RAVLT_Rec!$C$34)</f>
        <v>#REF!</v>
      </c>
      <c r="P113">
        <f t="shared" si="2"/>
        <v>10.7</v>
      </c>
    </row>
    <row r="114" spans="10:16">
      <c r="J114" s="5"/>
      <c r="L114">
        <f>RAVLT_Rec!M114</f>
        <v>-1.2448957839999999</v>
      </c>
      <c r="M114">
        <f>RAVLT_Rec!N114</f>
        <v>10.8</v>
      </c>
      <c r="O114" t="e">
        <f>ABS(L114-RAVLT_Rec!$C$34)</f>
        <v>#REF!</v>
      </c>
      <c r="P114">
        <f t="shared" si="2"/>
        <v>10.8</v>
      </c>
    </row>
    <row r="115" spans="10:16">
      <c r="J115" s="5"/>
      <c r="L115">
        <f>RAVLT_Rec!M115</f>
        <v>-1.2446772820000001</v>
      </c>
      <c r="M115">
        <f>RAVLT_Rec!N115</f>
        <v>10.9</v>
      </c>
      <c r="O115" t="e">
        <f>ABS(L115-RAVLT_Rec!$C$34)</f>
        <v>#REF!</v>
      </c>
      <c r="P115">
        <f t="shared" si="2"/>
        <v>10.9</v>
      </c>
    </row>
    <row r="116" spans="10:16">
      <c r="J116" s="5"/>
      <c r="L116">
        <f>RAVLT_Rec!M116</f>
        <v>-1.2446140000000001</v>
      </c>
      <c r="M116">
        <f>RAVLT_Rec!N116</f>
        <v>11</v>
      </c>
      <c r="O116" t="e">
        <f>ABS(L116-RAVLT_Rec!$C$34)</f>
        <v>#REF!</v>
      </c>
      <c r="P116">
        <f t="shared" si="2"/>
        <v>11</v>
      </c>
    </row>
    <row r="117" spans="10:16">
      <c r="J117" s="5"/>
      <c r="L117">
        <f>RAVLT_Rec!M117</f>
        <v>-1.2446140000000001</v>
      </c>
      <c r="M117">
        <f>RAVLT_Rec!N117</f>
        <v>11.1</v>
      </c>
      <c r="O117" t="e">
        <f>ABS(L117-RAVLT_Rec!$C$34)</f>
        <v>#REF!</v>
      </c>
      <c r="P117">
        <f t="shared" si="2"/>
        <v>11.1</v>
      </c>
    </row>
    <row r="118" spans="10:16">
      <c r="J118" s="5"/>
      <c r="L118">
        <f>RAVLT_Rec!M118</f>
        <v>-1.2446140000000001</v>
      </c>
      <c r="M118">
        <f>RAVLT_Rec!N118</f>
        <v>11.2</v>
      </c>
      <c r="O118" t="e">
        <f>ABS(L118-RAVLT_Rec!$C$34)</f>
        <v>#REF!</v>
      </c>
      <c r="P118">
        <f t="shared" si="2"/>
        <v>11.2</v>
      </c>
    </row>
    <row r="119" spans="10:16">
      <c r="J119" s="5"/>
      <c r="L119">
        <f>RAVLT_Rec!M119</f>
        <v>-1.2246057379999999</v>
      </c>
      <c r="M119">
        <f>RAVLT_Rec!N119</f>
        <v>11.3</v>
      </c>
      <c r="O119" t="e">
        <f>ABS(L119-RAVLT_Rec!$C$34)</f>
        <v>#REF!</v>
      </c>
      <c r="P119">
        <f t="shared" si="2"/>
        <v>11.3</v>
      </c>
    </row>
    <row r="120" spans="10:16">
      <c r="J120" s="5"/>
      <c r="L120">
        <f>RAVLT_Rec!M120</f>
        <v>-1.204150364</v>
      </c>
      <c r="M120">
        <f>RAVLT_Rec!N120</f>
        <v>11.4</v>
      </c>
      <c r="O120" t="e">
        <f>ABS(L120-RAVLT_Rec!$C$34)</f>
        <v>#REF!</v>
      </c>
      <c r="P120">
        <f t="shared" si="2"/>
        <v>11.4</v>
      </c>
    </row>
    <row r="121" spans="10:16">
      <c r="J121" s="5"/>
      <c r="L121">
        <f>RAVLT_Rec!M121</f>
        <v>-1.188725</v>
      </c>
      <c r="M121">
        <f>RAVLT_Rec!N121</f>
        <v>11.5</v>
      </c>
      <c r="O121" t="e">
        <f>ABS(L121-RAVLT_Rec!$C$34)</f>
        <v>#REF!</v>
      </c>
      <c r="P121">
        <f t="shared" si="2"/>
        <v>11.5</v>
      </c>
    </row>
    <row r="122" spans="10:16">
      <c r="J122" s="5"/>
      <c r="L122">
        <f>RAVLT_Rec!M122</f>
        <v>-1.188725</v>
      </c>
      <c r="M122">
        <f>RAVLT_Rec!N122</f>
        <v>11.6</v>
      </c>
      <c r="O122" t="e">
        <f>ABS(L122-RAVLT_Rec!$C$34)</f>
        <v>#REF!</v>
      </c>
      <c r="P122">
        <f t="shared" si="2"/>
        <v>11.6</v>
      </c>
    </row>
    <row r="123" spans="10:16">
      <c r="J123" s="5"/>
      <c r="L123">
        <f>RAVLT_Rec!M123</f>
        <v>-1.188725</v>
      </c>
      <c r="M123">
        <f>RAVLT_Rec!N123</f>
        <v>11.7</v>
      </c>
      <c r="O123" t="e">
        <f>ABS(L123-RAVLT_Rec!$C$34)</f>
        <v>#REF!</v>
      </c>
      <c r="P123">
        <f t="shared" si="2"/>
        <v>11.7</v>
      </c>
    </row>
    <row r="124" spans="10:16">
      <c r="J124" s="5"/>
      <c r="L124">
        <f>RAVLT_Rec!M124</f>
        <v>-1.1790407439999999</v>
      </c>
      <c r="M124">
        <f>RAVLT_Rec!N124</f>
        <v>11.8</v>
      </c>
      <c r="O124" t="e">
        <f>ABS(L124-RAVLT_Rec!$C$34)</f>
        <v>#REF!</v>
      </c>
      <c r="P124">
        <f t="shared" si="2"/>
        <v>11.8</v>
      </c>
    </row>
    <row r="125" spans="10:16">
      <c r="J125" s="5"/>
      <c r="L125">
        <f>RAVLT_Rec!M125</f>
        <v>-1.1601873519999999</v>
      </c>
      <c r="M125">
        <f>RAVLT_Rec!N125</f>
        <v>11.9</v>
      </c>
      <c r="O125" t="e">
        <f>ABS(L125-RAVLT_Rec!$C$34)</f>
        <v>#REF!</v>
      </c>
      <c r="P125">
        <f t="shared" si="2"/>
        <v>11.9</v>
      </c>
    </row>
    <row r="126" spans="10:16">
      <c r="J126" s="5"/>
      <c r="L126">
        <f>RAVLT_Rec!M126</f>
        <v>-1.1413339600000001</v>
      </c>
      <c r="M126">
        <f>RAVLT_Rec!N126</f>
        <v>12</v>
      </c>
      <c r="O126" t="e">
        <f>ABS(L126-RAVLT_Rec!$C$34)</f>
        <v>#REF!</v>
      </c>
      <c r="P126">
        <f t="shared" si="2"/>
        <v>12</v>
      </c>
    </row>
    <row r="127" spans="10:16">
      <c r="J127" s="5"/>
      <c r="L127">
        <f>RAVLT_Rec!M127</f>
        <v>-1.134546622</v>
      </c>
      <c r="M127">
        <f>RAVLT_Rec!N127</f>
        <v>12.1</v>
      </c>
      <c r="O127" t="e">
        <f>ABS(L127-RAVLT_Rec!$C$34)</f>
        <v>#REF!</v>
      </c>
      <c r="P127">
        <f t="shared" si="2"/>
        <v>12.1</v>
      </c>
    </row>
    <row r="128" spans="10:16">
      <c r="J128" s="5"/>
      <c r="L128">
        <f>RAVLT_Rec!M128</f>
        <v>-1.131134404</v>
      </c>
      <c r="M128">
        <f>RAVLT_Rec!N128</f>
        <v>12.2</v>
      </c>
      <c r="O128" t="e">
        <f>ABS(L128-RAVLT_Rec!$C$34)</f>
        <v>#REF!</v>
      </c>
      <c r="P128">
        <f t="shared" si="2"/>
        <v>12.2</v>
      </c>
    </row>
    <row r="129" spans="10:16">
      <c r="J129" s="5"/>
      <c r="L129">
        <f>RAVLT_Rec!M129</f>
        <v>-1.1271134620000001</v>
      </c>
      <c r="M129">
        <f>RAVLT_Rec!N129</f>
        <v>12.3</v>
      </c>
      <c r="O129" t="e">
        <f>ABS(L129-RAVLT_Rec!$C$34)</f>
        <v>#REF!</v>
      </c>
      <c r="P129">
        <f t="shared" si="2"/>
        <v>12.3</v>
      </c>
    </row>
    <row r="130" spans="10:16">
      <c r="J130" s="5"/>
      <c r="L130">
        <f>RAVLT_Rec!M130</f>
        <v>-1.1113238560000001</v>
      </c>
      <c r="M130">
        <f>RAVLT_Rec!N130</f>
        <v>12.4</v>
      </c>
      <c r="O130" t="e">
        <f>ABS(L130-RAVLT_Rec!$C$34)</f>
        <v>#REF!</v>
      </c>
      <c r="P130">
        <f t="shared" si="2"/>
        <v>12.4</v>
      </c>
    </row>
    <row r="131" spans="10:16">
      <c r="J131" s="5"/>
      <c r="L131">
        <f>RAVLT_Rec!M131</f>
        <v>-1.09553425</v>
      </c>
      <c r="M131">
        <f>RAVLT_Rec!N131</f>
        <v>12.5</v>
      </c>
      <c r="O131" t="e">
        <f>ABS(L131-RAVLT_Rec!$C$34)</f>
        <v>#REF!</v>
      </c>
      <c r="P131">
        <f t="shared" si="2"/>
        <v>12.5</v>
      </c>
    </row>
    <row r="132" spans="10:16">
      <c r="J132" s="5"/>
      <c r="L132">
        <f>RAVLT_Rec!M132</f>
        <v>-1.082306736</v>
      </c>
      <c r="M132">
        <f>RAVLT_Rec!N132</f>
        <v>12.6</v>
      </c>
      <c r="O132" t="e">
        <f>ABS(L132-RAVLT_Rec!$C$34)</f>
        <v>#REF!</v>
      </c>
      <c r="P132">
        <f t="shared" si="2"/>
        <v>12.6</v>
      </c>
    </row>
    <row r="133" spans="10:16">
      <c r="J133" s="5"/>
      <c r="L133">
        <f>RAVLT_Rec!M133</f>
        <v>-1.074600972</v>
      </c>
      <c r="M133">
        <f>RAVLT_Rec!N133</f>
        <v>12.7</v>
      </c>
      <c r="O133" t="e">
        <f>ABS(L133-RAVLT_Rec!$C$34)</f>
        <v>#REF!</v>
      </c>
      <c r="P133">
        <f t="shared" si="2"/>
        <v>12.7</v>
      </c>
    </row>
    <row r="134" spans="10:16">
      <c r="J134" s="5"/>
      <c r="L134">
        <f>RAVLT_Rec!M134</f>
        <v>-1.066895208</v>
      </c>
      <c r="M134">
        <f>RAVLT_Rec!N134</f>
        <v>12.8</v>
      </c>
      <c r="O134" t="e">
        <f>ABS(L134-RAVLT_Rec!$C$34)</f>
        <v>#REF!</v>
      </c>
      <c r="P134">
        <f t="shared" si="2"/>
        <v>12.8</v>
      </c>
    </row>
    <row r="135" spans="10:16">
      <c r="J135" s="5"/>
      <c r="L135">
        <f>RAVLT_Rec!M135</f>
        <v>-1.0636950000000001</v>
      </c>
      <c r="M135">
        <f>RAVLT_Rec!N135</f>
        <v>12.9</v>
      </c>
      <c r="O135" t="e">
        <f>ABS(L135-RAVLT_Rec!$C$34)</f>
        <v>#REF!</v>
      </c>
      <c r="P135">
        <f t="shared" ref="P135:P198" si="3">M135</f>
        <v>12.9</v>
      </c>
    </row>
    <row r="136" spans="10:16">
      <c r="J136" s="5"/>
      <c r="L136">
        <f>RAVLT_Rec!M136</f>
        <v>-1.0636950000000001</v>
      </c>
      <c r="M136">
        <f>RAVLT_Rec!N136</f>
        <v>13</v>
      </c>
      <c r="O136" t="e">
        <f>ABS(L136-RAVLT_Rec!$C$34)</f>
        <v>#REF!</v>
      </c>
      <c r="P136">
        <f t="shared" si="3"/>
        <v>13</v>
      </c>
    </row>
    <row r="137" spans="10:16">
      <c r="J137" s="5"/>
      <c r="L137">
        <f>RAVLT_Rec!M137</f>
        <v>-1.0636950000000001</v>
      </c>
      <c r="M137">
        <f>RAVLT_Rec!N137</f>
        <v>13.1</v>
      </c>
      <c r="O137" t="e">
        <f>ABS(L137-RAVLT_Rec!$C$34)</f>
        <v>#REF!</v>
      </c>
      <c r="P137">
        <f t="shared" si="3"/>
        <v>13.1</v>
      </c>
    </row>
    <row r="138" spans="10:16">
      <c r="J138" s="5"/>
      <c r="L138">
        <f>RAVLT_Rec!M138</f>
        <v>-1.0636950000000001</v>
      </c>
      <c r="M138">
        <f>RAVLT_Rec!N138</f>
        <v>13.2</v>
      </c>
      <c r="O138" t="e">
        <f>ABS(L138-RAVLT_Rec!$C$34)</f>
        <v>#REF!</v>
      </c>
      <c r="P138">
        <f t="shared" si="3"/>
        <v>13.2</v>
      </c>
    </row>
    <row r="139" spans="10:16">
      <c r="J139" s="5"/>
      <c r="L139">
        <f>RAVLT_Rec!M139</f>
        <v>-1.0636950000000001</v>
      </c>
      <c r="M139">
        <f>RAVLT_Rec!N139</f>
        <v>13.3</v>
      </c>
      <c r="O139" t="e">
        <f>ABS(L139-RAVLT_Rec!$C$34)</f>
        <v>#REF!</v>
      </c>
      <c r="P139">
        <f t="shared" si="3"/>
        <v>13.3</v>
      </c>
    </row>
    <row r="140" spans="10:16">
      <c r="J140" s="5"/>
      <c r="L140">
        <f>RAVLT_Rec!M140</f>
        <v>-1.063691612</v>
      </c>
      <c r="M140">
        <f>RAVLT_Rec!N140</f>
        <v>13.4</v>
      </c>
      <c r="O140" t="e">
        <f>ABS(L140-RAVLT_Rec!$C$34)</f>
        <v>#REF!</v>
      </c>
      <c r="P140">
        <f t="shared" si="3"/>
        <v>13.4</v>
      </c>
    </row>
    <row r="141" spans="10:16">
      <c r="J141" s="5"/>
      <c r="L141">
        <f>RAVLT_Rec!M141</f>
        <v>-1.0636634300000001</v>
      </c>
      <c r="M141">
        <f>RAVLT_Rec!N141</f>
        <v>13.5</v>
      </c>
      <c r="O141" t="e">
        <f>ABS(L141-RAVLT_Rec!$C$34)</f>
        <v>#REF!</v>
      </c>
      <c r="P141">
        <f t="shared" si="3"/>
        <v>13.5</v>
      </c>
    </row>
    <row r="142" spans="10:16">
      <c r="J142" s="5"/>
      <c r="L142">
        <f>RAVLT_Rec!M142</f>
        <v>-1.063635248</v>
      </c>
      <c r="M142">
        <f>RAVLT_Rec!N142</f>
        <v>13.6</v>
      </c>
      <c r="O142" t="e">
        <f>ABS(L142-RAVLT_Rec!$C$34)</f>
        <v>#REF!</v>
      </c>
      <c r="P142">
        <f t="shared" si="3"/>
        <v>13.6</v>
      </c>
    </row>
    <row r="143" spans="10:16">
      <c r="J143" s="5"/>
      <c r="L143">
        <f>RAVLT_Rec!M143</f>
        <v>-1.063618</v>
      </c>
      <c r="M143">
        <f>RAVLT_Rec!N143</f>
        <v>13.7</v>
      </c>
      <c r="O143" t="e">
        <f>ABS(L143-RAVLT_Rec!$C$34)</f>
        <v>#REF!</v>
      </c>
      <c r="P143">
        <f t="shared" si="3"/>
        <v>13.7</v>
      </c>
    </row>
    <row r="144" spans="10:16">
      <c r="J144" s="5"/>
      <c r="L144">
        <f>RAVLT_Rec!M144</f>
        <v>-1.063618</v>
      </c>
      <c r="M144">
        <f>RAVLT_Rec!N144</f>
        <v>13.8</v>
      </c>
      <c r="O144" t="e">
        <f>ABS(L144-RAVLT_Rec!$C$34)</f>
        <v>#REF!</v>
      </c>
      <c r="P144">
        <f t="shared" si="3"/>
        <v>13.8</v>
      </c>
    </row>
    <row r="145" spans="10:16">
      <c r="J145" s="5"/>
      <c r="L145">
        <f>RAVLT_Rec!M145</f>
        <v>-1.063618</v>
      </c>
      <c r="M145">
        <f>RAVLT_Rec!N145</f>
        <v>13.9</v>
      </c>
      <c r="O145" t="e">
        <f>ABS(L145-RAVLT_Rec!$C$34)</f>
        <v>#REF!</v>
      </c>
      <c r="P145">
        <f t="shared" si="3"/>
        <v>13.9</v>
      </c>
    </row>
    <row r="146" spans="10:16">
      <c r="J146" s="5"/>
      <c r="L146">
        <f>RAVLT_Rec!M146</f>
        <v>-1.063618</v>
      </c>
      <c r="M146">
        <f>RAVLT_Rec!N146</f>
        <v>14</v>
      </c>
      <c r="O146" t="e">
        <f>ABS(L146-RAVLT_Rec!$C$34)</f>
        <v>#REF!</v>
      </c>
      <c r="P146">
        <f t="shared" si="3"/>
        <v>14</v>
      </c>
    </row>
    <row r="147" spans="10:16">
      <c r="J147" s="5"/>
      <c r="L147">
        <f>RAVLT_Rec!M147</f>
        <v>-1.063618</v>
      </c>
      <c r="M147">
        <f>RAVLT_Rec!N147</f>
        <v>14.1</v>
      </c>
      <c r="O147" t="e">
        <f>ABS(L147-RAVLT_Rec!$C$34)</f>
        <v>#REF!</v>
      </c>
      <c r="P147">
        <f t="shared" si="3"/>
        <v>14.1</v>
      </c>
    </row>
    <row r="148" spans="10:16">
      <c r="J148" s="5"/>
      <c r="L148">
        <f>RAVLT_Rec!M148</f>
        <v>-1.063618</v>
      </c>
      <c r="M148">
        <f>RAVLT_Rec!N148</f>
        <v>14.2</v>
      </c>
      <c r="O148" t="e">
        <f>ABS(L148-RAVLT_Rec!$C$34)</f>
        <v>#REF!</v>
      </c>
      <c r="P148">
        <f t="shared" si="3"/>
        <v>14.2</v>
      </c>
    </row>
    <row r="149" spans="10:16">
      <c r="J149" s="5"/>
      <c r="L149">
        <f>RAVLT_Rec!M149</f>
        <v>-1.063618</v>
      </c>
      <c r="M149">
        <f>RAVLT_Rec!N149</f>
        <v>14.3</v>
      </c>
      <c r="O149" t="e">
        <f>ABS(L149-RAVLT_Rec!$C$34)</f>
        <v>#REF!</v>
      </c>
      <c r="P149">
        <f t="shared" si="3"/>
        <v>14.3</v>
      </c>
    </row>
    <row r="150" spans="10:16">
      <c r="J150" s="5"/>
      <c r="L150">
        <f>RAVLT_Rec!M150</f>
        <v>-1.063618</v>
      </c>
      <c r="M150">
        <f>RAVLT_Rec!N150</f>
        <v>14.4</v>
      </c>
      <c r="O150" t="e">
        <f>ABS(L150-RAVLT_Rec!$C$34)</f>
        <v>#REF!</v>
      </c>
      <c r="P150">
        <f t="shared" si="3"/>
        <v>14.4</v>
      </c>
    </row>
    <row r="151" spans="10:16">
      <c r="J151" s="5"/>
      <c r="L151">
        <f>RAVLT_Rec!M151</f>
        <v>-1.063618</v>
      </c>
      <c r="M151">
        <f>RAVLT_Rec!N151</f>
        <v>14.5</v>
      </c>
      <c r="O151" t="e">
        <f>ABS(L151-RAVLT_Rec!$C$34)</f>
        <v>#REF!</v>
      </c>
      <c r="P151">
        <f t="shared" si="3"/>
        <v>14.5</v>
      </c>
    </row>
    <row r="152" spans="10:16">
      <c r="J152" s="5"/>
      <c r="L152">
        <f>RAVLT_Rec!M152</f>
        <v>-1.063618</v>
      </c>
      <c r="M152">
        <f>RAVLT_Rec!N152</f>
        <v>14.6</v>
      </c>
      <c r="O152" t="e">
        <f>ABS(L152-RAVLT_Rec!$C$34)</f>
        <v>#REF!</v>
      </c>
      <c r="P152">
        <f t="shared" si="3"/>
        <v>14.6</v>
      </c>
    </row>
    <row r="153" spans="10:16">
      <c r="J153" s="5"/>
      <c r="L153">
        <f>RAVLT_Rec!M153</f>
        <v>-1.063618</v>
      </c>
      <c r="M153">
        <f>RAVLT_Rec!N153</f>
        <v>14.7</v>
      </c>
      <c r="O153" t="e">
        <f>ABS(L153-RAVLT_Rec!$C$34)</f>
        <v>#REF!</v>
      </c>
      <c r="P153">
        <f t="shared" si="3"/>
        <v>14.7</v>
      </c>
    </row>
    <row r="154" spans="10:16">
      <c r="J154" s="5"/>
      <c r="L154">
        <f>RAVLT_Rec!M154</f>
        <v>-1.0607764479999999</v>
      </c>
      <c r="M154">
        <f>RAVLT_Rec!N154</f>
        <v>14.8</v>
      </c>
      <c r="O154" t="e">
        <f>ABS(L154-RAVLT_Rec!$C$34)</f>
        <v>#REF!</v>
      </c>
      <c r="P154">
        <f t="shared" si="3"/>
        <v>14.8</v>
      </c>
    </row>
    <row r="155" spans="10:16">
      <c r="J155" s="5"/>
      <c r="L155">
        <f>RAVLT_Rec!M155</f>
        <v>-1.054585924</v>
      </c>
      <c r="M155">
        <f>RAVLT_Rec!N155</f>
        <v>14.9</v>
      </c>
      <c r="O155" t="e">
        <f>ABS(L155-RAVLT_Rec!$C$34)</f>
        <v>#REF!</v>
      </c>
      <c r="P155">
        <f t="shared" si="3"/>
        <v>14.9</v>
      </c>
    </row>
    <row r="156" spans="10:16">
      <c r="J156" s="5"/>
      <c r="L156">
        <f>RAVLT_Rec!M156</f>
        <v>-1.0483954</v>
      </c>
      <c r="M156">
        <f>RAVLT_Rec!N156</f>
        <v>15</v>
      </c>
      <c r="O156" t="e">
        <f>ABS(L156-RAVLT_Rec!$C$34)</f>
        <v>#REF!</v>
      </c>
      <c r="P156">
        <f t="shared" si="3"/>
        <v>15</v>
      </c>
    </row>
    <row r="157" spans="10:16">
      <c r="J157" s="5"/>
      <c r="L157">
        <f>RAVLT_Rec!M157</f>
        <v>-1.0428701419999999</v>
      </c>
      <c r="M157">
        <f>RAVLT_Rec!N157</f>
        <v>15.1</v>
      </c>
      <c r="O157" t="e">
        <f>ABS(L157-RAVLT_Rec!$C$34)</f>
        <v>#REF!</v>
      </c>
      <c r="P157">
        <f t="shared" si="3"/>
        <v>15.1</v>
      </c>
    </row>
    <row r="158" spans="10:16">
      <c r="J158" s="5"/>
      <c r="L158">
        <f>RAVLT_Rec!M158</f>
        <v>-1.0375949840000001</v>
      </c>
      <c r="M158">
        <f>RAVLT_Rec!N158</f>
        <v>15.2</v>
      </c>
      <c r="O158" t="e">
        <f>ABS(L158-RAVLT_Rec!$C$34)</f>
        <v>#REF!</v>
      </c>
      <c r="P158">
        <f t="shared" si="3"/>
        <v>15.2</v>
      </c>
    </row>
    <row r="159" spans="10:16">
      <c r="J159" s="5"/>
      <c r="L159">
        <f>RAVLT_Rec!M159</f>
        <v>-1.0323198259999999</v>
      </c>
      <c r="M159">
        <f>RAVLT_Rec!N159</f>
        <v>15.3</v>
      </c>
      <c r="O159" t="e">
        <f>ABS(L159-RAVLT_Rec!$C$34)</f>
        <v>#REF!</v>
      </c>
      <c r="P159">
        <f t="shared" si="3"/>
        <v>15.3</v>
      </c>
    </row>
    <row r="160" spans="10:16">
      <c r="J160" s="5"/>
      <c r="L160">
        <f>RAVLT_Rec!M160</f>
        <v>-1.0277195240000001</v>
      </c>
      <c r="M160">
        <f>RAVLT_Rec!N160</f>
        <v>15.4</v>
      </c>
      <c r="O160" t="e">
        <f>ABS(L160-RAVLT_Rec!$C$34)</f>
        <v>#REF!</v>
      </c>
      <c r="P160">
        <f t="shared" si="3"/>
        <v>15.4</v>
      </c>
    </row>
    <row r="161" spans="10:16">
      <c r="J161" s="5"/>
      <c r="L161">
        <f>RAVLT_Rec!M161</f>
        <v>-1.02312293</v>
      </c>
      <c r="M161">
        <f>RAVLT_Rec!N161</f>
        <v>15.5</v>
      </c>
      <c r="O161" t="e">
        <f>ABS(L161-RAVLT_Rec!$C$34)</f>
        <v>#REF!</v>
      </c>
      <c r="P161">
        <f t="shared" si="3"/>
        <v>15.5</v>
      </c>
    </row>
    <row r="162" spans="10:16">
      <c r="J162" s="5"/>
      <c r="L162">
        <f>RAVLT_Rec!M162</f>
        <v>-1.018643744</v>
      </c>
      <c r="M162">
        <f>RAVLT_Rec!N162</f>
        <v>15.6</v>
      </c>
      <c r="O162" t="e">
        <f>ABS(L162-RAVLT_Rec!$C$34)</f>
        <v>#REF!</v>
      </c>
      <c r="P162">
        <f t="shared" si="3"/>
        <v>15.6</v>
      </c>
    </row>
    <row r="163" spans="10:16">
      <c r="J163" s="5"/>
      <c r="L163">
        <f>RAVLT_Rec!M163</f>
        <v>-1.014494768</v>
      </c>
      <c r="M163">
        <f>RAVLT_Rec!N163</f>
        <v>15.7</v>
      </c>
      <c r="O163" t="e">
        <f>ABS(L163-RAVLT_Rec!$C$34)</f>
        <v>#REF!</v>
      </c>
      <c r="P163">
        <f t="shared" si="3"/>
        <v>15.7</v>
      </c>
    </row>
    <row r="164" spans="10:16">
      <c r="J164" s="5"/>
      <c r="L164">
        <f>RAVLT_Rec!M164</f>
        <v>-1.0103457920000001</v>
      </c>
      <c r="M164">
        <f>RAVLT_Rec!N164</f>
        <v>15.8</v>
      </c>
      <c r="O164" t="e">
        <f>ABS(L164-RAVLT_Rec!$C$34)</f>
        <v>#REF!</v>
      </c>
      <c r="P164">
        <f t="shared" si="3"/>
        <v>15.8</v>
      </c>
    </row>
    <row r="165" spans="10:16">
      <c r="J165" s="5"/>
      <c r="L165">
        <f>RAVLT_Rec!M165</f>
        <v>-1.0063091420000001</v>
      </c>
      <c r="M165">
        <f>RAVLT_Rec!N165</f>
        <v>15.9</v>
      </c>
      <c r="O165" t="e">
        <f>ABS(L165-RAVLT_Rec!$C$34)</f>
        <v>#REF!</v>
      </c>
      <c r="P165">
        <f t="shared" si="3"/>
        <v>15.9</v>
      </c>
    </row>
    <row r="166" spans="10:16">
      <c r="J166" s="5"/>
      <c r="L166">
        <f>RAVLT_Rec!M166</f>
        <v>-1.00237208</v>
      </c>
      <c r="M166">
        <f>RAVLT_Rec!N166</f>
        <v>16</v>
      </c>
      <c r="O166" t="e">
        <f>ABS(L166-RAVLT_Rec!$C$34)</f>
        <v>#REF!</v>
      </c>
      <c r="P166">
        <f t="shared" si="3"/>
        <v>16</v>
      </c>
    </row>
    <row r="167" spans="10:16">
      <c r="J167" s="5"/>
      <c r="L167">
        <f>RAVLT_Rec!M167</f>
        <v>-0.99843501800000001</v>
      </c>
      <c r="M167">
        <f>RAVLT_Rec!N167</f>
        <v>16.100000000000001</v>
      </c>
      <c r="O167" t="e">
        <f>ABS(L167-RAVLT_Rec!$C$34)</f>
        <v>#REF!</v>
      </c>
      <c r="P167">
        <f t="shared" si="3"/>
        <v>16.100000000000001</v>
      </c>
    </row>
    <row r="168" spans="10:16">
      <c r="J168" s="5"/>
      <c r="L168">
        <f>RAVLT_Rec!M168</f>
        <v>-0.994468464</v>
      </c>
      <c r="M168">
        <f>RAVLT_Rec!N168</f>
        <v>16.2</v>
      </c>
      <c r="O168" t="e">
        <f>ABS(L168-RAVLT_Rec!$C$34)</f>
        <v>#REF!</v>
      </c>
      <c r="P168">
        <f t="shared" si="3"/>
        <v>16.2</v>
      </c>
    </row>
    <row r="169" spans="10:16">
      <c r="J169" s="5"/>
      <c r="L169">
        <f>RAVLT_Rec!M169</f>
        <v>-0.99049443599999998</v>
      </c>
      <c r="M169">
        <f>RAVLT_Rec!N169</f>
        <v>16.3</v>
      </c>
      <c r="O169" t="e">
        <f>ABS(L169-RAVLT_Rec!$C$34)</f>
        <v>#REF!</v>
      </c>
      <c r="P169">
        <f t="shared" si="3"/>
        <v>16.3</v>
      </c>
    </row>
    <row r="170" spans="10:16">
      <c r="J170" s="5"/>
      <c r="L170">
        <f>RAVLT_Rec!M170</f>
        <v>-0.98650048800000001</v>
      </c>
      <c r="M170">
        <f>RAVLT_Rec!N170</f>
        <v>16.399999999999999</v>
      </c>
      <c r="O170" t="e">
        <f>ABS(L170-RAVLT_Rec!$C$34)</f>
        <v>#REF!</v>
      </c>
      <c r="P170">
        <f t="shared" si="3"/>
        <v>16.399999999999999</v>
      </c>
    </row>
    <row r="171" spans="10:16">
      <c r="J171" s="5"/>
      <c r="L171">
        <f>RAVLT_Rec!M171</f>
        <v>-0.98222268000000001</v>
      </c>
      <c r="M171">
        <f>RAVLT_Rec!N171</f>
        <v>16.5</v>
      </c>
      <c r="O171" t="e">
        <f>ABS(L171-RAVLT_Rec!$C$34)</f>
        <v>#REF!</v>
      </c>
      <c r="P171">
        <f t="shared" si="3"/>
        <v>16.5</v>
      </c>
    </row>
    <row r="172" spans="10:16">
      <c r="J172" s="5"/>
      <c r="L172">
        <f>RAVLT_Rec!M172</f>
        <v>-0.97794487200000002</v>
      </c>
      <c r="M172">
        <f>RAVLT_Rec!N172</f>
        <v>16.600000000000001</v>
      </c>
      <c r="O172" t="e">
        <f>ABS(L172-RAVLT_Rec!$C$34)</f>
        <v>#REF!</v>
      </c>
      <c r="P172">
        <f t="shared" si="3"/>
        <v>16.600000000000001</v>
      </c>
    </row>
    <row r="173" spans="10:16">
      <c r="J173" s="5"/>
      <c r="L173">
        <f>RAVLT_Rec!M173</f>
        <v>-0.97509299999999999</v>
      </c>
      <c r="M173">
        <f>RAVLT_Rec!N173</f>
        <v>16.7</v>
      </c>
      <c r="O173" t="e">
        <f>ABS(L173-RAVLT_Rec!$C$34)</f>
        <v>#REF!</v>
      </c>
      <c r="P173">
        <f t="shared" si="3"/>
        <v>16.7</v>
      </c>
    </row>
    <row r="174" spans="10:16">
      <c r="J174" s="5"/>
      <c r="L174">
        <f>RAVLT_Rec!M174</f>
        <v>-0.97509299999999999</v>
      </c>
      <c r="M174">
        <f>RAVLT_Rec!N174</f>
        <v>16.8</v>
      </c>
      <c r="O174" t="e">
        <f>ABS(L174-RAVLT_Rec!$C$34)</f>
        <v>#REF!</v>
      </c>
      <c r="P174">
        <f t="shared" si="3"/>
        <v>16.8</v>
      </c>
    </row>
    <row r="175" spans="10:16">
      <c r="J175" s="5"/>
      <c r="L175">
        <f>RAVLT_Rec!M175</f>
        <v>-0.97509299999999999</v>
      </c>
      <c r="M175">
        <f>RAVLT_Rec!N175</f>
        <v>16.899999999999999</v>
      </c>
      <c r="O175" t="e">
        <f>ABS(L175-RAVLT_Rec!$C$34)</f>
        <v>#REF!</v>
      </c>
      <c r="P175">
        <f t="shared" si="3"/>
        <v>16.899999999999999</v>
      </c>
    </row>
    <row r="176" spans="10:16">
      <c r="J176" s="5"/>
      <c r="L176">
        <f>RAVLT_Rec!M176</f>
        <v>-0.97216897999999996</v>
      </c>
      <c r="M176">
        <f>RAVLT_Rec!N176</f>
        <v>17</v>
      </c>
      <c r="O176" t="e">
        <f>ABS(L176-RAVLT_Rec!$C$34)</f>
        <v>#REF!</v>
      </c>
      <c r="P176">
        <f t="shared" si="3"/>
        <v>17</v>
      </c>
    </row>
    <row r="177" spans="10:16">
      <c r="J177" s="5"/>
      <c r="L177">
        <f>RAVLT_Rec!M177</f>
        <v>-0.96730447399999997</v>
      </c>
      <c r="M177">
        <f>RAVLT_Rec!N177</f>
        <v>17.100000000000001</v>
      </c>
      <c r="O177" t="e">
        <f>ABS(L177-RAVLT_Rec!$C$34)</f>
        <v>#REF!</v>
      </c>
      <c r="P177">
        <f t="shared" si="3"/>
        <v>17.100000000000001</v>
      </c>
    </row>
    <row r="178" spans="10:16">
      <c r="J178" s="5"/>
      <c r="L178">
        <f>RAVLT_Rec!M178</f>
        <v>-0.96243996799999998</v>
      </c>
      <c r="M178">
        <f>RAVLT_Rec!N178</f>
        <v>17.2</v>
      </c>
      <c r="O178" t="e">
        <f>ABS(L178-RAVLT_Rec!$C$34)</f>
        <v>#REF!</v>
      </c>
      <c r="P178">
        <f t="shared" si="3"/>
        <v>17.2</v>
      </c>
    </row>
    <row r="179" spans="10:16">
      <c r="J179" s="5"/>
      <c r="L179">
        <f>RAVLT_Rec!M179</f>
        <v>-0.96180200000000005</v>
      </c>
      <c r="M179">
        <f>RAVLT_Rec!N179</f>
        <v>17.3</v>
      </c>
      <c r="O179" t="e">
        <f>ABS(L179-RAVLT_Rec!$C$34)</f>
        <v>#REF!</v>
      </c>
      <c r="P179">
        <f t="shared" si="3"/>
        <v>17.3</v>
      </c>
    </row>
    <row r="180" spans="10:16">
      <c r="J180" s="5"/>
      <c r="L180">
        <f>RAVLT_Rec!M180</f>
        <v>-0.96180200000000005</v>
      </c>
      <c r="M180">
        <f>RAVLT_Rec!N180</f>
        <v>17.399999999999999</v>
      </c>
      <c r="O180" t="e">
        <f>ABS(L180-RAVLT_Rec!$C$34)</f>
        <v>#REF!</v>
      </c>
      <c r="P180">
        <f t="shared" si="3"/>
        <v>17.399999999999999</v>
      </c>
    </row>
    <row r="181" spans="10:16">
      <c r="J181" s="5"/>
      <c r="L181">
        <f>RAVLT_Rec!M181</f>
        <v>-0.96101729999999996</v>
      </c>
      <c r="M181">
        <f>RAVLT_Rec!N181</f>
        <v>17.5</v>
      </c>
      <c r="O181" t="e">
        <f>ABS(L181-RAVLT_Rec!$C$34)</f>
        <v>#REF!</v>
      </c>
      <c r="P181">
        <f t="shared" si="3"/>
        <v>17.5</v>
      </c>
    </row>
    <row r="182" spans="10:16">
      <c r="J182" s="5"/>
      <c r="L182">
        <f>RAVLT_Rec!M182</f>
        <v>-0.95527329599999999</v>
      </c>
      <c r="M182">
        <f>RAVLT_Rec!N182</f>
        <v>17.600000000000001</v>
      </c>
      <c r="O182" t="e">
        <f>ABS(L182-RAVLT_Rec!$C$34)</f>
        <v>#REF!</v>
      </c>
      <c r="P182">
        <f t="shared" si="3"/>
        <v>17.600000000000001</v>
      </c>
    </row>
    <row r="183" spans="10:16">
      <c r="J183" s="5"/>
      <c r="L183">
        <f>RAVLT_Rec!M183</f>
        <v>-0.94952929200000002</v>
      </c>
      <c r="M183">
        <f>RAVLT_Rec!N183</f>
        <v>17.7</v>
      </c>
      <c r="O183" t="e">
        <f>ABS(L183-RAVLT_Rec!$C$34)</f>
        <v>#REF!</v>
      </c>
      <c r="P183">
        <f t="shared" si="3"/>
        <v>17.7</v>
      </c>
    </row>
    <row r="184" spans="10:16">
      <c r="J184" s="5"/>
      <c r="L184">
        <f>RAVLT_Rec!M184</f>
        <v>-0.94610799999999995</v>
      </c>
      <c r="M184">
        <f>RAVLT_Rec!N184</f>
        <v>17.8</v>
      </c>
      <c r="O184" t="e">
        <f>ABS(L184-RAVLT_Rec!$C$34)</f>
        <v>#REF!</v>
      </c>
      <c r="P184">
        <f t="shared" si="3"/>
        <v>17.8</v>
      </c>
    </row>
    <row r="185" spans="10:16">
      <c r="J185" s="5"/>
      <c r="L185">
        <f>RAVLT_Rec!M185</f>
        <v>-0.94610799999999995</v>
      </c>
      <c r="M185">
        <f>RAVLT_Rec!N185</f>
        <v>17.899999999999999</v>
      </c>
      <c r="O185" t="e">
        <f>ABS(L185-RAVLT_Rec!$C$34)</f>
        <v>#REF!</v>
      </c>
      <c r="P185">
        <f t="shared" si="3"/>
        <v>17.899999999999999</v>
      </c>
    </row>
    <row r="186" spans="10:16">
      <c r="J186" s="5"/>
      <c r="L186">
        <f>RAVLT_Rec!M186</f>
        <v>-0.94610799999999995</v>
      </c>
      <c r="M186">
        <f>RAVLT_Rec!N186</f>
        <v>18</v>
      </c>
      <c r="O186" t="e">
        <f>ABS(L186-RAVLT_Rec!$C$34)</f>
        <v>#REF!</v>
      </c>
      <c r="P186">
        <f t="shared" si="3"/>
        <v>18</v>
      </c>
    </row>
    <row r="187" spans="10:16">
      <c r="J187" s="5"/>
      <c r="L187">
        <f>RAVLT_Rec!M187</f>
        <v>-0.94610799999999995</v>
      </c>
      <c r="M187">
        <f>RAVLT_Rec!N187</f>
        <v>18.100000000000001</v>
      </c>
      <c r="O187" t="e">
        <f>ABS(L187-RAVLT_Rec!$C$34)</f>
        <v>#REF!</v>
      </c>
      <c r="P187">
        <f t="shared" si="3"/>
        <v>18.100000000000001</v>
      </c>
    </row>
    <row r="188" spans="10:16">
      <c r="J188" s="5"/>
      <c r="L188">
        <f>RAVLT_Rec!M188</f>
        <v>-0.94610799999999995</v>
      </c>
      <c r="M188">
        <f>RAVLT_Rec!N188</f>
        <v>18.2</v>
      </c>
      <c r="O188" t="e">
        <f>ABS(L188-RAVLT_Rec!$C$34)</f>
        <v>#REF!</v>
      </c>
      <c r="P188">
        <f t="shared" si="3"/>
        <v>18.2</v>
      </c>
    </row>
    <row r="189" spans="10:16">
      <c r="J189" s="5"/>
      <c r="L189">
        <f>RAVLT_Rec!M189</f>
        <v>-0.94610799999999995</v>
      </c>
      <c r="M189">
        <f>RAVLT_Rec!N189</f>
        <v>18.3</v>
      </c>
      <c r="O189" t="e">
        <f>ABS(L189-RAVLT_Rec!$C$34)</f>
        <v>#REF!</v>
      </c>
      <c r="P189">
        <f t="shared" si="3"/>
        <v>18.3</v>
      </c>
    </row>
    <row r="190" spans="10:16">
      <c r="J190" s="5"/>
      <c r="L190">
        <f>RAVLT_Rec!M190</f>
        <v>-0.94610799999999995</v>
      </c>
      <c r="M190">
        <f>RAVLT_Rec!N190</f>
        <v>18.399999999999999</v>
      </c>
      <c r="O190" t="e">
        <f>ABS(L190-RAVLT_Rec!$C$34)</f>
        <v>#REF!</v>
      </c>
      <c r="P190">
        <f t="shared" si="3"/>
        <v>18.399999999999999</v>
      </c>
    </row>
    <row r="191" spans="10:16">
      <c r="J191" s="5"/>
      <c r="L191">
        <f>RAVLT_Rec!M191</f>
        <v>-0.94610799999999995</v>
      </c>
      <c r="M191">
        <f>RAVLT_Rec!N191</f>
        <v>18.5</v>
      </c>
      <c r="O191" t="e">
        <f>ABS(L191-RAVLT_Rec!$C$34)</f>
        <v>#REF!</v>
      </c>
      <c r="P191">
        <f t="shared" si="3"/>
        <v>18.5</v>
      </c>
    </row>
    <row r="192" spans="10:16">
      <c r="J192" s="5"/>
      <c r="L192">
        <f>RAVLT_Rec!M192</f>
        <v>-0.94562608400000003</v>
      </c>
      <c r="M192">
        <f>RAVLT_Rec!N192</f>
        <v>18.600000000000001</v>
      </c>
      <c r="O192" t="e">
        <f>ABS(L192-RAVLT_Rec!$C$34)</f>
        <v>#REF!</v>
      </c>
      <c r="P192">
        <f t="shared" si="3"/>
        <v>18.600000000000001</v>
      </c>
    </row>
    <row r="193" spans="10:16">
      <c r="J193" s="5"/>
      <c r="L193">
        <f>RAVLT_Rec!M193</f>
        <v>-0.94330527799999997</v>
      </c>
      <c r="M193">
        <f>RAVLT_Rec!N193</f>
        <v>18.7</v>
      </c>
      <c r="O193" t="e">
        <f>ABS(L193-RAVLT_Rec!$C$34)</f>
        <v>#REF!</v>
      </c>
      <c r="P193">
        <f t="shared" si="3"/>
        <v>18.7</v>
      </c>
    </row>
    <row r="194" spans="10:16">
      <c r="J194" s="5"/>
      <c r="L194">
        <f>RAVLT_Rec!M194</f>
        <v>-0.94098447200000002</v>
      </c>
      <c r="M194">
        <f>RAVLT_Rec!N194</f>
        <v>18.8</v>
      </c>
      <c r="O194" t="e">
        <f>ABS(L194-RAVLT_Rec!$C$34)</f>
        <v>#REF!</v>
      </c>
      <c r="P194">
        <f t="shared" si="3"/>
        <v>18.8</v>
      </c>
    </row>
    <row r="195" spans="10:16">
      <c r="J195" s="5"/>
      <c r="L195">
        <f>RAVLT_Rec!M195</f>
        <v>-0.93835794800000005</v>
      </c>
      <c r="M195">
        <f>RAVLT_Rec!N195</f>
        <v>18.899999999999999</v>
      </c>
      <c r="O195" t="e">
        <f>ABS(L195-RAVLT_Rec!$C$34)</f>
        <v>#REF!</v>
      </c>
      <c r="P195">
        <f t="shared" si="3"/>
        <v>18.899999999999999</v>
      </c>
    </row>
    <row r="196" spans="10:16">
      <c r="J196" s="5"/>
      <c r="L196">
        <f>RAVLT_Rec!M196</f>
        <v>-0.93539408000000002</v>
      </c>
      <c r="M196">
        <f>RAVLT_Rec!N196</f>
        <v>19</v>
      </c>
      <c r="O196" t="e">
        <f>ABS(L196-RAVLT_Rec!$C$34)</f>
        <v>#REF!</v>
      </c>
      <c r="P196">
        <f t="shared" si="3"/>
        <v>19</v>
      </c>
    </row>
    <row r="197" spans="10:16">
      <c r="J197" s="5"/>
      <c r="L197">
        <f>RAVLT_Rec!M197</f>
        <v>-0.93243021199999998</v>
      </c>
      <c r="M197">
        <f>RAVLT_Rec!N197</f>
        <v>19.100000000000001</v>
      </c>
      <c r="O197" t="e">
        <f>ABS(L197-RAVLT_Rec!$C$34)</f>
        <v>#REF!</v>
      </c>
      <c r="P197">
        <f t="shared" si="3"/>
        <v>19.100000000000001</v>
      </c>
    </row>
    <row r="198" spans="10:16">
      <c r="J198" s="5"/>
      <c r="L198">
        <f>RAVLT_Rec!M198</f>
        <v>-0.93046132000000004</v>
      </c>
      <c r="M198">
        <f>RAVLT_Rec!N198</f>
        <v>19.2</v>
      </c>
      <c r="O198" t="e">
        <f>ABS(L198-RAVLT_Rec!$C$34)</f>
        <v>#REF!</v>
      </c>
      <c r="P198">
        <f t="shared" si="3"/>
        <v>19.2</v>
      </c>
    </row>
    <row r="199" spans="10:16">
      <c r="J199" s="5"/>
      <c r="L199">
        <f>RAVLT_Rec!M199</f>
        <v>-0.92883627999999996</v>
      </c>
      <c r="M199">
        <f>RAVLT_Rec!N199</f>
        <v>19.3</v>
      </c>
      <c r="O199" t="e">
        <f>ABS(L199-RAVLT_Rec!$C$34)</f>
        <v>#REF!</v>
      </c>
      <c r="P199">
        <f t="shared" ref="P199:P262" si="4">M199</f>
        <v>19.3</v>
      </c>
    </row>
    <row r="200" spans="10:16">
      <c r="J200" s="5"/>
      <c r="L200">
        <f>RAVLT_Rec!M200</f>
        <v>-0.92713795200000004</v>
      </c>
      <c r="M200">
        <f>RAVLT_Rec!N200</f>
        <v>19.399999999999999</v>
      </c>
      <c r="O200" t="e">
        <f>ABS(L200-RAVLT_Rec!$C$34)</f>
        <v>#REF!</v>
      </c>
      <c r="P200">
        <f t="shared" si="4"/>
        <v>19.399999999999999</v>
      </c>
    </row>
    <row r="201" spans="10:16">
      <c r="J201" s="5"/>
      <c r="L201">
        <f>RAVLT_Rec!M201</f>
        <v>-0.91880706000000001</v>
      </c>
      <c r="M201">
        <f>RAVLT_Rec!N201</f>
        <v>19.5</v>
      </c>
      <c r="O201" t="e">
        <f>ABS(L201-RAVLT_Rec!$C$34)</f>
        <v>#REF!</v>
      </c>
      <c r="P201">
        <f t="shared" si="4"/>
        <v>19.5</v>
      </c>
    </row>
    <row r="202" spans="10:16">
      <c r="J202" s="5"/>
      <c r="L202">
        <f>RAVLT_Rec!M202</f>
        <v>-0.91047616799999997</v>
      </c>
      <c r="M202">
        <f>RAVLT_Rec!N202</f>
        <v>19.600000000000001</v>
      </c>
      <c r="O202" t="e">
        <f>ABS(L202-RAVLT_Rec!$C$34)</f>
        <v>#REF!</v>
      </c>
      <c r="P202">
        <f t="shared" si="4"/>
        <v>19.600000000000001</v>
      </c>
    </row>
    <row r="203" spans="10:16">
      <c r="J203" s="5"/>
      <c r="L203">
        <f>RAVLT_Rec!M203</f>
        <v>-0.90446700000000002</v>
      </c>
      <c r="M203">
        <f>RAVLT_Rec!N203</f>
        <v>19.7</v>
      </c>
      <c r="O203" t="e">
        <f>ABS(L203-RAVLT_Rec!$C$34)</f>
        <v>#REF!</v>
      </c>
      <c r="P203">
        <f t="shared" si="4"/>
        <v>19.7</v>
      </c>
    </row>
    <row r="204" spans="10:16">
      <c r="J204" s="5"/>
      <c r="L204">
        <f>RAVLT_Rec!M204</f>
        <v>-0.90446700000000002</v>
      </c>
      <c r="M204">
        <f>RAVLT_Rec!N204</f>
        <v>19.8</v>
      </c>
      <c r="O204" t="e">
        <f>ABS(L204-RAVLT_Rec!$C$34)</f>
        <v>#REF!</v>
      </c>
      <c r="P204">
        <f t="shared" si="4"/>
        <v>19.8</v>
      </c>
    </row>
    <row r="205" spans="10:16">
      <c r="J205" s="5"/>
      <c r="L205">
        <f>RAVLT_Rec!M205</f>
        <v>-0.90446700000000002</v>
      </c>
      <c r="M205">
        <f>RAVLT_Rec!N205</f>
        <v>19.899999999999999</v>
      </c>
      <c r="O205" t="e">
        <f>ABS(L205-RAVLT_Rec!$C$34)</f>
        <v>#REF!</v>
      </c>
      <c r="P205">
        <f t="shared" si="4"/>
        <v>19.899999999999999</v>
      </c>
    </row>
    <row r="206" spans="10:16">
      <c r="J206" s="5"/>
      <c r="L206">
        <f>RAVLT_Rec!M206</f>
        <v>-0.90446700000000002</v>
      </c>
      <c r="M206">
        <f>RAVLT_Rec!N206</f>
        <v>20</v>
      </c>
      <c r="O206" t="e">
        <f>ABS(L206-RAVLT_Rec!$C$34)</f>
        <v>#REF!</v>
      </c>
      <c r="P206">
        <f t="shared" si="4"/>
        <v>20</v>
      </c>
    </row>
    <row r="207" spans="10:16">
      <c r="J207" s="5"/>
      <c r="L207">
        <f>RAVLT_Rec!M207</f>
        <v>-0.90446700000000002</v>
      </c>
      <c r="M207">
        <f>RAVLT_Rec!N207</f>
        <v>20.100000000000001</v>
      </c>
      <c r="O207" t="e">
        <f>ABS(L207-RAVLT_Rec!$C$34)</f>
        <v>#REF!</v>
      </c>
      <c r="P207">
        <f t="shared" si="4"/>
        <v>20.100000000000001</v>
      </c>
    </row>
    <row r="208" spans="10:16">
      <c r="J208" s="5"/>
      <c r="L208">
        <f>RAVLT_Rec!M208</f>
        <v>-0.90446700000000002</v>
      </c>
      <c r="M208">
        <f>RAVLT_Rec!N208</f>
        <v>20.2</v>
      </c>
      <c r="O208" t="e">
        <f>ABS(L208-RAVLT_Rec!$C$34)</f>
        <v>#REF!</v>
      </c>
      <c r="P208">
        <f t="shared" si="4"/>
        <v>20.2</v>
      </c>
    </row>
    <row r="209" spans="10:16">
      <c r="J209" s="5"/>
      <c r="L209">
        <f>RAVLT_Rec!M209</f>
        <v>-0.90446700000000002</v>
      </c>
      <c r="M209">
        <f>RAVLT_Rec!N209</f>
        <v>20.3</v>
      </c>
      <c r="O209" t="e">
        <f>ABS(L209-RAVLT_Rec!$C$34)</f>
        <v>#REF!</v>
      </c>
      <c r="P209">
        <f t="shared" si="4"/>
        <v>20.3</v>
      </c>
    </row>
    <row r="210" spans="10:16">
      <c r="J210" s="5"/>
      <c r="L210">
        <f>RAVLT_Rec!M210</f>
        <v>-0.90446700000000002</v>
      </c>
      <c r="M210">
        <f>RAVLT_Rec!N210</f>
        <v>20.399999999999999</v>
      </c>
      <c r="O210" t="e">
        <f>ABS(L210-RAVLT_Rec!$C$34)</f>
        <v>#REF!</v>
      </c>
      <c r="P210">
        <f t="shared" si="4"/>
        <v>20.399999999999999</v>
      </c>
    </row>
    <row r="211" spans="10:16">
      <c r="J211" s="5"/>
      <c r="L211">
        <f>RAVLT_Rec!M211</f>
        <v>-0.90365192999999999</v>
      </c>
      <c r="M211">
        <f>RAVLT_Rec!N211</f>
        <v>20.5</v>
      </c>
      <c r="O211" t="e">
        <f>ABS(L211-RAVLT_Rec!$C$34)</f>
        <v>#REF!</v>
      </c>
      <c r="P211">
        <f t="shared" si="4"/>
        <v>20.5</v>
      </c>
    </row>
    <row r="212" spans="10:16">
      <c r="J212" s="5"/>
      <c r="L212">
        <f>RAVLT_Rec!M212</f>
        <v>-0.89370807600000002</v>
      </c>
      <c r="M212">
        <f>RAVLT_Rec!N212</f>
        <v>20.6</v>
      </c>
      <c r="O212" t="e">
        <f>ABS(L212-RAVLT_Rec!$C$34)</f>
        <v>#REF!</v>
      </c>
      <c r="P212">
        <f t="shared" si="4"/>
        <v>20.6</v>
      </c>
    </row>
    <row r="213" spans="10:16">
      <c r="J213" s="5"/>
      <c r="L213">
        <f>RAVLT_Rec!M213</f>
        <v>-0.88376422200000004</v>
      </c>
      <c r="M213">
        <f>RAVLT_Rec!N213</f>
        <v>20.7</v>
      </c>
      <c r="O213" t="e">
        <f>ABS(L213-RAVLT_Rec!$C$34)</f>
        <v>#REF!</v>
      </c>
      <c r="P213">
        <f t="shared" si="4"/>
        <v>20.7</v>
      </c>
    </row>
    <row r="214" spans="10:16">
      <c r="J214" s="5"/>
      <c r="L214">
        <f>RAVLT_Rec!M214</f>
        <v>-0.87729800000000002</v>
      </c>
      <c r="M214">
        <f>RAVLT_Rec!N214</f>
        <v>20.8</v>
      </c>
      <c r="O214" t="e">
        <f>ABS(L214-RAVLT_Rec!$C$34)</f>
        <v>#REF!</v>
      </c>
      <c r="P214">
        <f t="shared" si="4"/>
        <v>20.8</v>
      </c>
    </row>
    <row r="215" spans="10:16">
      <c r="J215" s="5"/>
      <c r="L215">
        <f>RAVLT_Rec!M215</f>
        <v>-0.87729800000000002</v>
      </c>
      <c r="M215">
        <f>RAVLT_Rec!N215</f>
        <v>20.9</v>
      </c>
      <c r="O215" t="e">
        <f>ABS(L215-RAVLT_Rec!$C$34)</f>
        <v>#REF!</v>
      </c>
      <c r="P215">
        <f t="shared" si="4"/>
        <v>20.9</v>
      </c>
    </row>
    <row r="216" spans="10:16">
      <c r="J216" s="5"/>
      <c r="L216">
        <f>RAVLT_Rec!M216</f>
        <v>-0.87729800000000002</v>
      </c>
      <c r="M216">
        <f>RAVLT_Rec!N216</f>
        <v>21</v>
      </c>
      <c r="O216" t="e">
        <f>ABS(L216-RAVLT_Rec!$C$34)</f>
        <v>#REF!</v>
      </c>
      <c r="P216">
        <f t="shared" si="4"/>
        <v>21</v>
      </c>
    </row>
    <row r="217" spans="10:16">
      <c r="J217" s="5"/>
      <c r="L217">
        <f>RAVLT_Rec!M217</f>
        <v>-0.87729800000000002</v>
      </c>
      <c r="M217">
        <f>RAVLT_Rec!N217</f>
        <v>21.1</v>
      </c>
      <c r="O217" t="e">
        <f>ABS(L217-RAVLT_Rec!$C$34)</f>
        <v>#REF!</v>
      </c>
      <c r="P217">
        <f t="shared" si="4"/>
        <v>21.1</v>
      </c>
    </row>
    <row r="218" spans="10:16">
      <c r="J218" s="5"/>
      <c r="L218">
        <f>RAVLT_Rec!M218</f>
        <v>-0.87729800000000002</v>
      </c>
      <c r="M218">
        <f>RAVLT_Rec!N218</f>
        <v>21.2</v>
      </c>
      <c r="O218" t="e">
        <f>ABS(L218-RAVLT_Rec!$C$34)</f>
        <v>#REF!</v>
      </c>
      <c r="P218">
        <f t="shared" si="4"/>
        <v>21.2</v>
      </c>
    </row>
    <row r="219" spans="10:16">
      <c r="J219" s="5"/>
      <c r="L219">
        <f>RAVLT_Rec!M219</f>
        <v>-0.87729800000000002</v>
      </c>
      <c r="M219">
        <f>RAVLT_Rec!N219</f>
        <v>21.3</v>
      </c>
      <c r="O219" t="e">
        <f>ABS(L219-RAVLT_Rec!$C$34)</f>
        <v>#REF!</v>
      </c>
      <c r="P219">
        <f t="shared" si="4"/>
        <v>21.3</v>
      </c>
    </row>
    <row r="220" spans="10:16">
      <c r="J220" s="5"/>
      <c r="L220">
        <f>RAVLT_Rec!M220</f>
        <v>-0.855169124</v>
      </c>
      <c r="M220">
        <f>RAVLT_Rec!N220</f>
        <v>21.4</v>
      </c>
      <c r="O220" t="e">
        <f>ABS(L220-RAVLT_Rec!$C$34)</f>
        <v>#REF!</v>
      </c>
      <c r="P220">
        <f t="shared" si="4"/>
        <v>21.4</v>
      </c>
    </row>
    <row r="221" spans="10:16">
      <c r="J221" s="5"/>
      <c r="L221">
        <f>RAVLT_Rec!M221</f>
        <v>-0.83017169000000002</v>
      </c>
      <c r="M221">
        <f>RAVLT_Rec!N221</f>
        <v>21.5</v>
      </c>
      <c r="O221" t="e">
        <f>ABS(L221-RAVLT_Rec!$C$34)</f>
        <v>#REF!</v>
      </c>
      <c r="P221">
        <f t="shared" si="4"/>
        <v>21.5</v>
      </c>
    </row>
    <row r="222" spans="10:16">
      <c r="J222" s="5"/>
      <c r="L222">
        <f>RAVLT_Rec!M222</f>
        <v>-0.80425350399999995</v>
      </c>
      <c r="M222">
        <f>RAVLT_Rec!N222</f>
        <v>21.6</v>
      </c>
      <c r="O222" t="e">
        <f>ABS(L222-RAVLT_Rec!$C$34)</f>
        <v>#REF!</v>
      </c>
      <c r="P222">
        <f t="shared" si="4"/>
        <v>21.6</v>
      </c>
    </row>
    <row r="223" spans="10:16">
      <c r="J223" s="5"/>
      <c r="L223">
        <f>RAVLT_Rec!M223</f>
        <v>-0.77323829799999999</v>
      </c>
      <c r="M223">
        <f>RAVLT_Rec!N223</f>
        <v>21.7</v>
      </c>
      <c r="O223" t="e">
        <f>ABS(L223-RAVLT_Rec!$C$34)</f>
        <v>#REF!</v>
      </c>
      <c r="P223">
        <f t="shared" si="4"/>
        <v>21.7</v>
      </c>
    </row>
    <row r="224" spans="10:16">
      <c r="J224" s="5"/>
      <c r="L224">
        <f>RAVLT_Rec!M224</f>
        <v>-0.74222309200000003</v>
      </c>
      <c r="M224">
        <f>RAVLT_Rec!N224</f>
        <v>21.8</v>
      </c>
      <c r="O224" t="e">
        <f>ABS(L224-RAVLT_Rec!$C$34)</f>
        <v>#REF!</v>
      </c>
      <c r="P224">
        <f t="shared" si="4"/>
        <v>21.8</v>
      </c>
    </row>
    <row r="225" spans="10:16">
      <c r="J225" s="5"/>
      <c r="L225">
        <f>RAVLT_Rec!M225</f>
        <v>-0.72425799999999996</v>
      </c>
      <c r="M225">
        <f>RAVLT_Rec!N225</f>
        <v>21.9</v>
      </c>
      <c r="O225" t="e">
        <f>ABS(L225-RAVLT_Rec!$C$34)</f>
        <v>#REF!</v>
      </c>
      <c r="P225">
        <f t="shared" si="4"/>
        <v>21.9</v>
      </c>
    </row>
    <row r="226" spans="10:16">
      <c r="J226" s="5"/>
      <c r="L226">
        <f>RAVLT_Rec!M226</f>
        <v>-0.72425799999999996</v>
      </c>
      <c r="M226">
        <f>RAVLT_Rec!N226</f>
        <v>22</v>
      </c>
      <c r="O226" t="e">
        <f>ABS(L226-RAVLT_Rec!$C$34)</f>
        <v>#REF!</v>
      </c>
      <c r="P226">
        <f t="shared" si="4"/>
        <v>22</v>
      </c>
    </row>
    <row r="227" spans="10:16">
      <c r="J227" s="5"/>
      <c r="L227">
        <f>RAVLT_Rec!M227</f>
        <v>-0.72425799999999996</v>
      </c>
      <c r="M227">
        <f>RAVLT_Rec!N227</f>
        <v>22.1</v>
      </c>
      <c r="O227" t="e">
        <f>ABS(L227-RAVLT_Rec!$C$34)</f>
        <v>#REF!</v>
      </c>
      <c r="P227">
        <f t="shared" si="4"/>
        <v>22.1</v>
      </c>
    </row>
    <row r="228" spans="10:16">
      <c r="J228" s="5"/>
      <c r="L228">
        <f>RAVLT_Rec!M228</f>
        <v>-0.71252563599999996</v>
      </c>
      <c r="M228">
        <f>RAVLT_Rec!N228</f>
        <v>22.2</v>
      </c>
      <c r="O228" t="e">
        <f>ABS(L228-RAVLT_Rec!$C$34)</f>
        <v>#REF!</v>
      </c>
      <c r="P228">
        <f t="shared" si="4"/>
        <v>22.2</v>
      </c>
    </row>
    <row r="229" spans="10:16">
      <c r="J229" s="5"/>
      <c r="L229">
        <f>RAVLT_Rec!M229</f>
        <v>-0.695485774</v>
      </c>
      <c r="M229">
        <f>RAVLT_Rec!N229</f>
        <v>22.3</v>
      </c>
      <c r="O229" t="e">
        <f>ABS(L229-RAVLT_Rec!$C$34)</f>
        <v>#REF!</v>
      </c>
      <c r="P229">
        <f t="shared" si="4"/>
        <v>22.3</v>
      </c>
    </row>
    <row r="230" spans="10:16">
      <c r="J230" s="5"/>
      <c r="L230">
        <f>RAVLT_Rec!M230</f>
        <v>-0.67844591200000004</v>
      </c>
      <c r="M230">
        <f>RAVLT_Rec!N230</f>
        <v>22.4</v>
      </c>
      <c r="O230" t="e">
        <f>ABS(L230-RAVLT_Rec!$C$34)</f>
        <v>#REF!</v>
      </c>
      <c r="P230">
        <f t="shared" si="4"/>
        <v>22.4</v>
      </c>
    </row>
    <row r="231" spans="10:16">
      <c r="J231" s="5"/>
      <c r="L231">
        <f>RAVLT_Rec!M231</f>
        <v>-0.67504240000000004</v>
      </c>
      <c r="M231">
        <f>RAVLT_Rec!N231</f>
        <v>22.5</v>
      </c>
      <c r="O231" t="e">
        <f>ABS(L231-RAVLT_Rec!$C$34)</f>
        <v>#REF!</v>
      </c>
      <c r="P231">
        <f t="shared" si="4"/>
        <v>22.5</v>
      </c>
    </row>
    <row r="232" spans="10:16">
      <c r="J232" s="5"/>
      <c r="L232">
        <f>RAVLT_Rec!M232</f>
        <v>-0.672262264</v>
      </c>
      <c r="M232">
        <f>RAVLT_Rec!N232</f>
        <v>22.6</v>
      </c>
      <c r="O232" t="e">
        <f>ABS(L232-RAVLT_Rec!$C$34)</f>
        <v>#REF!</v>
      </c>
      <c r="P232">
        <f t="shared" si="4"/>
        <v>22.6</v>
      </c>
    </row>
    <row r="233" spans="10:16">
      <c r="J233" s="5"/>
      <c r="L233">
        <f>RAVLT_Rec!M233</f>
        <v>-0.66814208399999997</v>
      </c>
      <c r="M233">
        <f>RAVLT_Rec!N233</f>
        <v>22.7</v>
      </c>
      <c r="O233" t="e">
        <f>ABS(L233-RAVLT_Rec!$C$34)</f>
        <v>#REF!</v>
      </c>
      <c r="P233">
        <f t="shared" si="4"/>
        <v>22.7</v>
      </c>
    </row>
    <row r="234" spans="10:16">
      <c r="J234" s="5"/>
      <c r="L234">
        <f>RAVLT_Rec!M234</f>
        <v>-0.659380776</v>
      </c>
      <c r="M234">
        <f>RAVLT_Rec!N234</f>
        <v>22.8</v>
      </c>
      <c r="O234" t="e">
        <f>ABS(L234-RAVLT_Rec!$C$34)</f>
        <v>#REF!</v>
      </c>
      <c r="P234">
        <f t="shared" si="4"/>
        <v>22.8</v>
      </c>
    </row>
    <row r="235" spans="10:16">
      <c r="J235" s="5"/>
      <c r="L235">
        <f>RAVLT_Rec!M235</f>
        <v>-0.65061946800000003</v>
      </c>
      <c r="M235">
        <f>RAVLT_Rec!N235</f>
        <v>22.9</v>
      </c>
      <c r="O235" t="e">
        <f>ABS(L235-RAVLT_Rec!$C$34)</f>
        <v>#REF!</v>
      </c>
      <c r="P235">
        <f t="shared" si="4"/>
        <v>22.9</v>
      </c>
    </row>
    <row r="236" spans="10:16">
      <c r="J236" s="5"/>
      <c r="L236">
        <f>RAVLT_Rec!M236</f>
        <v>-0.64228547999999996</v>
      </c>
      <c r="M236">
        <f>RAVLT_Rec!N236</f>
        <v>23</v>
      </c>
      <c r="O236" t="e">
        <f>ABS(L236-RAVLT_Rec!$C$34)</f>
        <v>#REF!</v>
      </c>
      <c r="P236">
        <f t="shared" si="4"/>
        <v>23</v>
      </c>
    </row>
    <row r="237" spans="10:16">
      <c r="J237" s="5"/>
      <c r="L237">
        <f>RAVLT_Rec!M237</f>
        <v>-0.63439305599999996</v>
      </c>
      <c r="M237">
        <f>RAVLT_Rec!N237</f>
        <v>23.1</v>
      </c>
      <c r="O237" t="e">
        <f>ABS(L237-RAVLT_Rec!$C$34)</f>
        <v>#REF!</v>
      </c>
      <c r="P237">
        <f t="shared" si="4"/>
        <v>23.1</v>
      </c>
    </row>
    <row r="238" spans="10:16">
      <c r="J238" s="5"/>
      <c r="L238">
        <f>RAVLT_Rec!M238</f>
        <v>-0.62650063199999995</v>
      </c>
      <c r="M238">
        <f>RAVLT_Rec!N238</f>
        <v>23.2</v>
      </c>
      <c r="O238" t="e">
        <f>ABS(L238-RAVLT_Rec!$C$34)</f>
        <v>#REF!</v>
      </c>
      <c r="P238">
        <f t="shared" si="4"/>
        <v>23.2</v>
      </c>
    </row>
    <row r="239" spans="10:16">
      <c r="J239" s="5"/>
      <c r="L239">
        <f>RAVLT_Rec!M239</f>
        <v>-0.61910555</v>
      </c>
      <c r="M239">
        <f>RAVLT_Rec!N239</f>
        <v>23.3</v>
      </c>
      <c r="O239" t="e">
        <f>ABS(L239-RAVLT_Rec!$C$34)</f>
        <v>#REF!</v>
      </c>
      <c r="P239">
        <f t="shared" si="4"/>
        <v>23.3</v>
      </c>
    </row>
    <row r="240" spans="10:16">
      <c r="J240" s="5"/>
      <c r="L240">
        <f>RAVLT_Rec!M240</f>
        <v>-0.61186790000000002</v>
      </c>
      <c r="M240">
        <f>RAVLT_Rec!N240</f>
        <v>23.4</v>
      </c>
      <c r="O240" t="e">
        <f>ABS(L240-RAVLT_Rec!$C$34)</f>
        <v>#REF!</v>
      </c>
      <c r="P240">
        <f t="shared" si="4"/>
        <v>23.4</v>
      </c>
    </row>
    <row r="241" spans="10:16">
      <c r="J241" s="5"/>
      <c r="L241">
        <f>RAVLT_Rec!M241</f>
        <v>-0.60464311999999998</v>
      </c>
      <c r="M241">
        <f>RAVLT_Rec!N241</f>
        <v>23.5</v>
      </c>
      <c r="O241" t="e">
        <f>ABS(L241-RAVLT_Rec!$C$34)</f>
        <v>#REF!</v>
      </c>
      <c r="P241">
        <f t="shared" si="4"/>
        <v>23.5</v>
      </c>
    </row>
    <row r="242" spans="10:16">
      <c r="J242" s="5"/>
      <c r="L242">
        <f>RAVLT_Rec!M242</f>
        <v>-0.59787651200000003</v>
      </c>
      <c r="M242">
        <f>RAVLT_Rec!N242</f>
        <v>23.6</v>
      </c>
      <c r="O242" t="e">
        <f>ABS(L242-RAVLT_Rec!$C$34)</f>
        <v>#REF!</v>
      </c>
      <c r="P242">
        <f t="shared" si="4"/>
        <v>23.6</v>
      </c>
    </row>
    <row r="243" spans="10:16">
      <c r="J243" s="5"/>
      <c r="L243">
        <f>RAVLT_Rec!M243</f>
        <v>-0.59110990399999996</v>
      </c>
      <c r="M243">
        <f>RAVLT_Rec!N243</f>
        <v>23.7</v>
      </c>
      <c r="O243" t="e">
        <f>ABS(L243-RAVLT_Rec!$C$34)</f>
        <v>#REF!</v>
      </c>
      <c r="P243">
        <f t="shared" si="4"/>
        <v>23.7</v>
      </c>
    </row>
    <row r="244" spans="10:16">
      <c r="J244" s="5"/>
      <c r="L244">
        <f>RAVLT_Rec!M244</f>
        <v>-0.58633999999999997</v>
      </c>
      <c r="M244">
        <f>RAVLT_Rec!N244</f>
        <v>23.8</v>
      </c>
      <c r="O244" t="e">
        <f>ABS(L244-RAVLT_Rec!$C$34)</f>
        <v>#REF!</v>
      </c>
      <c r="P244">
        <f t="shared" si="4"/>
        <v>23.8</v>
      </c>
    </row>
    <row r="245" spans="10:16">
      <c r="J245" s="5"/>
      <c r="L245">
        <f>RAVLT_Rec!M245</f>
        <v>-0.58633999999999997</v>
      </c>
      <c r="M245">
        <f>RAVLT_Rec!N245</f>
        <v>23.9</v>
      </c>
      <c r="O245" t="e">
        <f>ABS(L245-RAVLT_Rec!$C$34)</f>
        <v>#REF!</v>
      </c>
      <c r="P245">
        <f t="shared" si="4"/>
        <v>23.9</v>
      </c>
    </row>
    <row r="246" spans="10:16">
      <c r="J246" s="5"/>
      <c r="L246">
        <f>RAVLT_Rec!M246</f>
        <v>-0.58633999999999997</v>
      </c>
      <c r="M246">
        <f>RAVLT_Rec!N246</f>
        <v>24</v>
      </c>
      <c r="O246" t="e">
        <f>ABS(L246-RAVLT_Rec!$C$34)</f>
        <v>#REF!</v>
      </c>
      <c r="P246">
        <f t="shared" si="4"/>
        <v>24</v>
      </c>
    </row>
    <row r="247" spans="10:16">
      <c r="J247" s="5"/>
      <c r="L247">
        <f>RAVLT_Rec!M247</f>
        <v>-0.58633999999999997</v>
      </c>
      <c r="M247">
        <f>RAVLT_Rec!N247</f>
        <v>24.1</v>
      </c>
      <c r="O247" t="e">
        <f>ABS(L247-RAVLT_Rec!$C$34)</f>
        <v>#REF!</v>
      </c>
      <c r="P247">
        <f t="shared" si="4"/>
        <v>24.1</v>
      </c>
    </row>
    <row r="248" spans="10:16">
      <c r="J248" s="5"/>
      <c r="L248">
        <f>RAVLT_Rec!M248</f>
        <v>-0.58633999999999997</v>
      </c>
      <c r="M248">
        <f>RAVLT_Rec!N248</f>
        <v>24.2</v>
      </c>
      <c r="O248" t="e">
        <f>ABS(L248-RAVLT_Rec!$C$34)</f>
        <v>#REF!</v>
      </c>
      <c r="P248">
        <f t="shared" si="4"/>
        <v>24.2</v>
      </c>
    </row>
    <row r="249" spans="10:16">
      <c r="J249" s="5"/>
      <c r="L249">
        <f>RAVLT_Rec!M249</f>
        <v>-0.58633999999999997</v>
      </c>
      <c r="M249">
        <f>RAVLT_Rec!N249</f>
        <v>24.3</v>
      </c>
      <c r="O249" t="e">
        <f>ABS(L249-RAVLT_Rec!$C$34)</f>
        <v>#REF!</v>
      </c>
      <c r="P249">
        <f t="shared" si="4"/>
        <v>24.3</v>
      </c>
    </row>
    <row r="250" spans="10:16">
      <c r="J250" s="5"/>
      <c r="L250">
        <f>RAVLT_Rec!M250</f>
        <v>-0.58633999999999997</v>
      </c>
      <c r="M250">
        <f>RAVLT_Rec!N250</f>
        <v>24.4</v>
      </c>
      <c r="O250" t="e">
        <f>ABS(L250-RAVLT_Rec!$C$34)</f>
        <v>#REF!</v>
      </c>
      <c r="P250">
        <f t="shared" si="4"/>
        <v>24.4</v>
      </c>
    </row>
    <row r="251" spans="10:16">
      <c r="J251" s="5"/>
      <c r="L251">
        <f>RAVLT_Rec!M251</f>
        <v>-0.58633999999999997</v>
      </c>
      <c r="M251">
        <f>RAVLT_Rec!N251</f>
        <v>24.5</v>
      </c>
      <c r="O251" t="e">
        <f>ABS(L251-RAVLT_Rec!$C$34)</f>
        <v>#REF!</v>
      </c>
      <c r="P251">
        <f t="shared" si="4"/>
        <v>24.5</v>
      </c>
    </row>
    <row r="252" spans="10:16">
      <c r="J252" s="5"/>
      <c r="L252">
        <f>RAVLT_Rec!M252</f>
        <v>-0.58616914399999998</v>
      </c>
      <c r="M252">
        <f>RAVLT_Rec!N252</f>
        <v>24.6</v>
      </c>
      <c r="O252" t="e">
        <f>ABS(L252-RAVLT_Rec!$C$34)</f>
        <v>#REF!</v>
      </c>
      <c r="P252">
        <f t="shared" si="4"/>
        <v>24.6</v>
      </c>
    </row>
    <row r="253" spans="10:16">
      <c r="J253" s="5"/>
      <c r="L253">
        <f>RAVLT_Rec!M253</f>
        <v>-0.58443210800000001</v>
      </c>
      <c r="M253">
        <f>RAVLT_Rec!N253</f>
        <v>24.7</v>
      </c>
      <c r="O253" t="e">
        <f>ABS(L253-RAVLT_Rec!$C$34)</f>
        <v>#REF!</v>
      </c>
      <c r="P253">
        <f t="shared" si="4"/>
        <v>24.7</v>
      </c>
    </row>
    <row r="254" spans="10:16">
      <c r="J254" s="5"/>
      <c r="L254">
        <f>RAVLT_Rec!M254</f>
        <v>-0.58269507200000004</v>
      </c>
      <c r="M254">
        <f>RAVLT_Rec!N254</f>
        <v>24.8</v>
      </c>
      <c r="O254" t="e">
        <f>ABS(L254-RAVLT_Rec!$C$34)</f>
        <v>#REF!</v>
      </c>
      <c r="P254">
        <f t="shared" si="4"/>
        <v>24.8</v>
      </c>
    </row>
    <row r="255" spans="10:16">
      <c r="J255" s="5"/>
      <c r="L255">
        <f>RAVLT_Rec!M255</f>
        <v>-0.58159400000000006</v>
      </c>
      <c r="M255">
        <f>RAVLT_Rec!N255</f>
        <v>24.9</v>
      </c>
      <c r="O255" t="e">
        <f>ABS(L255-RAVLT_Rec!$C$34)</f>
        <v>#REF!</v>
      </c>
      <c r="P255">
        <f t="shared" si="4"/>
        <v>24.9</v>
      </c>
    </row>
    <row r="256" spans="10:16">
      <c r="J256" s="5"/>
      <c r="L256">
        <f>RAVLT_Rec!M256</f>
        <v>-0.58159400000000006</v>
      </c>
      <c r="M256">
        <f>RAVLT_Rec!N256</f>
        <v>25</v>
      </c>
      <c r="O256" t="e">
        <f>ABS(L256-RAVLT_Rec!$C$34)</f>
        <v>#REF!</v>
      </c>
      <c r="P256">
        <f t="shared" si="4"/>
        <v>25</v>
      </c>
    </row>
    <row r="257" spans="10:16">
      <c r="J257" s="5"/>
      <c r="L257">
        <f>RAVLT_Rec!M257</f>
        <v>-0.58159400000000006</v>
      </c>
      <c r="M257">
        <f>RAVLT_Rec!N257</f>
        <v>25.1</v>
      </c>
      <c r="O257" t="e">
        <f>ABS(L257-RAVLT_Rec!$C$34)</f>
        <v>#REF!</v>
      </c>
      <c r="P257">
        <f t="shared" si="4"/>
        <v>25.1</v>
      </c>
    </row>
    <row r="258" spans="10:16">
      <c r="J258" s="5"/>
      <c r="L258">
        <f>RAVLT_Rec!M258</f>
        <v>-0.58159400000000006</v>
      </c>
      <c r="M258">
        <f>RAVLT_Rec!N258</f>
        <v>25.2</v>
      </c>
      <c r="O258" t="e">
        <f>ABS(L258-RAVLT_Rec!$C$34)</f>
        <v>#REF!</v>
      </c>
      <c r="P258">
        <f t="shared" si="4"/>
        <v>25.2</v>
      </c>
    </row>
    <row r="259" spans="10:16">
      <c r="J259" s="5"/>
      <c r="L259">
        <f>RAVLT_Rec!M259</f>
        <v>-0.58159400000000006</v>
      </c>
      <c r="M259">
        <f>RAVLT_Rec!N259</f>
        <v>25.3</v>
      </c>
      <c r="O259" t="e">
        <f>ABS(L259-RAVLT_Rec!$C$34)</f>
        <v>#REF!</v>
      </c>
      <c r="P259">
        <f t="shared" si="4"/>
        <v>25.3</v>
      </c>
    </row>
    <row r="260" spans="10:16">
      <c r="J260" s="5"/>
      <c r="L260">
        <f>RAVLT_Rec!M260</f>
        <v>-0.58159400000000006</v>
      </c>
      <c r="M260">
        <f>RAVLT_Rec!N260</f>
        <v>25.4</v>
      </c>
      <c r="O260" t="e">
        <f>ABS(L260-RAVLT_Rec!$C$34)</f>
        <v>#REF!</v>
      </c>
      <c r="P260">
        <f t="shared" si="4"/>
        <v>25.4</v>
      </c>
    </row>
    <row r="261" spans="10:16">
      <c r="J261" s="5"/>
      <c r="L261">
        <f>RAVLT_Rec!M261</f>
        <v>-0.58159400000000006</v>
      </c>
      <c r="M261">
        <f>RAVLT_Rec!N261</f>
        <v>25.5</v>
      </c>
      <c r="O261" t="e">
        <f>ABS(L261-RAVLT_Rec!$C$34)</f>
        <v>#REF!</v>
      </c>
      <c r="P261">
        <f t="shared" si="4"/>
        <v>25.5</v>
      </c>
    </row>
    <row r="262" spans="10:16">
      <c r="J262" s="5"/>
      <c r="L262">
        <f>RAVLT_Rec!M262</f>
        <v>-0.58159400000000006</v>
      </c>
      <c r="M262">
        <f>RAVLT_Rec!N262</f>
        <v>25.6</v>
      </c>
      <c r="O262" t="e">
        <f>ABS(L262-RAVLT_Rec!$C$34)</f>
        <v>#REF!</v>
      </c>
      <c r="P262">
        <f t="shared" si="4"/>
        <v>25.6</v>
      </c>
    </row>
    <row r="263" spans="10:16">
      <c r="J263" s="5"/>
      <c r="L263">
        <f>RAVLT_Rec!M263</f>
        <v>-0.58159400000000006</v>
      </c>
      <c r="M263">
        <f>RAVLT_Rec!N263</f>
        <v>25.7</v>
      </c>
      <c r="O263" t="e">
        <f>ABS(L263-RAVLT_Rec!$C$34)</f>
        <v>#REF!</v>
      </c>
      <c r="P263">
        <f t="shared" ref="P263:P326" si="5">M263</f>
        <v>25.7</v>
      </c>
    </row>
    <row r="264" spans="10:16">
      <c r="J264" s="5"/>
      <c r="L264">
        <f>RAVLT_Rec!M264</f>
        <v>-0.58159400000000006</v>
      </c>
      <c r="M264">
        <f>RAVLT_Rec!N264</f>
        <v>25.8</v>
      </c>
      <c r="O264" t="e">
        <f>ABS(L264-RAVLT_Rec!$C$34)</f>
        <v>#REF!</v>
      </c>
      <c r="P264">
        <f t="shared" si="5"/>
        <v>25.8</v>
      </c>
    </row>
    <row r="265" spans="10:16">
      <c r="J265" s="5"/>
      <c r="L265">
        <f>RAVLT_Rec!M265</f>
        <v>-0.58159400000000006</v>
      </c>
      <c r="M265">
        <f>RAVLT_Rec!N265</f>
        <v>25.9</v>
      </c>
      <c r="O265" t="e">
        <f>ABS(L265-RAVLT_Rec!$C$34)</f>
        <v>#REF!</v>
      </c>
      <c r="P265">
        <f t="shared" si="5"/>
        <v>25.9</v>
      </c>
    </row>
    <row r="266" spans="10:16">
      <c r="J266" s="5"/>
      <c r="L266">
        <f>RAVLT_Rec!M266</f>
        <v>-0.58159400000000006</v>
      </c>
      <c r="M266">
        <f>RAVLT_Rec!N266</f>
        <v>26</v>
      </c>
      <c r="O266" t="e">
        <f>ABS(L266-RAVLT_Rec!$C$34)</f>
        <v>#REF!</v>
      </c>
      <c r="P266">
        <f t="shared" si="5"/>
        <v>26</v>
      </c>
    </row>
    <row r="267" spans="10:16">
      <c r="J267" s="5"/>
      <c r="L267">
        <f>RAVLT_Rec!M267</f>
        <v>-0.58159400000000006</v>
      </c>
      <c r="M267">
        <f>RAVLT_Rec!N267</f>
        <v>26.1</v>
      </c>
      <c r="O267" t="e">
        <f>ABS(L267-RAVLT_Rec!$C$34)</f>
        <v>#REF!</v>
      </c>
      <c r="P267">
        <f t="shared" si="5"/>
        <v>26.1</v>
      </c>
    </row>
    <row r="268" spans="10:16">
      <c r="J268" s="5"/>
      <c r="L268">
        <f>RAVLT_Rec!M268</f>
        <v>-0.58159400000000006</v>
      </c>
      <c r="M268">
        <f>RAVLT_Rec!N268</f>
        <v>26.2</v>
      </c>
      <c r="O268" t="e">
        <f>ABS(L268-RAVLT_Rec!$C$34)</f>
        <v>#REF!</v>
      </c>
      <c r="P268">
        <f t="shared" si="5"/>
        <v>26.2</v>
      </c>
    </row>
    <row r="269" spans="10:16">
      <c r="J269" s="5"/>
      <c r="L269">
        <f>RAVLT_Rec!M269</f>
        <v>-0.57826528399999999</v>
      </c>
      <c r="M269">
        <f>RAVLT_Rec!N269</f>
        <v>26.3</v>
      </c>
      <c r="O269" t="e">
        <f>ABS(L269-RAVLT_Rec!$C$34)</f>
        <v>#REF!</v>
      </c>
      <c r="P269">
        <f t="shared" si="5"/>
        <v>26.3</v>
      </c>
    </row>
    <row r="270" spans="10:16">
      <c r="J270" s="5"/>
      <c r="L270">
        <f>RAVLT_Rec!M270</f>
        <v>-0.57354315199999995</v>
      </c>
      <c r="M270">
        <f>RAVLT_Rec!N270</f>
        <v>26.4</v>
      </c>
      <c r="O270" t="e">
        <f>ABS(L270-RAVLT_Rec!$C$34)</f>
        <v>#REF!</v>
      </c>
      <c r="P270">
        <f t="shared" si="5"/>
        <v>26.4</v>
      </c>
    </row>
    <row r="271" spans="10:16">
      <c r="J271" s="5"/>
      <c r="L271">
        <f>RAVLT_Rec!M271</f>
        <v>-0.56882102000000001</v>
      </c>
      <c r="M271">
        <f>RAVLT_Rec!N271</f>
        <v>26.5</v>
      </c>
      <c r="O271" t="e">
        <f>ABS(L271-RAVLT_Rec!$C$34)</f>
        <v>#REF!</v>
      </c>
      <c r="P271">
        <f t="shared" si="5"/>
        <v>26.5</v>
      </c>
    </row>
    <row r="272" spans="10:16">
      <c r="J272" s="5"/>
      <c r="L272">
        <f>RAVLT_Rec!M272</f>
        <v>-0.56869199999999998</v>
      </c>
      <c r="M272">
        <f>RAVLT_Rec!N272</f>
        <v>26.6</v>
      </c>
      <c r="O272" t="e">
        <f>ABS(L272-RAVLT_Rec!$C$34)</f>
        <v>#REF!</v>
      </c>
      <c r="P272">
        <f t="shared" si="5"/>
        <v>26.6</v>
      </c>
    </row>
    <row r="273" spans="10:16">
      <c r="J273" s="5"/>
      <c r="L273">
        <f>RAVLT_Rec!M273</f>
        <v>-0.56869199999999998</v>
      </c>
      <c r="M273">
        <f>RAVLT_Rec!N273</f>
        <v>26.7</v>
      </c>
      <c r="O273" t="e">
        <f>ABS(L273-RAVLT_Rec!$C$34)</f>
        <v>#REF!</v>
      </c>
      <c r="P273">
        <f t="shared" si="5"/>
        <v>26.7</v>
      </c>
    </row>
    <row r="274" spans="10:16">
      <c r="J274" s="5"/>
      <c r="L274">
        <f>RAVLT_Rec!M274</f>
        <v>-0.56717593600000005</v>
      </c>
      <c r="M274">
        <f>RAVLT_Rec!N274</f>
        <v>26.8</v>
      </c>
      <c r="O274" t="e">
        <f>ABS(L274-RAVLT_Rec!$C$34)</f>
        <v>#REF!</v>
      </c>
      <c r="P274">
        <f t="shared" si="5"/>
        <v>26.8</v>
      </c>
    </row>
    <row r="275" spans="10:16">
      <c r="J275" s="5"/>
      <c r="L275">
        <f>RAVLT_Rec!M275</f>
        <v>-0.56087048799999994</v>
      </c>
      <c r="M275">
        <f>RAVLT_Rec!N275</f>
        <v>26.9</v>
      </c>
      <c r="O275" t="e">
        <f>ABS(L275-RAVLT_Rec!$C$34)</f>
        <v>#REF!</v>
      </c>
      <c r="P275">
        <f t="shared" si="5"/>
        <v>26.9</v>
      </c>
    </row>
    <row r="276" spans="10:16">
      <c r="J276" s="5"/>
      <c r="L276">
        <f>RAVLT_Rec!M276</f>
        <v>-0.55456503999999995</v>
      </c>
      <c r="M276">
        <f>RAVLT_Rec!N276</f>
        <v>27</v>
      </c>
      <c r="O276" t="e">
        <f>ABS(L276-RAVLT_Rec!$C$34)</f>
        <v>#REF!</v>
      </c>
      <c r="P276">
        <f t="shared" si="5"/>
        <v>27</v>
      </c>
    </row>
    <row r="277" spans="10:16">
      <c r="J277" s="5"/>
      <c r="L277">
        <f>RAVLT_Rec!M277</f>
        <v>-0.55146399999999995</v>
      </c>
      <c r="M277">
        <f>RAVLT_Rec!N277</f>
        <v>27.1</v>
      </c>
      <c r="O277" t="e">
        <f>ABS(L277-RAVLT_Rec!$C$34)</f>
        <v>#REF!</v>
      </c>
      <c r="P277">
        <f t="shared" si="5"/>
        <v>27.1</v>
      </c>
    </row>
    <row r="278" spans="10:16">
      <c r="J278" s="5"/>
      <c r="L278">
        <f>RAVLT_Rec!M278</f>
        <v>-0.55146399999999995</v>
      </c>
      <c r="M278">
        <f>RAVLT_Rec!N278</f>
        <v>27.2</v>
      </c>
      <c r="O278" t="e">
        <f>ABS(L278-RAVLT_Rec!$C$34)</f>
        <v>#REF!</v>
      </c>
      <c r="P278">
        <f t="shared" si="5"/>
        <v>27.2</v>
      </c>
    </row>
    <row r="279" spans="10:16">
      <c r="J279" s="5"/>
      <c r="L279">
        <f>RAVLT_Rec!M279</f>
        <v>-0.55146399999999995</v>
      </c>
      <c r="M279">
        <f>RAVLT_Rec!N279</f>
        <v>27.3</v>
      </c>
      <c r="O279" t="e">
        <f>ABS(L279-RAVLT_Rec!$C$34)</f>
        <v>#REF!</v>
      </c>
      <c r="P279">
        <f t="shared" si="5"/>
        <v>27.3</v>
      </c>
    </row>
    <row r="280" spans="10:16">
      <c r="J280" s="5"/>
      <c r="L280">
        <f>RAVLT_Rec!M280</f>
        <v>-0.546536032</v>
      </c>
      <c r="M280">
        <f>RAVLT_Rec!N280</f>
        <v>27.4</v>
      </c>
      <c r="O280" t="e">
        <f>ABS(L280-RAVLT_Rec!$C$34)</f>
        <v>#REF!</v>
      </c>
      <c r="P280">
        <f t="shared" si="5"/>
        <v>27.4</v>
      </c>
    </row>
    <row r="281" spans="10:16">
      <c r="J281" s="5"/>
      <c r="L281">
        <f>RAVLT_Rec!M281</f>
        <v>-0.54018520000000003</v>
      </c>
      <c r="M281">
        <f>RAVLT_Rec!N281</f>
        <v>27.5</v>
      </c>
      <c r="O281" t="e">
        <f>ABS(L281-RAVLT_Rec!$C$34)</f>
        <v>#REF!</v>
      </c>
      <c r="P281">
        <f t="shared" si="5"/>
        <v>27.5</v>
      </c>
    </row>
    <row r="282" spans="10:16">
      <c r="J282" s="5"/>
      <c r="L282">
        <f>RAVLT_Rec!M282</f>
        <v>-0.53383263999999997</v>
      </c>
      <c r="M282">
        <f>RAVLT_Rec!N282</f>
        <v>27.6</v>
      </c>
      <c r="O282" t="e">
        <f>ABS(L282-RAVLT_Rec!$C$34)</f>
        <v>#REF!</v>
      </c>
      <c r="P282">
        <f t="shared" si="5"/>
        <v>27.6</v>
      </c>
    </row>
    <row r="283" spans="10:16">
      <c r="J283" s="5"/>
      <c r="L283">
        <f>RAVLT_Rec!M283</f>
        <v>-0.52744228000000004</v>
      </c>
      <c r="M283">
        <f>RAVLT_Rec!N283</f>
        <v>27.7</v>
      </c>
      <c r="O283" t="e">
        <f>ABS(L283-RAVLT_Rec!$C$34)</f>
        <v>#REF!</v>
      </c>
      <c r="P283">
        <f t="shared" si="5"/>
        <v>27.7</v>
      </c>
    </row>
    <row r="284" spans="10:16">
      <c r="J284" s="5"/>
      <c r="L284">
        <f>RAVLT_Rec!M284</f>
        <v>-0.52105192</v>
      </c>
      <c r="M284">
        <f>RAVLT_Rec!N284</f>
        <v>27.8</v>
      </c>
      <c r="O284" t="e">
        <f>ABS(L284-RAVLT_Rec!$C$34)</f>
        <v>#REF!</v>
      </c>
      <c r="P284">
        <f t="shared" si="5"/>
        <v>27.8</v>
      </c>
    </row>
    <row r="285" spans="10:16">
      <c r="J285" s="5"/>
      <c r="L285">
        <f>RAVLT_Rec!M285</f>
        <v>-0.51455690799999998</v>
      </c>
      <c r="M285">
        <f>RAVLT_Rec!N285</f>
        <v>27.9</v>
      </c>
      <c r="O285" t="e">
        <f>ABS(L285-RAVLT_Rec!$C$34)</f>
        <v>#REF!</v>
      </c>
      <c r="P285">
        <f t="shared" si="5"/>
        <v>27.9</v>
      </c>
    </row>
    <row r="286" spans="10:16">
      <c r="J286" s="5"/>
      <c r="L286">
        <f>RAVLT_Rec!M286</f>
        <v>-0.50783056000000004</v>
      </c>
      <c r="M286">
        <f>RAVLT_Rec!N286</f>
        <v>28</v>
      </c>
      <c r="O286" t="e">
        <f>ABS(L286-RAVLT_Rec!$C$34)</f>
        <v>#REF!</v>
      </c>
      <c r="P286">
        <f t="shared" si="5"/>
        <v>28</v>
      </c>
    </row>
    <row r="287" spans="10:16">
      <c r="J287" s="5"/>
      <c r="L287">
        <f>RAVLT_Rec!M287</f>
        <v>-0.50110421199999999</v>
      </c>
      <c r="M287">
        <f>RAVLT_Rec!N287</f>
        <v>28.1</v>
      </c>
      <c r="O287" t="e">
        <f>ABS(L287-RAVLT_Rec!$C$34)</f>
        <v>#REF!</v>
      </c>
      <c r="P287">
        <f t="shared" si="5"/>
        <v>28.1</v>
      </c>
    </row>
    <row r="288" spans="10:16">
      <c r="J288" s="5"/>
      <c r="L288">
        <f>RAVLT_Rec!M288</f>
        <v>-0.49827399999999999</v>
      </c>
      <c r="M288">
        <f>RAVLT_Rec!N288</f>
        <v>28.2</v>
      </c>
      <c r="O288" t="e">
        <f>ABS(L288-RAVLT_Rec!$C$34)</f>
        <v>#REF!</v>
      </c>
      <c r="P288">
        <f t="shared" si="5"/>
        <v>28.2</v>
      </c>
    </row>
    <row r="289" spans="10:16">
      <c r="J289" s="5"/>
      <c r="L289">
        <f>RAVLT_Rec!M289</f>
        <v>-0.49827399999999999</v>
      </c>
      <c r="M289">
        <f>RAVLT_Rec!N289</f>
        <v>28.3</v>
      </c>
      <c r="O289" t="e">
        <f>ABS(L289-RAVLT_Rec!$C$34)</f>
        <v>#REF!</v>
      </c>
      <c r="P289">
        <f t="shared" si="5"/>
        <v>28.3</v>
      </c>
    </row>
    <row r="290" spans="10:16">
      <c r="J290" s="5"/>
      <c r="L290">
        <f>RAVLT_Rec!M290</f>
        <v>-0.49827399999999999</v>
      </c>
      <c r="M290">
        <f>RAVLT_Rec!N290</f>
        <v>28.4</v>
      </c>
      <c r="O290" t="e">
        <f>ABS(L290-RAVLT_Rec!$C$34)</f>
        <v>#REF!</v>
      </c>
      <c r="P290">
        <f t="shared" si="5"/>
        <v>28.4</v>
      </c>
    </row>
    <row r="291" spans="10:16">
      <c r="J291" s="5"/>
      <c r="L291">
        <f>RAVLT_Rec!M291</f>
        <v>-0.49827399999999999</v>
      </c>
      <c r="M291">
        <f>RAVLT_Rec!N291</f>
        <v>28.5</v>
      </c>
      <c r="O291" t="e">
        <f>ABS(L291-RAVLT_Rec!$C$34)</f>
        <v>#REF!</v>
      </c>
      <c r="P291">
        <f t="shared" si="5"/>
        <v>28.5</v>
      </c>
    </row>
    <row r="292" spans="10:16">
      <c r="J292" s="5"/>
      <c r="L292">
        <f>RAVLT_Rec!M292</f>
        <v>-0.49827399999999999</v>
      </c>
      <c r="M292">
        <f>RAVLT_Rec!N292</f>
        <v>28.6</v>
      </c>
      <c r="O292" t="e">
        <f>ABS(L292-RAVLT_Rec!$C$34)</f>
        <v>#REF!</v>
      </c>
      <c r="P292">
        <f t="shared" si="5"/>
        <v>28.6</v>
      </c>
    </row>
    <row r="293" spans="10:16">
      <c r="J293" s="5"/>
      <c r="L293">
        <f>RAVLT_Rec!M293</f>
        <v>-0.49827399999999999</v>
      </c>
      <c r="M293">
        <f>RAVLT_Rec!N293</f>
        <v>28.7</v>
      </c>
      <c r="O293" t="e">
        <f>ABS(L293-RAVLT_Rec!$C$34)</f>
        <v>#REF!</v>
      </c>
      <c r="P293">
        <f t="shared" si="5"/>
        <v>28.7</v>
      </c>
    </row>
    <row r="294" spans="10:16">
      <c r="J294" s="5"/>
      <c r="L294">
        <f>RAVLT_Rec!M294</f>
        <v>-0.49827399999999999</v>
      </c>
      <c r="M294">
        <f>RAVLT_Rec!N294</f>
        <v>28.8</v>
      </c>
      <c r="O294" t="e">
        <f>ABS(L294-RAVLT_Rec!$C$34)</f>
        <v>#REF!</v>
      </c>
      <c r="P294">
        <f t="shared" si="5"/>
        <v>28.8</v>
      </c>
    </row>
    <row r="295" spans="10:16">
      <c r="J295" s="5"/>
      <c r="L295">
        <f>RAVLT_Rec!M295</f>
        <v>-0.49827399999999999</v>
      </c>
      <c r="M295">
        <f>RAVLT_Rec!N295</f>
        <v>28.9</v>
      </c>
      <c r="O295" t="e">
        <f>ABS(L295-RAVLT_Rec!$C$34)</f>
        <v>#REF!</v>
      </c>
      <c r="P295">
        <f t="shared" si="5"/>
        <v>28.9</v>
      </c>
    </row>
    <row r="296" spans="10:16">
      <c r="J296" s="5"/>
      <c r="L296">
        <f>RAVLT_Rec!M296</f>
        <v>-0.49553868000000001</v>
      </c>
      <c r="M296">
        <f>RAVLT_Rec!N296</f>
        <v>29</v>
      </c>
      <c r="O296" t="e">
        <f>ABS(L296-RAVLT_Rec!$C$34)</f>
        <v>#REF!</v>
      </c>
      <c r="P296">
        <f t="shared" si="5"/>
        <v>29</v>
      </c>
    </row>
    <row r="297" spans="10:16">
      <c r="J297" s="5"/>
      <c r="L297">
        <f>RAVLT_Rec!M297</f>
        <v>-0.488387772</v>
      </c>
      <c r="M297">
        <f>RAVLT_Rec!N297</f>
        <v>29.1</v>
      </c>
      <c r="O297" t="e">
        <f>ABS(L297-RAVLT_Rec!$C$34)</f>
        <v>#REF!</v>
      </c>
      <c r="P297">
        <f t="shared" si="5"/>
        <v>29.1</v>
      </c>
    </row>
    <row r="298" spans="10:16">
      <c r="J298" s="5"/>
      <c r="L298">
        <f>RAVLT_Rec!M298</f>
        <v>-0.48123686399999999</v>
      </c>
      <c r="M298">
        <f>RAVLT_Rec!N298</f>
        <v>29.2</v>
      </c>
      <c r="O298" t="e">
        <f>ABS(L298-RAVLT_Rec!$C$34)</f>
        <v>#REF!</v>
      </c>
      <c r="P298">
        <f t="shared" si="5"/>
        <v>29.2</v>
      </c>
    </row>
    <row r="299" spans="10:16">
      <c r="J299" s="5"/>
      <c r="L299">
        <f>RAVLT_Rec!M299</f>
        <v>-0.47873599999999999</v>
      </c>
      <c r="M299">
        <f>RAVLT_Rec!N299</f>
        <v>29.3</v>
      </c>
      <c r="O299" t="e">
        <f>ABS(L299-RAVLT_Rec!$C$34)</f>
        <v>#REF!</v>
      </c>
      <c r="P299">
        <f t="shared" si="5"/>
        <v>29.3</v>
      </c>
    </row>
    <row r="300" spans="10:16">
      <c r="J300" s="5"/>
      <c r="L300">
        <f>RAVLT_Rec!M300</f>
        <v>-0.47873599999999999</v>
      </c>
      <c r="M300">
        <f>RAVLT_Rec!N300</f>
        <v>29.4</v>
      </c>
      <c r="O300" t="e">
        <f>ABS(L300-RAVLT_Rec!$C$34)</f>
        <v>#REF!</v>
      </c>
      <c r="P300">
        <f t="shared" si="5"/>
        <v>29.4</v>
      </c>
    </row>
    <row r="301" spans="10:16">
      <c r="J301" s="5"/>
      <c r="L301">
        <f>RAVLT_Rec!M301</f>
        <v>-0.47873599999999999</v>
      </c>
      <c r="M301">
        <f>RAVLT_Rec!N301</f>
        <v>29.5</v>
      </c>
      <c r="O301" t="e">
        <f>ABS(L301-RAVLT_Rec!$C$34)</f>
        <v>#REF!</v>
      </c>
      <c r="P301">
        <f t="shared" si="5"/>
        <v>29.5</v>
      </c>
    </row>
    <row r="302" spans="10:16">
      <c r="J302" s="5"/>
      <c r="L302">
        <f>RAVLT_Rec!M302</f>
        <v>-0.47873599999999999</v>
      </c>
      <c r="M302">
        <f>RAVLT_Rec!N302</f>
        <v>29.6</v>
      </c>
      <c r="O302" t="e">
        <f>ABS(L302-RAVLT_Rec!$C$34)</f>
        <v>#REF!</v>
      </c>
      <c r="P302">
        <f t="shared" si="5"/>
        <v>29.6</v>
      </c>
    </row>
    <row r="303" spans="10:16">
      <c r="J303" s="5"/>
      <c r="L303">
        <f>RAVLT_Rec!M303</f>
        <v>-0.47873599999999999</v>
      </c>
      <c r="M303">
        <f>RAVLT_Rec!N303</f>
        <v>29.7</v>
      </c>
      <c r="O303" t="e">
        <f>ABS(L303-RAVLT_Rec!$C$34)</f>
        <v>#REF!</v>
      </c>
      <c r="P303">
        <f t="shared" si="5"/>
        <v>29.7</v>
      </c>
    </row>
    <row r="304" spans="10:16">
      <c r="J304" s="5"/>
      <c r="L304">
        <f>RAVLT_Rec!M304</f>
        <v>-0.47873599999999999</v>
      </c>
      <c r="M304">
        <f>RAVLT_Rec!N304</f>
        <v>29.8</v>
      </c>
      <c r="O304" t="e">
        <f>ABS(L304-RAVLT_Rec!$C$34)</f>
        <v>#REF!</v>
      </c>
      <c r="P304">
        <f t="shared" si="5"/>
        <v>29.8</v>
      </c>
    </row>
    <row r="305" spans="10:16">
      <c r="J305" s="5"/>
      <c r="L305">
        <f>RAVLT_Rec!M305</f>
        <v>-0.47873599999999999</v>
      </c>
      <c r="M305">
        <f>RAVLT_Rec!N305</f>
        <v>29.9</v>
      </c>
      <c r="O305" t="e">
        <f>ABS(L305-RAVLT_Rec!$C$34)</f>
        <v>#REF!</v>
      </c>
      <c r="P305">
        <f t="shared" si="5"/>
        <v>29.9</v>
      </c>
    </row>
    <row r="306" spans="10:16">
      <c r="J306" s="5"/>
      <c r="L306">
        <f>RAVLT_Rec!M306</f>
        <v>-0.47873599999999999</v>
      </c>
      <c r="M306">
        <f>RAVLT_Rec!N306</f>
        <v>30</v>
      </c>
      <c r="O306" t="e">
        <f>ABS(L306-RAVLT_Rec!$C$34)</f>
        <v>#REF!</v>
      </c>
      <c r="P306">
        <f t="shared" si="5"/>
        <v>30</v>
      </c>
    </row>
    <row r="307" spans="10:16">
      <c r="J307" s="5"/>
      <c r="L307">
        <f>RAVLT_Rec!M307</f>
        <v>-0.47873599999999999</v>
      </c>
      <c r="M307">
        <f>RAVLT_Rec!N307</f>
        <v>30.1</v>
      </c>
      <c r="O307" t="e">
        <f>ABS(L307-RAVLT_Rec!$C$34)</f>
        <v>#REF!</v>
      </c>
      <c r="P307">
        <f t="shared" si="5"/>
        <v>30.1</v>
      </c>
    </row>
    <row r="308" spans="10:16">
      <c r="J308" s="5"/>
      <c r="L308">
        <f>RAVLT_Rec!M308</f>
        <v>-0.47873599999999999</v>
      </c>
      <c r="M308">
        <f>RAVLT_Rec!N308</f>
        <v>30.2</v>
      </c>
      <c r="O308" t="e">
        <f>ABS(L308-RAVLT_Rec!$C$34)</f>
        <v>#REF!</v>
      </c>
      <c r="P308">
        <f t="shared" si="5"/>
        <v>30.2</v>
      </c>
    </row>
    <row r="309" spans="10:16">
      <c r="J309" s="5"/>
      <c r="L309">
        <f>RAVLT_Rec!M309</f>
        <v>-0.47873599999999999</v>
      </c>
      <c r="M309">
        <f>RAVLT_Rec!N309</f>
        <v>30.3</v>
      </c>
      <c r="O309" t="e">
        <f>ABS(L309-RAVLT_Rec!$C$34)</f>
        <v>#REF!</v>
      </c>
      <c r="P309">
        <f t="shared" si="5"/>
        <v>30.3</v>
      </c>
    </row>
    <row r="310" spans="10:16">
      <c r="J310" s="5"/>
      <c r="L310">
        <f>RAVLT_Rec!M310</f>
        <v>-0.47317880000000001</v>
      </c>
      <c r="M310">
        <f>RAVLT_Rec!N310</f>
        <v>30.4</v>
      </c>
      <c r="O310" t="e">
        <f>ABS(L310-RAVLT_Rec!$C$34)</f>
        <v>#REF!</v>
      </c>
      <c r="P310">
        <f t="shared" si="5"/>
        <v>30.4</v>
      </c>
    </row>
    <row r="311" spans="10:16">
      <c r="J311" s="5"/>
      <c r="L311">
        <f>RAVLT_Rec!M311</f>
        <v>-0.46547450000000001</v>
      </c>
      <c r="M311">
        <f>RAVLT_Rec!N311</f>
        <v>30.5</v>
      </c>
      <c r="O311" t="e">
        <f>ABS(L311-RAVLT_Rec!$C$34)</f>
        <v>#REF!</v>
      </c>
      <c r="P311">
        <f t="shared" si="5"/>
        <v>30.5</v>
      </c>
    </row>
    <row r="312" spans="10:16">
      <c r="J312" s="5"/>
      <c r="L312">
        <f>RAVLT_Rec!M312</f>
        <v>-0.45777020000000002</v>
      </c>
      <c r="M312">
        <f>RAVLT_Rec!N312</f>
        <v>30.6</v>
      </c>
      <c r="O312" t="e">
        <f>ABS(L312-RAVLT_Rec!$C$34)</f>
        <v>#REF!</v>
      </c>
      <c r="P312">
        <f t="shared" si="5"/>
        <v>30.6</v>
      </c>
    </row>
    <row r="313" spans="10:16">
      <c r="J313" s="5"/>
      <c r="L313">
        <f>RAVLT_Rec!M313</f>
        <v>-0.45282289199999998</v>
      </c>
      <c r="M313">
        <f>RAVLT_Rec!N313</f>
        <v>30.7</v>
      </c>
      <c r="O313" t="e">
        <f>ABS(L313-RAVLT_Rec!$C$34)</f>
        <v>#REF!</v>
      </c>
      <c r="P313">
        <f t="shared" si="5"/>
        <v>30.7</v>
      </c>
    </row>
    <row r="314" spans="10:16">
      <c r="J314" s="5"/>
      <c r="L314">
        <f>RAVLT_Rec!M314</f>
        <v>-0.447906048</v>
      </c>
      <c r="M314">
        <f>RAVLT_Rec!N314</f>
        <v>30.8</v>
      </c>
      <c r="O314" t="e">
        <f>ABS(L314-RAVLT_Rec!$C$34)</f>
        <v>#REF!</v>
      </c>
      <c r="P314">
        <f t="shared" si="5"/>
        <v>30.8</v>
      </c>
    </row>
    <row r="315" spans="10:16">
      <c r="J315" s="5"/>
      <c r="L315">
        <f>RAVLT_Rec!M315</f>
        <v>-0.44425199999999998</v>
      </c>
      <c r="M315">
        <f>RAVLT_Rec!N315</f>
        <v>30.9</v>
      </c>
      <c r="O315" t="e">
        <f>ABS(L315-RAVLT_Rec!$C$34)</f>
        <v>#REF!</v>
      </c>
      <c r="P315">
        <f t="shared" si="5"/>
        <v>30.9</v>
      </c>
    </row>
    <row r="316" spans="10:16">
      <c r="J316" s="5"/>
      <c r="L316">
        <f>RAVLT_Rec!M316</f>
        <v>-0.44425199999999998</v>
      </c>
      <c r="M316">
        <f>RAVLT_Rec!N316</f>
        <v>31</v>
      </c>
      <c r="O316" t="e">
        <f>ABS(L316-RAVLT_Rec!$C$34)</f>
        <v>#REF!</v>
      </c>
      <c r="P316">
        <f t="shared" si="5"/>
        <v>31</v>
      </c>
    </row>
    <row r="317" spans="10:16">
      <c r="J317" s="5"/>
      <c r="L317">
        <f>RAVLT_Rec!M317</f>
        <v>-0.44425199999999998</v>
      </c>
      <c r="M317">
        <f>RAVLT_Rec!N317</f>
        <v>31.1</v>
      </c>
      <c r="O317" t="e">
        <f>ABS(L317-RAVLT_Rec!$C$34)</f>
        <v>#REF!</v>
      </c>
      <c r="P317">
        <f t="shared" si="5"/>
        <v>31.1</v>
      </c>
    </row>
    <row r="318" spans="10:16">
      <c r="J318" s="5"/>
      <c r="L318">
        <f>RAVLT_Rec!M318</f>
        <v>-0.43251023999999999</v>
      </c>
      <c r="M318">
        <f>RAVLT_Rec!N318</f>
        <v>31.2</v>
      </c>
      <c r="O318" t="e">
        <f>ABS(L318-RAVLT_Rec!$C$34)</f>
        <v>#REF!</v>
      </c>
      <c r="P318">
        <f t="shared" si="5"/>
        <v>31.2</v>
      </c>
    </row>
    <row r="319" spans="10:16">
      <c r="J319" s="5"/>
      <c r="L319">
        <f>RAVLT_Rec!M319</f>
        <v>-0.41012750999999997</v>
      </c>
      <c r="M319">
        <f>RAVLT_Rec!N319</f>
        <v>31.3</v>
      </c>
      <c r="O319" t="e">
        <f>ABS(L319-RAVLT_Rec!$C$34)</f>
        <v>#REF!</v>
      </c>
      <c r="P319">
        <f t="shared" si="5"/>
        <v>31.3</v>
      </c>
    </row>
    <row r="320" spans="10:16">
      <c r="J320" s="5"/>
      <c r="L320">
        <f>RAVLT_Rec!M320</f>
        <v>-0.38774478000000001</v>
      </c>
      <c r="M320">
        <f>RAVLT_Rec!N320</f>
        <v>31.4</v>
      </c>
      <c r="O320" t="e">
        <f>ABS(L320-RAVLT_Rec!$C$34)</f>
        <v>#REF!</v>
      </c>
      <c r="P320">
        <f t="shared" si="5"/>
        <v>31.4</v>
      </c>
    </row>
    <row r="321" spans="10:16">
      <c r="J321" s="5"/>
      <c r="L321">
        <f>RAVLT_Rec!M321</f>
        <v>-0.38309700000000002</v>
      </c>
      <c r="M321">
        <f>RAVLT_Rec!N321</f>
        <v>31.5</v>
      </c>
      <c r="O321" t="e">
        <f>ABS(L321-RAVLT_Rec!$C$34)</f>
        <v>#REF!</v>
      </c>
      <c r="P321">
        <f t="shared" si="5"/>
        <v>31.5</v>
      </c>
    </row>
    <row r="322" spans="10:16">
      <c r="J322" s="5"/>
      <c r="L322">
        <f>RAVLT_Rec!M322</f>
        <v>-0.38309700000000002</v>
      </c>
      <c r="M322">
        <f>RAVLT_Rec!N322</f>
        <v>31.6</v>
      </c>
      <c r="O322" t="e">
        <f>ABS(L322-RAVLT_Rec!$C$34)</f>
        <v>#REF!</v>
      </c>
      <c r="P322">
        <f t="shared" si="5"/>
        <v>31.6</v>
      </c>
    </row>
    <row r="323" spans="10:16">
      <c r="J323" s="5"/>
      <c r="L323">
        <f>RAVLT_Rec!M323</f>
        <v>-0.38309700000000002</v>
      </c>
      <c r="M323">
        <f>RAVLT_Rec!N323</f>
        <v>31.7</v>
      </c>
      <c r="O323" t="e">
        <f>ABS(L323-RAVLT_Rec!$C$34)</f>
        <v>#REF!</v>
      </c>
      <c r="P323">
        <f t="shared" si="5"/>
        <v>31.7</v>
      </c>
    </row>
    <row r="324" spans="10:16">
      <c r="J324" s="5"/>
      <c r="L324">
        <f>RAVLT_Rec!M324</f>
        <v>-0.38309700000000002</v>
      </c>
      <c r="M324">
        <f>RAVLT_Rec!N324</f>
        <v>31.8</v>
      </c>
      <c r="O324" t="e">
        <f>ABS(L324-RAVLT_Rec!$C$34)</f>
        <v>#REF!</v>
      </c>
      <c r="P324">
        <f t="shared" si="5"/>
        <v>31.8</v>
      </c>
    </row>
    <row r="325" spans="10:16">
      <c r="J325" s="5"/>
      <c r="L325">
        <f>RAVLT_Rec!M325</f>
        <v>-0.38309700000000002</v>
      </c>
      <c r="M325">
        <f>RAVLT_Rec!N325</f>
        <v>31.9</v>
      </c>
      <c r="O325" t="e">
        <f>ABS(L325-RAVLT_Rec!$C$34)</f>
        <v>#REF!</v>
      </c>
      <c r="P325">
        <f t="shared" si="5"/>
        <v>31.9</v>
      </c>
    </row>
    <row r="326" spans="10:16">
      <c r="J326" s="5"/>
      <c r="L326">
        <f>RAVLT_Rec!M326</f>
        <v>-0.38309700000000002</v>
      </c>
      <c r="M326">
        <f>RAVLT_Rec!N326</f>
        <v>32</v>
      </c>
      <c r="O326" t="e">
        <f>ABS(L326-RAVLT_Rec!$C$34)</f>
        <v>#REF!</v>
      </c>
      <c r="P326">
        <f t="shared" si="5"/>
        <v>32</v>
      </c>
    </row>
    <row r="327" spans="10:16">
      <c r="J327" s="5"/>
      <c r="L327">
        <f>RAVLT_Rec!M327</f>
        <v>-0.38309700000000002</v>
      </c>
      <c r="M327">
        <f>RAVLT_Rec!N327</f>
        <v>32.1</v>
      </c>
      <c r="O327" t="e">
        <f>ABS(L327-RAVLT_Rec!$C$34)</f>
        <v>#REF!</v>
      </c>
      <c r="P327">
        <f t="shared" ref="P327:P390" si="6">M327</f>
        <v>32.1</v>
      </c>
    </row>
    <row r="328" spans="10:16">
      <c r="J328" s="5"/>
      <c r="L328">
        <f>RAVLT_Rec!M328</f>
        <v>-0.38309700000000002</v>
      </c>
      <c r="M328">
        <f>RAVLT_Rec!N328</f>
        <v>32.200000000000003</v>
      </c>
      <c r="O328" t="e">
        <f>ABS(L328-RAVLT_Rec!$C$34)</f>
        <v>#REF!</v>
      </c>
      <c r="P328">
        <f t="shared" si="6"/>
        <v>32.200000000000003</v>
      </c>
    </row>
    <row r="329" spans="10:16">
      <c r="J329" s="5"/>
      <c r="L329">
        <f>RAVLT_Rec!M329</f>
        <v>-0.37897134999999998</v>
      </c>
      <c r="M329">
        <f>RAVLT_Rec!N329</f>
        <v>32.299999999999997</v>
      </c>
      <c r="O329" t="e">
        <f>ABS(L329-RAVLT_Rec!$C$34)</f>
        <v>#REF!</v>
      </c>
      <c r="P329">
        <f t="shared" si="6"/>
        <v>32.299999999999997</v>
      </c>
    </row>
    <row r="330" spans="10:16">
      <c r="J330" s="5"/>
      <c r="L330">
        <f>RAVLT_Rec!M330</f>
        <v>-0.37204480000000001</v>
      </c>
      <c r="M330">
        <f>RAVLT_Rec!N330</f>
        <v>32.4</v>
      </c>
      <c r="O330" t="e">
        <f>ABS(L330-RAVLT_Rec!$C$34)</f>
        <v>#REF!</v>
      </c>
      <c r="P330">
        <f t="shared" si="6"/>
        <v>32.4</v>
      </c>
    </row>
    <row r="331" spans="10:16">
      <c r="J331" s="5"/>
      <c r="L331">
        <f>RAVLT_Rec!M331</f>
        <v>-0.36511824999999998</v>
      </c>
      <c r="M331">
        <f>RAVLT_Rec!N331</f>
        <v>32.5</v>
      </c>
      <c r="O331" t="e">
        <f>ABS(L331-RAVLT_Rec!$C$34)</f>
        <v>#REF!</v>
      </c>
      <c r="P331">
        <f t="shared" si="6"/>
        <v>32.5</v>
      </c>
    </row>
    <row r="332" spans="10:16">
      <c r="J332" s="5"/>
      <c r="L332">
        <f>RAVLT_Rec!M332</f>
        <v>-0.35140559999999998</v>
      </c>
      <c r="M332">
        <f>RAVLT_Rec!N332</f>
        <v>32.6</v>
      </c>
      <c r="O332" t="e">
        <f>ABS(L332-RAVLT_Rec!$C$34)</f>
        <v>#REF!</v>
      </c>
      <c r="P332">
        <f t="shared" si="6"/>
        <v>32.6</v>
      </c>
    </row>
    <row r="333" spans="10:16">
      <c r="J333" s="5"/>
      <c r="L333">
        <f>RAVLT_Rec!M333</f>
        <v>-0.33661920000000001</v>
      </c>
      <c r="M333">
        <f>RAVLT_Rec!N333</f>
        <v>32.700000000000003</v>
      </c>
      <c r="O333" t="e">
        <f>ABS(L333-RAVLT_Rec!$C$34)</f>
        <v>#REF!</v>
      </c>
      <c r="P333">
        <f t="shared" si="6"/>
        <v>32.700000000000003</v>
      </c>
    </row>
    <row r="334" spans="10:16">
      <c r="J334" s="5"/>
      <c r="L334">
        <f>RAVLT_Rec!M334</f>
        <v>-0.32225126399999998</v>
      </c>
      <c r="M334">
        <f>RAVLT_Rec!N334</f>
        <v>32.799999999999997</v>
      </c>
      <c r="O334" t="e">
        <f>ABS(L334-RAVLT_Rec!$C$34)</f>
        <v>#REF!</v>
      </c>
      <c r="P334">
        <f t="shared" si="6"/>
        <v>32.799999999999997</v>
      </c>
    </row>
    <row r="335" spans="10:16">
      <c r="J335" s="5"/>
      <c r="L335">
        <f>RAVLT_Rec!M335</f>
        <v>-0.310655652</v>
      </c>
      <c r="M335">
        <f>RAVLT_Rec!N335</f>
        <v>32.9</v>
      </c>
      <c r="O335" t="e">
        <f>ABS(L335-RAVLT_Rec!$C$34)</f>
        <v>#REF!</v>
      </c>
      <c r="P335">
        <f t="shared" si="6"/>
        <v>32.9</v>
      </c>
    </row>
    <row r="336" spans="10:16">
      <c r="J336" s="5"/>
      <c r="L336">
        <f>RAVLT_Rec!M336</f>
        <v>-0.29906004000000003</v>
      </c>
      <c r="M336">
        <f>RAVLT_Rec!N336</f>
        <v>33</v>
      </c>
      <c r="O336" t="e">
        <f>ABS(L336-RAVLT_Rec!$C$34)</f>
        <v>#REF!</v>
      </c>
      <c r="P336">
        <f t="shared" si="6"/>
        <v>33</v>
      </c>
    </row>
    <row r="337" spans="10:16">
      <c r="J337" s="5"/>
      <c r="L337">
        <f>RAVLT_Rec!M337</f>
        <v>-0.29209000000000002</v>
      </c>
      <c r="M337">
        <f>RAVLT_Rec!N337</f>
        <v>33.1</v>
      </c>
      <c r="O337" t="e">
        <f>ABS(L337-RAVLT_Rec!$C$34)</f>
        <v>#REF!</v>
      </c>
      <c r="P337">
        <f t="shared" si="6"/>
        <v>33.1</v>
      </c>
    </row>
    <row r="338" spans="10:16">
      <c r="J338" s="5"/>
      <c r="L338">
        <f>RAVLT_Rec!M338</f>
        <v>-0.29209000000000002</v>
      </c>
      <c r="M338">
        <f>RAVLT_Rec!N338</f>
        <v>33.200000000000003</v>
      </c>
      <c r="O338" t="e">
        <f>ABS(L338-RAVLT_Rec!$C$34)</f>
        <v>#REF!</v>
      </c>
      <c r="P338">
        <f t="shared" si="6"/>
        <v>33.200000000000003</v>
      </c>
    </row>
    <row r="339" spans="10:16">
      <c r="J339" s="5"/>
      <c r="L339">
        <f>RAVLT_Rec!M339</f>
        <v>-0.29209000000000002</v>
      </c>
      <c r="M339">
        <f>RAVLT_Rec!N339</f>
        <v>33.299999999999997</v>
      </c>
      <c r="O339" t="e">
        <f>ABS(L339-RAVLT_Rec!$C$34)</f>
        <v>#REF!</v>
      </c>
      <c r="P339">
        <f t="shared" si="6"/>
        <v>33.299999999999997</v>
      </c>
    </row>
    <row r="340" spans="10:16">
      <c r="J340" s="5"/>
      <c r="L340">
        <f>RAVLT_Rec!M340</f>
        <v>-0.29209000000000002</v>
      </c>
      <c r="M340">
        <f>RAVLT_Rec!N340</f>
        <v>33.4</v>
      </c>
      <c r="O340" t="e">
        <f>ABS(L340-RAVLT_Rec!$C$34)</f>
        <v>#REF!</v>
      </c>
      <c r="P340">
        <f t="shared" si="6"/>
        <v>33.4</v>
      </c>
    </row>
    <row r="341" spans="10:16">
      <c r="J341" s="5"/>
      <c r="L341">
        <f>RAVLT_Rec!M341</f>
        <v>-0.29209000000000002</v>
      </c>
      <c r="M341">
        <f>RAVLT_Rec!N341</f>
        <v>33.5</v>
      </c>
      <c r="O341" t="e">
        <f>ABS(L341-RAVLT_Rec!$C$34)</f>
        <v>#REF!</v>
      </c>
      <c r="P341">
        <f t="shared" si="6"/>
        <v>33.5</v>
      </c>
    </row>
    <row r="342" spans="10:16">
      <c r="J342" s="5"/>
      <c r="L342">
        <f>RAVLT_Rec!M342</f>
        <v>-0.29209000000000002</v>
      </c>
      <c r="M342">
        <f>RAVLT_Rec!N342</f>
        <v>33.6</v>
      </c>
      <c r="O342" t="e">
        <f>ABS(L342-RAVLT_Rec!$C$34)</f>
        <v>#REF!</v>
      </c>
      <c r="P342">
        <f t="shared" si="6"/>
        <v>33.6</v>
      </c>
    </row>
    <row r="343" spans="10:16">
      <c r="J343" s="5"/>
      <c r="L343">
        <f>RAVLT_Rec!M343</f>
        <v>-0.29209000000000002</v>
      </c>
      <c r="M343">
        <f>RAVLT_Rec!N343</f>
        <v>33.700000000000003</v>
      </c>
      <c r="O343" t="e">
        <f>ABS(L343-RAVLT_Rec!$C$34)</f>
        <v>#REF!</v>
      </c>
      <c r="P343">
        <f t="shared" si="6"/>
        <v>33.700000000000003</v>
      </c>
    </row>
    <row r="344" spans="10:16">
      <c r="J344" s="5"/>
      <c r="L344">
        <f>RAVLT_Rec!M344</f>
        <v>-0.29209000000000002</v>
      </c>
      <c r="M344">
        <f>RAVLT_Rec!N344</f>
        <v>33.799999999999997</v>
      </c>
      <c r="O344" t="e">
        <f>ABS(L344-RAVLT_Rec!$C$34)</f>
        <v>#REF!</v>
      </c>
      <c r="P344">
        <f t="shared" si="6"/>
        <v>33.799999999999997</v>
      </c>
    </row>
    <row r="345" spans="10:16">
      <c r="J345" s="5"/>
      <c r="L345">
        <f>RAVLT_Rec!M345</f>
        <v>-0.29147580000000001</v>
      </c>
      <c r="M345">
        <f>RAVLT_Rec!N345</f>
        <v>33.9</v>
      </c>
      <c r="O345" t="e">
        <f>ABS(L345-RAVLT_Rec!$C$34)</f>
        <v>#REF!</v>
      </c>
      <c r="P345">
        <f t="shared" si="6"/>
        <v>33.9</v>
      </c>
    </row>
    <row r="346" spans="10:16">
      <c r="J346" s="5"/>
      <c r="L346">
        <f>RAVLT_Rec!M346</f>
        <v>-0.28843800000000003</v>
      </c>
      <c r="M346">
        <f>RAVLT_Rec!N346</f>
        <v>34</v>
      </c>
      <c r="O346" t="e">
        <f>ABS(L346-RAVLT_Rec!$C$34)</f>
        <v>#REF!</v>
      </c>
      <c r="P346">
        <f t="shared" si="6"/>
        <v>34</v>
      </c>
    </row>
    <row r="347" spans="10:16">
      <c r="J347" s="5"/>
      <c r="L347">
        <f>RAVLT_Rec!M347</f>
        <v>-0.28540019999999999</v>
      </c>
      <c r="M347">
        <f>RAVLT_Rec!N347</f>
        <v>34.1</v>
      </c>
      <c r="O347" t="e">
        <f>ABS(L347-RAVLT_Rec!$C$34)</f>
        <v>#REF!</v>
      </c>
      <c r="P347">
        <f t="shared" si="6"/>
        <v>34.1</v>
      </c>
    </row>
    <row r="348" spans="10:16">
      <c r="J348" s="5"/>
      <c r="L348">
        <f>RAVLT_Rec!M348</f>
        <v>-0.27966234400000001</v>
      </c>
      <c r="M348">
        <f>RAVLT_Rec!N348</f>
        <v>34.200000000000003</v>
      </c>
      <c r="O348" t="e">
        <f>ABS(L348-RAVLT_Rec!$C$34)</f>
        <v>#REF!</v>
      </c>
      <c r="P348">
        <f t="shared" si="6"/>
        <v>34.200000000000003</v>
      </c>
    </row>
    <row r="349" spans="10:16">
      <c r="J349" s="5"/>
      <c r="L349">
        <f>RAVLT_Rec!M349</f>
        <v>-0.270879076</v>
      </c>
      <c r="M349">
        <f>RAVLT_Rec!N349</f>
        <v>34.299999999999997</v>
      </c>
      <c r="O349" t="e">
        <f>ABS(L349-RAVLT_Rec!$C$34)</f>
        <v>#REF!</v>
      </c>
      <c r="P349">
        <f t="shared" si="6"/>
        <v>34.299999999999997</v>
      </c>
    </row>
    <row r="350" spans="10:16">
      <c r="J350" s="5"/>
      <c r="L350">
        <f>RAVLT_Rec!M350</f>
        <v>-0.26209580799999999</v>
      </c>
      <c r="M350">
        <f>RAVLT_Rec!N350</f>
        <v>34.4</v>
      </c>
      <c r="O350" t="e">
        <f>ABS(L350-RAVLT_Rec!$C$34)</f>
        <v>#REF!</v>
      </c>
      <c r="P350">
        <f t="shared" si="6"/>
        <v>34.4</v>
      </c>
    </row>
    <row r="351" spans="10:16">
      <c r="J351" s="5"/>
      <c r="L351">
        <f>RAVLT_Rec!M351</f>
        <v>-0.25979200000000002</v>
      </c>
      <c r="M351">
        <f>RAVLT_Rec!N351</f>
        <v>34.5</v>
      </c>
      <c r="O351" t="e">
        <f>ABS(L351-RAVLT_Rec!$C$34)</f>
        <v>#REF!</v>
      </c>
      <c r="P351">
        <f t="shared" si="6"/>
        <v>34.5</v>
      </c>
    </row>
    <row r="352" spans="10:16">
      <c r="J352" s="5"/>
      <c r="L352">
        <f>RAVLT_Rec!M352</f>
        <v>-0.25979200000000002</v>
      </c>
      <c r="M352">
        <f>RAVLT_Rec!N352</f>
        <v>34.6</v>
      </c>
      <c r="O352" t="e">
        <f>ABS(L352-RAVLT_Rec!$C$34)</f>
        <v>#REF!</v>
      </c>
      <c r="P352">
        <f t="shared" si="6"/>
        <v>34.6</v>
      </c>
    </row>
    <row r="353" spans="10:16">
      <c r="J353" s="5"/>
      <c r="L353">
        <f>RAVLT_Rec!M353</f>
        <v>-0.25979200000000002</v>
      </c>
      <c r="M353">
        <f>RAVLT_Rec!N353</f>
        <v>34.700000000000003</v>
      </c>
      <c r="O353" t="e">
        <f>ABS(L353-RAVLT_Rec!$C$34)</f>
        <v>#REF!</v>
      </c>
      <c r="P353">
        <f t="shared" si="6"/>
        <v>34.700000000000003</v>
      </c>
    </row>
    <row r="354" spans="10:16">
      <c r="J354" s="5"/>
      <c r="L354">
        <f>RAVLT_Rec!M354</f>
        <v>-0.25979200000000002</v>
      </c>
      <c r="M354">
        <f>RAVLT_Rec!N354</f>
        <v>34.799999999999997</v>
      </c>
      <c r="O354" t="e">
        <f>ABS(L354-RAVLT_Rec!$C$34)</f>
        <v>#REF!</v>
      </c>
      <c r="P354">
        <f t="shared" si="6"/>
        <v>34.799999999999997</v>
      </c>
    </row>
    <row r="355" spans="10:16">
      <c r="J355" s="5"/>
      <c r="L355">
        <f>RAVLT_Rec!M355</f>
        <v>-0.25979200000000002</v>
      </c>
      <c r="M355">
        <f>RAVLT_Rec!N355</f>
        <v>34.9</v>
      </c>
      <c r="O355" t="e">
        <f>ABS(L355-RAVLT_Rec!$C$34)</f>
        <v>#REF!</v>
      </c>
      <c r="P355">
        <f t="shared" si="6"/>
        <v>34.9</v>
      </c>
    </row>
    <row r="356" spans="10:16">
      <c r="J356" s="5"/>
      <c r="L356">
        <f>RAVLT_Rec!M356</f>
        <v>-0.25953270000000001</v>
      </c>
      <c r="M356">
        <f>RAVLT_Rec!N356</f>
        <v>35</v>
      </c>
      <c r="O356" t="e">
        <f>ABS(L356-RAVLT_Rec!$C$34)</f>
        <v>#REF!</v>
      </c>
      <c r="P356">
        <f t="shared" si="6"/>
        <v>35</v>
      </c>
    </row>
    <row r="357" spans="10:16">
      <c r="J357" s="5"/>
      <c r="L357">
        <f>RAVLT_Rec!M357</f>
        <v>-0.25858366199999999</v>
      </c>
      <c r="M357">
        <f>RAVLT_Rec!N357</f>
        <v>35.1</v>
      </c>
      <c r="O357" t="e">
        <f>ABS(L357-RAVLT_Rec!$C$34)</f>
        <v>#REF!</v>
      </c>
      <c r="P357">
        <f t="shared" si="6"/>
        <v>35.1</v>
      </c>
    </row>
    <row r="358" spans="10:16">
      <c r="J358" s="5"/>
      <c r="L358">
        <f>RAVLT_Rec!M358</f>
        <v>-0.25763462399999998</v>
      </c>
      <c r="M358">
        <f>RAVLT_Rec!N358</f>
        <v>35.200000000000003</v>
      </c>
      <c r="O358" t="e">
        <f>ABS(L358-RAVLT_Rec!$C$34)</f>
        <v>#REF!</v>
      </c>
      <c r="P358">
        <f t="shared" si="6"/>
        <v>35.200000000000003</v>
      </c>
    </row>
    <row r="359" spans="10:16">
      <c r="J359" s="5"/>
      <c r="L359">
        <f>RAVLT_Rec!M359</f>
        <v>-0.25719900000000001</v>
      </c>
      <c r="M359">
        <f>RAVLT_Rec!N359</f>
        <v>35.299999999999997</v>
      </c>
      <c r="O359" t="e">
        <f>ABS(L359-RAVLT_Rec!$C$34)</f>
        <v>#REF!</v>
      </c>
      <c r="P359">
        <f t="shared" si="6"/>
        <v>35.299999999999997</v>
      </c>
    </row>
    <row r="360" spans="10:16">
      <c r="J360" s="5"/>
      <c r="L360">
        <f>RAVLT_Rec!M360</f>
        <v>-0.25719900000000001</v>
      </c>
      <c r="M360">
        <f>RAVLT_Rec!N360</f>
        <v>35.4</v>
      </c>
      <c r="O360" t="e">
        <f>ABS(L360-RAVLT_Rec!$C$34)</f>
        <v>#REF!</v>
      </c>
      <c r="P360">
        <f t="shared" si="6"/>
        <v>35.4</v>
      </c>
    </row>
    <row r="361" spans="10:16">
      <c r="J361" s="5"/>
      <c r="L361">
        <f>RAVLT_Rec!M361</f>
        <v>-0.25719900000000001</v>
      </c>
      <c r="M361">
        <f>RAVLT_Rec!N361</f>
        <v>35.5</v>
      </c>
      <c r="O361" t="e">
        <f>ABS(L361-RAVLT_Rec!$C$34)</f>
        <v>#REF!</v>
      </c>
      <c r="P361">
        <f t="shared" si="6"/>
        <v>35.5</v>
      </c>
    </row>
    <row r="362" spans="10:16">
      <c r="J362" s="5"/>
      <c r="L362">
        <f>RAVLT_Rec!M362</f>
        <v>-0.24983392800000001</v>
      </c>
      <c r="M362">
        <f>RAVLT_Rec!N362</f>
        <v>35.6</v>
      </c>
      <c r="O362" t="e">
        <f>ABS(L362-RAVLT_Rec!$C$34)</f>
        <v>#REF!</v>
      </c>
      <c r="P362">
        <f t="shared" si="6"/>
        <v>35.6</v>
      </c>
    </row>
    <row r="363" spans="10:16">
      <c r="J363" s="5"/>
      <c r="L363">
        <f>RAVLT_Rec!M363</f>
        <v>-0.24072711599999999</v>
      </c>
      <c r="M363">
        <f>RAVLT_Rec!N363</f>
        <v>35.700000000000003</v>
      </c>
      <c r="O363" t="e">
        <f>ABS(L363-RAVLT_Rec!$C$34)</f>
        <v>#REF!</v>
      </c>
      <c r="P363">
        <f t="shared" si="6"/>
        <v>35.700000000000003</v>
      </c>
    </row>
    <row r="364" spans="10:16">
      <c r="J364" s="5"/>
      <c r="L364">
        <f>RAVLT_Rec!M364</f>
        <v>-0.23218246000000001</v>
      </c>
      <c r="M364">
        <f>RAVLT_Rec!N364</f>
        <v>35.799999999999997</v>
      </c>
      <c r="O364" t="e">
        <f>ABS(L364-RAVLT_Rec!$C$34)</f>
        <v>#REF!</v>
      </c>
      <c r="P364">
        <f t="shared" si="6"/>
        <v>35.799999999999997</v>
      </c>
    </row>
    <row r="365" spans="10:16">
      <c r="J365" s="5"/>
      <c r="L365">
        <f>RAVLT_Rec!M365</f>
        <v>-0.23042383</v>
      </c>
      <c r="M365">
        <f>RAVLT_Rec!N365</f>
        <v>35.9</v>
      </c>
      <c r="O365" t="e">
        <f>ABS(L365-RAVLT_Rec!$C$34)</f>
        <v>#REF!</v>
      </c>
      <c r="P365">
        <f t="shared" si="6"/>
        <v>35.9</v>
      </c>
    </row>
    <row r="366" spans="10:16">
      <c r="J366" s="5"/>
      <c r="L366">
        <f>RAVLT_Rec!M366</f>
        <v>-0.22866520000000001</v>
      </c>
      <c r="M366">
        <f>RAVLT_Rec!N366</f>
        <v>36</v>
      </c>
      <c r="O366" t="e">
        <f>ABS(L366-RAVLT_Rec!$C$34)</f>
        <v>#REF!</v>
      </c>
      <c r="P366">
        <f t="shared" si="6"/>
        <v>36</v>
      </c>
    </row>
    <row r="367" spans="10:16">
      <c r="J367" s="5"/>
      <c r="L367">
        <f>RAVLT_Rec!M367</f>
        <v>-0.22512795399999999</v>
      </c>
      <c r="M367">
        <f>RAVLT_Rec!N367</f>
        <v>36.1</v>
      </c>
      <c r="O367" t="e">
        <f>ABS(L367-RAVLT_Rec!$C$34)</f>
        <v>#REF!</v>
      </c>
      <c r="P367">
        <f t="shared" si="6"/>
        <v>36.1</v>
      </c>
    </row>
    <row r="368" spans="10:16">
      <c r="J368" s="5"/>
      <c r="L368">
        <f>RAVLT_Rec!M368</f>
        <v>-0.21820286799999999</v>
      </c>
      <c r="M368">
        <f>RAVLT_Rec!N368</f>
        <v>36.200000000000003</v>
      </c>
      <c r="O368" t="e">
        <f>ABS(L368-RAVLT_Rec!$C$34)</f>
        <v>#REF!</v>
      </c>
      <c r="P368">
        <f t="shared" si="6"/>
        <v>36.200000000000003</v>
      </c>
    </row>
    <row r="369" spans="10:16">
      <c r="J369" s="5"/>
      <c r="L369">
        <f>RAVLT_Rec!M369</f>
        <v>-0.211277782</v>
      </c>
      <c r="M369">
        <f>RAVLT_Rec!N369</f>
        <v>36.299999999999997</v>
      </c>
      <c r="O369" t="e">
        <f>ABS(L369-RAVLT_Rec!$C$34)</f>
        <v>#REF!</v>
      </c>
      <c r="P369">
        <f t="shared" si="6"/>
        <v>36.299999999999997</v>
      </c>
    </row>
    <row r="370" spans="10:16">
      <c r="J370" s="5"/>
      <c r="L370">
        <f>RAVLT_Rec!M370</f>
        <v>-0.208591</v>
      </c>
      <c r="M370">
        <f>RAVLT_Rec!N370</f>
        <v>36.4</v>
      </c>
      <c r="O370" t="e">
        <f>ABS(L370-RAVLT_Rec!$C$34)</f>
        <v>#REF!</v>
      </c>
      <c r="P370">
        <f t="shared" si="6"/>
        <v>36.4</v>
      </c>
    </row>
    <row r="371" spans="10:16">
      <c r="J371" s="5"/>
      <c r="L371">
        <f>RAVLT_Rec!M371</f>
        <v>-0.208591</v>
      </c>
      <c r="M371">
        <f>RAVLT_Rec!N371</f>
        <v>36.5</v>
      </c>
      <c r="O371" t="e">
        <f>ABS(L371-RAVLT_Rec!$C$34)</f>
        <v>#REF!</v>
      </c>
      <c r="P371">
        <f t="shared" si="6"/>
        <v>36.5</v>
      </c>
    </row>
    <row r="372" spans="10:16">
      <c r="J372" s="5"/>
      <c r="L372">
        <f>RAVLT_Rec!M372</f>
        <v>-0.208591</v>
      </c>
      <c r="M372">
        <f>RAVLT_Rec!N372</f>
        <v>36.6</v>
      </c>
      <c r="O372" t="e">
        <f>ABS(L372-RAVLT_Rec!$C$34)</f>
        <v>#REF!</v>
      </c>
      <c r="P372">
        <f t="shared" si="6"/>
        <v>36.6</v>
      </c>
    </row>
    <row r="373" spans="10:16">
      <c r="J373" s="5"/>
      <c r="L373">
        <f>RAVLT_Rec!M373</f>
        <v>-0.20449548200000001</v>
      </c>
      <c r="M373">
        <f>RAVLT_Rec!N373</f>
        <v>36.700000000000003</v>
      </c>
      <c r="O373" t="e">
        <f>ABS(L373-RAVLT_Rec!$C$34)</f>
        <v>#REF!</v>
      </c>
      <c r="P373">
        <f t="shared" si="6"/>
        <v>36.700000000000003</v>
      </c>
    </row>
    <row r="374" spans="10:16">
      <c r="J374" s="5"/>
      <c r="L374">
        <f>RAVLT_Rec!M374</f>
        <v>-0.19984032800000001</v>
      </c>
      <c r="M374">
        <f>RAVLT_Rec!N374</f>
        <v>36.799999999999997</v>
      </c>
      <c r="O374" t="e">
        <f>ABS(L374-RAVLT_Rec!$C$34)</f>
        <v>#REF!</v>
      </c>
      <c r="P374">
        <f t="shared" si="6"/>
        <v>36.799999999999997</v>
      </c>
    </row>
    <row r="375" spans="10:16">
      <c r="J375" s="5"/>
      <c r="L375">
        <f>RAVLT_Rec!M375</f>
        <v>-0.19543184599999999</v>
      </c>
      <c r="M375">
        <f>RAVLT_Rec!N375</f>
        <v>36.9</v>
      </c>
      <c r="O375" t="e">
        <f>ABS(L375-RAVLT_Rec!$C$34)</f>
        <v>#REF!</v>
      </c>
      <c r="P375">
        <f t="shared" si="6"/>
        <v>36.9</v>
      </c>
    </row>
    <row r="376" spans="10:16">
      <c r="J376" s="5"/>
      <c r="L376">
        <f>RAVLT_Rec!M376</f>
        <v>-0.19244858000000001</v>
      </c>
      <c r="M376">
        <f>RAVLT_Rec!N376</f>
        <v>37</v>
      </c>
      <c r="O376" t="e">
        <f>ABS(L376-RAVLT_Rec!$C$34)</f>
        <v>#REF!</v>
      </c>
      <c r="P376">
        <f t="shared" si="6"/>
        <v>37</v>
      </c>
    </row>
    <row r="377" spans="10:16">
      <c r="J377" s="5"/>
      <c r="L377">
        <f>RAVLT_Rec!M377</f>
        <v>-0.189465314</v>
      </c>
      <c r="M377">
        <f>RAVLT_Rec!N377</f>
        <v>37.1</v>
      </c>
      <c r="O377" t="e">
        <f>ABS(L377-RAVLT_Rec!$C$34)</f>
        <v>#REF!</v>
      </c>
      <c r="P377">
        <f t="shared" si="6"/>
        <v>37.1</v>
      </c>
    </row>
    <row r="378" spans="10:16">
      <c r="J378" s="5"/>
      <c r="L378">
        <f>RAVLT_Rec!M378</f>
        <v>-0.18739663200000001</v>
      </c>
      <c r="M378">
        <f>RAVLT_Rec!N378</f>
        <v>37.200000000000003</v>
      </c>
      <c r="O378" t="e">
        <f>ABS(L378-RAVLT_Rec!$C$34)</f>
        <v>#REF!</v>
      </c>
      <c r="P378">
        <f t="shared" si="6"/>
        <v>37.200000000000003</v>
      </c>
    </row>
    <row r="379" spans="10:16">
      <c r="J379" s="5"/>
      <c r="L379">
        <f>RAVLT_Rec!M379</f>
        <v>-0.186615588</v>
      </c>
      <c r="M379">
        <f>RAVLT_Rec!N379</f>
        <v>37.299999999999997</v>
      </c>
      <c r="O379" t="e">
        <f>ABS(L379-RAVLT_Rec!$C$34)</f>
        <v>#REF!</v>
      </c>
      <c r="P379">
        <f t="shared" si="6"/>
        <v>37.299999999999997</v>
      </c>
    </row>
    <row r="380" spans="10:16">
      <c r="J380" s="5"/>
      <c r="L380">
        <f>RAVLT_Rec!M380</f>
        <v>-0.18583454399999999</v>
      </c>
      <c r="M380">
        <f>RAVLT_Rec!N380</f>
        <v>37.4</v>
      </c>
      <c r="O380" t="e">
        <f>ABS(L380-RAVLT_Rec!$C$34)</f>
        <v>#REF!</v>
      </c>
      <c r="P380">
        <f t="shared" si="6"/>
        <v>37.4</v>
      </c>
    </row>
    <row r="381" spans="10:16">
      <c r="J381" s="5"/>
      <c r="L381">
        <f>RAVLT_Rec!M381</f>
        <v>-0.185587</v>
      </c>
      <c r="M381">
        <f>RAVLT_Rec!N381</f>
        <v>37.5</v>
      </c>
      <c r="O381" t="e">
        <f>ABS(L381-RAVLT_Rec!$C$34)</f>
        <v>#REF!</v>
      </c>
      <c r="P381">
        <f t="shared" si="6"/>
        <v>37.5</v>
      </c>
    </row>
    <row r="382" spans="10:16">
      <c r="J382" s="5"/>
      <c r="L382">
        <f>RAVLT_Rec!M382</f>
        <v>-0.185587</v>
      </c>
      <c r="M382">
        <f>RAVLT_Rec!N382</f>
        <v>37.6</v>
      </c>
      <c r="O382" t="e">
        <f>ABS(L382-RAVLT_Rec!$C$34)</f>
        <v>#REF!</v>
      </c>
      <c r="P382">
        <f t="shared" si="6"/>
        <v>37.6</v>
      </c>
    </row>
    <row r="383" spans="10:16">
      <c r="J383" s="5"/>
      <c r="L383">
        <f>RAVLT_Rec!M383</f>
        <v>-0.185587</v>
      </c>
      <c r="M383">
        <f>RAVLT_Rec!N383</f>
        <v>37.700000000000003</v>
      </c>
      <c r="O383" t="e">
        <f>ABS(L383-RAVLT_Rec!$C$34)</f>
        <v>#REF!</v>
      </c>
      <c r="P383">
        <f t="shared" si="6"/>
        <v>37.700000000000003</v>
      </c>
    </row>
    <row r="384" spans="10:16">
      <c r="J384" s="5"/>
      <c r="L384">
        <f>RAVLT_Rec!M384</f>
        <v>-0.185587</v>
      </c>
      <c r="M384">
        <f>RAVLT_Rec!N384</f>
        <v>37.799999999999997</v>
      </c>
      <c r="O384" t="e">
        <f>ABS(L384-RAVLT_Rec!$C$34)</f>
        <v>#REF!</v>
      </c>
      <c r="P384">
        <f t="shared" si="6"/>
        <v>37.799999999999997</v>
      </c>
    </row>
    <row r="385" spans="10:16">
      <c r="J385" s="5"/>
      <c r="L385">
        <f>RAVLT_Rec!M385</f>
        <v>-0.185587</v>
      </c>
      <c r="M385">
        <f>RAVLT_Rec!N385</f>
        <v>37.9</v>
      </c>
      <c r="O385" t="e">
        <f>ABS(L385-RAVLT_Rec!$C$34)</f>
        <v>#REF!</v>
      </c>
      <c r="P385">
        <f t="shared" si="6"/>
        <v>37.9</v>
      </c>
    </row>
    <row r="386" spans="10:16">
      <c r="J386" s="5"/>
      <c r="L386">
        <f>RAVLT_Rec!M386</f>
        <v>-0.18397284</v>
      </c>
      <c r="M386">
        <f>RAVLT_Rec!N386</f>
        <v>38</v>
      </c>
      <c r="O386" t="e">
        <f>ABS(L386-RAVLT_Rec!$C$34)</f>
        <v>#REF!</v>
      </c>
      <c r="P386">
        <f t="shared" si="6"/>
        <v>38</v>
      </c>
    </row>
    <row r="387" spans="10:16">
      <c r="J387" s="5"/>
      <c r="L387">
        <f>RAVLT_Rec!M387</f>
        <v>-0.17658805799999999</v>
      </c>
      <c r="M387">
        <f>RAVLT_Rec!N387</f>
        <v>38.1</v>
      </c>
      <c r="O387" t="e">
        <f>ABS(L387-RAVLT_Rec!$C$34)</f>
        <v>#REF!</v>
      </c>
      <c r="P387">
        <f t="shared" si="6"/>
        <v>38.1</v>
      </c>
    </row>
    <row r="388" spans="10:16">
      <c r="J388" s="5"/>
      <c r="L388">
        <f>RAVLT_Rec!M388</f>
        <v>-0.16920327600000001</v>
      </c>
      <c r="M388">
        <f>RAVLT_Rec!N388</f>
        <v>38.200000000000003</v>
      </c>
      <c r="O388" t="e">
        <f>ABS(L388-RAVLT_Rec!$C$34)</f>
        <v>#REF!</v>
      </c>
      <c r="P388">
        <f t="shared" si="6"/>
        <v>38.200000000000003</v>
      </c>
    </row>
    <row r="389" spans="10:16">
      <c r="J389" s="5"/>
      <c r="L389">
        <f>RAVLT_Rec!M389</f>
        <v>-0.16541</v>
      </c>
      <c r="M389">
        <f>RAVLT_Rec!N389</f>
        <v>38.299999999999997</v>
      </c>
      <c r="O389" t="e">
        <f>ABS(L389-RAVLT_Rec!$C$34)</f>
        <v>#REF!</v>
      </c>
      <c r="P389">
        <f t="shared" si="6"/>
        <v>38.299999999999997</v>
      </c>
    </row>
    <row r="390" spans="10:16">
      <c r="J390" s="5"/>
      <c r="L390">
        <f>RAVLT_Rec!M390</f>
        <v>-0.16541</v>
      </c>
      <c r="M390">
        <f>RAVLT_Rec!N390</f>
        <v>38.4</v>
      </c>
      <c r="O390" t="e">
        <f>ABS(L390-RAVLT_Rec!$C$34)</f>
        <v>#REF!</v>
      </c>
      <c r="P390">
        <f t="shared" si="6"/>
        <v>38.4</v>
      </c>
    </row>
    <row r="391" spans="10:16">
      <c r="J391" s="5"/>
      <c r="L391">
        <f>RAVLT_Rec!M391</f>
        <v>-0.16541</v>
      </c>
      <c r="M391">
        <f>RAVLT_Rec!N391</f>
        <v>38.5</v>
      </c>
      <c r="O391" t="e">
        <f>ABS(L391-RAVLT_Rec!$C$34)</f>
        <v>#REF!</v>
      </c>
      <c r="P391">
        <f t="shared" ref="P391:P454" si="7">M391</f>
        <v>38.5</v>
      </c>
    </row>
    <row r="392" spans="10:16">
      <c r="J392" s="5"/>
      <c r="L392">
        <f>RAVLT_Rec!M392</f>
        <v>-0.16541</v>
      </c>
      <c r="M392">
        <f>RAVLT_Rec!N392</f>
        <v>38.6</v>
      </c>
      <c r="O392" t="e">
        <f>ABS(L392-RAVLT_Rec!$C$34)</f>
        <v>#REF!</v>
      </c>
      <c r="P392">
        <f t="shared" si="7"/>
        <v>38.6</v>
      </c>
    </row>
    <row r="393" spans="10:16">
      <c r="J393" s="5"/>
      <c r="L393">
        <f>RAVLT_Rec!M393</f>
        <v>-0.16541</v>
      </c>
      <c r="M393">
        <f>RAVLT_Rec!N393</f>
        <v>38.700000000000003</v>
      </c>
      <c r="O393" t="e">
        <f>ABS(L393-RAVLT_Rec!$C$34)</f>
        <v>#REF!</v>
      </c>
      <c r="P393">
        <f t="shared" si="7"/>
        <v>38.700000000000003</v>
      </c>
    </row>
    <row r="394" spans="10:16">
      <c r="J394" s="5"/>
      <c r="L394">
        <f>RAVLT_Rec!M394</f>
        <v>-0.16541</v>
      </c>
      <c r="M394">
        <f>RAVLT_Rec!N394</f>
        <v>38.799999999999997</v>
      </c>
      <c r="O394" t="e">
        <f>ABS(L394-RAVLT_Rec!$C$34)</f>
        <v>#REF!</v>
      </c>
      <c r="P394">
        <f t="shared" si="7"/>
        <v>38.799999999999997</v>
      </c>
    </row>
    <row r="395" spans="10:16">
      <c r="J395" s="5"/>
      <c r="L395">
        <f>RAVLT_Rec!M395</f>
        <v>-0.16541</v>
      </c>
      <c r="M395">
        <f>RAVLT_Rec!N395</f>
        <v>38.9</v>
      </c>
      <c r="O395" t="e">
        <f>ABS(L395-RAVLT_Rec!$C$34)</f>
        <v>#REF!</v>
      </c>
      <c r="P395">
        <f t="shared" si="7"/>
        <v>38.9</v>
      </c>
    </row>
    <row r="396" spans="10:16">
      <c r="J396" s="5"/>
      <c r="L396">
        <f>RAVLT_Rec!M396</f>
        <v>-0.16541</v>
      </c>
      <c r="M396">
        <f>RAVLT_Rec!N396</f>
        <v>39</v>
      </c>
      <c r="O396" t="e">
        <f>ABS(L396-RAVLT_Rec!$C$34)</f>
        <v>#REF!</v>
      </c>
      <c r="P396">
        <f t="shared" si="7"/>
        <v>39</v>
      </c>
    </row>
    <row r="397" spans="10:16">
      <c r="J397" s="5"/>
      <c r="L397">
        <f>RAVLT_Rec!M397</f>
        <v>-0.16541</v>
      </c>
      <c r="M397">
        <f>RAVLT_Rec!N397</f>
        <v>39.1</v>
      </c>
      <c r="O397" t="e">
        <f>ABS(L397-RAVLT_Rec!$C$34)</f>
        <v>#REF!</v>
      </c>
      <c r="P397">
        <f t="shared" si="7"/>
        <v>39.1</v>
      </c>
    </row>
    <row r="398" spans="10:16">
      <c r="J398" s="5"/>
      <c r="L398">
        <f>RAVLT_Rec!M398</f>
        <v>-0.16541</v>
      </c>
      <c r="M398">
        <f>RAVLT_Rec!N398</f>
        <v>39.200000000000003</v>
      </c>
      <c r="O398" t="e">
        <f>ABS(L398-RAVLT_Rec!$C$34)</f>
        <v>#REF!</v>
      </c>
      <c r="P398">
        <f t="shared" si="7"/>
        <v>39.200000000000003</v>
      </c>
    </row>
    <row r="399" spans="10:16">
      <c r="J399" s="5"/>
      <c r="L399">
        <f>RAVLT_Rec!M399</f>
        <v>-0.16541</v>
      </c>
      <c r="M399">
        <f>RAVLT_Rec!N399</f>
        <v>39.299999999999997</v>
      </c>
      <c r="O399" t="e">
        <f>ABS(L399-RAVLT_Rec!$C$34)</f>
        <v>#REF!</v>
      </c>
      <c r="P399">
        <f t="shared" si="7"/>
        <v>39.299999999999997</v>
      </c>
    </row>
    <row r="400" spans="10:16">
      <c r="J400" s="5"/>
      <c r="L400">
        <f>RAVLT_Rec!M400</f>
        <v>-0.16541</v>
      </c>
      <c r="M400">
        <f>RAVLT_Rec!N400</f>
        <v>39.4</v>
      </c>
      <c r="O400" t="e">
        <f>ABS(L400-RAVLT_Rec!$C$34)</f>
        <v>#REF!</v>
      </c>
      <c r="P400">
        <f t="shared" si="7"/>
        <v>39.4</v>
      </c>
    </row>
    <row r="401" spans="10:16">
      <c r="J401" s="5"/>
      <c r="L401">
        <f>RAVLT_Rec!M401</f>
        <v>-0.16541</v>
      </c>
      <c r="M401">
        <f>RAVLT_Rec!N401</f>
        <v>39.5</v>
      </c>
      <c r="O401" t="e">
        <f>ABS(L401-RAVLT_Rec!$C$34)</f>
        <v>#REF!</v>
      </c>
      <c r="P401">
        <f t="shared" si="7"/>
        <v>39.5</v>
      </c>
    </row>
    <row r="402" spans="10:16">
      <c r="J402" s="5"/>
      <c r="L402">
        <f>RAVLT_Rec!M402</f>
        <v>-0.16541</v>
      </c>
      <c r="M402">
        <f>RAVLT_Rec!N402</f>
        <v>39.6</v>
      </c>
      <c r="O402" t="e">
        <f>ABS(L402-RAVLT_Rec!$C$34)</f>
        <v>#REF!</v>
      </c>
      <c r="P402">
        <f t="shared" si="7"/>
        <v>39.6</v>
      </c>
    </row>
    <row r="403" spans="10:16">
      <c r="J403" s="5"/>
      <c r="L403">
        <f>RAVLT_Rec!M403</f>
        <v>-0.16466768400000001</v>
      </c>
      <c r="M403">
        <f>RAVLT_Rec!N403</f>
        <v>39.700000000000003</v>
      </c>
      <c r="O403" t="e">
        <f>ABS(L403-RAVLT_Rec!$C$34)</f>
        <v>#REF!</v>
      </c>
      <c r="P403">
        <f t="shared" si="7"/>
        <v>39.700000000000003</v>
      </c>
    </row>
    <row r="404" spans="10:16">
      <c r="J404" s="5"/>
      <c r="L404">
        <f>RAVLT_Rec!M404</f>
        <v>-0.163768056</v>
      </c>
      <c r="M404">
        <f>RAVLT_Rec!N404</f>
        <v>39.799999999999997</v>
      </c>
      <c r="O404" t="e">
        <f>ABS(L404-RAVLT_Rec!$C$34)</f>
        <v>#REF!</v>
      </c>
      <c r="P404">
        <f t="shared" si="7"/>
        <v>39.799999999999997</v>
      </c>
    </row>
    <row r="405" spans="10:16">
      <c r="J405" s="5"/>
      <c r="L405">
        <f>RAVLT_Rec!M405</f>
        <v>-0.162184892</v>
      </c>
      <c r="M405">
        <f>RAVLT_Rec!N405</f>
        <v>39.9</v>
      </c>
      <c r="O405" t="e">
        <f>ABS(L405-RAVLT_Rec!$C$34)</f>
        <v>#REF!</v>
      </c>
      <c r="P405">
        <f t="shared" si="7"/>
        <v>39.9</v>
      </c>
    </row>
    <row r="406" spans="10:16">
      <c r="J406" s="5"/>
      <c r="L406">
        <f>RAVLT_Rec!M406</f>
        <v>-0.15392719999999999</v>
      </c>
      <c r="M406">
        <f>RAVLT_Rec!N406</f>
        <v>40</v>
      </c>
      <c r="O406" t="e">
        <f>ABS(L406-RAVLT_Rec!$C$34)</f>
        <v>#REF!</v>
      </c>
      <c r="P406">
        <f t="shared" si="7"/>
        <v>40</v>
      </c>
    </row>
    <row r="407" spans="10:16">
      <c r="J407" s="5"/>
      <c r="L407">
        <f>RAVLT_Rec!M407</f>
        <v>-0.145669508</v>
      </c>
      <c r="M407">
        <f>RAVLT_Rec!N407</f>
        <v>40.1</v>
      </c>
      <c r="O407" t="e">
        <f>ABS(L407-RAVLT_Rec!$C$34)</f>
        <v>#REF!</v>
      </c>
      <c r="P407">
        <f t="shared" si="7"/>
        <v>40.1</v>
      </c>
    </row>
    <row r="408" spans="10:16">
      <c r="J408" s="5"/>
      <c r="L408">
        <f>RAVLT_Rec!M408</f>
        <v>-0.13988378000000001</v>
      </c>
      <c r="M408">
        <f>RAVLT_Rec!N408</f>
        <v>40.200000000000003</v>
      </c>
      <c r="O408" t="e">
        <f>ABS(L408-RAVLT_Rec!$C$34)</f>
        <v>#REF!</v>
      </c>
      <c r="P408">
        <f t="shared" si="7"/>
        <v>40.200000000000003</v>
      </c>
    </row>
    <row r="409" spans="10:16">
      <c r="J409" s="5"/>
      <c r="L409">
        <f>RAVLT_Rec!M409</f>
        <v>-0.13848017000000001</v>
      </c>
      <c r="M409">
        <f>RAVLT_Rec!N409</f>
        <v>40.299999999999997</v>
      </c>
      <c r="O409" t="e">
        <f>ABS(L409-RAVLT_Rec!$C$34)</f>
        <v>#REF!</v>
      </c>
      <c r="P409">
        <f t="shared" si="7"/>
        <v>40.299999999999997</v>
      </c>
    </row>
    <row r="410" spans="10:16">
      <c r="J410" s="5"/>
      <c r="L410">
        <f>RAVLT_Rec!M410</f>
        <v>-0.13707655999999999</v>
      </c>
      <c r="M410">
        <f>RAVLT_Rec!N410</f>
        <v>40.4</v>
      </c>
      <c r="O410" t="e">
        <f>ABS(L410-RAVLT_Rec!$C$34)</f>
        <v>#REF!</v>
      </c>
      <c r="P410">
        <f t="shared" si="7"/>
        <v>40.4</v>
      </c>
    </row>
    <row r="411" spans="10:16">
      <c r="J411" s="5"/>
      <c r="L411">
        <f>RAVLT_Rec!M411</f>
        <v>-0.13655500000000001</v>
      </c>
      <c r="M411">
        <f>RAVLT_Rec!N411</f>
        <v>40.5</v>
      </c>
      <c r="O411" t="e">
        <f>ABS(L411-RAVLT_Rec!$C$34)</f>
        <v>#REF!</v>
      </c>
      <c r="P411">
        <f t="shared" si="7"/>
        <v>40.5</v>
      </c>
    </row>
    <row r="412" spans="10:16">
      <c r="J412" s="5"/>
      <c r="L412">
        <f>RAVLT_Rec!M412</f>
        <v>-0.13655500000000001</v>
      </c>
      <c r="M412">
        <f>RAVLT_Rec!N412</f>
        <v>40.6</v>
      </c>
      <c r="O412" t="e">
        <f>ABS(L412-RAVLT_Rec!$C$34)</f>
        <v>#REF!</v>
      </c>
      <c r="P412">
        <f t="shared" si="7"/>
        <v>40.6</v>
      </c>
    </row>
    <row r="413" spans="10:16">
      <c r="J413" s="5"/>
      <c r="L413">
        <f>RAVLT_Rec!M413</f>
        <v>-0.13655500000000001</v>
      </c>
      <c r="M413">
        <f>RAVLT_Rec!N413</f>
        <v>40.700000000000003</v>
      </c>
      <c r="O413" t="e">
        <f>ABS(L413-RAVLT_Rec!$C$34)</f>
        <v>#REF!</v>
      </c>
      <c r="P413">
        <f t="shared" si="7"/>
        <v>40.700000000000003</v>
      </c>
    </row>
    <row r="414" spans="10:16">
      <c r="J414" s="5"/>
      <c r="L414">
        <f>RAVLT_Rec!M414</f>
        <v>-0.13655500000000001</v>
      </c>
      <c r="M414">
        <f>RAVLT_Rec!N414</f>
        <v>40.799999999999997</v>
      </c>
      <c r="O414" t="e">
        <f>ABS(L414-RAVLT_Rec!$C$34)</f>
        <v>#REF!</v>
      </c>
      <c r="P414">
        <f t="shared" si="7"/>
        <v>40.799999999999997</v>
      </c>
    </row>
    <row r="415" spans="10:16">
      <c r="J415" s="5"/>
      <c r="L415">
        <f>RAVLT_Rec!M415</f>
        <v>-0.13655500000000001</v>
      </c>
      <c r="M415">
        <f>RAVLT_Rec!N415</f>
        <v>40.9</v>
      </c>
      <c r="O415" t="e">
        <f>ABS(L415-RAVLT_Rec!$C$34)</f>
        <v>#REF!</v>
      </c>
      <c r="P415">
        <f t="shared" si="7"/>
        <v>40.9</v>
      </c>
    </row>
    <row r="416" spans="10:16">
      <c r="J416" s="5"/>
      <c r="L416">
        <f>RAVLT_Rec!M416</f>
        <v>-0.13655500000000001</v>
      </c>
      <c r="M416">
        <f>RAVLT_Rec!N416</f>
        <v>41</v>
      </c>
      <c r="O416" t="e">
        <f>ABS(L416-RAVLT_Rec!$C$34)</f>
        <v>#REF!</v>
      </c>
      <c r="P416">
        <f t="shared" si="7"/>
        <v>41</v>
      </c>
    </row>
    <row r="417" spans="10:16">
      <c r="J417" s="5"/>
      <c r="L417">
        <f>RAVLT_Rec!M417</f>
        <v>-0.13655500000000001</v>
      </c>
      <c r="M417">
        <f>RAVLT_Rec!N417</f>
        <v>41.1</v>
      </c>
      <c r="O417" t="e">
        <f>ABS(L417-RAVLT_Rec!$C$34)</f>
        <v>#REF!</v>
      </c>
      <c r="P417">
        <f t="shared" si="7"/>
        <v>41.1</v>
      </c>
    </row>
    <row r="418" spans="10:16">
      <c r="J418" s="5"/>
      <c r="L418">
        <f>RAVLT_Rec!M418</f>
        <v>-0.13655500000000001</v>
      </c>
      <c r="M418">
        <f>RAVLT_Rec!N418</f>
        <v>41.2</v>
      </c>
      <c r="O418" t="e">
        <f>ABS(L418-RAVLT_Rec!$C$34)</f>
        <v>#REF!</v>
      </c>
      <c r="P418">
        <f t="shared" si="7"/>
        <v>41.2</v>
      </c>
    </row>
    <row r="419" spans="10:16">
      <c r="J419" s="5"/>
      <c r="L419">
        <f>RAVLT_Rec!M419</f>
        <v>-0.13356832599999999</v>
      </c>
      <c r="M419">
        <f>RAVLT_Rec!N419</f>
        <v>41.3</v>
      </c>
      <c r="O419" t="e">
        <f>ABS(L419-RAVLT_Rec!$C$34)</f>
        <v>#REF!</v>
      </c>
      <c r="P419">
        <f t="shared" si="7"/>
        <v>41.3</v>
      </c>
    </row>
    <row r="420" spans="10:16">
      <c r="J420" s="5"/>
      <c r="L420">
        <f>RAVLT_Rec!M420</f>
        <v>-0.12664982799999999</v>
      </c>
      <c r="M420">
        <f>RAVLT_Rec!N420</f>
        <v>41.4</v>
      </c>
      <c r="O420" t="e">
        <f>ABS(L420-RAVLT_Rec!$C$34)</f>
        <v>#REF!</v>
      </c>
      <c r="P420">
        <f t="shared" si="7"/>
        <v>41.4</v>
      </c>
    </row>
    <row r="421" spans="10:16">
      <c r="J421" s="5"/>
      <c r="L421">
        <f>RAVLT_Rec!M421</f>
        <v>-0.11973133</v>
      </c>
      <c r="M421">
        <f>RAVLT_Rec!N421</f>
        <v>41.5</v>
      </c>
      <c r="O421" t="e">
        <f>ABS(L421-RAVLT_Rec!$C$34)</f>
        <v>#REF!</v>
      </c>
      <c r="P421">
        <f t="shared" si="7"/>
        <v>41.5</v>
      </c>
    </row>
    <row r="422" spans="10:16">
      <c r="J422" s="5"/>
      <c r="L422">
        <f>RAVLT_Rec!M422</f>
        <v>-0.11173328</v>
      </c>
      <c r="M422">
        <f>RAVLT_Rec!N422</f>
        <v>41.6</v>
      </c>
      <c r="O422" t="e">
        <f>ABS(L422-RAVLT_Rec!$C$34)</f>
        <v>#REF!</v>
      </c>
      <c r="P422">
        <f t="shared" si="7"/>
        <v>41.6</v>
      </c>
    </row>
    <row r="423" spans="10:16">
      <c r="J423" s="5"/>
      <c r="L423">
        <f>RAVLT_Rec!M423</f>
        <v>-0.10327136000000001</v>
      </c>
      <c r="M423">
        <f>RAVLT_Rec!N423</f>
        <v>41.7</v>
      </c>
      <c r="O423" t="e">
        <f>ABS(L423-RAVLT_Rec!$C$34)</f>
        <v>#REF!</v>
      </c>
      <c r="P423">
        <f t="shared" si="7"/>
        <v>41.7</v>
      </c>
    </row>
    <row r="424" spans="10:16">
      <c r="J424" s="5"/>
      <c r="L424">
        <f>RAVLT_Rec!M424</f>
        <v>-9.4809439999999995E-2</v>
      </c>
      <c r="M424">
        <f>RAVLT_Rec!N424</f>
        <v>41.8</v>
      </c>
      <c r="O424" t="e">
        <f>ABS(L424-RAVLT_Rec!$C$34)</f>
        <v>#REF!</v>
      </c>
      <c r="P424">
        <f t="shared" si="7"/>
        <v>41.8</v>
      </c>
    </row>
    <row r="425" spans="10:16">
      <c r="J425" s="5"/>
      <c r="L425">
        <f>RAVLT_Rec!M425</f>
        <v>-9.4532000000000005E-2</v>
      </c>
      <c r="M425">
        <f>RAVLT_Rec!N425</f>
        <v>41.9</v>
      </c>
      <c r="O425" t="e">
        <f>ABS(L425-RAVLT_Rec!$C$34)</f>
        <v>#REF!</v>
      </c>
      <c r="P425">
        <f t="shared" si="7"/>
        <v>41.9</v>
      </c>
    </row>
    <row r="426" spans="10:16">
      <c r="J426" s="5"/>
      <c r="L426">
        <f>RAVLT_Rec!M426</f>
        <v>-9.4532000000000005E-2</v>
      </c>
      <c r="M426">
        <f>RAVLT_Rec!N426</f>
        <v>42</v>
      </c>
      <c r="O426" t="e">
        <f>ABS(L426-RAVLT_Rec!$C$34)</f>
        <v>#REF!</v>
      </c>
      <c r="P426">
        <f t="shared" si="7"/>
        <v>42</v>
      </c>
    </row>
    <row r="427" spans="10:16">
      <c r="J427" s="5"/>
      <c r="L427">
        <f>RAVLT_Rec!M427</f>
        <v>-9.0403312000000804E-2</v>
      </c>
      <c r="M427">
        <f>RAVLT_Rec!N427</f>
        <v>42.1</v>
      </c>
      <c r="O427" t="e">
        <f>ABS(L427-RAVLT_Rec!$C$34)</f>
        <v>#REF!</v>
      </c>
      <c r="P427">
        <f t="shared" si="7"/>
        <v>42.1</v>
      </c>
    </row>
    <row r="428" spans="10:16">
      <c r="J428" s="5"/>
      <c r="L428">
        <f>RAVLT_Rec!M428</f>
        <v>-7.2832384000000097E-2</v>
      </c>
      <c r="M428">
        <f>RAVLT_Rec!N428</f>
        <v>42.2</v>
      </c>
      <c r="O428" t="e">
        <f>ABS(L428-RAVLT_Rec!$C$34)</f>
        <v>#REF!</v>
      </c>
      <c r="P428">
        <f t="shared" si="7"/>
        <v>42.2</v>
      </c>
    </row>
    <row r="429" spans="10:16">
      <c r="J429" s="5"/>
      <c r="L429">
        <f>RAVLT_Rec!M429</f>
        <v>-5.5261456000000798E-2</v>
      </c>
      <c r="M429">
        <f>RAVLT_Rec!N429</f>
        <v>42.3</v>
      </c>
      <c r="O429" t="e">
        <f>ABS(L429-RAVLT_Rec!$C$34)</f>
        <v>#REF!</v>
      </c>
      <c r="P429">
        <f t="shared" si="7"/>
        <v>42.3</v>
      </c>
    </row>
    <row r="430" spans="10:16">
      <c r="J430" s="5"/>
      <c r="L430">
        <f>RAVLT_Rec!M430</f>
        <v>-4.6524000000000003E-2</v>
      </c>
      <c r="M430">
        <f>RAVLT_Rec!N430</f>
        <v>42.4</v>
      </c>
      <c r="O430" t="e">
        <f>ABS(L430-RAVLT_Rec!$C$34)</f>
        <v>#REF!</v>
      </c>
      <c r="P430">
        <f t="shared" si="7"/>
        <v>42.4</v>
      </c>
    </row>
    <row r="431" spans="10:16">
      <c r="J431" s="5"/>
      <c r="L431">
        <f>RAVLT_Rec!M431</f>
        <v>-4.6524000000000003E-2</v>
      </c>
      <c r="M431">
        <f>RAVLT_Rec!N431</f>
        <v>42.5</v>
      </c>
      <c r="O431" t="e">
        <f>ABS(L431-RAVLT_Rec!$C$34)</f>
        <v>#REF!</v>
      </c>
      <c r="P431">
        <f t="shared" si="7"/>
        <v>42.5</v>
      </c>
    </row>
    <row r="432" spans="10:16">
      <c r="J432" s="5"/>
      <c r="L432">
        <f>RAVLT_Rec!M432</f>
        <v>-4.6524000000000003E-2</v>
      </c>
      <c r="M432">
        <f>RAVLT_Rec!N432</f>
        <v>42.6</v>
      </c>
      <c r="O432" t="e">
        <f>ABS(L432-RAVLT_Rec!$C$34)</f>
        <v>#REF!</v>
      </c>
      <c r="P432">
        <f t="shared" si="7"/>
        <v>42.6</v>
      </c>
    </row>
    <row r="433" spans="10:16">
      <c r="J433" s="5"/>
      <c r="L433">
        <f>RAVLT_Rec!M433</f>
        <v>-4.50279899999999E-2</v>
      </c>
      <c r="M433">
        <f>RAVLT_Rec!N433</f>
        <v>42.7</v>
      </c>
      <c r="O433" t="e">
        <f>ABS(L433-RAVLT_Rec!$C$34)</f>
        <v>#REF!</v>
      </c>
      <c r="P433">
        <f t="shared" si="7"/>
        <v>42.7</v>
      </c>
    </row>
    <row r="434" spans="10:16">
      <c r="J434" s="5"/>
      <c r="L434">
        <f>RAVLT_Rec!M434</f>
        <v>-4.3086359999999997E-2</v>
      </c>
      <c r="M434">
        <f>RAVLT_Rec!N434</f>
        <v>42.8</v>
      </c>
      <c r="O434" t="e">
        <f>ABS(L434-RAVLT_Rec!$C$34)</f>
        <v>#REF!</v>
      </c>
      <c r="P434">
        <f t="shared" si="7"/>
        <v>42.8</v>
      </c>
    </row>
    <row r="435" spans="10:16">
      <c r="J435" s="5"/>
      <c r="L435">
        <f>RAVLT_Rec!M435</f>
        <v>-4.0942303999999798E-2</v>
      </c>
      <c r="M435">
        <f>RAVLT_Rec!N435</f>
        <v>42.9</v>
      </c>
      <c r="O435" t="e">
        <f>ABS(L435-RAVLT_Rec!$C$34)</f>
        <v>#REF!</v>
      </c>
      <c r="P435">
        <f t="shared" si="7"/>
        <v>42.9</v>
      </c>
    </row>
    <row r="436" spans="10:16">
      <c r="J436" s="5"/>
      <c r="L436">
        <f>RAVLT_Rec!M436</f>
        <v>-3.3708680000000102E-2</v>
      </c>
      <c r="M436">
        <f>RAVLT_Rec!N436</f>
        <v>43</v>
      </c>
      <c r="O436" t="e">
        <f>ABS(L436-RAVLT_Rec!$C$34)</f>
        <v>#REF!</v>
      </c>
      <c r="P436">
        <f t="shared" si="7"/>
        <v>43</v>
      </c>
    </row>
    <row r="437" spans="10:16">
      <c r="J437" s="5"/>
      <c r="L437">
        <f>RAVLT_Rec!M437</f>
        <v>-2.6475055999999799E-2</v>
      </c>
      <c r="M437">
        <f>RAVLT_Rec!N437</f>
        <v>43.1</v>
      </c>
      <c r="O437" t="e">
        <f>ABS(L437-RAVLT_Rec!$C$34)</f>
        <v>#REF!</v>
      </c>
      <c r="P437">
        <f t="shared" si="7"/>
        <v>43.1</v>
      </c>
    </row>
    <row r="438" spans="10:16">
      <c r="J438" s="5"/>
      <c r="L438">
        <f>RAVLT_Rec!M438</f>
        <v>-2.1454999999999998E-2</v>
      </c>
      <c r="M438">
        <f>RAVLT_Rec!N438</f>
        <v>43.2</v>
      </c>
      <c r="O438" t="e">
        <f>ABS(L438-RAVLT_Rec!$C$34)</f>
        <v>#REF!</v>
      </c>
      <c r="P438">
        <f t="shared" si="7"/>
        <v>43.2</v>
      </c>
    </row>
    <row r="439" spans="10:16">
      <c r="J439" s="5"/>
      <c r="L439">
        <f>RAVLT_Rec!M439</f>
        <v>-2.1454999999999998E-2</v>
      </c>
      <c r="M439">
        <f>RAVLT_Rec!N439</f>
        <v>43.3</v>
      </c>
      <c r="O439" t="e">
        <f>ABS(L439-RAVLT_Rec!$C$34)</f>
        <v>#REF!</v>
      </c>
      <c r="P439">
        <f t="shared" si="7"/>
        <v>43.3</v>
      </c>
    </row>
    <row r="440" spans="10:16">
      <c r="J440" s="5"/>
      <c r="L440">
        <f>RAVLT_Rec!M440</f>
        <v>-2.1454999999999998E-2</v>
      </c>
      <c r="M440">
        <f>RAVLT_Rec!N440</f>
        <v>43.4</v>
      </c>
      <c r="O440" t="e">
        <f>ABS(L440-RAVLT_Rec!$C$34)</f>
        <v>#REF!</v>
      </c>
      <c r="P440">
        <f t="shared" si="7"/>
        <v>43.4</v>
      </c>
    </row>
    <row r="441" spans="10:16">
      <c r="J441" s="5"/>
      <c r="L441">
        <f>RAVLT_Rec!M441</f>
        <v>-2.1454999999999998E-2</v>
      </c>
      <c r="M441">
        <f>RAVLT_Rec!N441</f>
        <v>43.5</v>
      </c>
      <c r="O441" t="e">
        <f>ABS(L441-RAVLT_Rec!$C$34)</f>
        <v>#REF!</v>
      </c>
      <c r="P441">
        <f t="shared" si="7"/>
        <v>43.5</v>
      </c>
    </row>
    <row r="442" spans="10:16">
      <c r="J442" s="5"/>
      <c r="L442">
        <f>RAVLT_Rec!M442</f>
        <v>-2.1454999999999998E-2</v>
      </c>
      <c r="M442">
        <f>RAVLT_Rec!N442</f>
        <v>43.6</v>
      </c>
      <c r="O442" t="e">
        <f>ABS(L442-RAVLT_Rec!$C$34)</f>
        <v>#REF!</v>
      </c>
      <c r="P442">
        <f t="shared" si="7"/>
        <v>43.6</v>
      </c>
    </row>
    <row r="443" spans="10:16">
      <c r="J443" s="5"/>
      <c r="L443">
        <f>RAVLT_Rec!M443</f>
        <v>-2.1454999999999998E-2</v>
      </c>
      <c r="M443">
        <f>RAVLT_Rec!N443</f>
        <v>43.7</v>
      </c>
      <c r="O443" t="e">
        <f>ABS(L443-RAVLT_Rec!$C$34)</f>
        <v>#REF!</v>
      </c>
      <c r="P443">
        <f t="shared" si="7"/>
        <v>43.7</v>
      </c>
    </row>
    <row r="444" spans="10:16">
      <c r="J444" s="5"/>
      <c r="L444">
        <f>RAVLT_Rec!M444</f>
        <v>-2.1454999999999998E-2</v>
      </c>
      <c r="M444">
        <f>RAVLT_Rec!N444</f>
        <v>43.8</v>
      </c>
      <c r="O444" t="e">
        <f>ABS(L444-RAVLT_Rec!$C$34)</f>
        <v>#REF!</v>
      </c>
      <c r="P444">
        <f t="shared" si="7"/>
        <v>43.8</v>
      </c>
    </row>
    <row r="445" spans="10:16">
      <c r="J445" s="5"/>
      <c r="L445">
        <f>RAVLT_Rec!M445</f>
        <v>-2.1454999999999998E-2</v>
      </c>
      <c r="M445">
        <f>RAVLT_Rec!N445</f>
        <v>43.9</v>
      </c>
      <c r="O445" t="e">
        <f>ABS(L445-RAVLT_Rec!$C$34)</f>
        <v>#REF!</v>
      </c>
      <c r="P445">
        <f t="shared" si="7"/>
        <v>43.9</v>
      </c>
    </row>
    <row r="446" spans="10:16">
      <c r="J446" s="5"/>
      <c r="L446">
        <f>RAVLT_Rec!M446</f>
        <v>-2.1454999999999998E-2</v>
      </c>
      <c r="M446">
        <f>RAVLT_Rec!N446</f>
        <v>44</v>
      </c>
      <c r="O446" t="e">
        <f>ABS(L446-RAVLT_Rec!$C$34)</f>
        <v>#REF!</v>
      </c>
      <c r="P446">
        <f t="shared" si="7"/>
        <v>44</v>
      </c>
    </row>
    <row r="447" spans="10:16">
      <c r="J447" s="5"/>
      <c r="L447">
        <f>RAVLT_Rec!M447</f>
        <v>-2.1454999999999998E-2</v>
      </c>
      <c r="M447">
        <f>RAVLT_Rec!N447</f>
        <v>44.1</v>
      </c>
      <c r="O447" t="e">
        <f>ABS(L447-RAVLT_Rec!$C$34)</f>
        <v>#REF!</v>
      </c>
      <c r="P447">
        <f t="shared" si="7"/>
        <v>44.1</v>
      </c>
    </row>
    <row r="448" spans="10:16">
      <c r="J448" s="5"/>
      <c r="L448">
        <f>RAVLT_Rec!M448</f>
        <v>-2.1454999999999998E-2</v>
      </c>
      <c r="M448">
        <f>RAVLT_Rec!N448</f>
        <v>44.2</v>
      </c>
      <c r="O448" t="e">
        <f>ABS(L448-RAVLT_Rec!$C$34)</f>
        <v>#REF!</v>
      </c>
      <c r="P448">
        <f t="shared" si="7"/>
        <v>44.2</v>
      </c>
    </row>
    <row r="449" spans="10:16">
      <c r="J449" s="5"/>
      <c r="L449">
        <f>RAVLT_Rec!M449</f>
        <v>-1.7896531999999899E-2</v>
      </c>
      <c r="M449">
        <f>RAVLT_Rec!N449</f>
        <v>44.3</v>
      </c>
      <c r="O449" t="e">
        <f>ABS(L449-RAVLT_Rec!$C$34)</f>
        <v>#REF!</v>
      </c>
      <c r="P449">
        <f t="shared" si="7"/>
        <v>44.3</v>
      </c>
    </row>
    <row r="450" spans="10:16">
      <c r="J450" s="5"/>
      <c r="L450">
        <f>RAVLT_Rec!M450</f>
        <v>-8.4588560000002401E-3</v>
      </c>
      <c r="M450">
        <f>RAVLT_Rec!N450</f>
        <v>44.4</v>
      </c>
      <c r="O450" t="e">
        <f>ABS(L450-RAVLT_Rec!$C$34)</f>
        <v>#REF!</v>
      </c>
      <c r="P450">
        <f t="shared" si="7"/>
        <v>44.4</v>
      </c>
    </row>
    <row r="451" spans="10:16">
      <c r="J451" s="5"/>
      <c r="L451">
        <f>RAVLT_Rec!M451</f>
        <v>9.7882000000011691E-4</v>
      </c>
      <c r="M451">
        <f>RAVLT_Rec!N451</f>
        <v>44.5</v>
      </c>
      <c r="O451" t="e">
        <f>ABS(L451-RAVLT_Rec!$C$34)</f>
        <v>#REF!</v>
      </c>
      <c r="P451">
        <f t="shared" si="7"/>
        <v>44.5</v>
      </c>
    </row>
    <row r="452" spans="10:16">
      <c r="J452" s="5"/>
      <c r="L452">
        <f>RAVLT_Rec!M452</f>
        <v>5.5242159999999499E-3</v>
      </c>
      <c r="M452">
        <f>RAVLT_Rec!N452</f>
        <v>44.6</v>
      </c>
      <c r="O452" t="e">
        <f>ABS(L452-RAVLT_Rec!$C$34)</f>
        <v>#REF!</v>
      </c>
      <c r="P452">
        <f t="shared" si="7"/>
        <v>44.6</v>
      </c>
    </row>
    <row r="453" spans="10:16">
      <c r="J453" s="5"/>
      <c r="L453">
        <f>RAVLT_Rec!M453</f>
        <v>7.3747120000000202E-3</v>
      </c>
      <c r="M453">
        <f>RAVLT_Rec!N453</f>
        <v>44.7</v>
      </c>
      <c r="O453" t="e">
        <f>ABS(L453-RAVLT_Rec!$C$34)</f>
        <v>#REF!</v>
      </c>
      <c r="P453">
        <f t="shared" si="7"/>
        <v>44.7</v>
      </c>
    </row>
    <row r="454" spans="10:16">
      <c r="J454" s="5"/>
      <c r="L454">
        <f>RAVLT_Rec!M454</f>
        <v>9.2252079999999501E-3</v>
      </c>
      <c r="M454">
        <f>RAVLT_Rec!N454</f>
        <v>44.8</v>
      </c>
      <c r="O454" t="e">
        <f>ABS(L454-RAVLT_Rec!$C$34)</f>
        <v>#REF!</v>
      </c>
      <c r="P454">
        <f t="shared" si="7"/>
        <v>44.8</v>
      </c>
    </row>
    <row r="455" spans="10:16">
      <c r="J455" s="5"/>
      <c r="L455">
        <f>RAVLT_Rec!M455</f>
        <v>1.65172320000001E-2</v>
      </c>
      <c r="M455">
        <f>RAVLT_Rec!N455</f>
        <v>44.9</v>
      </c>
      <c r="O455" t="e">
        <f>ABS(L455-RAVLT_Rec!$C$34)</f>
        <v>#REF!</v>
      </c>
      <c r="P455">
        <f t="shared" ref="P455:P518" si="8">M455</f>
        <v>44.9</v>
      </c>
    </row>
    <row r="456" spans="10:16">
      <c r="J456" s="5"/>
      <c r="L456">
        <f>RAVLT_Rec!M456</f>
        <v>2.43306000000004E-2</v>
      </c>
      <c r="M456">
        <f>RAVLT_Rec!N456</f>
        <v>45</v>
      </c>
      <c r="O456" t="e">
        <f>ABS(L456-RAVLT_Rec!$C$34)</f>
        <v>#REF!</v>
      </c>
      <c r="P456">
        <f t="shared" si="8"/>
        <v>45</v>
      </c>
    </row>
    <row r="457" spans="10:16">
      <c r="J457" s="5"/>
      <c r="L457">
        <f>RAVLT_Rec!M457</f>
        <v>3.0734999999999998E-2</v>
      </c>
      <c r="M457">
        <f>RAVLT_Rec!N457</f>
        <v>45.1</v>
      </c>
      <c r="O457" t="e">
        <f>ABS(L457-RAVLT_Rec!$C$34)</f>
        <v>#REF!</v>
      </c>
      <c r="P457">
        <f t="shared" si="8"/>
        <v>45.1</v>
      </c>
    </row>
    <row r="458" spans="10:16">
      <c r="J458" s="5"/>
      <c r="L458">
        <f>RAVLT_Rec!M458</f>
        <v>3.0734999999999998E-2</v>
      </c>
      <c r="M458">
        <f>RAVLT_Rec!N458</f>
        <v>45.2</v>
      </c>
      <c r="O458" t="e">
        <f>ABS(L458-RAVLT_Rec!$C$34)</f>
        <v>#REF!</v>
      </c>
      <c r="P458">
        <f t="shared" si="8"/>
        <v>45.2</v>
      </c>
    </row>
    <row r="459" spans="10:16">
      <c r="J459" s="5"/>
      <c r="L459">
        <f>RAVLT_Rec!M459</f>
        <v>3.0734999999999998E-2</v>
      </c>
      <c r="M459">
        <f>RAVLT_Rec!N459</f>
        <v>45.3</v>
      </c>
      <c r="O459" t="e">
        <f>ABS(L459-RAVLT_Rec!$C$34)</f>
        <v>#REF!</v>
      </c>
      <c r="P459">
        <f t="shared" si="8"/>
        <v>45.3</v>
      </c>
    </row>
    <row r="460" spans="10:16">
      <c r="J460" s="5"/>
      <c r="L460">
        <f>RAVLT_Rec!M460</f>
        <v>3.0734999999999998E-2</v>
      </c>
      <c r="M460">
        <f>RAVLT_Rec!N460</f>
        <v>45.4</v>
      </c>
      <c r="O460" t="e">
        <f>ABS(L460-RAVLT_Rec!$C$34)</f>
        <v>#REF!</v>
      </c>
      <c r="P460">
        <f t="shared" si="8"/>
        <v>45.4</v>
      </c>
    </row>
    <row r="461" spans="10:16">
      <c r="J461" s="5"/>
      <c r="L461">
        <f>RAVLT_Rec!M461</f>
        <v>3.0734999999999998E-2</v>
      </c>
      <c r="M461">
        <f>RAVLT_Rec!N461</f>
        <v>45.5</v>
      </c>
      <c r="O461" t="e">
        <f>ABS(L461-RAVLT_Rec!$C$34)</f>
        <v>#REF!</v>
      </c>
      <c r="P461">
        <f t="shared" si="8"/>
        <v>45.5</v>
      </c>
    </row>
    <row r="462" spans="10:16">
      <c r="J462" s="5"/>
      <c r="L462">
        <f>RAVLT_Rec!M462</f>
        <v>3.0734999999999998E-2</v>
      </c>
      <c r="M462">
        <f>RAVLT_Rec!N462</f>
        <v>45.6</v>
      </c>
      <c r="O462" t="e">
        <f>ABS(L462-RAVLT_Rec!$C$34)</f>
        <v>#REF!</v>
      </c>
      <c r="P462">
        <f t="shared" si="8"/>
        <v>45.6</v>
      </c>
    </row>
    <row r="463" spans="10:16">
      <c r="J463" s="5"/>
      <c r="L463">
        <f>RAVLT_Rec!M463</f>
        <v>3.7762101999999999E-2</v>
      </c>
      <c r="M463">
        <f>RAVLT_Rec!N463</f>
        <v>45.7</v>
      </c>
      <c r="O463" t="e">
        <f>ABS(L463-RAVLT_Rec!$C$34)</f>
        <v>#REF!</v>
      </c>
      <c r="P463">
        <f t="shared" si="8"/>
        <v>45.7</v>
      </c>
    </row>
    <row r="464" spans="10:16">
      <c r="J464" s="5"/>
      <c r="L464">
        <f>RAVLT_Rec!M464</f>
        <v>4.7578588000000401E-2</v>
      </c>
      <c r="M464">
        <f>RAVLT_Rec!N464</f>
        <v>45.8</v>
      </c>
      <c r="O464" t="e">
        <f>ABS(L464-RAVLT_Rec!$C$34)</f>
        <v>#REF!</v>
      </c>
      <c r="P464">
        <f t="shared" si="8"/>
        <v>45.8</v>
      </c>
    </row>
    <row r="465" spans="10:16">
      <c r="J465" s="5"/>
      <c r="L465">
        <f>RAVLT_Rec!M465</f>
        <v>5.7395073999999997E-2</v>
      </c>
      <c r="M465">
        <f>RAVLT_Rec!N465</f>
        <v>45.9</v>
      </c>
      <c r="O465" t="e">
        <f>ABS(L465-RAVLT_Rec!$C$34)</f>
        <v>#REF!</v>
      </c>
      <c r="P465">
        <f t="shared" si="8"/>
        <v>45.9</v>
      </c>
    </row>
    <row r="466" spans="10:16">
      <c r="J466" s="5"/>
      <c r="L466">
        <f>RAVLT_Rec!M466</f>
        <v>5.7556000000000003E-2</v>
      </c>
      <c r="M466">
        <f>RAVLT_Rec!N466</f>
        <v>46</v>
      </c>
      <c r="O466" t="e">
        <f>ABS(L466-RAVLT_Rec!$C$34)</f>
        <v>#REF!</v>
      </c>
      <c r="P466">
        <f t="shared" si="8"/>
        <v>46</v>
      </c>
    </row>
    <row r="467" spans="10:16">
      <c r="J467" s="5"/>
      <c r="L467">
        <f>RAVLT_Rec!M467</f>
        <v>5.7556000000000003E-2</v>
      </c>
      <c r="M467">
        <f>RAVLT_Rec!N467</f>
        <v>46.1</v>
      </c>
      <c r="O467" t="e">
        <f>ABS(L467-RAVLT_Rec!$C$34)</f>
        <v>#REF!</v>
      </c>
      <c r="P467">
        <f t="shared" si="8"/>
        <v>46.1</v>
      </c>
    </row>
    <row r="468" spans="10:16">
      <c r="J468" s="5"/>
      <c r="L468">
        <f>RAVLT_Rec!M468</f>
        <v>5.7556000000000003E-2</v>
      </c>
      <c r="M468">
        <f>RAVLT_Rec!N468</f>
        <v>46.2</v>
      </c>
      <c r="O468" t="e">
        <f>ABS(L468-RAVLT_Rec!$C$34)</f>
        <v>#REF!</v>
      </c>
      <c r="P468">
        <f t="shared" si="8"/>
        <v>46.2</v>
      </c>
    </row>
    <row r="469" spans="10:16">
      <c r="J469" s="5"/>
      <c r="L469">
        <f>RAVLT_Rec!M469</f>
        <v>5.7556000000000003E-2</v>
      </c>
      <c r="M469">
        <f>RAVLT_Rec!N469</f>
        <v>46.3</v>
      </c>
      <c r="O469" t="e">
        <f>ABS(L469-RAVLT_Rec!$C$34)</f>
        <v>#REF!</v>
      </c>
      <c r="P469">
        <f t="shared" si="8"/>
        <v>46.3</v>
      </c>
    </row>
    <row r="470" spans="10:16">
      <c r="J470" s="5"/>
      <c r="L470">
        <f>RAVLT_Rec!M470</f>
        <v>5.7556000000000003E-2</v>
      </c>
      <c r="M470">
        <f>RAVLT_Rec!N470</f>
        <v>46.4</v>
      </c>
      <c r="O470" t="e">
        <f>ABS(L470-RAVLT_Rec!$C$34)</f>
        <v>#REF!</v>
      </c>
      <c r="P470">
        <f t="shared" si="8"/>
        <v>46.4</v>
      </c>
    </row>
    <row r="471" spans="10:16">
      <c r="J471" s="5"/>
      <c r="L471">
        <f>RAVLT_Rec!M471</f>
        <v>6.2672129999999895E-2</v>
      </c>
      <c r="M471">
        <f>RAVLT_Rec!N471</f>
        <v>46.5</v>
      </c>
      <c r="O471" t="e">
        <f>ABS(L471-RAVLT_Rec!$C$34)</f>
        <v>#REF!</v>
      </c>
      <c r="P471">
        <f t="shared" si="8"/>
        <v>46.5</v>
      </c>
    </row>
    <row r="472" spans="10:16">
      <c r="J472" s="5"/>
      <c r="L472">
        <f>RAVLT_Rec!M472</f>
        <v>7.2527412000000305E-2</v>
      </c>
      <c r="M472">
        <f>RAVLT_Rec!N472</f>
        <v>46.6</v>
      </c>
      <c r="O472" t="e">
        <f>ABS(L472-RAVLT_Rec!$C$34)</f>
        <v>#REF!</v>
      </c>
      <c r="P472">
        <f t="shared" si="8"/>
        <v>46.6</v>
      </c>
    </row>
    <row r="473" spans="10:16">
      <c r="J473" s="5"/>
      <c r="L473">
        <f>RAVLT_Rec!M473</f>
        <v>8.2382693999999895E-2</v>
      </c>
      <c r="M473">
        <f>RAVLT_Rec!N473</f>
        <v>46.7</v>
      </c>
      <c r="O473" t="e">
        <f>ABS(L473-RAVLT_Rec!$C$34)</f>
        <v>#REF!</v>
      </c>
      <c r="P473">
        <f t="shared" si="8"/>
        <v>46.7</v>
      </c>
    </row>
    <row r="474" spans="10:16">
      <c r="J474" s="5"/>
      <c r="L474">
        <f>RAVLT_Rec!M474</f>
        <v>8.4483000000000003E-2</v>
      </c>
      <c r="M474">
        <f>RAVLT_Rec!N474</f>
        <v>46.8</v>
      </c>
      <c r="O474" t="e">
        <f>ABS(L474-RAVLT_Rec!$C$34)</f>
        <v>#REF!</v>
      </c>
      <c r="P474">
        <f t="shared" si="8"/>
        <v>46.8</v>
      </c>
    </row>
    <row r="475" spans="10:16">
      <c r="J475" s="5"/>
      <c r="L475">
        <f>RAVLT_Rec!M475</f>
        <v>8.4483000000000003E-2</v>
      </c>
      <c r="M475">
        <f>RAVLT_Rec!N475</f>
        <v>46.9</v>
      </c>
      <c r="O475" t="e">
        <f>ABS(L475-RAVLT_Rec!$C$34)</f>
        <v>#REF!</v>
      </c>
      <c r="P475">
        <f t="shared" si="8"/>
        <v>46.9</v>
      </c>
    </row>
    <row r="476" spans="10:16">
      <c r="J476" s="5"/>
      <c r="L476">
        <f>RAVLT_Rec!M476</f>
        <v>8.4483000000000003E-2</v>
      </c>
      <c r="M476">
        <f>RAVLT_Rec!N476</f>
        <v>47</v>
      </c>
      <c r="O476" t="e">
        <f>ABS(L476-RAVLT_Rec!$C$34)</f>
        <v>#REF!</v>
      </c>
      <c r="P476">
        <f t="shared" si="8"/>
        <v>47</v>
      </c>
    </row>
    <row r="477" spans="10:16">
      <c r="J477" s="5"/>
      <c r="L477">
        <f>RAVLT_Rec!M477</f>
        <v>8.4483000000000003E-2</v>
      </c>
      <c r="M477">
        <f>RAVLT_Rec!N477</f>
        <v>47.1</v>
      </c>
      <c r="O477" t="e">
        <f>ABS(L477-RAVLT_Rec!$C$34)</f>
        <v>#REF!</v>
      </c>
      <c r="P477">
        <f t="shared" si="8"/>
        <v>47.1</v>
      </c>
    </row>
    <row r="478" spans="10:16">
      <c r="J478" s="5"/>
      <c r="L478">
        <f>RAVLT_Rec!M478</f>
        <v>8.4483000000000003E-2</v>
      </c>
      <c r="M478">
        <f>RAVLT_Rec!N478</f>
        <v>47.2</v>
      </c>
      <c r="O478" t="e">
        <f>ABS(L478-RAVLT_Rec!$C$34)</f>
        <v>#REF!</v>
      </c>
      <c r="P478">
        <f t="shared" si="8"/>
        <v>47.2</v>
      </c>
    </row>
    <row r="479" spans="10:16">
      <c r="J479" s="5"/>
      <c r="L479">
        <f>RAVLT_Rec!M479</f>
        <v>9.0672218000001206E-2</v>
      </c>
      <c r="M479">
        <f>RAVLT_Rec!N479</f>
        <v>47.3</v>
      </c>
      <c r="O479" t="e">
        <f>ABS(L479-RAVLT_Rec!$C$34)</f>
        <v>#REF!</v>
      </c>
      <c r="P479">
        <f t="shared" si="8"/>
        <v>47.3</v>
      </c>
    </row>
    <row r="480" spans="10:16">
      <c r="J480" s="5"/>
      <c r="L480">
        <f>RAVLT_Rec!M480</f>
        <v>0.109869284</v>
      </c>
      <c r="M480">
        <f>RAVLT_Rec!N480</f>
        <v>47.4</v>
      </c>
      <c r="O480" t="e">
        <f>ABS(L480-RAVLT_Rec!$C$34)</f>
        <v>#REF!</v>
      </c>
      <c r="P480">
        <f t="shared" si="8"/>
        <v>47.4</v>
      </c>
    </row>
    <row r="481" spans="10:16">
      <c r="J481" s="5"/>
      <c r="L481">
        <f>RAVLT_Rec!M481</f>
        <v>0.129066350000001</v>
      </c>
      <c r="M481">
        <f>RAVLT_Rec!N481</f>
        <v>47.5</v>
      </c>
      <c r="O481" t="e">
        <f>ABS(L481-RAVLT_Rec!$C$34)</f>
        <v>#REF!</v>
      </c>
      <c r="P481">
        <f t="shared" si="8"/>
        <v>47.5</v>
      </c>
    </row>
    <row r="482" spans="10:16">
      <c r="J482" s="5"/>
      <c r="L482">
        <f>RAVLT_Rec!M482</f>
        <v>0.136934</v>
      </c>
      <c r="M482">
        <f>RAVLT_Rec!N482</f>
        <v>47.6</v>
      </c>
      <c r="O482" t="e">
        <f>ABS(L482-RAVLT_Rec!$C$34)</f>
        <v>#REF!</v>
      </c>
      <c r="P482">
        <f t="shared" si="8"/>
        <v>47.6</v>
      </c>
    </row>
    <row r="483" spans="10:16">
      <c r="J483" s="5"/>
      <c r="L483">
        <f>RAVLT_Rec!M483</f>
        <v>0.136934</v>
      </c>
      <c r="M483">
        <f>RAVLT_Rec!N483</f>
        <v>47.7</v>
      </c>
      <c r="O483" t="e">
        <f>ABS(L483-RAVLT_Rec!$C$34)</f>
        <v>#REF!</v>
      </c>
      <c r="P483">
        <f t="shared" si="8"/>
        <v>47.7</v>
      </c>
    </row>
    <row r="484" spans="10:16">
      <c r="J484" s="5"/>
      <c r="L484">
        <f>RAVLT_Rec!M484</f>
        <v>0.136934</v>
      </c>
      <c r="M484">
        <f>RAVLT_Rec!N484</f>
        <v>47.8</v>
      </c>
      <c r="O484" t="e">
        <f>ABS(L484-RAVLT_Rec!$C$34)</f>
        <v>#REF!</v>
      </c>
      <c r="P484">
        <f t="shared" si="8"/>
        <v>47.8</v>
      </c>
    </row>
    <row r="485" spans="10:16">
      <c r="J485" s="5"/>
      <c r="L485">
        <f>RAVLT_Rec!M485</f>
        <v>0.144633594000001</v>
      </c>
      <c r="M485">
        <f>RAVLT_Rec!N485</f>
        <v>47.9</v>
      </c>
      <c r="O485" t="e">
        <f>ABS(L485-RAVLT_Rec!$C$34)</f>
        <v>#REF!</v>
      </c>
      <c r="P485">
        <f t="shared" si="8"/>
        <v>47.9</v>
      </c>
    </row>
    <row r="486" spans="10:16">
      <c r="J486" s="5"/>
      <c r="L486">
        <f>RAVLT_Rec!M486</f>
        <v>0.15360828000000001</v>
      </c>
      <c r="M486">
        <f>RAVLT_Rec!N486</f>
        <v>48</v>
      </c>
      <c r="O486" t="e">
        <f>ABS(L486-RAVLT_Rec!$C$34)</f>
        <v>#REF!</v>
      </c>
      <c r="P486">
        <f t="shared" si="8"/>
        <v>48</v>
      </c>
    </row>
    <row r="487" spans="10:16">
      <c r="J487" s="5"/>
      <c r="L487">
        <f>RAVLT_Rec!M487</f>
        <v>0.16145499999999999</v>
      </c>
      <c r="M487">
        <f>RAVLT_Rec!N487</f>
        <v>48.1</v>
      </c>
      <c r="O487" t="e">
        <f>ABS(L487-RAVLT_Rec!$C$34)</f>
        <v>#REF!</v>
      </c>
      <c r="P487">
        <f t="shared" si="8"/>
        <v>48.1</v>
      </c>
    </row>
    <row r="488" spans="10:16">
      <c r="J488" s="5"/>
      <c r="L488">
        <f>RAVLT_Rec!M488</f>
        <v>0.16145499999999999</v>
      </c>
      <c r="M488">
        <f>RAVLT_Rec!N488</f>
        <v>48.2</v>
      </c>
      <c r="O488" t="e">
        <f>ABS(L488-RAVLT_Rec!$C$34)</f>
        <v>#REF!</v>
      </c>
      <c r="P488">
        <f t="shared" si="8"/>
        <v>48.2</v>
      </c>
    </row>
    <row r="489" spans="10:16">
      <c r="J489" s="5"/>
      <c r="L489">
        <f>RAVLT_Rec!M489</f>
        <v>0.16145499999999999</v>
      </c>
      <c r="M489">
        <f>RAVLT_Rec!N489</f>
        <v>48.3</v>
      </c>
      <c r="O489" t="e">
        <f>ABS(L489-RAVLT_Rec!$C$34)</f>
        <v>#REF!</v>
      </c>
      <c r="P489">
        <f t="shared" si="8"/>
        <v>48.3</v>
      </c>
    </row>
    <row r="490" spans="10:16">
      <c r="J490" s="5"/>
      <c r="L490">
        <f>RAVLT_Rec!M490</f>
        <v>0.16145499999999999</v>
      </c>
      <c r="M490">
        <f>RAVLT_Rec!N490</f>
        <v>48.4</v>
      </c>
      <c r="O490" t="e">
        <f>ABS(L490-RAVLT_Rec!$C$34)</f>
        <v>#REF!</v>
      </c>
      <c r="P490">
        <f t="shared" si="8"/>
        <v>48.4</v>
      </c>
    </row>
    <row r="491" spans="10:16">
      <c r="J491" s="5"/>
      <c r="L491">
        <f>RAVLT_Rec!M491</f>
        <v>0.16145499999999999</v>
      </c>
      <c r="M491">
        <f>RAVLT_Rec!N491</f>
        <v>48.5</v>
      </c>
      <c r="O491" t="e">
        <f>ABS(L491-RAVLT_Rec!$C$34)</f>
        <v>#REF!</v>
      </c>
      <c r="P491">
        <f t="shared" si="8"/>
        <v>48.5</v>
      </c>
    </row>
    <row r="492" spans="10:16">
      <c r="J492" s="5"/>
      <c r="L492">
        <f>RAVLT_Rec!M492</f>
        <v>0.16145499999999999</v>
      </c>
      <c r="M492">
        <f>RAVLT_Rec!N492</f>
        <v>48.6</v>
      </c>
      <c r="O492" t="e">
        <f>ABS(L492-RAVLT_Rec!$C$34)</f>
        <v>#REF!</v>
      </c>
      <c r="P492">
        <f t="shared" si="8"/>
        <v>48.6</v>
      </c>
    </row>
    <row r="493" spans="10:16">
      <c r="J493" s="5"/>
      <c r="L493">
        <f>RAVLT_Rec!M493</f>
        <v>0.16145499999999999</v>
      </c>
      <c r="M493">
        <f>RAVLT_Rec!N493</f>
        <v>48.7</v>
      </c>
      <c r="O493" t="e">
        <f>ABS(L493-RAVLT_Rec!$C$34)</f>
        <v>#REF!</v>
      </c>
      <c r="P493">
        <f t="shared" si="8"/>
        <v>48.7</v>
      </c>
    </row>
    <row r="494" spans="10:16">
      <c r="J494" s="5"/>
      <c r="L494">
        <f>RAVLT_Rec!M494</f>
        <v>0.16145499999999999</v>
      </c>
      <c r="M494">
        <f>RAVLT_Rec!N494</f>
        <v>48.8</v>
      </c>
      <c r="O494" t="e">
        <f>ABS(L494-RAVLT_Rec!$C$34)</f>
        <v>#REF!</v>
      </c>
      <c r="P494">
        <f t="shared" si="8"/>
        <v>48.8</v>
      </c>
    </row>
    <row r="495" spans="10:16">
      <c r="J495" s="5"/>
      <c r="L495">
        <f>RAVLT_Rec!M495</f>
        <v>0.16145499999999999</v>
      </c>
      <c r="M495">
        <f>RAVLT_Rec!N495</f>
        <v>48.9</v>
      </c>
      <c r="O495" t="e">
        <f>ABS(L495-RAVLT_Rec!$C$34)</f>
        <v>#REF!</v>
      </c>
      <c r="P495">
        <f t="shared" si="8"/>
        <v>48.9</v>
      </c>
    </row>
    <row r="496" spans="10:16">
      <c r="J496" s="5"/>
      <c r="L496">
        <f>RAVLT_Rec!M496</f>
        <v>0.16145499999999999</v>
      </c>
      <c r="M496">
        <f>RAVLT_Rec!N496</f>
        <v>49</v>
      </c>
      <c r="O496" t="e">
        <f>ABS(L496-RAVLT_Rec!$C$34)</f>
        <v>#REF!</v>
      </c>
      <c r="P496">
        <f t="shared" si="8"/>
        <v>49</v>
      </c>
    </row>
    <row r="497" spans="10:16">
      <c r="J497" s="5"/>
      <c r="L497">
        <f>RAVLT_Rec!M497</f>
        <v>0.16145499999999999</v>
      </c>
      <c r="M497">
        <f>RAVLT_Rec!N497</f>
        <v>49.1</v>
      </c>
      <c r="O497" t="e">
        <f>ABS(L497-RAVLT_Rec!$C$34)</f>
        <v>#REF!</v>
      </c>
      <c r="P497">
        <f t="shared" si="8"/>
        <v>49.1</v>
      </c>
    </row>
    <row r="498" spans="10:16">
      <c r="J498" s="5"/>
      <c r="L498">
        <f>RAVLT_Rec!M498</f>
        <v>0.16145499999999999</v>
      </c>
      <c r="M498">
        <f>RAVLT_Rec!N498</f>
        <v>49.2</v>
      </c>
      <c r="O498" t="e">
        <f>ABS(L498-RAVLT_Rec!$C$34)</f>
        <v>#REF!</v>
      </c>
      <c r="P498">
        <f t="shared" si="8"/>
        <v>49.2</v>
      </c>
    </row>
    <row r="499" spans="10:16">
      <c r="J499" s="5"/>
      <c r="L499">
        <f>RAVLT_Rec!M499</f>
        <v>0.16145499999999999</v>
      </c>
      <c r="M499">
        <f>RAVLT_Rec!N499</f>
        <v>49.3</v>
      </c>
      <c r="O499" t="e">
        <f>ABS(L499-RAVLT_Rec!$C$34)</f>
        <v>#REF!</v>
      </c>
      <c r="P499">
        <f t="shared" si="8"/>
        <v>49.3</v>
      </c>
    </row>
    <row r="500" spans="10:16">
      <c r="J500" s="5"/>
      <c r="L500">
        <f>RAVLT_Rec!M500</f>
        <v>0.16145499999999999</v>
      </c>
      <c r="M500">
        <f>RAVLT_Rec!N500</f>
        <v>49.4</v>
      </c>
      <c r="O500" t="e">
        <f>ABS(L500-RAVLT_Rec!$C$34)</f>
        <v>#REF!</v>
      </c>
      <c r="P500">
        <f t="shared" si="8"/>
        <v>49.4</v>
      </c>
    </row>
    <row r="501" spans="10:16">
      <c r="J501" s="5"/>
      <c r="L501">
        <f>RAVLT_Rec!M501</f>
        <v>0.16145499999999999</v>
      </c>
      <c r="M501">
        <f>RAVLT_Rec!N501</f>
        <v>49.5</v>
      </c>
      <c r="O501" t="e">
        <f>ABS(L501-RAVLT_Rec!$C$34)</f>
        <v>#REF!</v>
      </c>
      <c r="P501">
        <f t="shared" si="8"/>
        <v>49.5</v>
      </c>
    </row>
    <row r="502" spans="10:16">
      <c r="J502" s="5"/>
      <c r="L502">
        <f>RAVLT_Rec!M502</f>
        <v>0.16145499999999999</v>
      </c>
      <c r="M502">
        <f>RAVLT_Rec!N502</f>
        <v>49.6</v>
      </c>
      <c r="O502" t="e">
        <f>ABS(L502-RAVLT_Rec!$C$34)</f>
        <v>#REF!</v>
      </c>
      <c r="P502">
        <f t="shared" si="8"/>
        <v>49.6</v>
      </c>
    </row>
    <row r="503" spans="10:16">
      <c r="J503" s="5"/>
      <c r="L503">
        <f>RAVLT_Rec!M503</f>
        <v>0.16145499999999999</v>
      </c>
      <c r="M503">
        <f>RAVLT_Rec!N503</f>
        <v>49.7</v>
      </c>
      <c r="O503" t="e">
        <f>ABS(L503-RAVLT_Rec!$C$34)</f>
        <v>#REF!</v>
      </c>
      <c r="P503">
        <f t="shared" si="8"/>
        <v>49.7</v>
      </c>
    </row>
    <row r="504" spans="10:16">
      <c r="J504" s="5"/>
      <c r="L504">
        <f>RAVLT_Rec!M504</f>
        <v>0.16145499999999999</v>
      </c>
      <c r="M504">
        <f>RAVLT_Rec!N504</f>
        <v>49.8</v>
      </c>
      <c r="O504" t="e">
        <f>ABS(L504-RAVLT_Rec!$C$34)</f>
        <v>#REF!</v>
      </c>
      <c r="P504">
        <f t="shared" si="8"/>
        <v>49.8</v>
      </c>
    </row>
    <row r="505" spans="10:16">
      <c r="J505" s="5"/>
      <c r="L505">
        <f>RAVLT_Rec!M505</f>
        <v>0.16145499999999999</v>
      </c>
      <c r="M505">
        <f>RAVLT_Rec!N505</f>
        <v>49.9</v>
      </c>
      <c r="O505" t="e">
        <f>ABS(L505-RAVLT_Rec!$C$34)</f>
        <v>#REF!</v>
      </c>
      <c r="P505">
        <f t="shared" si="8"/>
        <v>49.9</v>
      </c>
    </row>
    <row r="506" spans="10:16">
      <c r="J506" s="5"/>
      <c r="L506">
        <f>RAVLT_Rec!M506</f>
        <v>0.16145499999999999</v>
      </c>
      <c r="M506">
        <f>RAVLT_Rec!N506</f>
        <v>50</v>
      </c>
      <c r="O506" t="e">
        <f>ABS(L506-RAVLT_Rec!$C$34)</f>
        <v>#REF!</v>
      </c>
      <c r="P506">
        <f t="shared" si="8"/>
        <v>50</v>
      </c>
    </row>
    <row r="507" spans="10:16">
      <c r="J507" s="5"/>
      <c r="L507">
        <f>RAVLT_Rec!M507</f>
        <v>0.16924567600000001</v>
      </c>
      <c r="M507">
        <f>RAVLT_Rec!N507</f>
        <v>50.1</v>
      </c>
      <c r="O507" t="e">
        <f>ABS(L507-RAVLT_Rec!$C$34)</f>
        <v>#REF!</v>
      </c>
      <c r="P507">
        <f t="shared" si="8"/>
        <v>50.1</v>
      </c>
    </row>
    <row r="508" spans="10:16">
      <c r="J508" s="5"/>
      <c r="L508">
        <f>RAVLT_Rec!M508</f>
        <v>0.17703635200000001</v>
      </c>
      <c r="M508">
        <f>RAVLT_Rec!N508</f>
        <v>50.2</v>
      </c>
      <c r="O508" t="e">
        <f>ABS(L508-RAVLT_Rec!$C$34)</f>
        <v>#REF!</v>
      </c>
      <c r="P508">
        <f t="shared" si="8"/>
        <v>50.2</v>
      </c>
    </row>
    <row r="509" spans="10:16">
      <c r="J509" s="5"/>
      <c r="L509">
        <f>RAVLT_Rec!M509</f>
        <v>0.182881238</v>
      </c>
      <c r="M509">
        <f>RAVLT_Rec!N509</f>
        <v>50.3</v>
      </c>
      <c r="O509" t="e">
        <f>ABS(L509-RAVLT_Rec!$C$34)</f>
        <v>#REF!</v>
      </c>
      <c r="P509">
        <f t="shared" si="8"/>
        <v>50.3</v>
      </c>
    </row>
    <row r="510" spans="10:16">
      <c r="J510" s="5"/>
      <c r="L510">
        <f>RAVLT_Rec!M510</f>
        <v>0.18340498399999999</v>
      </c>
      <c r="M510">
        <f>RAVLT_Rec!N510</f>
        <v>50.4</v>
      </c>
      <c r="O510" t="e">
        <f>ABS(L510-RAVLT_Rec!$C$34)</f>
        <v>#REF!</v>
      </c>
      <c r="P510">
        <f t="shared" si="8"/>
        <v>50.4</v>
      </c>
    </row>
    <row r="511" spans="10:16">
      <c r="J511" s="5"/>
      <c r="L511">
        <f>RAVLT_Rec!M511</f>
        <v>0.18392873000000001</v>
      </c>
      <c r="M511">
        <f>RAVLT_Rec!N511</f>
        <v>50.5</v>
      </c>
      <c r="O511" t="e">
        <f>ABS(L511-RAVLT_Rec!$C$34)</f>
        <v>#REF!</v>
      </c>
      <c r="P511">
        <f t="shared" si="8"/>
        <v>50.5</v>
      </c>
    </row>
    <row r="512" spans="10:16">
      <c r="J512" s="5"/>
      <c r="L512">
        <f>RAVLT_Rec!M512</f>
        <v>0.184172</v>
      </c>
      <c r="M512">
        <f>RAVLT_Rec!N512</f>
        <v>50.6</v>
      </c>
      <c r="O512" t="e">
        <f>ABS(L512-RAVLT_Rec!$C$34)</f>
        <v>#REF!</v>
      </c>
      <c r="P512">
        <f t="shared" si="8"/>
        <v>50.6</v>
      </c>
    </row>
    <row r="513" spans="10:16">
      <c r="J513" s="5"/>
      <c r="L513">
        <f>RAVLT_Rec!M513</f>
        <v>0.184172</v>
      </c>
      <c r="M513">
        <f>RAVLT_Rec!N513</f>
        <v>50.7</v>
      </c>
      <c r="O513" t="e">
        <f>ABS(L513-RAVLT_Rec!$C$34)</f>
        <v>#REF!</v>
      </c>
      <c r="P513">
        <f t="shared" si="8"/>
        <v>50.7</v>
      </c>
    </row>
    <row r="514" spans="10:16">
      <c r="J514" s="5"/>
      <c r="L514">
        <f>RAVLT_Rec!M514</f>
        <v>0.184172</v>
      </c>
      <c r="M514">
        <f>RAVLT_Rec!N514</f>
        <v>50.8</v>
      </c>
      <c r="O514" t="e">
        <f>ABS(L514-RAVLT_Rec!$C$34)</f>
        <v>#REF!</v>
      </c>
      <c r="P514">
        <f t="shared" si="8"/>
        <v>50.8</v>
      </c>
    </row>
    <row r="515" spans="10:16">
      <c r="J515" s="5"/>
      <c r="L515">
        <f>RAVLT_Rec!M515</f>
        <v>0.184172</v>
      </c>
      <c r="M515">
        <f>RAVLT_Rec!N515</f>
        <v>50.9</v>
      </c>
      <c r="O515" t="e">
        <f>ABS(L515-RAVLT_Rec!$C$34)</f>
        <v>#REF!</v>
      </c>
      <c r="P515">
        <f t="shared" si="8"/>
        <v>50.9</v>
      </c>
    </row>
    <row r="516" spans="10:16">
      <c r="J516" s="5"/>
      <c r="L516">
        <f>RAVLT_Rec!M516</f>
        <v>0.184172</v>
      </c>
      <c r="M516">
        <f>RAVLT_Rec!N516</f>
        <v>51</v>
      </c>
      <c r="O516" t="e">
        <f>ABS(L516-RAVLT_Rec!$C$34)</f>
        <v>#REF!</v>
      </c>
      <c r="P516">
        <f t="shared" si="8"/>
        <v>51</v>
      </c>
    </row>
    <row r="517" spans="10:16">
      <c r="J517" s="5"/>
      <c r="L517">
        <f>RAVLT_Rec!M517</f>
        <v>0.184172</v>
      </c>
      <c r="M517">
        <f>RAVLT_Rec!N517</f>
        <v>51.1</v>
      </c>
      <c r="O517" t="e">
        <f>ABS(L517-RAVLT_Rec!$C$34)</f>
        <v>#REF!</v>
      </c>
      <c r="P517">
        <f t="shared" si="8"/>
        <v>51.1</v>
      </c>
    </row>
    <row r="518" spans="10:16">
      <c r="J518" s="5"/>
      <c r="L518">
        <f>RAVLT_Rec!M518</f>
        <v>0.184172</v>
      </c>
      <c r="M518">
        <f>RAVLT_Rec!N518</f>
        <v>51.2</v>
      </c>
      <c r="O518" t="e">
        <f>ABS(L518-RAVLT_Rec!$C$34)</f>
        <v>#REF!</v>
      </c>
      <c r="P518">
        <f t="shared" si="8"/>
        <v>51.2</v>
      </c>
    </row>
    <row r="519" spans="10:16">
      <c r="J519" s="5"/>
      <c r="L519">
        <f>RAVLT_Rec!M519</f>
        <v>0.184172</v>
      </c>
      <c r="M519">
        <f>RAVLT_Rec!N519</f>
        <v>51.3</v>
      </c>
      <c r="O519" t="e">
        <f>ABS(L519-RAVLT_Rec!$C$34)</f>
        <v>#REF!</v>
      </c>
      <c r="P519">
        <f t="shared" ref="P519:P582" si="9">M519</f>
        <v>51.3</v>
      </c>
    </row>
    <row r="520" spans="10:16">
      <c r="J520" s="5"/>
      <c r="L520">
        <f>RAVLT_Rec!M520</f>
        <v>0.184172</v>
      </c>
      <c r="M520">
        <f>RAVLT_Rec!N520</f>
        <v>51.4</v>
      </c>
      <c r="O520" t="e">
        <f>ABS(L520-RAVLT_Rec!$C$34)</f>
        <v>#REF!</v>
      </c>
      <c r="P520">
        <f t="shared" si="9"/>
        <v>51.4</v>
      </c>
    </row>
    <row r="521" spans="10:16">
      <c r="J521" s="5"/>
      <c r="L521">
        <f>RAVLT_Rec!M521</f>
        <v>0.184172</v>
      </c>
      <c r="M521">
        <f>RAVLT_Rec!N521</f>
        <v>51.5</v>
      </c>
      <c r="O521" t="e">
        <f>ABS(L521-RAVLT_Rec!$C$34)</f>
        <v>#REF!</v>
      </c>
      <c r="P521">
        <f t="shared" si="9"/>
        <v>51.5</v>
      </c>
    </row>
    <row r="522" spans="10:16">
      <c r="J522" s="5"/>
      <c r="L522">
        <f>RAVLT_Rec!M522</f>
        <v>0.184172</v>
      </c>
      <c r="M522">
        <f>RAVLT_Rec!N522</f>
        <v>51.6</v>
      </c>
      <c r="O522" t="e">
        <f>ABS(L522-RAVLT_Rec!$C$34)</f>
        <v>#REF!</v>
      </c>
      <c r="P522">
        <f t="shared" si="9"/>
        <v>51.6</v>
      </c>
    </row>
    <row r="523" spans="10:16">
      <c r="J523" s="5"/>
      <c r="L523">
        <f>RAVLT_Rec!M523</f>
        <v>0.184172</v>
      </c>
      <c r="M523">
        <f>RAVLT_Rec!N523</f>
        <v>51.7</v>
      </c>
      <c r="O523" t="e">
        <f>ABS(L523-RAVLT_Rec!$C$34)</f>
        <v>#REF!</v>
      </c>
      <c r="P523">
        <f t="shared" si="9"/>
        <v>51.7</v>
      </c>
    </row>
    <row r="524" spans="10:16">
      <c r="J524" s="5"/>
      <c r="L524">
        <f>RAVLT_Rec!M524</f>
        <v>0.184172</v>
      </c>
      <c r="M524">
        <f>RAVLT_Rec!N524</f>
        <v>51.8</v>
      </c>
      <c r="O524" t="e">
        <f>ABS(L524-RAVLT_Rec!$C$34)</f>
        <v>#REF!</v>
      </c>
      <c r="P524">
        <f t="shared" si="9"/>
        <v>51.8</v>
      </c>
    </row>
    <row r="525" spans="10:16">
      <c r="J525" s="5"/>
      <c r="L525">
        <f>RAVLT_Rec!M525</f>
        <v>0.184172</v>
      </c>
      <c r="M525">
        <f>RAVLT_Rec!N525</f>
        <v>51.9</v>
      </c>
      <c r="O525" t="e">
        <f>ABS(L525-RAVLT_Rec!$C$34)</f>
        <v>#REF!</v>
      </c>
      <c r="P525">
        <f t="shared" si="9"/>
        <v>51.9</v>
      </c>
    </row>
    <row r="526" spans="10:16">
      <c r="J526" s="5"/>
      <c r="L526">
        <f>RAVLT_Rec!M526</f>
        <v>0.19073296000000001</v>
      </c>
      <c r="M526">
        <f>RAVLT_Rec!N526</f>
        <v>52</v>
      </c>
      <c r="O526" t="e">
        <f>ABS(L526-RAVLT_Rec!$C$34)</f>
        <v>#REF!</v>
      </c>
      <c r="P526">
        <f t="shared" si="9"/>
        <v>52</v>
      </c>
    </row>
    <row r="527" spans="10:16">
      <c r="J527" s="5"/>
      <c r="L527">
        <f>RAVLT_Rec!M527</f>
        <v>0.19823705799999999</v>
      </c>
      <c r="M527">
        <f>RAVLT_Rec!N527</f>
        <v>52.1</v>
      </c>
      <c r="O527" t="e">
        <f>ABS(L527-RAVLT_Rec!$C$34)</f>
        <v>#REF!</v>
      </c>
      <c r="P527">
        <f t="shared" si="9"/>
        <v>52.1</v>
      </c>
    </row>
    <row r="528" spans="10:16">
      <c r="J528" s="5"/>
      <c r="L528">
        <f>RAVLT_Rec!M528</f>
        <v>0.204675</v>
      </c>
      <c r="M528">
        <f>RAVLT_Rec!N528</f>
        <v>52.2</v>
      </c>
      <c r="O528" t="e">
        <f>ABS(L528-RAVLT_Rec!$C$34)</f>
        <v>#REF!</v>
      </c>
      <c r="P528">
        <f t="shared" si="9"/>
        <v>52.2</v>
      </c>
    </row>
    <row r="529" spans="10:16">
      <c r="J529" s="5"/>
      <c r="L529">
        <f>RAVLT_Rec!M529</f>
        <v>0.204675</v>
      </c>
      <c r="M529">
        <f>RAVLT_Rec!N529</f>
        <v>52.3</v>
      </c>
      <c r="O529" t="e">
        <f>ABS(L529-RAVLT_Rec!$C$34)</f>
        <v>#REF!</v>
      </c>
      <c r="P529">
        <f t="shared" si="9"/>
        <v>52.3</v>
      </c>
    </row>
    <row r="530" spans="10:16">
      <c r="J530" s="5"/>
      <c r="L530">
        <f>RAVLT_Rec!M530</f>
        <v>0.204675</v>
      </c>
      <c r="M530">
        <f>RAVLT_Rec!N530</f>
        <v>52.4</v>
      </c>
      <c r="O530" t="e">
        <f>ABS(L530-RAVLT_Rec!$C$34)</f>
        <v>#REF!</v>
      </c>
      <c r="P530">
        <f t="shared" si="9"/>
        <v>52.4</v>
      </c>
    </row>
    <row r="531" spans="10:16">
      <c r="J531" s="5"/>
      <c r="L531">
        <f>RAVLT_Rec!M531</f>
        <v>0.204675</v>
      </c>
      <c r="M531">
        <f>RAVLT_Rec!N531</f>
        <v>52.5</v>
      </c>
      <c r="O531" t="e">
        <f>ABS(L531-RAVLT_Rec!$C$34)</f>
        <v>#REF!</v>
      </c>
      <c r="P531">
        <f t="shared" si="9"/>
        <v>52.5</v>
      </c>
    </row>
    <row r="532" spans="10:16">
      <c r="J532" s="5"/>
      <c r="L532">
        <f>RAVLT_Rec!M532</f>
        <v>0.204675</v>
      </c>
      <c r="M532">
        <f>RAVLT_Rec!N532</f>
        <v>52.6</v>
      </c>
      <c r="O532" t="e">
        <f>ABS(L532-RAVLT_Rec!$C$34)</f>
        <v>#REF!</v>
      </c>
      <c r="P532">
        <f t="shared" si="9"/>
        <v>52.6</v>
      </c>
    </row>
    <row r="533" spans="10:16">
      <c r="J533" s="5"/>
      <c r="L533">
        <f>RAVLT_Rec!M533</f>
        <v>0.204675</v>
      </c>
      <c r="M533">
        <f>RAVLT_Rec!N533</f>
        <v>52.7</v>
      </c>
      <c r="O533" t="e">
        <f>ABS(L533-RAVLT_Rec!$C$34)</f>
        <v>#REF!</v>
      </c>
      <c r="P533">
        <f t="shared" si="9"/>
        <v>52.7</v>
      </c>
    </row>
    <row r="534" spans="10:16">
      <c r="J534" s="5"/>
      <c r="L534">
        <f>RAVLT_Rec!M534</f>
        <v>0.20487265599999999</v>
      </c>
      <c r="M534">
        <f>RAVLT_Rec!N534</f>
        <v>52.8</v>
      </c>
      <c r="O534" t="e">
        <f>ABS(L534-RAVLT_Rec!$C$34)</f>
        <v>#REF!</v>
      </c>
      <c r="P534">
        <f t="shared" si="9"/>
        <v>52.8</v>
      </c>
    </row>
    <row r="535" spans="10:16">
      <c r="J535" s="5"/>
      <c r="L535">
        <f>RAVLT_Rec!M535</f>
        <v>0.20516435799999999</v>
      </c>
      <c r="M535">
        <f>RAVLT_Rec!N535</f>
        <v>52.9</v>
      </c>
      <c r="O535" t="e">
        <f>ABS(L535-RAVLT_Rec!$C$34)</f>
        <v>#REF!</v>
      </c>
      <c r="P535">
        <f t="shared" si="9"/>
        <v>52.9</v>
      </c>
    </row>
    <row r="536" spans="10:16">
      <c r="J536" s="5"/>
      <c r="L536">
        <f>RAVLT_Rec!M536</f>
        <v>0.20545606</v>
      </c>
      <c r="M536">
        <f>RAVLT_Rec!N536</f>
        <v>53</v>
      </c>
      <c r="O536" t="e">
        <f>ABS(L536-RAVLT_Rec!$C$34)</f>
        <v>#REF!</v>
      </c>
      <c r="P536">
        <f t="shared" si="9"/>
        <v>53</v>
      </c>
    </row>
    <row r="537" spans="10:16">
      <c r="J537" s="5"/>
      <c r="L537">
        <f>RAVLT_Rec!M537</f>
        <v>0.21142493000000001</v>
      </c>
      <c r="M537">
        <f>RAVLT_Rec!N537</f>
        <v>53.1</v>
      </c>
      <c r="O537" t="e">
        <f>ABS(L537-RAVLT_Rec!$C$34)</f>
        <v>#REF!</v>
      </c>
      <c r="P537">
        <f t="shared" si="9"/>
        <v>53.1</v>
      </c>
    </row>
    <row r="538" spans="10:16">
      <c r="J538" s="5"/>
      <c r="L538">
        <f>RAVLT_Rec!M538</f>
        <v>0.21772195999999999</v>
      </c>
      <c r="M538">
        <f>RAVLT_Rec!N538</f>
        <v>53.2</v>
      </c>
      <c r="O538" t="e">
        <f>ABS(L538-RAVLT_Rec!$C$34)</f>
        <v>#REF!</v>
      </c>
      <c r="P538">
        <f t="shared" si="9"/>
        <v>53.2</v>
      </c>
    </row>
    <row r="539" spans="10:16">
      <c r="J539" s="5"/>
      <c r="L539">
        <f>RAVLT_Rec!M539</f>
        <v>0.22267700000000001</v>
      </c>
      <c r="M539">
        <f>RAVLT_Rec!N539</f>
        <v>53.3</v>
      </c>
      <c r="O539" t="e">
        <f>ABS(L539-RAVLT_Rec!$C$34)</f>
        <v>#REF!</v>
      </c>
      <c r="P539">
        <f t="shared" si="9"/>
        <v>53.3</v>
      </c>
    </row>
    <row r="540" spans="10:16">
      <c r="J540" s="5"/>
      <c r="L540">
        <f>RAVLT_Rec!M540</f>
        <v>0.22267700000000001</v>
      </c>
      <c r="M540">
        <f>RAVLT_Rec!N540</f>
        <v>53.4</v>
      </c>
      <c r="O540" t="e">
        <f>ABS(L540-RAVLT_Rec!$C$34)</f>
        <v>#REF!</v>
      </c>
      <c r="P540">
        <f t="shared" si="9"/>
        <v>53.4</v>
      </c>
    </row>
    <row r="541" spans="10:16">
      <c r="J541" s="5"/>
      <c r="L541">
        <f>RAVLT_Rec!M541</f>
        <v>0.22267700000000001</v>
      </c>
      <c r="M541">
        <f>RAVLT_Rec!N541</f>
        <v>53.5</v>
      </c>
      <c r="O541" t="e">
        <f>ABS(L541-RAVLT_Rec!$C$34)</f>
        <v>#REF!</v>
      </c>
      <c r="P541">
        <f t="shared" si="9"/>
        <v>53.5</v>
      </c>
    </row>
    <row r="542" spans="10:16">
      <c r="J542" s="5"/>
      <c r="L542">
        <f>RAVLT_Rec!M542</f>
        <v>0.223787032</v>
      </c>
      <c r="M542">
        <f>RAVLT_Rec!N542</f>
        <v>53.6</v>
      </c>
      <c r="O542" t="e">
        <f>ABS(L542-RAVLT_Rec!$C$34)</f>
        <v>#REF!</v>
      </c>
      <c r="P542">
        <f t="shared" si="9"/>
        <v>53.6</v>
      </c>
    </row>
    <row r="543" spans="10:16">
      <c r="J543" s="5"/>
      <c r="L543">
        <f>RAVLT_Rec!M543</f>
        <v>0.22609539400000001</v>
      </c>
      <c r="M543">
        <f>RAVLT_Rec!N543</f>
        <v>53.7</v>
      </c>
      <c r="O543" t="e">
        <f>ABS(L543-RAVLT_Rec!$C$34)</f>
        <v>#REF!</v>
      </c>
      <c r="P543">
        <f t="shared" si="9"/>
        <v>53.7</v>
      </c>
    </row>
    <row r="544" spans="10:16">
      <c r="J544" s="5"/>
      <c r="L544">
        <f>RAVLT_Rec!M544</f>
        <v>0.22840375600000001</v>
      </c>
      <c r="M544">
        <f>RAVLT_Rec!N544</f>
        <v>53.8</v>
      </c>
      <c r="O544" t="e">
        <f>ABS(L544-RAVLT_Rec!$C$34)</f>
        <v>#REF!</v>
      </c>
      <c r="P544">
        <f t="shared" si="9"/>
        <v>53.8</v>
      </c>
    </row>
    <row r="545" spans="10:16">
      <c r="J545" s="5"/>
      <c r="L545">
        <f>RAVLT_Rec!M545</f>
        <v>0.22898399999999999</v>
      </c>
      <c r="M545">
        <f>RAVLT_Rec!N545</f>
        <v>53.9</v>
      </c>
      <c r="O545" t="e">
        <f>ABS(L545-RAVLT_Rec!$C$34)</f>
        <v>#REF!</v>
      </c>
      <c r="P545">
        <f t="shared" si="9"/>
        <v>53.9</v>
      </c>
    </row>
    <row r="546" spans="10:16">
      <c r="J546" s="5"/>
      <c r="L546">
        <f>RAVLT_Rec!M546</f>
        <v>0.22898399999999999</v>
      </c>
      <c r="M546">
        <f>RAVLT_Rec!N546</f>
        <v>54</v>
      </c>
      <c r="O546" t="e">
        <f>ABS(L546-RAVLT_Rec!$C$34)</f>
        <v>#REF!</v>
      </c>
      <c r="P546">
        <f t="shared" si="9"/>
        <v>54</v>
      </c>
    </row>
    <row r="547" spans="10:16">
      <c r="J547" s="5"/>
      <c r="L547">
        <f>RAVLT_Rec!M547</f>
        <v>0.22898399999999999</v>
      </c>
      <c r="M547">
        <f>RAVLT_Rec!N547</f>
        <v>54.1</v>
      </c>
      <c r="O547" t="e">
        <f>ABS(L547-RAVLT_Rec!$C$34)</f>
        <v>#REF!</v>
      </c>
      <c r="P547">
        <f t="shared" si="9"/>
        <v>54.1</v>
      </c>
    </row>
    <row r="548" spans="10:16">
      <c r="J548" s="5"/>
      <c r="L548">
        <f>RAVLT_Rec!M548</f>
        <v>0.22898399999999999</v>
      </c>
      <c r="M548">
        <f>RAVLT_Rec!N548</f>
        <v>54.2</v>
      </c>
      <c r="O548" t="e">
        <f>ABS(L548-RAVLT_Rec!$C$34)</f>
        <v>#REF!</v>
      </c>
      <c r="P548">
        <f t="shared" si="9"/>
        <v>54.2</v>
      </c>
    </row>
    <row r="549" spans="10:16">
      <c r="J549" s="5"/>
      <c r="L549">
        <f>RAVLT_Rec!M549</f>
        <v>0.22898399999999999</v>
      </c>
      <c r="M549">
        <f>RAVLT_Rec!N549</f>
        <v>54.3</v>
      </c>
      <c r="O549" t="e">
        <f>ABS(L549-RAVLT_Rec!$C$34)</f>
        <v>#REF!</v>
      </c>
      <c r="P549">
        <f t="shared" si="9"/>
        <v>54.3</v>
      </c>
    </row>
    <row r="550" spans="10:16">
      <c r="J550" s="5"/>
      <c r="L550">
        <f>RAVLT_Rec!M550</f>
        <v>0.22898399999999999</v>
      </c>
      <c r="M550">
        <f>RAVLT_Rec!N550</f>
        <v>54.4</v>
      </c>
      <c r="O550" t="e">
        <f>ABS(L550-RAVLT_Rec!$C$34)</f>
        <v>#REF!</v>
      </c>
      <c r="P550">
        <f t="shared" si="9"/>
        <v>54.4</v>
      </c>
    </row>
    <row r="551" spans="10:16">
      <c r="J551" s="5"/>
      <c r="L551">
        <f>RAVLT_Rec!M551</f>
        <v>0.22898399999999999</v>
      </c>
      <c r="M551">
        <f>RAVLT_Rec!N551</f>
        <v>54.5</v>
      </c>
      <c r="O551" t="e">
        <f>ABS(L551-RAVLT_Rec!$C$34)</f>
        <v>#REF!</v>
      </c>
      <c r="P551">
        <f t="shared" si="9"/>
        <v>54.5</v>
      </c>
    </row>
    <row r="552" spans="10:16">
      <c r="J552" s="5"/>
      <c r="L552">
        <f>RAVLT_Rec!M552</f>
        <v>0.22898399999999999</v>
      </c>
      <c r="M552">
        <f>RAVLT_Rec!N552</f>
        <v>54.6</v>
      </c>
      <c r="O552" t="e">
        <f>ABS(L552-RAVLT_Rec!$C$34)</f>
        <v>#REF!</v>
      </c>
      <c r="P552">
        <f t="shared" si="9"/>
        <v>54.6</v>
      </c>
    </row>
    <row r="553" spans="10:16">
      <c r="J553" s="5"/>
      <c r="L553">
        <f>RAVLT_Rec!M553</f>
        <v>0.23081331199999999</v>
      </c>
      <c r="M553">
        <f>RAVLT_Rec!N553</f>
        <v>54.7</v>
      </c>
      <c r="O553" t="e">
        <f>ABS(L553-RAVLT_Rec!$C$34)</f>
        <v>#REF!</v>
      </c>
      <c r="P553">
        <f t="shared" si="9"/>
        <v>54.7</v>
      </c>
    </row>
    <row r="554" spans="10:16">
      <c r="J554" s="5"/>
      <c r="L554">
        <f>RAVLT_Rec!M554</f>
        <v>0.23412780799999999</v>
      </c>
      <c r="M554">
        <f>RAVLT_Rec!N554</f>
        <v>54.8</v>
      </c>
      <c r="O554" t="e">
        <f>ABS(L554-RAVLT_Rec!$C$34)</f>
        <v>#REF!</v>
      </c>
      <c r="P554">
        <f t="shared" si="9"/>
        <v>54.8</v>
      </c>
    </row>
    <row r="555" spans="10:16">
      <c r="J555" s="5"/>
      <c r="L555">
        <f>RAVLT_Rec!M555</f>
        <v>0.23744230399999999</v>
      </c>
      <c r="M555">
        <f>RAVLT_Rec!N555</f>
        <v>54.9</v>
      </c>
      <c r="O555" t="e">
        <f>ABS(L555-RAVLT_Rec!$C$34)</f>
        <v>#REF!</v>
      </c>
      <c r="P555">
        <f t="shared" si="9"/>
        <v>54.9</v>
      </c>
    </row>
    <row r="556" spans="10:16">
      <c r="J556" s="5"/>
      <c r="L556">
        <f>RAVLT_Rec!M556</f>
        <v>0.23804</v>
      </c>
      <c r="M556">
        <f>RAVLT_Rec!N556</f>
        <v>55</v>
      </c>
      <c r="O556" t="e">
        <f>ABS(L556-RAVLT_Rec!$C$34)</f>
        <v>#REF!</v>
      </c>
      <c r="P556">
        <f t="shared" si="9"/>
        <v>55</v>
      </c>
    </row>
    <row r="557" spans="10:16">
      <c r="J557" s="5"/>
      <c r="L557">
        <f>RAVLT_Rec!M557</f>
        <v>0.23804</v>
      </c>
      <c r="M557">
        <f>RAVLT_Rec!N557</f>
        <v>55.1</v>
      </c>
      <c r="O557" t="e">
        <f>ABS(L557-RAVLT_Rec!$C$34)</f>
        <v>#REF!</v>
      </c>
      <c r="P557">
        <f t="shared" si="9"/>
        <v>55.1</v>
      </c>
    </row>
    <row r="558" spans="10:16">
      <c r="J558" s="5"/>
      <c r="L558">
        <f>RAVLT_Rec!M558</f>
        <v>0.23804</v>
      </c>
      <c r="M558">
        <f>RAVLT_Rec!N558</f>
        <v>55.2</v>
      </c>
      <c r="O558" t="e">
        <f>ABS(L558-RAVLT_Rec!$C$34)</f>
        <v>#REF!</v>
      </c>
      <c r="P558">
        <f t="shared" si="9"/>
        <v>55.2</v>
      </c>
    </row>
    <row r="559" spans="10:16">
      <c r="J559" s="5"/>
      <c r="L559">
        <f>RAVLT_Rec!M559</f>
        <v>0.23804</v>
      </c>
      <c r="M559">
        <f>RAVLT_Rec!N559</f>
        <v>55.3</v>
      </c>
      <c r="O559" t="e">
        <f>ABS(L559-RAVLT_Rec!$C$34)</f>
        <v>#REF!</v>
      </c>
      <c r="P559">
        <f t="shared" si="9"/>
        <v>55.3</v>
      </c>
    </row>
    <row r="560" spans="10:16">
      <c r="J560" s="5"/>
      <c r="L560">
        <f>RAVLT_Rec!M560</f>
        <v>0.23804</v>
      </c>
      <c r="M560">
        <f>RAVLT_Rec!N560</f>
        <v>55.4</v>
      </c>
      <c r="O560" t="e">
        <f>ABS(L560-RAVLT_Rec!$C$34)</f>
        <v>#REF!</v>
      </c>
      <c r="P560">
        <f t="shared" si="9"/>
        <v>55.4</v>
      </c>
    </row>
    <row r="561" spans="10:16">
      <c r="J561" s="5"/>
      <c r="L561">
        <f>RAVLT_Rec!M561</f>
        <v>0.23804</v>
      </c>
      <c r="M561">
        <f>RAVLT_Rec!N561</f>
        <v>55.5</v>
      </c>
      <c r="O561" t="e">
        <f>ABS(L561-RAVLT_Rec!$C$34)</f>
        <v>#REF!</v>
      </c>
      <c r="P561">
        <f t="shared" si="9"/>
        <v>55.5</v>
      </c>
    </row>
    <row r="562" spans="10:16">
      <c r="J562" s="5"/>
      <c r="L562">
        <f>RAVLT_Rec!M562</f>
        <v>0.23804</v>
      </c>
      <c r="M562">
        <f>RAVLT_Rec!N562</f>
        <v>55.6</v>
      </c>
      <c r="O562" t="e">
        <f>ABS(L562-RAVLT_Rec!$C$34)</f>
        <v>#REF!</v>
      </c>
      <c r="P562">
        <f t="shared" si="9"/>
        <v>55.6</v>
      </c>
    </row>
    <row r="563" spans="10:16">
      <c r="J563" s="5"/>
      <c r="L563">
        <f>RAVLT_Rec!M563</f>
        <v>0.23804</v>
      </c>
      <c r="M563">
        <f>RAVLT_Rec!N563</f>
        <v>55.7</v>
      </c>
      <c r="O563" t="e">
        <f>ABS(L563-RAVLT_Rec!$C$34)</f>
        <v>#REF!</v>
      </c>
      <c r="P563">
        <f t="shared" si="9"/>
        <v>55.7</v>
      </c>
    </row>
    <row r="564" spans="10:16">
      <c r="J564" s="5"/>
      <c r="L564">
        <f>RAVLT_Rec!M564</f>
        <v>0.24094312400000001</v>
      </c>
      <c r="M564">
        <f>RAVLT_Rec!N564</f>
        <v>55.8</v>
      </c>
      <c r="O564" t="e">
        <f>ABS(L564-RAVLT_Rec!$C$34)</f>
        <v>#REF!</v>
      </c>
      <c r="P564">
        <f t="shared" si="9"/>
        <v>55.8</v>
      </c>
    </row>
    <row r="565" spans="10:16">
      <c r="J565" s="5"/>
      <c r="L565">
        <f>RAVLT_Rec!M565</f>
        <v>0.245603402</v>
      </c>
      <c r="M565">
        <f>RAVLT_Rec!N565</f>
        <v>55.9</v>
      </c>
      <c r="O565" t="e">
        <f>ABS(L565-RAVLT_Rec!$C$34)</f>
        <v>#REF!</v>
      </c>
      <c r="P565">
        <f t="shared" si="9"/>
        <v>55.9</v>
      </c>
    </row>
    <row r="566" spans="10:16">
      <c r="J566" s="5"/>
      <c r="L566">
        <f>RAVLT_Rec!M566</f>
        <v>0.25026367999999999</v>
      </c>
      <c r="M566">
        <f>RAVLT_Rec!N566</f>
        <v>56</v>
      </c>
      <c r="O566" t="e">
        <f>ABS(L566-RAVLT_Rec!$C$34)</f>
        <v>#REF!</v>
      </c>
      <c r="P566">
        <f t="shared" si="9"/>
        <v>56</v>
      </c>
    </row>
    <row r="567" spans="10:16">
      <c r="J567" s="5"/>
      <c r="L567">
        <f>RAVLT_Rec!M567</f>
        <v>0.25077300000000002</v>
      </c>
      <c r="M567">
        <f>RAVLT_Rec!N567</f>
        <v>56.1</v>
      </c>
      <c r="O567" t="e">
        <f>ABS(L567-RAVLT_Rec!$C$34)</f>
        <v>#REF!</v>
      </c>
      <c r="P567">
        <f t="shared" si="9"/>
        <v>56.1</v>
      </c>
    </row>
    <row r="568" spans="10:16">
      <c r="J568" s="5"/>
      <c r="L568">
        <f>RAVLT_Rec!M568</f>
        <v>0.25077300000000002</v>
      </c>
      <c r="M568">
        <f>RAVLT_Rec!N568</f>
        <v>56.2</v>
      </c>
      <c r="O568" t="e">
        <f>ABS(L568-RAVLT_Rec!$C$34)</f>
        <v>#REF!</v>
      </c>
      <c r="P568">
        <f t="shared" si="9"/>
        <v>56.2</v>
      </c>
    </row>
    <row r="569" spans="10:16">
      <c r="J569" s="5"/>
      <c r="L569">
        <f>RAVLT_Rec!M569</f>
        <v>0.25077300000000002</v>
      </c>
      <c r="M569">
        <f>RAVLT_Rec!N569</f>
        <v>56.3</v>
      </c>
      <c r="O569" t="e">
        <f>ABS(L569-RAVLT_Rec!$C$34)</f>
        <v>#REF!</v>
      </c>
      <c r="P569">
        <f t="shared" si="9"/>
        <v>56.3</v>
      </c>
    </row>
    <row r="570" spans="10:16">
      <c r="J570" s="5"/>
      <c r="L570">
        <f>RAVLT_Rec!M570</f>
        <v>0.25077300000000002</v>
      </c>
      <c r="M570">
        <f>RAVLT_Rec!N570</f>
        <v>56.4</v>
      </c>
      <c r="O570" t="e">
        <f>ABS(L570-RAVLT_Rec!$C$34)</f>
        <v>#REF!</v>
      </c>
      <c r="P570">
        <f t="shared" si="9"/>
        <v>56.4</v>
      </c>
    </row>
    <row r="571" spans="10:16">
      <c r="J571" s="5"/>
      <c r="L571">
        <f>RAVLT_Rec!M571</f>
        <v>0.25077300000000002</v>
      </c>
      <c r="M571">
        <f>RAVLT_Rec!N571</f>
        <v>56.5</v>
      </c>
      <c r="O571" t="e">
        <f>ABS(L571-RAVLT_Rec!$C$34)</f>
        <v>#REF!</v>
      </c>
      <c r="P571">
        <f t="shared" si="9"/>
        <v>56.5</v>
      </c>
    </row>
    <row r="572" spans="10:16">
      <c r="J572" s="5"/>
      <c r="L572">
        <f>RAVLT_Rec!M572</f>
        <v>0.253607676000001</v>
      </c>
      <c r="M572">
        <f>RAVLT_Rec!N572</f>
        <v>56.6</v>
      </c>
      <c r="O572" t="e">
        <f>ABS(L572-RAVLT_Rec!$C$34)</f>
        <v>#REF!</v>
      </c>
      <c r="P572">
        <f t="shared" si="9"/>
        <v>56.6</v>
      </c>
    </row>
    <row r="573" spans="10:16">
      <c r="J573" s="5"/>
      <c r="L573">
        <f>RAVLT_Rec!M573</f>
        <v>0.26025826200000002</v>
      </c>
      <c r="M573">
        <f>RAVLT_Rec!N573</f>
        <v>56.7</v>
      </c>
      <c r="O573" t="e">
        <f>ABS(L573-RAVLT_Rec!$C$34)</f>
        <v>#REF!</v>
      </c>
      <c r="P573">
        <f t="shared" si="9"/>
        <v>56.7</v>
      </c>
    </row>
    <row r="574" spans="10:16">
      <c r="J574" s="5"/>
      <c r="L574">
        <f>RAVLT_Rec!M574</f>
        <v>0.26690884800000098</v>
      </c>
      <c r="M574">
        <f>RAVLT_Rec!N574</f>
        <v>56.8</v>
      </c>
      <c r="O574" t="e">
        <f>ABS(L574-RAVLT_Rec!$C$34)</f>
        <v>#REF!</v>
      </c>
      <c r="P574">
        <f t="shared" si="9"/>
        <v>56.8</v>
      </c>
    </row>
    <row r="575" spans="10:16">
      <c r="J575" s="5"/>
      <c r="L575">
        <f>RAVLT_Rec!M575</f>
        <v>0.26894400000000002</v>
      </c>
      <c r="M575">
        <f>RAVLT_Rec!N575</f>
        <v>56.9</v>
      </c>
      <c r="O575" t="e">
        <f>ABS(L575-RAVLT_Rec!$C$34)</f>
        <v>#REF!</v>
      </c>
      <c r="P575">
        <f t="shared" si="9"/>
        <v>56.9</v>
      </c>
    </row>
    <row r="576" spans="10:16">
      <c r="J576" s="5"/>
      <c r="L576">
        <f>RAVLT_Rec!M576</f>
        <v>0.26894400000000002</v>
      </c>
      <c r="M576">
        <f>RAVLT_Rec!N576</f>
        <v>57</v>
      </c>
      <c r="O576" t="e">
        <f>ABS(L576-RAVLT_Rec!$C$34)</f>
        <v>#REF!</v>
      </c>
      <c r="P576">
        <f t="shared" si="9"/>
        <v>57</v>
      </c>
    </row>
    <row r="577" spans="10:16">
      <c r="J577" s="5"/>
      <c r="L577">
        <f>RAVLT_Rec!M577</f>
        <v>0.26894400000000002</v>
      </c>
      <c r="M577">
        <f>RAVLT_Rec!N577</f>
        <v>57.1</v>
      </c>
      <c r="O577" t="e">
        <f>ABS(L577-RAVLT_Rec!$C$34)</f>
        <v>#REF!</v>
      </c>
      <c r="P577">
        <f t="shared" si="9"/>
        <v>57.1</v>
      </c>
    </row>
    <row r="578" spans="10:16">
      <c r="J578" s="5"/>
      <c r="L578">
        <f>RAVLT_Rec!M578</f>
        <v>0.27102608</v>
      </c>
      <c r="M578">
        <f>RAVLT_Rec!N578</f>
        <v>57.2</v>
      </c>
      <c r="O578" t="e">
        <f>ABS(L578-RAVLT_Rec!$C$34)</f>
        <v>#REF!</v>
      </c>
      <c r="P578">
        <f t="shared" si="9"/>
        <v>57.2</v>
      </c>
    </row>
    <row r="579" spans="10:16">
      <c r="J579" s="5"/>
      <c r="L579">
        <f>RAVLT_Rec!M579</f>
        <v>0.27319096999999998</v>
      </c>
      <c r="M579">
        <f>RAVLT_Rec!N579</f>
        <v>57.3</v>
      </c>
      <c r="O579" t="e">
        <f>ABS(L579-RAVLT_Rec!$C$34)</f>
        <v>#REF!</v>
      </c>
      <c r="P579">
        <f t="shared" si="9"/>
        <v>57.3</v>
      </c>
    </row>
    <row r="580" spans="10:16">
      <c r="J580" s="5"/>
      <c r="L580">
        <f>RAVLT_Rec!M580</f>
        <v>0.27520045999999998</v>
      </c>
      <c r="M580">
        <f>RAVLT_Rec!N580</f>
        <v>57.4</v>
      </c>
      <c r="O580" t="e">
        <f>ABS(L580-RAVLT_Rec!$C$34)</f>
        <v>#REF!</v>
      </c>
      <c r="P580">
        <f t="shared" si="9"/>
        <v>57.4</v>
      </c>
    </row>
    <row r="581" spans="10:16">
      <c r="J581" s="5"/>
      <c r="L581">
        <f>RAVLT_Rec!M581</f>
        <v>0.27668825000000002</v>
      </c>
      <c r="M581">
        <f>RAVLT_Rec!N581</f>
        <v>57.5</v>
      </c>
      <c r="O581" t="e">
        <f>ABS(L581-RAVLT_Rec!$C$34)</f>
        <v>#REF!</v>
      </c>
      <c r="P581">
        <f t="shared" si="9"/>
        <v>57.5</v>
      </c>
    </row>
    <row r="582" spans="10:16">
      <c r="J582" s="5"/>
      <c r="L582">
        <f>RAVLT_Rec!M582</f>
        <v>0.27817604000000001</v>
      </c>
      <c r="M582">
        <f>RAVLT_Rec!N582</f>
        <v>57.6</v>
      </c>
      <c r="O582" t="e">
        <f>ABS(L582-RAVLT_Rec!$C$34)</f>
        <v>#REF!</v>
      </c>
      <c r="P582">
        <f t="shared" si="9"/>
        <v>57.6</v>
      </c>
    </row>
    <row r="583" spans="10:16">
      <c r="J583" s="5"/>
      <c r="L583">
        <f>RAVLT_Rec!M583</f>
        <v>0.27892400000000001</v>
      </c>
      <c r="M583">
        <f>RAVLT_Rec!N583</f>
        <v>57.7</v>
      </c>
      <c r="O583" t="e">
        <f>ABS(L583-RAVLT_Rec!$C$34)</f>
        <v>#REF!</v>
      </c>
      <c r="P583">
        <f t="shared" ref="P583:P646" si="10">M583</f>
        <v>57.7</v>
      </c>
    </row>
    <row r="584" spans="10:16">
      <c r="J584" s="5"/>
      <c r="L584">
        <f>RAVLT_Rec!M584</f>
        <v>0.27892400000000001</v>
      </c>
      <c r="M584">
        <f>RAVLT_Rec!N584</f>
        <v>57.8</v>
      </c>
      <c r="O584" t="e">
        <f>ABS(L584-RAVLT_Rec!$C$34)</f>
        <v>#REF!</v>
      </c>
      <c r="P584">
        <f t="shared" si="10"/>
        <v>57.8</v>
      </c>
    </row>
    <row r="585" spans="10:16">
      <c r="J585" s="5"/>
      <c r="L585">
        <f>RAVLT_Rec!M585</f>
        <v>0.27892400000000001</v>
      </c>
      <c r="M585">
        <f>RAVLT_Rec!N585</f>
        <v>57.9</v>
      </c>
      <c r="O585" t="e">
        <f>ABS(L585-RAVLT_Rec!$C$34)</f>
        <v>#REF!</v>
      </c>
      <c r="P585">
        <f t="shared" si="10"/>
        <v>57.9</v>
      </c>
    </row>
    <row r="586" spans="10:16">
      <c r="J586" s="5"/>
      <c r="L586">
        <f>RAVLT_Rec!M586</f>
        <v>0.27993087999999999</v>
      </c>
      <c r="M586">
        <f>RAVLT_Rec!N586</f>
        <v>58</v>
      </c>
      <c r="O586" t="e">
        <f>ABS(L586-RAVLT_Rec!$C$34)</f>
        <v>#REF!</v>
      </c>
      <c r="P586">
        <f t="shared" si="10"/>
        <v>58</v>
      </c>
    </row>
    <row r="587" spans="10:16">
      <c r="J587" s="5"/>
      <c r="L587">
        <f>RAVLT_Rec!M587</f>
        <v>0.28124701600000002</v>
      </c>
      <c r="M587">
        <f>RAVLT_Rec!N587</f>
        <v>58.1</v>
      </c>
      <c r="O587" t="e">
        <f>ABS(L587-RAVLT_Rec!$C$34)</f>
        <v>#REF!</v>
      </c>
      <c r="P587">
        <f t="shared" si="10"/>
        <v>58.1</v>
      </c>
    </row>
    <row r="588" spans="10:16">
      <c r="J588" s="5"/>
      <c r="L588">
        <f>RAVLT_Rec!M588</f>
        <v>0.28251999999999999</v>
      </c>
      <c r="M588">
        <f>RAVLT_Rec!N588</f>
        <v>58.2</v>
      </c>
      <c r="O588" t="e">
        <f>ABS(L588-RAVLT_Rec!$C$34)</f>
        <v>#REF!</v>
      </c>
      <c r="P588">
        <f t="shared" si="10"/>
        <v>58.2</v>
      </c>
    </row>
    <row r="589" spans="10:16">
      <c r="J589" s="5"/>
      <c r="L589">
        <f>RAVLT_Rec!M589</f>
        <v>0.28251999999999999</v>
      </c>
      <c r="M589">
        <f>RAVLT_Rec!N589</f>
        <v>58.3</v>
      </c>
      <c r="O589" t="e">
        <f>ABS(L589-RAVLT_Rec!$C$34)</f>
        <v>#REF!</v>
      </c>
      <c r="P589">
        <f t="shared" si="10"/>
        <v>58.3</v>
      </c>
    </row>
    <row r="590" spans="10:16">
      <c r="J590" s="5"/>
      <c r="L590">
        <f>RAVLT_Rec!M590</f>
        <v>0.28251999999999999</v>
      </c>
      <c r="M590">
        <f>RAVLT_Rec!N590</f>
        <v>58.4</v>
      </c>
      <c r="O590" t="e">
        <f>ABS(L590-RAVLT_Rec!$C$34)</f>
        <v>#REF!</v>
      </c>
      <c r="P590">
        <f t="shared" si="10"/>
        <v>58.4</v>
      </c>
    </row>
    <row r="591" spans="10:16">
      <c r="J591" s="5"/>
      <c r="L591">
        <f>RAVLT_Rec!M591</f>
        <v>0.28505450999999998</v>
      </c>
      <c r="M591">
        <f>RAVLT_Rec!N591</f>
        <v>58.5</v>
      </c>
      <c r="O591" t="e">
        <f>ABS(L591-RAVLT_Rec!$C$34)</f>
        <v>#REF!</v>
      </c>
      <c r="P591">
        <f t="shared" si="10"/>
        <v>58.5</v>
      </c>
    </row>
    <row r="592" spans="10:16">
      <c r="J592" s="5"/>
      <c r="L592">
        <f>RAVLT_Rec!M592</f>
        <v>0.293487516</v>
      </c>
      <c r="M592">
        <f>RAVLT_Rec!N592</f>
        <v>58.6</v>
      </c>
      <c r="O592" t="e">
        <f>ABS(L592-RAVLT_Rec!$C$34)</f>
        <v>#REF!</v>
      </c>
      <c r="P592">
        <f t="shared" si="10"/>
        <v>58.6</v>
      </c>
    </row>
    <row r="593" spans="10:16">
      <c r="J593" s="5"/>
      <c r="L593">
        <f>RAVLT_Rec!M593</f>
        <v>0.30192052200000002</v>
      </c>
      <c r="M593">
        <f>RAVLT_Rec!N593</f>
        <v>58.7</v>
      </c>
      <c r="O593" t="e">
        <f>ABS(L593-RAVLT_Rec!$C$34)</f>
        <v>#REF!</v>
      </c>
      <c r="P593">
        <f t="shared" si="10"/>
        <v>58.7</v>
      </c>
    </row>
    <row r="594" spans="10:16">
      <c r="J594" s="5"/>
      <c r="L594">
        <f>RAVLT_Rec!M594</f>
        <v>0.30556100000000003</v>
      </c>
      <c r="M594">
        <f>RAVLT_Rec!N594</f>
        <v>58.8</v>
      </c>
      <c r="O594" t="e">
        <f>ABS(L594-RAVLT_Rec!$C$34)</f>
        <v>#REF!</v>
      </c>
      <c r="P594">
        <f t="shared" si="10"/>
        <v>58.8</v>
      </c>
    </row>
    <row r="595" spans="10:16">
      <c r="J595" s="5"/>
      <c r="L595">
        <f>RAVLT_Rec!M595</f>
        <v>0.30556100000000003</v>
      </c>
      <c r="M595">
        <f>RAVLT_Rec!N595</f>
        <v>58.9</v>
      </c>
      <c r="O595" t="e">
        <f>ABS(L595-RAVLT_Rec!$C$34)</f>
        <v>#REF!</v>
      </c>
      <c r="P595">
        <f t="shared" si="10"/>
        <v>58.9</v>
      </c>
    </row>
    <row r="596" spans="10:16">
      <c r="J596" s="5"/>
      <c r="L596">
        <f>RAVLT_Rec!M596</f>
        <v>0.30556100000000003</v>
      </c>
      <c r="M596">
        <f>RAVLT_Rec!N596</f>
        <v>59</v>
      </c>
      <c r="O596" t="e">
        <f>ABS(L596-RAVLT_Rec!$C$34)</f>
        <v>#REF!</v>
      </c>
      <c r="P596">
        <f t="shared" si="10"/>
        <v>59</v>
      </c>
    </row>
    <row r="597" spans="10:16">
      <c r="J597" s="5"/>
      <c r="L597">
        <f>RAVLT_Rec!M597</f>
        <v>0.31407575599999998</v>
      </c>
      <c r="M597">
        <f>RAVLT_Rec!N597</f>
        <v>59.1</v>
      </c>
      <c r="O597" t="e">
        <f>ABS(L597-RAVLT_Rec!$C$34)</f>
        <v>#REF!</v>
      </c>
      <c r="P597">
        <f t="shared" si="10"/>
        <v>59.1</v>
      </c>
    </row>
    <row r="598" spans="10:16">
      <c r="J598" s="5"/>
      <c r="L598">
        <f>RAVLT_Rec!M598</f>
        <v>0.32426007200000001</v>
      </c>
      <c r="M598">
        <f>RAVLT_Rec!N598</f>
        <v>59.2</v>
      </c>
      <c r="O598" t="e">
        <f>ABS(L598-RAVLT_Rec!$C$34)</f>
        <v>#REF!</v>
      </c>
      <c r="P598">
        <f t="shared" si="10"/>
        <v>59.2</v>
      </c>
    </row>
    <row r="599" spans="10:16">
      <c r="J599" s="5"/>
      <c r="L599">
        <f>RAVLT_Rec!M599</f>
        <v>0.33448945600000002</v>
      </c>
      <c r="M599">
        <f>RAVLT_Rec!N599</f>
        <v>59.3</v>
      </c>
      <c r="O599" t="e">
        <f>ABS(L599-RAVLT_Rec!$C$34)</f>
        <v>#REF!</v>
      </c>
      <c r="P599">
        <f t="shared" si="10"/>
        <v>59.3</v>
      </c>
    </row>
    <row r="600" spans="10:16">
      <c r="J600" s="5"/>
      <c r="L600">
        <f>RAVLT_Rec!M600</f>
        <v>0.34510784799999999</v>
      </c>
      <c r="M600">
        <f>RAVLT_Rec!N600</f>
        <v>59.4</v>
      </c>
      <c r="O600" t="e">
        <f>ABS(L600-RAVLT_Rec!$C$34)</f>
        <v>#REF!</v>
      </c>
      <c r="P600">
        <f t="shared" si="10"/>
        <v>59.4</v>
      </c>
    </row>
    <row r="601" spans="10:16">
      <c r="J601" s="5"/>
      <c r="L601">
        <f>RAVLT_Rec!M601</f>
        <v>0.35572623999999903</v>
      </c>
      <c r="M601">
        <f>RAVLT_Rec!N601</f>
        <v>59.5</v>
      </c>
      <c r="O601" t="e">
        <f>ABS(L601-RAVLT_Rec!$C$34)</f>
        <v>#REF!</v>
      </c>
      <c r="P601">
        <f t="shared" si="10"/>
        <v>59.5</v>
      </c>
    </row>
    <row r="602" spans="10:16">
      <c r="J602" s="5"/>
      <c r="L602">
        <f>RAVLT_Rec!M602</f>
        <v>0.36239900000000003</v>
      </c>
      <c r="M602">
        <f>RAVLT_Rec!N602</f>
        <v>59.6</v>
      </c>
      <c r="O602" t="e">
        <f>ABS(L602-RAVLT_Rec!$C$34)</f>
        <v>#REF!</v>
      </c>
      <c r="P602">
        <f t="shared" si="10"/>
        <v>59.6</v>
      </c>
    </row>
    <row r="603" spans="10:16">
      <c r="J603" s="5"/>
      <c r="L603">
        <f>RAVLT_Rec!M603</f>
        <v>0.36239900000000003</v>
      </c>
      <c r="M603">
        <f>RAVLT_Rec!N603</f>
        <v>59.7</v>
      </c>
      <c r="O603" t="e">
        <f>ABS(L603-RAVLT_Rec!$C$34)</f>
        <v>#REF!</v>
      </c>
      <c r="P603">
        <f t="shared" si="10"/>
        <v>59.7</v>
      </c>
    </row>
    <row r="604" spans="10:16">
      <c r="J604" s="5"/>
      <c r="L604">
        <f>RAVLT_Rec!M604</f>
        <v>0.36239900000000003</v>
      </c>
      <c r="M604">
        <f>RAVLT_Rec!N604</f>
        <v>59.8</v>
      </c>
      <c r="O604" t="e">
        <f>ABS(L604-RAVLT_Rec!$C$34)</f>
        <v>#REF!</v>
      </c>
      <c r="P604">
        <f t="shared" si="10"/>
        <v>59.8</v>
      </c>
    </row>
    <row r="605" spans="10:16">
      <c r="J605" s="5"/>
      <c r="L605">
        <f>RAVLT_Rec!M605</f>
        <v>0.36239900000000003</v>
      </c>
      <c r="M605">
        <f>RAVLT_Rec!N605</f>
        <v>59.9</v>
      </c>
      <c r="O605" t="e">
        <f>ABS(L605-RAVLT_Rec!$C$34)</f>
        <v>#REF!</v>
      </c>
      <c r="P605">
        <f t="shared" si="10"/>
        <v>59.9</v>
      </c>
    </row>
    <row r="606" spans="10:16">
      <c r="J606" s="5"/>
      <c r="L606">
        <f>RAVLT_Rec!M606</f>
        <v>0.36239900000000003</v>
      </c>
      <c r="M606">
        <f>RAVLT_Rec!N606</f>
        <v>60</v>
      </c>
      <c r="O606" t="e">
        <f>ABS(L606-RAVLT_Rec!$C$34)</f>
        <v>#REF!</v>
      </c>
      <c r="P606">
        <f t="shared" si="10"/>
        <v>60</v>
      </c>
    </row>
    <row r="607" spans="10:16">
      <c r="J607" s="5"/>
      <c r="L607">
        <f>RAVLT_Rec!M607</f>
        <v>0.36239900000000003</v>
      </c>
      <c r="M607">
        <f>RAVLT_Rec!N607</f>
        <v>60.1</v>
      </c>
      <c r="O607" t="e">
        <f>ABS(L607-RAVLT_Rec!$C$34)</f>
        <v>#REF!</v>
      </c>
      <c r="P607">
        <f t="shared" si="10"/>
        <v>60.1</v>
      </c>
    </row>
    <row r="608" spans="10:16">
      <c r="J608" s="5"/>
      <c r="L608">
        <f>RAVLT_Rec!M608</f>
        <v>0.37240116400000001</v>
      </c>
      <c r="M608">
        <f>RAVLT_Rec!N608</f>
        <v>60.2</v>
      </c>
      <c r="O608" t="e">
        <f>ABS(L608-RAVLT_Rec!$C$34)</f>
        <v>#REF!</v>
      </c>
      <c r="P608">
        <f t="shared" si="10"/>
        <v>60.2</v>
      </c>
    </row>
    <row r="609" spans="10:16">
      <c r="J609" s="5"/>
      <c r="L609">
        <f>RAVLT_Rec!M609</f>
        <v>0.38342764599999901</v>
      </c>
      <c r="M609">
        <f>RAVLT_Rec!N609</f>
        <v>60.3</v>
      </c>
      <c r="O609" t="e">
        <f>ABS(L609-RAVLT_Rec!$C$34)</f>
        <v>#REF!</v>
      </c>
      <c r="P609">
        <f t="shared" si="10"/>
        <v>60.3</v>
      </c>
    </row>
    <row r="610" spans="10:16">
      <c r="J610" s="5"/>
      <c r="L610">
        <f>RAVLT_Rec!M610</f>
        <v>0.39252599999999999</v>
      </c>
      <c r="M610">
        <f>RAVLT_Rec!N610</f>
        <v>60.4</v>
      </c>
      <c r="O610" t="e">
        <f>ABS(L610-RAVLT_Rec!$C$34)</f>
        <v>#REF!</v>
      </c>
      <c r="P610">
        <f t="shared" si="10"/>
        <v>60.4</v>
      </c>
    </row>
    <row r="611" spans="10:16">
      <c r="J611" s="5"/>
      <c r="L611">
        <f>RAVLT_Rec!M611</f>
        <v>0.39252599999999999</v>
      </c>
      <c r="M611">
        <f>RAVLT_Rec!N611</f>
        <v>60.5</v>
      </c>
      <c r="O611" t="e">
        <f>ABS(L611-RAVLT_Rec!$C$34)</f>
        <v>#REF!</v>
      </c>
      <c r="P611">
        <f t="shared" si="10"/>
        <v>60.5</v>
      </c>
    </row>
    <row r="612" spans="10:16">
      <c r="J612" s="5"/>
      <c r="L612">
        <f>RAVLT_Rec!M612</f>
        <v>0.39252599999999999</v>
      </c>
      <c r="M612">
        <f>RAVLT_Rec!N612</f>
        <v>60.6</v>
      </c>
      <c r="O612" t="e">
        <f>ABS(L612-RAVLT_Rec!$C$34)</f>
        <v>#REF!</v>
      </c>
      <c r="P612">
        <f t="shared" si="10"/>
        <v>60.6</v>
      </c>
    </row>
    <row r="613" spans="10:16">
      <c r="J613" s="5"/>
      <c r="L613">
        <f>RAVLT_Rec!M613</f>
        <v>0.39252599999999999</v>
      </c>
      <c r="M613">
        <f>RAVLT_Rec!N613</f>
        <v>60.7</v>
      </c>
      <c r="O613" t="e">
        <f>ABS(L613-RAVLT_Rec!$C$34)</f>
        <v>#REF!</v>
      </c>
      <c r="P613">
        <f t="shared" si="10"/>
        <v>60.7</v>
      </c>
    </row>
    <row r="614" spans="10:16">
      <c r="J614" s="5"/>
      <c r="L614">
        <f>RAVLT_Rec!M614</f>
        <v>0.39252599999999999</v>
      </c>
      <c r="M614">
        <f>RAVLT_Rec!N614</f>
        <v>60.8</v>
      </c>
      <c r="O614" t="e">
        <f>ABS(L614-RAVLT_Rec!$C$34)</f>
        <v>#REF!</v>
      </c>
      <c r="P614">
        <f t="shared" si="10"/>
        <v>60.8</v>
      </c>
    </row>
    <row r="615" spans="10:16">
      <c r="J615" s="5"/>
      <c r="L615">
        <f>RAVLT_Rec!M615</f>
        <v>0.39252599999999999</v>
      </c>
      <c r="M615">
        <f>RAVLT_Rec!N615</f>
        <v>60.9</v>
      </c>
      <c r="O615" t="e">
        <f>ABS(L615-RAVLT_Rec!$C$34)</f>
        <v>#REF!</v>
      </c>
      <c r="P615">
        <f t="shared" si="10"/>
        <v>60.9</v>
      </c>
    </row>
    <row r="616" spans="10:16">
      <c r="J616" s="5"/>
      <c r="L616">
        <f>RAVLT_Rec!M616</f>
        <v>0.39252599999999999</v>
      </c>
      <c r="M616">
        <f>RAVLT_Rec!N616</f>
        <v>61</v>
      </c>
      <c r="O616" t="e">
        <f>ABS(L616-RAVLT_Rec!$C$34)</f>
        <v>#REF!</v>
      </c>
      <c r="P616">
        <f t="shared" si="10"/>
        <v>61</v>
      </c>
    </row>
    <row r="617" spans="10:16">
      <c r="J617" s="5"/>
      <c r="L617">
        <f>RAVLT_Rec!M617</f>
        <v>0.39252599999999999</v>
      </c>
      <c r="M617">
        <f>RAVLT_Rec!N617</f>
        <v>61.1</v>
      </c>
      <c r="O617" t="e">
        <f>ABS(L617-RAVLT_Rec!$C$34)</f>
        <v>#REF!</v>
      </c>
      <c r="P617">
        <f t="shared" si="10"/>
        <v>61.1</v>
      </c>
    </row>
    <row r="618" spans="10:16">
      <c r="J618" s="5"/>
      <c r="L618">
        <f>RAVLT_Rec!M618</f>
        <v>0.39252599999999999</v>
      </c>
      <c r="M618">
        <f>RAVLT_Rec!N618</f>
        <v>61.2</v>
      </c>
      <c r="O618" t="e">
        <f>ABS(L618-RAVLT_Rec!$C$34)</f>
        <v>#REF!</v>
      </c>
      <c r="P618">
        <f t="shared" si="10"/>
        <v>61.2</v>
      </c>
    </row>
    <row r="619" spans="10:16">
      <c r="J619" s="5"/>
      <c r="L619">
        <f>RAVLT_Rec!M619</f>
        <v>0.403651924</v>
      </c>
      <c r="M619">
        <f>RAVLT_Rec!N619</f>
        <v>61.3</v>
      </c>
      <c r="O619" t="e">
        <f>ABS(L619-RAVLT_Rec!$C$34)</f>
        <v>#REF!</v>
      </c>
      <c r="P619">
        <f t="shared" si="10"/>
        <v>61.3</v>
      </c>
    </row>
    <row r="620" spans="10:16">
      <c r="J620" s="5"/>
      <c r="L620">
        <f>RAVLT_Rec!M620</f>
        <v>0.41502647199999998</v>
      </c>
      <c r="M620">
        <f>RAVLT_Rec!N620</f>
        <v>61.4</v>
      </c>
      <c r="O620" t="e">
        <f>ABS(L620-RAVLT_Rec!$C$34)</f>
        <v>#REF!</v>
      </c>
      <c r="P620">
        <f t="shared" si="10"/>
        <v>61.4</v>
      </c>
    </row>
    <row r="621" spans="10:16">
      <c r="J621" s="5"/>
      <c r="L621">
        <f>RAVLT_Rec!M621</f>
        <v>0.42360399999999998</v>
      </c>
      <c r="M621">
        <f>RAVLT_Rec!N621</f>
        <v>61.5</v>
      </c>
      <c r="O621" t="e">
        <f>ABS(L621-RAVLT_Rec!$C$34)</f>
        <v>#REF!</v>
      </c>
      <c r="P621">
        <f t="shared" si="10"/>
        <v>61.5</v>
      </c>
    </row>
    <row r="622" spans="10:16">
      <c r="J622" s="5"/>
      <c r="L622">
        <f>RAVLT_Rec!M622</f>
        <v>0.42360399999999998</v>
      </c>
      <c r="M622">
        <f>RAVLT_Rec!N622</f>
        <v>61.6</v>
      </c>
      <c r="O622" t="e">
        <f>ABS(L622-RAVLT_Rec!$C$34)</f>
        <v>#REF!</v>
      </c>
      <c r="P622">
        <f t="shared" si="10"/>
        <v>61.6</v>
      </c>
    </row>
    <row r="623" spans="10:16">
      <c r="J623" s="5"/>
      <c r="L623">
        <f>RAVLT_Rec!M623</f>
        <v>0.42360399999999998</v>
      </c>
      <c r="M623">
        <f>RAVLT_Rec!N623</f>
        <v>61.7</v>
      </c>
      <c r="O623" t="e">
        <f>ABS(L623-RAVLT_Rec!$C$34)</f>
        <v>#REF!</v>
      </c>
      <c r="P623">
        <f t="shared" si="10"/>
        <v>61.7</v>
      </c>
    </row>
    <row r="624" spans="10:16">
      <c r="J624" s="5"/>
      <c r="L624">
        <f>RAVLT_Rec!M624</f>
        <v>0.42360399999999998</v>
      </c>
      <c r="M624">
        <f>RAVLT_Rec!N624</f>
        <v>61.8</v>
      </c>
      <c r="O624" t="e">
        <f>ABS(L624-RAVLT_Rec!$C$34)</f>
        <v>#REF!</v>
      </c>
      <c r="P624">
        <f t="shared" si="10"/>
        <v>61.8</v>
      </c>
    </row>
    <row r="625" spans="10:16">
      <c r="J625" s="5"/>
      <c r="L625">
        <f>RAVLT_Rec!M625</f>
        <v>0.42360399999999998</v>
      </c>
      <c r="M625">
        <f>RAVLT_Rec!N625</f>
        <v>61.9</v>
      </c>
      <c r="O625" t="e">
        <f>ABS(L625-RAVLT_Rec!$C$34)</f>
        <v>#REF!</v>
      </c>
      <c r="P625">
        <f t="shared" si="10"/>
        <v>61.9</v>
      </c>
    </row>
    <row r="626" spans="10:16">
      <c r="J626" s="5"/>
      <c r="L626">
        <f>RAVLT_Rec!M626</f>
        <v>0.42360399999999998</v>
      </c>
      <c r="M626">
        <f>RAVLT_Rec!N626</f>
        <v>62</v>
      </c>
      <c r="O626" t="e">
        <f>ABS(L626-RAVLT_Rec!$C$34)</f>
        <v>#REF!</v>
      </c>
      <c r="P626">
        <f t="shared" si="10"/>
        <v>62</v>
      </c>
    </row>
    <row r="627" spans="10:16">
      <c r="J627" s="5"/>
      <c r="L627">
        <f>RAVLT_Rec!M627</f>
        <v>0.42360399999999998</v>
      </c>
      <c r="M627">
        <f>RAVLT_Rec!N627</f>
        <v>62.1</v>
      </c>
      <c r="O627" t="e">
        <f>ABS(L627-RAVLT_Rec!$C$34)</f>
        <v>#REF!</v>
      </c>
      <c r="P627">
        <f t="shared" si="10"/>
        <v>62.1</v>
      </c>
    </row>
    <row r="628" spans="10:16">
      <c r="J628" s="5"/>
      <c r="L628">
        <f>RAVLT_Rec!M628</f>
        <v>0.42360399999999998</v>
      </c>
      <c r="M628">
        <f>RAVLT_Rec!N628</f>
        <v>62.2</v>
      </c>
      <c r="O628" t="e">
        <f>ABS(L628-RAVLT_Rec!$C$34)</f>
        <v>#REF!</v>
      </c>
      <c r="P628">
        <f t="shared" si="10"/>
        <v>62.2</v>
      </c>
    </row>
    <row r="629" spans="10:16">
      <c r="J629" s="5"/>
      <c r="L629">
        <f>RAVLT_Rec!M629</f>
        <v>0.42417566200000001</v>
      </c>
      <c r="M629">
        <f>RAVLT_Rec!N629</f>
        <v>62.3</v>
      </c>
      <c r="O629" t="e">
        <f>ABS(L629-RAVLT_Rec!$C$34)</f>
        <v>#REF!</v>
      </c>
      <c r="P629">
        <f t="shared" si="10"/>
        <v>62.3</v>
      </c>
    </row>
    <row r="630" spans="10:16">
      <c r="J630" s="5"/>
      <c r="L630">
        <f>RAVLT_Rec!M630</f>
        <v>0.43579945599999997</v>
      </c>
      <c r="M630">
        <f>RAVLT_Rec!N630</f>
        <v>62.4</v>
      </c>
      <c r="O630" t="e">
        <f>ABS(L630-RAVLT_Rec!$C$34)</f>
        <v>#REF!</v>
      </c>
      <c r="P630">
        <f t="shared" si="10"/>
        <v>62.4</v>
      </c>
    </row>
    <row r="631" spans="10:16">
      <c r="J631" s="5"/>
      <c r="L631">
        <f>RAVLT_Rec!M631</f>
        <v>0.44742324999999999</v>
      </c>
      <c r="M631">
        <f>RAVLT_Rec!N631</f>
        <v>62.5</v>
      </c>
      <c r="O631" t="e">
        <f>ABS(L631-RAVLT_Rec!$C$34)</f>
        <v>#REF!</v>
      </c>
      <c r="P631">
        <f t="shared" si="10"/>
        <v>62.5</v>
      </c>
    </row>
    <row r="632" spans="10:16">
      <c r="J632" s="5"/>
      <c r="L632">
        <f>RAVLT_Rec!M632</f>
        <v>0.45536300000000002</v>
      </c>
      <c r="M632">
        <f>RAVLT_Rec!N632</f>
        <v>62.6</v>
      </c>
      <c r="O632" t="e">
        <f>ABS(L632-RAVLT_Rec!$C$34)</f>
        <v>#REF!</v>
      </c>
      <c r="P632">
        <f t="shared" si="10"/>
        <v>62.6</v>
      </c>
    </row>
    <row r="633" spans="10:16">
      <c r="J633" s="5"/>
      <c r="L633">
        <f>RAVLT_Rec!M633</f>
        <v>0.45536300000000002</v>
      </c>
      <c r="M633">
        <f>RAVLT_Rec!N633</f>
        <v>62.7</v>
      </c>
      <c r="O633" t="e">
        <f>ABS(L633-RAVLT_Rec!$C$34)</f>
        <v>#REF!</v>
      </c>
      <c r="P633">
        <f t="shared" si="10"/>
        <v>62.7</v>
      </c>
    </row>
    <row r="634" spans="10:16">
      <c r="J634" s="5"/>
      <c r="L634">
        <f>RAVLT_Rec!M634</f>
        <v>0.45536300000000002</v>
      </c>
      <c r="M634">
        <f>RAVLT_Rec!N634</f>
        <v>62.8</v>
      </c>
      <c r="O634" t="e">
        <f>ABS(L634-RAVLT_Rec!$C$34)</f>
        <v>#REF!</v>
      </c>
      <c r="P634">
        <f t="shared" si="10"/>
        <v>62.8</v>
      </c>
    </row>
    <row r="635" spans="10:16">
      <c r="J635" s="5"/>
      <c r="L635">
        <f>RAVLT_Rec!M635</f>
        <v>0.45536300000000002</v>
      </c>
      <c r="M635">
        <f>RAVLT_Rec!N635</f>
        <v>62.9</v>
      </c>
      <c r="O635" t="e">
        <f>ABS(L635-RAVLT_Rec!$C$34)</f>
        <v>#REF!</v>
      </c>
      <c r="P635">
        <f t="shared" si="10"/>
        <v>62.9</v>
      </c>
    </row>
    <row r="636" spans="10:16">
      <c r="J636" s="5"/>
      <c r="L636">
        <f>RAVLT_Rec!M636</f>
        <v>0.45536300000000002</v>
      </c>
      <c r="M636">
        <f>RAVLT_Rec!N636</f>
        <v>63</v>
      </c>
      <c r="O636" t="e">
        <f>ABS(L636-RAVLT_Rec!$C$34)</f>
        <v>#REF!</v>
      </c>
      <c r="P636">
        <f t="shared" si="10"/>
        <v>63</v>
      </c>
    </row>
    <row r="637" spans="10:16">
      <c r="J637" s="5"/>
      <c r="L637">
        <f>RAVLT_Rec!M637</f>
        <v>0.45536300000000002</v>
      </c>
      <c r="M637">
        <f>RAVLT_Rec!N637</f>
        <v>63.1</v>
      </c>
      <c r="O637" t="e">
        <f>ABS(L637-RAVLT_Rec!$C$34)</f>
        <v>#REF!</v>
      </c>
      <c r="P637">
        <f t="shared" si="10"/>
        <v>63.1</v>
      </c>
    </row>
    <row r="638" spans="10:16">
      <c r="J638" s="5"/>
      <c r="L638">
        <f>RAVLT_Rec!M638</f>
        <v>0.46535760799999998</v>
      </c>
      <c r="M638">
        <f>RAVLT_Rec!N638</f>
        <v>63.2</v>
      </c>
      <c r="O638" t="e">
        <f>ABS(L638-RAVLT_Rec!$C$34)</f>
        <v>#REF!</v>
      </c>
      <c r="P638">
        <f t="shared" si="10"/>
        <v>63.2</v>
      </c>
    </row>
    <row r="639" spans="10:16">
      <c r="J639" s="5"/>
      <c r="L639">
        <f>RAVLT_Rec!M639</f>
        <v>0.47708205199999998</v>
      </c>
      <c r="M639">
        <f>RAVLT_Rec!N639</f>
        <v>63.3</v>
      </c>
      <c r="O639" t="e">
        <f>ABS(L639-RAVLT_Rec!$C$34)</f>
        <v>#REF!</v>
      </c>
      <c r="P639">
        <f t="shared" si="10"/>
        <v>63.3</v>
      </c>
    </row>
    <row r="640" spans="10:16">
      <c r="J640" s="5"/>
      <c r="L640">
        <f>RAVLT_Rec!M640</f>
        <v>0.48739700000000002</v>
      </c>
      <c r="M640">
        <f>RAVLT_Rec!N640</f>
        <v>63.4</v>
      </c>
      <c r="O640" t="e">
        <f>ABS(L640-RAVLT_Rec!$C$34)</f>
        <v>#REF!</v>
      </c>
      <c r="P640">
        <f t="shared" si="10"/>
        <v>63.4</v>
      </c>
    </row>
    <row r="641" spans="10:16">
      <c r="J641" s="5"/>
      <c r="L641">
        <f>RAVLT_Rec!M641</f>
        <v>0.48739700000000002</v>
      </c>
      <c r="M641">
        <f>RAVLT_Rec!N641</f>
        <v>63.5</v>
      </c>
      <c r="O641" t="e">
        <f>ABS(L641-RAVLT_Rec!$C$34)</f>
        <v>#REF!</v>
      </c>
      <c r="P641">
        <f t="shared" si="10"/>
        <v>63.5</v>
      </c>
    </row>
    <row r="642" spans="10:16">
      <c r="J642" s="5"/>
      <c r="L642">
        <f>RAVLT_Rec!M642</f>
        <v>0.48739700000000002</v>
      </c>
      <c r="M642">
        <f>RAVLT_Rec!N642</f>
        <v>63.6</v>
      </c>
      <c r="O642" t="e">
        <f>ABS(L642-RAVLT_Rec!$C$34)</f>
        <v>#REF!</v>
      </c>
      <c r="P642">
        <f t="shared" si="10"/>
        <v>63.6</v>
      </c>
    </row>
    <row r="643" spans="10:16">
      <c r="J643" s="5"/>
      <c r="L643">
        <f>RAVLT_Rec!M643</f>
        <v>0.49190692000000003</v>
      </c>
      <c r="M643">
        <f>RAVLT_Rec!N643</f>
        <v>63.7</v>
      </c>
      <c r="O643" t="e">
        <f>ABS(L643-RAVLT_Rec!$C$34)</f>
        <v>#REF!</v>
      </c>
      <c r="P643">
        <f t="shared" si="10"/>
        <v>63.7</v>
      </c>
    </row>
    <row r="644" spans="10:16">
      <c r="J644" s="5"/>
      <c r="L644">
        <f>RAVLT_Rec!M644</f>
        <v>0.50353108000000002</v>
      </c>
      <c r="M644">
        <f>RAVLT_Rec!N644</f>
        <v>63.8</v>
      </c>
      <c r="O644" t="e">
        <f>ABS(L644-RAVLT_Rec!$C$34)</f>
        <v>#REF!</v>
      </c>
      <c r="P644">
        <f t="shared" si="10"/>
        <v>63.8</v>
      </c>
    </row>
    <row r="645" spans="10:16">
      <c r="J645" s="5"/>
      <c r="L645">
        <f>RAVLT_Rec!M645</f>
        <v>0.51515524000000001</v>
      </c>
      <c r="M645">
        <f>RAVLT_Rec!N645</f>
        <v>63.9</v>
      </c>
      <c r="O645" t="e">
        <f>ABS(L645-RAVLT_Rec!$C$34)</f>
        <v>#REF!</v>
      </c>
      <c r="P645">
        <f t="shared" si="10"/>
        <v>63.9</v>
      </c>
    </row>
    <row r="646" spans="10:16">
      <c r="J646" s="5"/>
      <c r="L646">
        <f>RAVLT_Rec!M646</f>
        <v>0.51915699999999998</v>
      </c>
      <c r="M646">
        <f>RAVLT_Rec!N646</f>
        <v>64</v>
      </c>
      <c r="O646" t="e">
        <f>ABS(L646-RAVLT_Rec!$C$34)</f>
        <v>#REF!</v>
      </c>
      <c r="P646">
        <f t="shared" si="10"/>
        <v>64</v>
      </c>
    </row>
    <row r="647" spans="10:16">
      <c r="J647" s="5"/>
      <c r="L647">
        <f>RAVLT_Rec!M647</f>
        <v>0.51915699999999998</v>
      </c>
      <c r="M647">
        <f>RAVLT_Rec!N647</f>
        <v>64.099999999999994</v>
      </c>
      <c r="O647" t="e">
        <f>ABS(L647-RAVLT_Rec!$C$34)</f>
        <v>#REF!</v>
      </c>
      <c r="P647">
        <f t="shared" ref="P647:P710" si="11">M647</f>
        <v>64.099999999999994</v>
      </c>
    </row>
    <row r="648" spans="10:16">
      <c r="J648" s="5"/>
      <c r="L648">
        <f>RAVLT_Rec!M648</f>
        <v>0.51915699999999998</v>
      </c>
      <c r="M648">
        <f>RAVLT_Rec!N648</f>
        <v>64.2</v>
      </c>
      <c r="O648" t="e">
        <f>ABS(L648-RAVLT_Rec!$C$34)</f>
        <v>#REF!</v>
      </c>
      <c r="P648">
        <f t="shared" si="11"/>
        <v>64.2</v>
      </c>
    </row>
    <row r="649" spans="10:16">
      <c r="J649" s="5"/>
      <c r="L649">
        <f>RAVLT_Rec!M649</f>
        <v>0.51915699999999998</v>
      </c>
      <c r="M649">
        <f>RAVLT_Rec!N649</f>
        <v>64.3</v>
      </c>
      <c r="O649" t="e">
        <f>ABS(L649-RAVLT_Rec!$C$34)</f>
        <v>#REF!</v>
      </c>
      <c r="P649">
        <f t="shared" si="11"/>
        <v>64.3</v>
      </c>
    </row>
    <row r="650" spans="10:16">
      <c r="J650" s="5"/>
      <c r="L650">
        <f>RAVLT_Rec!M650</f>
        <v>0.51915699999999998</v>
      </c>
      <c r="M650">
        <f>RAVLT_Rec!N650</f>
        <v>64.400000000000006</v>
      </c>
      <c r="O650" t="e">
        <f>ABS(L650-RAVLT_Rec!$C$34)</f>
        <v>#REF!</v>
      </c>
      <c r="P650">
        <f t="shared" si="11"/>
        <v>64.400000000000006</v>
      </c>
    </row>
    <row r="651" spans="10:16">
      <c r="J651" s="5"/>
      <c r="L651">
        <f>RAVLT_Rec!M651</f>
        <v>0.51915699999999998</v>
      </c>
      <c r="M651">
        <f>RAVLT_Rec!N651</f>
        <v>64.5</v>
      </c>
      <c r="O651" t="e">
        <f>ABS(L651-RAVLT_Rec!$C$34)</f>
        <v>#REF!</v>
      </c>
      <c r="P651">
        <f t="shared" si="11"/>
        <v>64.5</v>
      </c>
    </row>
    <row r="652" spans="10:16">
      <c r="J652" s="5"/>
      <c r="L652">
        <f>RAVLT_Rec!M652</f>
        <v>0.51915699999999998</v>
      </c>
      <c r="M652">
        <f>RAVLT_Rec!N652</f>
        <v>64.599999999999994</v>
      </c>
      <c r="O652" t="e">
        <f>ABS(L652-RAVLT_Rec!$C$34)</f>
        <v>#REF!</v>
      </c>
      <c r="P652">
        <f t="shared" si="11"/>
        <v>64.599999999999994</v>
      </c>
    </row>
    <row r="653" spans="10:16">
      <c r="J653" s="5"/>
      <c r="L653">
        <f>RAVLT_Rec!M653</f>
        <v>0.51915699999999998</v>
      </c>
      <c r="M653">
        <f>RAVLT_Rec!N653</f>
        <v>64.7</v>
      </c>
      <c r="O653" t="e">
        <f>ABS(L653-RAVLT_Rec!$C$34)</f>
        <v>#REF!</v>
      </c>
      <c r="P653">
        <f t="shared" si="11"/>
        <v>64.7</v>
      </c>
    </row>
    <row r="654" spans="10:16">
      <c r="J654" s="5"/>
      <c r="L654">
        <f>RAVLT_Rec!M654</f>
        <v>0.51915699999999998</v>
      </c>
      <c r="M654">
        <f>RAVLT_Rec!N654</f>
        <v>64.8</v>
      </c>
      <c r="O654" t="e">
        <f>ABS(L654-RAVLT_Rec!$C$34)</f>
        <v>#REF!</v>
      </c>
      <c r="P654">
        <f t="shared" si="11"/>
        <v>64.8</v>
      </c>
    </row>
    <row r="655" spans="10:16">
      <c r="J655" s="5"/>
      <c r="L655">
        <f>RAVLT_Rec!M655</f>
        <v>0.51915699999999998</v>
      </c>
      <c r="M655">
        <f>RAVLT_Rec!N655</f>
        <v>64.900000000000006</v>
      </c>
      <c r="O655" t="e">
        <f>ABS(L655-RAVLT_Rec!$C$34)</f>
        <v>#REF!</v>
      </c>
      <c r="P655">
        <f t="shared" si="11"/>
        <v>64.900000000000006</v>
      </c>
    </row>
    <row r="656" spans="10:16">
      <c r="J656" s="5"/>
      <c r="L656">
        <f>RAVLT_Rec!M656</f>
        <v>0.51915699999999998</v>
      </c>
      <c r="M656">
        <f>RAVLT_Rec!N656</f>
        <v>65</v>
      </c>
      <c r="O656" t="e">
        <f>ABS(L656-RAVLT_Rec!$C$34)</f>
        <v>#REF!</v>
      </c>
      <c r="P656">
        <f t="shared" si="11"/>
        <v>65</v>
      </c>
    </row>
    <row r="657" spans="10:16">
      <c r="J657" s="5"/>
      <c r="L657">
        <f>RAVLT_Rec!M657</f>
        <v>0.52734767200000099</v>
      </c>
      <c r="M657">
        <f>RAVLT_Rec!N657</f>
        <v>65.099999999999994</v>
      </c>
      <c r="O657" t="e">
        <f>ABS(L657-RAVLT_Rec!$C$34)</f>
        <v>#REF!</v>
      </c>
      <c r="P657">
        <f t="shared" si="11"/>
        <v>65.099999999999994</v>
      </c>
    </row>
    <row r="658" spans="10:16">
      <c r="J658" s="5"/>
      <c r="L658">
        <f>RAVLT_Rec!M658</f>
        <v>0.53861754399999995</v>
      </c>
      <c r="M658">
        <f>RAVLT_Rec!N658</f>
        <v>65.2</v>
      </c>
      <c r="O658" t="e">
        <f>ABS(L658-RAVLT_Rec!$C$34)</f>
        <v>#REF!</v>
      </c>
      <c r="P658">
        <f t="shared" si="11"/>
        <v>65.2</v>
      </c>
    </row>
    <row r="659" spans="10:16">
      <c r="J659" s="5"/>
      <c r="L659">
        <f>RAVLT_Rec!M659</f>
        <v>0.54988741600000102</v>
      </c>
      <c r="M659">
        <f>RAVLT_Rec!N659</f>
        <v>65.3</v>
      </c>
      <c r="O659" t="e">
        <f>ABS(L659-RAVLT_Rec!$C$34)</f>
        <v>#REF!</v>
      </c>
      <c r="P659">
        <f t="shared" si="11"/>
        <v>65.3</v>
      </c>
    </row>
    <row r="660" spans="10:16">
      <c r="J660" s="5"/>
      <c r="L660">
        <f>RAVLT_Rec!M660</f>
        <v>0.56050791200000005</v>
      </c>
      <c r="M660">
        <f>RAVLT_Rec!N660</f>
        <v>65.400000000000006</v>
      </c>
      <c r="O660" t="e">
        <f>ABS(L660-RAVLT_Rec!$C$34)</f>
        <v>#REF!</v>
      </c>
      <c r="P660">
        <f t="shared" si="11"/>
        <v>65.400000000000006</v>
      </c>
    </row>
    <row r="661" spans="10:16">
      <c r="J661" s="5"/>
      <c r="L661">
        <f>RAVLT_Rec!M661</f>
        <v>0.57112484000000097</v>
      </c>
      <c r="M661">
        <f>RAVLT_Rec!N661</f>
        <v>65.5</v>
      </c>
      <c r="O661" t="e">
        <f>ABS(L661-RAVLT_Rec!$C$34)</f>
        <v>#REF!</v>
      </c>
      <c r="P661">
        <f t="shared" si="11"/>
        <v>65.5</v>
      </c>
    </row>
    <row r="662" spans="10:16">
      <c r="J662" s="5"/>
      <c r="L662">
        <f>RAVLT_Rec!M662</f>
        <v>0.57895700000000005</v>
      </c>
      <c r="M662">
        <f>RAVLT_Rec!N662</f>
        <v>65.599999999999994</v>
      </c>
      <c r="O662" t="e">
        <f>ABS(L662-RAVLT_Rec!$C$34)</f>
        <v>#REF!</v>
      </c>
      <c r="P662">
        <f t="shared" si="11"/>
        <v>65.599999999999994</v>
      </c>
    </row>
    <row r="663" spans="10:16">
      <c r="J663" s="5"/>
      <c r="L663">
        <f>RAVLT_Rec!M663</f>
        <v>0.57895700000000005</v>
      </c>
      <c r="M663">
        <f>RAVLT_Rec!N663</f>
        <v>65.7</v>
      </c>
      <c r="O663" t="e">
        <f>ABS(L663-RAVLT_Rec!$C$34)</f>
        <v>#REF!</v>
      </c>
      <c r="P663">
        <f t="shared" si="11"/>
        <v>65.7</v>
      </c>
    </row>
    <row r="664" spans="10:16">
      <c r="J664" s="5"/>
      <c r="L664">
        <f>RAVLT_Rec!M664</f>
        <v>0.57895700000000005</v>
      </c>
      <c r="M664">
        <f>RAVLT_Rec!N664</f>
        <v>65.8</v>
      </c>
      <c r="O664" t="e">
        <f>ABS(L664-RAVLT_Rec!$C$34)</f>
        <v>#REF!</v>
      </c>
      <c r="P664">
        <f t="shared" si="11"/>
        <v>65.8</v>
      </c>
    </row>
    <row r="665" spans="10:16">
      <c r="J665" s="5"/>
      <c r="L665">
        <f>RAVLT_Rec!M665</f>
        <v>0.57895700000000005</v>
      </c>
      <c r="M665">
        <f>RAVLT_Rec!N665</f>
        <v>65.900000000000006</v>
      </c>
      <c r="O665" t="e">
        <f>ABS(L665-RAVLT_Rec!$C$34)</f>
        <v>#REF!</v>
      </c>
      <c r="P665">
        <f t="shared" si="11"/>
        <v>65.900000000000006</v>
      </c>
    </row>
    <row r="666" spans="10:16">
      <c r="J666" s="5"/>
      <c r="L666">
        <f>RAVLT_Rec!M666</f>
        <v>0.57895700000000005</v>
      </c>
      <c r="M666">
        <f>RAVLT_Rec!N666</f>
        <v>66</v>
      </c>
      <c r="O666" t="e">
        <f>ABS(L666-RAVLT_Rec!$C$34)</f>
        <v>#REF!</v>
      </c>
      <c r="P666">
        <f t="shared" si="11"/>
        <v>66</v>
      </c>
    </row>
    <row r="667" spans="10:16">
      <c r="J667" s="5"/>
      <c r="L667">
        <f>RAVLT_Rec!M667</f>
        <v>0.57895700000000005</v>
      </c>
      <c r="M667">
        <f>RAVLT_Rec!N667</f>
        <v>66.099999999999994</v>
      </c>
      <c r="O667" t="e">
        <f>ABS(L667-RAVLT_Rec!$C$34)</f>
        <v>#REF!</v>
      </c>
      <c r="P667">
        <f t="shared" si="11"/>
        <v>66.099999999999994</v>
      </c>
    </row>
    <row r="668" spans="10:16">
      <c r="J668" s="5"/>
      <c r="L668">
        <f>RAVLT_Rec!M668</f>
        <v>0.57920987199999996</v>
      </c>
      <c r="M668">
        <f>RAVLT_Rec!N668</f>
        <v>66.2</v>
      </c>
      <c r="O668" t="e">
        <f>ABS(L668-RAVLT_Rec!$C$34)</f>
        <v>#REF!</v>
      </c>
      <c r="P668">
        <f t="shared" si="11"/>
        <v>66.2</v>
      </c>
    </row>
    <row r="669" spans="10:16">
      <c r="J669" s="5"/>
      <c r="L669">
        <f>RAVLT_Rec!M669</f>
        <v>0.57952682799999999</v>
      </c>
      <c r="M669">
        <f>RAVLT_Rec!N669</f>
        <v>66.3</v>
      </c>
      <c r="O669" t="e">
        <f>ABS(L669-RAVLT_Rec!$C$34)</f>
        <v>#REF!</v>
      </c>
      <c r="P669">
        <f t="shared" si="11"/>
        <v>66.3</v>
      </c>
    </row>
    <row r="670" spans="10:16">
      <c r="J670" s="5"/>
      <c r="L670">
        <f>RAVLT_Rec!M670</f>
        <v>0.58043456800000004</v>
      </c>
      <c r="M670">
        <f>RAVLT_Rec!N670</f>
        <v>66.400000000000006</v>
      </c>
      <c r="O670" t="e">
        <f>ABS(L670-RAVLT_Rec!$C$34)</f>
        <v>#REF!</v>
      </c>
      <c r="P670">
        <f t="shared" si="11"/>
        <v>66.400000000000006</v>
      </c>
    </row>
    <row r="671" spans="10:16">
      <c r="J671" s="5"/>
      <c r="L671">
        <f>RAVLT_Rec!M671</f>
        <v>0.58976097999999999</v>
      </c>
      <c r="M671">
        <f>RAVLT_Rec!N671</f>
        <v>66.5</v>
      </c>
      <c r="O671" t="e">
        <f>ABS(L671-RAVLT_Rec!$C$34)</f>
        <v>#REF!</v>
      </c>
      <c r="P671">
        <f t="shared" si="11"/>
        <v>66.5</v>
      </c>
    </row>
    <row r="672" spans="10:16">
      <c r="J672" s="5"/>
      <c r="L672">
        <f>RAVLT_Rec!M672</f>
        <v>0.59908739200000005</v>
      </c>
      <c r="M672">
        <f>RAVLT_Rec!N672</f>
        <v>66.599999999999994</v>
      </c>
      <c r="O672" t="e">
        <f>ABS(L672-RAVLT_Rec!$C$34)</f>
        <v>#REF!</v>
      </c>
      <c r="P672">
        <f t="shared" si="11"/>
        <v>66.599999999999994</v>
      </c>
    </row>
    <row r="673" spans="10:16">
      <c r="J673" s="5"/>
      <c r="L673">
        <f>RAVLT_Rec!M673</f>
        <v>0.60530499999999998</v>
      </c>
      <c r="M673">
        <f>RAVLT_Rec!N673</f>
        <v>66.7</v>
      </c>
      <c r="O673" t="e">
        <f>ABS(L673-RAVLT_Rec!$C$34)</f>
        <v>#REF!</v>
      </c>
      <c r="P673">
        <f t="shared" si="11"/>
        <v>66.7</v>
      </c>
    </row>
    <row r="674" spans="10:16">
      <c r="J674" s="5"/>
      <c r="L674">
        <f>RAVLT_Rec!M674</f>
        <v>0.60530499999999998</v>
      </c>
      <c r="M674">
        <f>RAVLT_Rec!N674</f>
        <v>66.8</v>
      </c>
      <c r="O674" t="e">
        <f>ABS(L674-RAVLT_Rec!$C$34)</f>
        <v>#REF!</v>
      </c>
      <c r="P674">
        <f t="shared" si="11"/>
        <v>66.8</v>
      </c>
    </row>
    <row r="675" spans="10:16">
      <c r="J675" s="5"/>
      <c r="L675">
        <f>RAVLT_Rec!M675</f>
        <v>0.60530499999999998</v>
      </c>
      <c r="M675">
        <f>RAVLT_Rec!N675</f>
        <v>66.900000000000006</v>
      </c>
      <c r="O675" t="e">
        <f>ABS(L675-RAVLT_Rec!$C$34)</f>
        <v>#REF!</v>
      </c>
      <c r="P675">
        <f t="shared" si="11"/>
        <v>66.900000000000006</v>
      </c>
    </row>
    <row r="676" spans="10:16">
      <c r="J676" s="5"/>
      <c r="L676">
        <f>RAVLT_Rec!M676</f>
        <v>0.610326060000001</v>
      </c>
      <c r="M676">
        <f>RAVLT_Rec!N676</f>
        <v>67</v>
      </c>
      <c r="O676" t="e">
        <f>ABS(L676-RAVLT_Rec!$C$34)</f>
        <v>#REF!</v>
      </c>
      <c r="P676">
        <f t="shared" si="11"/>
        <v>67</v>
      </c>
    </row>
    <row r="677" spans="10:16">
      <c r="J677" s="5"/>
      <c r="L677">
        <f>RAVLT_Rec!M677</f>
        <v>0.618679278</v>
      </c>
      <c r="M677">
        <f>RAVLT_Rec!N677</f>
        <v>67.099999999999994</v>
      </c>
      <c r="O677" t="e">
        <f>ABS(L677-RAVLT_Rec!$C$34)</f>
        <v>#REF!</v>
      </c>
      <c r="P677">
        <f t="shared" si="11"/>
        <v>67.099999999999994</v>
      </c>
    </row>
    <row r="678" spans="10:16">
      <c r="J678" s="5"/>
      <c r="L678">
        <f>RAVLT_Rec!M678</f>
        <v>0.62703249600000099</v>
      </c>
      <c r="M678">
        <f>RAVLT_Rec!N678</f>
        <v>67.2</v>
      </c>
      <c r="O678" t="e">
        <f>ABS(L678-RAVLT_Rec!$C$34)</f>
        <v>#REF!</v>
      </c>
      <c r="P678">
        <f t="shared" si="11"/>
        <v>67.2</v>
      </c>
    </row>
    <row r="679" spans="10:16">
      <c r="J679" s="5"/>
      <c r="L679">
        <f>RAVLT_Rec!M679</f>
        <v>0.62812800000000002</v>
      </c>
      <c r="M679">
        <f>RAVLT_Rec!N679</f>
        <v>67.3</v>
      </c>
      <c r="O679" t="e">
        <f>ABS(L679-RAVLT_Rec!$C$34)</f>
        <v>#REF!</v>
      </c>
      <c r="P679">
        <f t="shared" si="11"/>
        <v>67.3</v>
      </c>
    </row>
    <row r="680" spans="10:16">
      <c r="J680" s="5"/>
      <c r="L680">
        <f>RAVLT_Rec!M680</f>
        <v>0.62812800000000002</v>
      </c>
      <c r="M680">
        <f>RAVLT_Rec!N680</f>
        <v>67.400000000000006</v>
      </c>
      <c r="O680" t="e">
        <f>ABS(L680-RAVLT_Rec!$C$34)</f>
        <v>#REF!</v>
      </c>
      <c r="P680">
        <f t="shared" si="11"/>
        <v>67.400000000000006</v>
      </c>
    </row>
    <row r="681" spans="10:16">
      <c r="J681" s="5"/>
      <c r="L681">
        <f>RAVLT_Rec!M681</f>
        <v>0.62812800000000002</v>
      </c>
      <c r="M681">
        <f>RAVLT_Rec!N681</f>
        <v>67.5</v>
      </c>
      <c r="O681" t="e">
        <f>ABS(L681-RAVLT_Rec!$C$34)</f>
        <v>#REF!</v>
      </c>
      <c r="P681">
        <f t="shared" si="11"/>
        <v>67.5</v>
      </c>
    </row>
    <row r="682" spans="10:16">
      <c r="J682" s="5"/>
      <c r="L682">
        <f>RAVLT_Rec!M682</f>
        <v>0.62812800000000002</v>
      </c>
      <c r="M682">
        <f>RAVLT_Rec!N682</f>
        <v>67.599999999999994</v>
      </c>
      <c r="O682" t="e">
        <f>ABS(L682-RAVLT_Rec!$C$34)</f>
        <v>#REF!</v>
      </c>
      <c r="P682">
        <f t="shared" si="11"/>
        <v>67.599999999999994</v>
      </c>
    </row>
    <row r="683" spans="10:16">
      <c r="J683" s="5"/>
      <c r="L683">
        <f>RAVLT_Rec!M683</f>
        <v>0.62812800000000002</v>
      </c>
      <c r="M683">
        <f>RAVLT_Rec!N683</f>
        <v>67.7</v>
      </c>
      <c r="O683" t="e">
        <f>ABS(L683-RAVLT_Rec!$C$34)</f>
        <v>#REF!</v>
      </c>
      <c r="P683">
        <f t="shared" si="11"/>
        <v>67.7</v>
      </c>
    </row>
    <row r="684" spans="10:16">
      <c r="J684" s="5"/>
      <c r="L684">
        <f>RAVLT_Rec!M684</f>
        <v>0.63036753599999995</v>
      </c>
      <c r="M684">
        <f>RAVLT_Rec!N684</f>
        <v>67.8</v>
      </c>
      <c r="O684" t="e">
        <f>ABS(L684-RAVLT_Rec!$C$34)</f>
        <v>#REF!</v>
      </c>
      <c r="P684">
        <f t="shared" si="11"/>
        <v>67.8</v>
      </c>
    </row>
    <row r="685" spans="10:16">
      <c r="J685" s="5"/>
      <c r="L685">
        <f>RAVLT_Rec!M685</f>
        <v>0.63590584800000005</v>
      </c>
      <c r="M685">
        <f>RAVLT_Rec!N685</f>
        <v>67.900000000000006</v>
      </c>
      <c r="O685" t="e">
        <f>ABS(L685-RAVLT_Rec!$C$34)</f>
        <v>#REF!</v>
      </c>
      <c r="P685">
        <f t="shared" si="11"/>
        <v>67.900000000000006</v>
      </c>
    </row>
    <row r="686" spans="10:16">
      <c r="J686" s="5"/>
      <c r="L686">
        <f>RAVLT_Rec!M686</f>
        <v>0.64144416000000004</v>
      </c>
      <c r="M686">
        <f>RAVLT_Rec!N686</f>
        <v>68</v>
      </c>
      <c r="O686" t="e">
        <f>ABS(L686-RAVLT_Rec!$C$34)</f>
        <v>#REF!</v>
      </c>
      <c r="P686">
        <f t="shared" si="11"/>
        <v>68</v>
      </c>
    </row>
    <row r="687" spans="10:16">
      <c r="J687" s="5"/>
      <c r="L687">
        <f>RAVLT_Rec!M687</f>
        <v>0.64410181200000005</v>
      </c>
      <c r="M687">
        <f>RAVLT_Rec!N687</f>
        <v>68.099999999999994</v>
      </c>
      <c r="O687" t="e">
        <f>ABS(L687-RAVLT_Rec!$C$34)</f>
        <v>#REF!</v>
      </c>
      <c r="P687">
        <f t="shared" si="11"/>
        <v>68.099999999999994</v>
      </c>
    </row>
    <row r="688" spans="10:16">
      <c r="J688" s="5"/>
      <c r="L688">
        <f>RAVLT_Rec!M688</f>
        <v>0.64535426399999996</v>
      </c>
      <c r="M688">
        <f>RAVLT_Rec!N688</f>
        <v>68.2</v>
      </c>
      <c r="O688" t="e">
        <f>ABS(L688-RAVLT_Rec!$C$34)</f>
        <v>#REF!</v>
      </c>
      <c r="P688">
        <f t="shared" si="11"/>
        <v>68.2</v>
      </c>
    </row>
    <row r="689" spans="10:16">
      <c r="J689" s="5"/>
      <c r="L689">
        <f>RAVLT_Rec!M689</f>
        <v>0.64660671599999997</v>
      </c>
      <c r="M689">
        <f>RAVLT_Rec!N689</f>
        <v>68.3</v>
      </c>
      <c r="O689" t="e">
        <f>ABS(L689-RAVLT_Rec!$C$34)</f>
        <v>#REF!</v>
      </c>
      <c r="P689">
        <f t="shared" si="11"/>
        <v>68.3</v>
      </c>
    </row>
    <row r="690" spans="10:16">
      <c r="J690" s="5"/>
      <c r="L690">
        <f>RAVLT_Rec!M690</f>
        <v>0.64668199999999998</v>
      </c>
      <c r="M690">
        <f>RAVLT_Rec!N690</f>
        <v>68.400000000000006</v>
      </c>
      <c r="O690" t="e">
        <f>ABS(L690-RAVLT_Rec!$C$34)</f>
        <v>#REF!</v>
      </c>
      <c r="P690">
        <f t="shared" si="11"/>
        <v>68.400000000000006</v>
      </c>
    </row>
    <row r="691" spans="10:16">
      <c r="J691" s="5"/>
      <c r="L691">
        <f>RAVLT_Rec!M691</f>
        <v>0.64668199999999998</v>
      </c>
      <c r="M691">
        <f>RAVLT_Rec!N691</f>
        <v>68.5</v>
      </c>
      <c r="O691" t="e">
        <f>ABS(L691-RAVLT_Rec!$C$34)</f>
        <v>#REF!</v>
      </c>
      <c r="P691">
        <f t="shared" si="11"/>
        <v>68.5</v>
      </c>
    </row>
    <row r="692" spans="10:16">
      <c r="J692" s="5"/>
      <c r="L692">
        <f>RAVLT_Rec!M692</f>
        <v>0.64668199999999998</v>
      </c>
      <c r="M692">
        <f>RAVLT_Rec!N692</f>
        <v>68.599999999999994</v>
      </c>
      <c r="O692" t="e">
        <f>ABS(L692-RAVLT_Rec!$C$34)</f>
        <v>#REF!</v>
      </c>
      <c r="P692">
        <f t="shared" si="11"/>
        <v>68.599999999999994</v>
      </c>
    </row>
    <row r="693" spans="10:16">
      <c r="J693" s="5"/>
      <c r="L693">
        <f>RAVLT_Rec!M693</f>
        <v>0.64668199999999998</v>
      </c>
      <c r="M693">
        <f>RAVLT_Rec!N693</f>
        <v>68.7</v>
      </c>
      <c r="O693" t="e">
        <f>ABS(L693-RAVLT_Rec!$C$34)</f>
        <v>#REF!</v>
      </c>
      <c r="P693">
        <f t="shared" si="11"/>
        <v>68.7</v>
      </c>
    </row>
    <row r="694" spans="10:16">
      <c r="J694" s="5"/>
      <c r="L694">
        <f>RAVLT_Rec!M694</f>
        <v>0.64668199999999998</v>
      </c>
      <c r="M694">
        <f>RAVLT_Rec!N694</f>
        <v>68.8</v>
      </c>
      <c r="O694" t="e">
        <f>ABS(L694-RAVLT_Rec!$C$34)</f>
        <v>#REF!</v>
      </c>
      <c r="P694">
        <f t="shared" si="11"/>
        <v>68.8</v>
      </c>
    </row>
    <row r="695" spans="10:16">
      <c r="J695" s="5"/>
      <c r="L695">
        <f>RAVLT_Rec!M695</f>
        <v>0.64668199999999998</v>
      </c>
      <c r="M695">
        <f>RAVLT_Rec!N695</f>
        <v>68.900000000000006</v>
      </c>
      <c r="O695" t="e">
        <f>ABS(L695-RAVLT_Rec!$C$34)</f>
        <v>#REF!</v>
      </c>
      <c r="P695">
        <f t="shared" si="11"/>
        <v>68.900000000000006</v>
      </c>
    </row>
    <row r="696" spans="10:16">
      <c r="J696" s="5"/>
      <c r="L696">
        <f>RAVLT_Rec!M696</f>
        <v>0.64668199999999998</v>
      </c>
      <c r="M696">
        <f>RAVLT_Rec!N696</f>
        <v>69</v>
      </c>
      <c r="O696" t="e">
        <f>ABS(L696-RAVLT_Rec!$C$34)</f>
        <v>#REF!</v>
      </c>
      <c r="P696">
        <f t="shared" si="11"/>
        <v>69</v>
      </c>
    </row>
    <row r="697" spans="10:16">
      <c r="J697" s="5"/>
      <c r="L697">
        <f>RAVLT_Rec!M697</f>
        <v>0.64668199999999998</v>
      </c>
      <c r="M697">
        <f>RAVLT_Rec!N697</f>
        <v>69.099999999999994</v>
      </c>
      <c r="O697" t="e">
        <f>ABS(L697-RAVLT_Rec!$C$34)</f>
        <v>#REF!</v>
      </c>
      <c r="P697">
        <f t="shared" si="11"/>
        <v>69.099999999999994</v>
      </c>
    </row>
    <row r="698" spans="10:16">
      <c r="J698" s="5"/>
      <c r="L698">
        <f>RAVLT_Rec!M698</f>
        <v>0.64668199999999998</v>
      </c>
      <c r="M698">
        <f>RAVLT_Rec!N698</f>
        <v>69.2</v>
      </c>
      <c r="O698" t="e">
        <f>ABS(L698-RAVLT_Rec!$C$34)</f>
        <v>#REF!</v>
      </c>
      <c r="P698">
        <f t="shared" si="11"/>
        <v>69.2</v>
      </c>
    </row>
    <row r="699" spans="10:16">
      <c r="J699" s="5"/>
      <c r="L699">
        <f>RAVLT_Rec!M699</f>
        <v>0.64668199999999998</v>
      </c>
      <c r="M699">
        <f>RAVLT_Rec!N699</f>
        <v>69.3</v>
      </c>
      <c r="O699" t="e">
        <f>ABS(L699-RAVLT_Rec!$C$34)</f>
        <v>#REF!</v>
      </c>
      <c r="P699">
        <f t="shared" si="11"/>
        <v>69.3</v>
      </c>
    </row>
    <row r="700" spans="10:16">
      <c r="J700" s="5"/>
      <c r="L700">
        <f>RAVLT_Rec!M700</f>
        <v>0.64668519999999996</v>
      </c>
      <c r="M700">
        <f>RAVLT_Rec!N700</f>
        <v>69.400000000000006</v>
      </c>
      <c r="O700" t="e">
        <f>ABS(L700-RAVLT_Rec!$C$34)</f>
        <v>#REF!</v>
      </c>
      <c r="P700">
        <f t="shared" si="11"/>
        <v>69.400000000000006</v>
      </c>
    </row>
    <row r="701" spans="10:16">
      <c r="J701" s="5"/>
      <c r="L701">
        <f>RAVLT_Rec!M701</f>
        <v>0.64697800000000005</v>
      </c>
      <c r="M701">
        <f>RAVLT_Rec!N701</f>
        <v>69.5</v>
      </c>
      <c r="O701" t="e">
        <f>ABS(L701-RAVLT_Rec!$C$34)</f>
        <v>#REF!</v>
      </c>
      <c r="P701">
        <f t="shared" si="11"/>
        <v>69.5</v>
      </c>
    </row>
    <row r="702" spans="10:16">
      <c r="J702" s="5"/>
      <c r="L702">
        <f>RAVLT_Rec!M702</f>
        <v>0.64727080000000004</v>
      </c>
      <c r="M702">
        <f>RAVLT_Rec!N702</f>
        <v>69.599999999999994</v>
      </c>
      <c r="O702" t="e">
        <f>ABS(L702-RAVLT_Rec!$C$34)</f>
        <v>#REF!</v>
      </c>
      <c r="P702">
        <f t="shared" si="11"/>
        <v>69.599999999999994</v>
      </c>
    </row>
    <row r="703" spans="10:16">
      <c r="J703" s="5"/>
      <c r="L703">
        <f>RAVLT_Rec!M703</f>
        <v>0.64880310399999996</v>
      </c>
      <c r="M703">
        <f>RAVLT_Rec!N703</f>
        <v>69.7</v>
      </c>
      <c r="O703" t="e">
        <f>ABS(L703-RAVLT_Rec!$C$34)</f>
        <v>#REF!</v>
      </c>
      <c r="P703">
        <f t="shared" si="11"/>
        <v>69.7</v>
      </c>
    </row>
    <row r="704" spans="10:16">
      <c r="J704" s="5"/>
      <c r="L704">
        <f>RAVLT_Rec!M704</f>
        <v>0.65354353600000004</v>
      </c>
      <c r="M704">
        <f>RAVLT_Rec!N704</f>
        <v>69.8</v>
      </c>
      <c r="O704" t="e">
        <f>ABS(L704-RAVLT_Rec!$C$34)</f>
        <v>#REF!</v>
      </c>
      <c r="P704">
        <f t="shared" si="11"/>
        <v>69.8</v>
      </c>
    </row>
    <row r="705" spans="10:16">
      <c r="J705" s="5"/>
      <c r="L705">
        <f>RAVLT_Rec!M705</f>
        <v>0.658283968000001</v>
      </c>
      <c r="M705">
        <f>RAVLT_Rec!N705</f>
        <v>69.900000000000006</v>
      </c>
      <c r="O705" t="e">
        <f>ABS(L705-RAVLT_Rec!$C$34)</f>
        <v>#REF!</v>
      </c>
      <c r="P705">
        <f t="shared" si="11"/>
        <v>69.900000000000006</v>
      </c>
    </row>
    <row r="706" spans="10:16">
      <c r="J706" s="5"/>
      <c r="L706">
        <f>RAVLT_Rec!M706</f>
        <v>0.66043399999999997</v>
      </c>
      <c r="M706">
        <f>RAVLT_Rec!N706</f>
        <v>70</v>
      </c>
      <c r="O706" t="e">
        <f>ABS(L706-RAVLT_Rec!$C$34)</f>
        <v>#REF!</v>
      </c>
      <c r="P706">
        <f t="shared" si="11"/>
        <v>70</v>
      </c>
    </row>
    <row r="707" spans="10:16">
      <c r="J707" s="5"/>
      <c r="L707">
        <f>RAVLT_Rec!M707</f>
        <v>0.66043399999999997</v>
      </c>
      <c r="M707">
        <f>RAVLT_Rec!N707</f>
        <v>70.099999999999994</v>
      </c>
      <c r="O707" t="e">
        <f>ABS(L707-RAVLT_Rec!$C$34)</f>
        <v>#REF!</v>
      </c>
      <c r="P707">
        <f t="shared" si="11"/>
        <v>70.099999999999994</v>
      </c>
    </row>
    <row r="708" spans="10:16">
      <c r="J708" s="5"/>
      <c r="L708">
        <f>RAVLT_Rec!M708</f>
        <v>0.66043399999999997</v>
      </c>
      <c r="M708">
        <f>RAVLT_Rec!N708</f>
        <v>70.2</v>
      </c>
      <c r="O708" t="e">
        <f>ABS(L708-RAVLT_Rec!$C$34)</f>
        <v>#REF!</v>
      </c>
      <c r="P708">
        <f t="shared" si="11"/>
        <v>70.2</v>
      </c>
    </row>
    <row r="709" spans="10:16">
      <c r="J709" s="5"/>
      <c r="L709">
        <f>RAVLT_Rec!M709</f>
        <v>0.66043399999999997</v>
      </c>
      <c r="M709">
        <f>RAVLT_Rec!N709</f>
        <v>70.3</v>
      </c>
      <c r="O709" t="e">
        <f>ABS(L709-RAVLT_Rec!$C$34)</f>
        <v>#REF!</v>
      </c>
      <c r="P709">
        <f t="shared" si="11"/>
        <v>70.3</v>
      </c>
    </row>
    <row r="710" spans="10:16">
      <c r="J710" s="5"/>
      <c r="L710">
        <f>RAVLT_Rec!M710</f>
        <v>0.66043399999999997</v>
      </c>
      <c r="M710">
        <f>RAVLT_Rec!N710</f>
        <v>70.400000000000006</v>
      </c>
      <c r="O710" t="e">
        <f>ABS(L710-RAVLT_Rec!$C$34)</f>
        <v>#REF!</v>
      </c>
      <c r="P710">
        <f t="shared" si="11"/>
        <v>70.400000000000006</v>
      </c>
    </row>
    <row r="711" spans="10:16">
      <c r="J711" s="5"/>
      <c r="L711">
        <f>RAVLT_Rec!M711</f>
        <v>0.66043399999999997</v>
      </c>
      <c r="M711">
        <f>RAVLT_Rec!N711</f>
        <v>70.5</v>
      </c>
      <c r="O711" t="e">
        <f>ABS(L711-RAVLT_Rec!$C$34)</f>
        <v>#REF!</v>
      </c>
      <c r="P711">
        <f t="shared" ref="P711:P774" si="12">M711</f>
        <v>70.5</v>
      </c>
    </row>
    <row r="712" spans="10:16">
      <c r="J712" s="5"/>
      <c r="L712">
        <f>RAVLT_Rec!M712</f>
        <v>0.66043399999999997</v>
      </c>
      <c r="M712">
        <f>RAVLT_Rec!N712</f>
        <v>70.599999999999994</v>
      </c>
      <c r="O712" t="e">
        <f>ABS(L712-RAVLT_Rec!$C$34)</f>
        <v>#REF!</v>
      </c>
      <c r="P712">
        <f t="shared" si="12"/>
        <v>70.599999999999994</v>
      </c>
    </row>
    <row r="713" spans="10:16">
      <c r="J713" s="5"/>
      <c r="L713">
        <f>RAVLT_Rec!M713</f>
        <v>0.66043399999999997</v>
      </c>
      <c r="M713">
        <f>RAVLT_Rec!N713</f>
        <v>70.7</v>
      </c>
      <c r="O713" t="e">
        <f>ABS(L713-RAVLT_Rec!$C$34)</f>
        <v>#REF!</v>
      </c>
      <c r="P713">
        <f t="shared" si="12"/>
        <v>70.7</v>
      </c>
    </row>
    <row r="714" spans="10:16">
      <c r="J714" s="5"/>
      <c r="L714">
        <f>RAVLT_Rec!M714</f>
        <v>0.66121799999999997</v>
      </c>
      <c r="M714">
        <f>RAVLT_Rec!N714</f>
        <v>70.8</v>
      </c>
      <c r="O714" t="e">
        <f>ABS(L714-RAVLT_Rec!$C$34)</f>
        <v>#REF!</v>
      </c>
      <c r="P714">
        <f t="shared" si="12"/>
        <v>70.8</v>
      </c>
    </row>
    <row r="715" spans="10:16">
      <c r="J715" s="5"/>
      <c r="L715">
        <f>RAVLT_Rec!M715</f>
        <v>0.66345975000000001</v>
      </c>
      <c r="M715">
        <f>RAVLT_Rec!N715</f>
        <v>70.900000000000006</v>
      </c>
      <c r="O715" t="e">
        <f>ABS(L715-RAVLT_Rec!$C$34)</f>
        <v>#REF!</v>
      </c>
      <c r="P715">
        <f t="shared" si="12"/>
        <v>70.900000000000006</v>
      </c>
    </row>
    <row r="716" spans="10:16">
      <c r="J716" s="5"/>
      <c r="L716">
        <f>RAVLT_Rec!M716</f>
        <v>0.66570149999999995</v>
      </c>
      <c r="M716">
        <f>RAVLT_Rec!N716</f>
        <v>71</v>
      </c>
      <c r="O716" t="e">
        <f>ABS(L716-RAVLT_Rec!$C$34)</f>
        <v>#REF!</v>
      </c>
      <c r="P716">
        <f t="shared" si="12"/>
        <v>71</v>
      </c>
    </row>
    <row r="717" spans="10:16">
      <c r="J717" s="5"/>
      <c r="L717">
        <f>RAVLT_Rec!M717</f>
        <v>0.66655900000000001</v>
      </c>
      <c r="M717">
        <f>RAVLT_Rec!N717</f>
        <v>71.099999999999994</v>
      </c>
      <c r="O717" t="e">
        <f>ABS(L717-RAVLT_Rec!$C$34)</f>
        <v>#REF!</v>
      </c>
      <c r="P717">
        <f t="shared" si="12"/>
        <v>71.099999999999994</v>
      </c>
    </row>
    <row r="718" spans="10:16">
      <c r="J718" s="5"/>
      <c r="L718">
        <f>RAVLT_Rec!M718</f>
        <v>0.66655900000000001</v>
      </c>
      <c r="M718">
        <f>RAVLT_Rec!N718</f>
        <v>71.2</v>
      </c>
      <c r="O718" t="e">
        <f>ABS(L718-RAVLT_Rec!$C$34)</f>
        <v>#REF!</v>
      </c>
      <c r="P718">
        <f t="shared" si="12"/>
        <v>71.2</v>
      </c>
    </row>
    <row r="719" spans="10:16">
      <c r="J719" s="5"/>
      <c r="L719">
        <f>RAVLT_Rec!M719</f>
        <v>0.66655900000000001</v>
      </c>
      <c r="M719">
        <f>RAVLT_Rec!N719</f>
        <v>71.3</v>
      </c>
      <c r="O719" t="e">
        <f>ABS(L719-RAVLT_Rec!$C$34)</f>
        <v>#REF!</v>
      </c>
      <c r="P719">
        <f t="shared" si="12"/>
        <v>71.3</v>
      </c>
    </row>
    <row r="720" spans="10:16">
      <c r="J720" s="5"/>
      <c r="L720">
        <f>RAVLT_Rec!M720</f>
        <v>0.66739556799999999</v>
      </c>
      <c r="M720">
        <f>RAVLT_Rec!N720</f>
        <v>71.400000000000006</v>
      </c>
      <c r="O720" t="e">
        <f>ABS(L720-RAVLT_Rec!$C$34)</f>
        <v>#REF!</v>
      </c>
      <c r="P720">
        <f t="shared" si="12"/>
        <v>71.400000000000006</v>
      </c>
    </row>
    <row r="721" spans="10:16">
      <c r="J721" s="5"/>
      <c r="L721">
        <f>RAVLT_Rec!M721</f>
        <v>0.66834057999999996</v>
      </c>
      <c r="M721">
        <f>RAVLT_Rec!N721</f>
        <v>71.5</v>
      </c>
      <c r="O721" t="e">
        <f>ABS(L721-RAVLT_Rec!$C$34)</f>
        <v>#REF!</v>
      </c>
      <c r="P721">
        <f t="shared" si="12"/>
        <v>71.5</v>
      </c>
    </row>
    <row r="722" spans="10:16">
      <c r="J722" s="5"/>
      <c r="L722">
        <f>RAVLT_Rec!M722</f>
        <v>0.66914099999999999</v>
      </c>
      <c r="M722">
        <f>RAVLT_Rec!N722</f>
        <v>71.599999999999994</v>
      </c>
      <c r="O722" t="e">
        <f>ABS(L722-RAVLT_Rec!$C$34)</f>
        <v>#REF!</v>
      </c>
      <c r="P722">
        <f t="shared" si="12"/>
        <v>71.599999999999994</v>
      </c>
    </row>
    <row r="723" spans="10:16">
      <c r="J723" s="5"/>
      <c r="L723">
        <f>RAVLT_Rec!M723</f>
        <v>0.66914099999999999</v>
      </c>
      <c r="M723">
        <f>RAVLT_Rec!N723</f>
        <v>71.7</v>
      </c>
      <c r="O723" t="e">
        <f>ABS(L723-RAVLT_Rec!$C$34)</f>
        <v>#REF!</v>
      </c>
      <c r="P723">
        <f t="shared" si="12"/>
        <v>71.7</v>
      </c>
    </row>
    <row r="724" spans="10:16">
      <c r="J724" s="5"/>
      <c r="L724">
        <f>RAVLT_Rec!M724</f>
        <v>0.66914099999999999</v>
      </c>
      <c r="M724">
        <f>RAVLT_Rec!N724</f>
        <v>71.8</v>
      </c>
      <c r="O724" t="e">
        <f>ABS(L724-RAVLT_Rec!$C$34)</f>
        <v>#REF!</v>
      </c>
      <c r="P724">
        <f t="shared" si="12"/>
        <v>71.8</v>
      </c>
    </row>
    <row r="725" spans="10:16">
      <c r="J725" s="5"/>
      <c r="L725">
        <f>RAVLT_Rec!M725</f>
        <v>0.66914099999999999</v>
      </c>
      <c r="M725">
        <f>RAVLT_Rec!N725</f>
        <v>71.900000000000006</v>
      </c>
      <c r="O725" t="e">
        <f>ABS(L725-RAVLT_Rec!$C$34)</f>
        <v>#REF!</v>
      </c>
      <c r="P725">
        <f t="shared" si="12"/>
        <v>71.900000000000006</v>
      </c>
    </row>
    <row r="726" spans="10:16">
      <c r="J726" s="5"/>
      <c r="L726">
        <f>RAVLT_Rec!M726</f>
        <v>0.66914099999999999</v>
      </c>
      <c r="M726">
        <f>RAVLT_Rec!N726</f>
        <v>72</v>
      </c>
      <c r="O726" t="e">
        <f>ABS(L726-RAVLT_Rec!$C$34)</f>
        <v>#REF!</v>
      </c>
      <c r="P726">
        <f t="shared" si="12"/>
        <v>72</v>
      </c>
    </row>
    <row r="727" spans="10:16">
      <c r="J727" s="5"/>
      <c r="L727">
        <f>RAVLT_Rec!M727</f>
        <v>0.66914099999999999</v>
      </c>
      <c r="M727">
        <f>RAVLT_Rec!N727</f>
        <v>72.099999999999994</v>
      </c>
      <c r="O727" t="e">
        <f>ABS(L727-RAVLT_Rec!$C$34)</f>
        <v>#REF!</v>
      </c>
      <c r="P727">
        <f t="shared" si="12"/>
        <v>72.099999999999994</v>
      </c>
    </row>
    <row r="728" spans="10:16">
      <c r="J728" s="5"/>
      <c r="L728">
        <f>RAVLT_Rec!M728</f>
        <v>0.66914099999999999</v>
      </c>
      <c r="M728">
        <f>RAVLT_Rec!N728</f>
        <v>72.2</v>
      </c>
      <c r="O728" t="e">
        <f>ABS(L728-RAVLT_Rec!$C$34)</f>
        <v>#REF!</v>
      </c>
      <c r="P728">
        <f t="shared" si="12"/>
        <v>72.2</v>
      </c>
    </row>
    <row r="729" spans="10:16">
      <c r="J729" s="5"/>
      <c r="L729">
        <f>RAVLT_Rec!M729</f>
        <v>0.66914099999999999</v>
      </c>
      <c r="M729">
        <f>RAVLT_Rec!N729</f>
        <v>72.3</v>
      </c>
      <c r="O729" t="e">
        <f>ABS(L729-RAVLT_Rec!$C$34)</f>
        <v>#REF!</v>
      </c>
      <c r="P729">
        <f t="shared" si="12"/>
        <v>72.3</v>
      </c>
    </row>
    <row r="730" spans="10:16">
      <c r="J730" s="5"/>
      <c r="L730">
        <f>RAVLT_Rec!M730</f>
        <v>0.66914099999999999</v>
      </c>
      <c r="M730">
        <f>RAVLT_Rec!N730</f>
        <v>72.400000000000006</v>
      </c>
      <c r="O730" t="e">
        <f>ABS(L730-RAVLT_Rec!$C$34)</f>
        <v>#REF!</v>
      </c>
      <c r="P730">
        <f t="shared" si="12"/>
        <v>72.400000000000006</v>
      </c>
    </row>
    <row r="731" spans="10:16">
      <c r="J731" s="5"/>
      <c r="L731">
        <f>RAVLT_Rec!M731</f>
        <v>0.66914099999999999</v>
      </c>
      <c r="M731">
        <f>RAVLT_Rec!N731</f>
        <v>72.5</v>
      </c>
      <c r="O731" t="e">
        <f>ABS(L731-RAVLT_Rec!$C$34)</f>
        <v>#REF!</v>
      </c>
      <c r="P731">
        <f t="shared" si="12"/>
        <v>72.5</v>
      </c>
    </row>
    <row r="732" spans="10:16">
      <c r="J732" s="5"/>
      <c r="L732">
        <f>RAVLT_Rec!M732</f>
        <v>0.66914099999999999</v>
      </c>
      <c r="M732">
        <f>RAVLT_Rec!N732</f>
        <v>72.599999999999994</v>
      </c>
      <c r="O732" t="e">
        <f>ABS(L732-RAVLT_Rec!$C$34)</f>
        <v>#REF!</v>
      </c>
      <c r="P732">
        <f t="shared" si="12"/>
        <v>72.599999999999994</v>
      </c>
    </row>
    <row r="733" spans="10:16">
      <c r="J733" s="5"/>
      <c r="L733">
        <f>RAVLT_Rec!M733</f>
        <v>0.66937150199999995</v>
      </c>
      <c r="M733">
        <f>RAVLT_Rec!N733</f>
        <v>72.7</v>
      </c>
      <c r="O733" t="e">
        <f>ABS(L733-RAVLT_Rec!$C$34)</f>
        <v>#REF!</v>
      </c>
      <c r="P733">
        <f t="shared" si="12"/>
        <v>72.7</v>
      </c>
    </row>
    <row r="734" spans="10:16">
      <c r="J734" s="5"/>
      <c r="L734">
        <f>RAVLT_Rec!M734</f>
        <v>0.67040032800000005</v>
      </c>
      <c r="M734">
        <f>RAVLT_Rec!N734</f>
        <v>72.8</v>
      </c>
      <c r="O734" t="e">
        <f>ABS(L734-RAVLT_Rec!$C$34)</f>
        <v>#REF!</v>
      </c>
      <c r="P734">
        <f t="shared" si="12"/>
        <v>72.8</v>
      </c>
    </row>
    <row r="735" spans="10:16">
      <c r="J735" s="5"/>
      <c r="L735">
        <f>RAVLT_Rec!M735</f>
        <v>0.67142915400000003</v>
      </c>
      <c r="M735">
        <f>RAVLT_Rec!N735</f>
        <v>72.900000000000006</v>
      </c>
      <c r="O735" t="e">
        <f>ABS(L735-RAVLT_Rec!$C$34)</f>
        <v>#REF!</v>
      </c>
      <c r="P735">
        <f t="shared" si="12"/>
        <v>72.900000000000006</v>
      </c>
    </row>
    <row r="736" spans="10:16">
      <c r="J736" s="5"/>
      <c r="L736">
        <f>RAVLT_Rec!M736</f>
        <v>0.67195199999999999</v>
      </c>
      <c r="M736">
        <f>RAVLT_Rec!N736</f>
        <v>73</v>
      </c>
      <c r="O736" t="e">
        <f>ABS(L736-RAVLT_Rec!$C$34)</f>
        <v>#REF!</v>
      </c>
      <c r="P736">
        <f t="shared" si="12"/>
        <v>73</v>
      </c>
    </row>
    <row r="737" spans="10:16">
      <c r="J737" s="5"/>
      <c r="L737">
        <f>RAVLT_Rec!M737</f>
        <v>0.67195199999999999</v>
      </c>
      <c r="M737">
        <f>RAVLT_Rec!N737</f>
        <v>73.099999999999994</v>
      </c>
      <c r="O737" t="e">
        <f>ABS(L737-RAVLT_Rec!$C$34)</f>
        <v>#REF!</v>
      </c>
      <c r="P737">
        <f t="shared" si="12"/>
        <v>73.099999999999994</v>
      </c>
    </row>
    <row r="738" spans="10:16">
      <c r="J738" s="5"/>
      <c r="L738">
        <f>RAVLT_Rec!M738</f>
        <v>0.67195199999999999</v>
      </c>
      <c r="M738">
        <f>RAVLT_Rec!N738</f>
        <v>73.2</v>
      </c>
      <c r="O738" t="e">
        <f>ABS(L738-RAVLT_Rec!$C$34)</f>
        <v>#REF!</v>
      </c>
      <c r="P738">
        <f t="shared" si="12"/>
        <v>73.2</v>
      </c>
    </row>
    <row r="739" spans="10:16">
      <c r="J739" s="5"/>
      <c r="L739">
        <f>RAVLT_Rec!M739</f>
        <v>0.67195199999999999</v>
      </c>
      <c r="M739">
        <f>RAVLT_Rec!N739</f>
        <v>73.3</v>
      </c>
      <c r="O739" t="e">
        <f>ABS(L739-RAVLT_Rec!$C$34)</f>
        <v>#REF!</v>
      </c>
      <c r="P739">
        <f t="shared" si="12"/>
        <v>73.3</v>
      </c>
    </row>
    <row r="740" spans="10:16">
      <c r="J740" s="5"/>
      <c r="L740">
        <f>RAVLT_Rec!M740</f>
        <v>0.67195199999999999</v>
      </c>
      <c r="M740">
        <f>RAVLT_Rec!N740</f>
        <v>73.400000000000006</v>
      </c>
      <c r="O740" t="e">
        <f>ABS(L740-RAVLT_Rec!$C$34)</f>
        <v>#REF!</v>
      </c>
      <c r="P740">
        <f t="shared" si="12"/>
        <v>73.400000000000006</v>
      </c>
    </row>
    <row r="741" spans="10:16">
      <c r="J741" s="5"/>
      <c r="L741">
        <f>RAVLT_Rec!M741</f>
        <v>0.67196113000000002</v>
      </c>
      <c r="M741">
        <f>RAVLT_Rec!N741</f>
        <v>73.5</v>
      </c>
      <c r="O741" t="e">
        <f>ABS(L741-RAVLT_Rec!$C$34)</f>
        <v>#REF!</v>
      </c>
      <c r="P741">
        <f t="shared" si="12"/>
        <v>73.5</v>
      </c>
    </row>
    <row r="742" spans="10:16">
      <c r="J742" s="5"/>
      <c r="L742">
        <f>RAVLT_Rec!M742</f>
        <v>0.67229528800000005</v>
      </c>
      <c r="M742">
        <f>RAVLT_Rec!N742</f>
        <v>73.599999999999994</v>
      </c>
      <c r="O742" t="e">
        <f>ABS(L742-RAVLT_Rec!$C$34)</f>
        <v>#REF!</v>
      </c>
      <c r="P742">
        <f t="shared" si="12"/>
        <v>73.599999999999994</v>
      </c>
    </row>
    <row r="743" spans="10:16">
      <c r="J743" s="5"/>
      <c r="L743">
        <f>RAVLT_Rec!M743</f>
        <v>0.67262944599999996</v>
      </c>
      <c r="M743">
        <f>RAVLT_Rec!N743</f>
        <v>73.7</v>
      </c>
      <c r="O743" t="e">
        <f>ABS(L743-RAVLT_Rec!$C$34)</f>
        <v>#REF!</v>
      </c>
      <c r="P743">
        <f t="shared" si="12"/>
        <v>73.7</v>
      </c>
    </row>
    <row r="744" spans="10:16">
      <c r="J744" s="5"/>
      <c r="L744">
        <f>RAVLT_Rec!M744</f>
        <v>0.67286500000000005</v>
      </c>
      <c r="M744">
        <f>RAVLT_Rec!N744</f>
        <v>73.8</v>
      </c>
      <c r="O744" t="e">
        <f>ABS(L744-RAVLT_Rec!$C$34)</f>
        <v>#REF!</v>
      </c>
      <c r="P744">
        <f t="shared" si="12"/>
        <v>73.8</v>
      </c>
    </row>
    <row r="745" spans="10:16">
      <c r="J745" s="5"/>
      <c r="L745">
        <f>RAVLT_Rec!M745</f>
        <v>0.67286500000000005</v>
      </c>
      <c r="M745">
        <f>RAVLT_Rec!N745</f>
        <v>73.900000000000006</v>
      </c>
      <c r="O745" t="e">
        <f>ABS(L745-RAVLT_Rec!$C$34)</f>
        <v>#REF!</v>
      </c>
      <c r="P745">
        <f t="shared" si="12"/>
        <v>73.900000000000006</v>
      </c>
    </row>
    <row r="746" spans="10:16">
      <c r="J746" s="5"/>
      <c r="L746">
        <f>RAVLT_Rec!M746</f>
        <v>0.67286500000000005</v>
      </c>
      <c r="M746">
        <f>RAVLT_Rec!N746</f>
        <v>74</v>
      </c>
      <c r="O746" t="e">
        <f>ABS(L746-RAVLT_Rec!$C$34)</f>
        <v>#REF!</v>
      </c>
      <c r="P746">
        <f t="shared" si="12"/>
        <v>74</v>
      </c>
    </row>
    <row r="747" spans="10:16">
      <c r="J747" s="5"/>
      <c r="L747">
        <f>RAVLT_Rec!M747</f>
        <v>0.67689827400000002</v>
      </c>
      <c r="M747">
        <f>RAVLT_Rec!N747</f>
        <v>74.099999999999994</v>
      </c>
      <c r="O747" t="e">
        <f>ABS(L747-RAVLT_Rec!$C$34)</f>
        <v>#REF!</v>
      </c>
      <c r="P747">
        <f t="shared" si="12"/>
        <v>74.099999999999994</v>
      </c>
    </row>
    <row r="748" spans="10:16">
      <c r="J748" s="5"/>
      <c r="L748">
        <f>RAVLT_Rec!M748</f>
        <v>0.68406418800000002</v>
      </c>
      <c r="M748">
        <f>RAVLT_Rec!N748</f>
        <v>74.2</v>
      </c>
      <c r="O748" t="e">
        <f>ABS(L748-RAVLT_Rec!$C$34)</f>
        <v>#REF!</v>
      </c>
      <c r="P748">
        <f t="shared" si="12"/>
        <v>74.2</v>
      </c>
    </row>
    <row r="749" spans="10:16">
      <c r="J749" s="5"/>
      <c r="L749">
        <f>RAVLT_Rec!M749</f>
        <v>0.69123010200000001</v>
      </c>
      <c r="M749">
        <f>RAVLT_Rec!N749</f>
        <v>74.3</v>
      </c>
      <c r="O749" t="e">
        <f>ABS(L749-RAVLT_Rec!$C$34)</f>
        <v>#REF!</v>
      </c>
      <c r="P749">
        <f t="shared" si="12"/>
        <v>74.3</v>
      </c>
    </row>
    <row r="750" spans="10:16">
      <c r="J750" s="5"/>
      <c r="L750">
        <f>RAVLT_Rec!M750</f>
        <v>0.69244399999999995</v>
      </c>
      <c r="M750">
        <f>RAVLT_Rec!N750</f>
        <v>74.400000000000006</v>
      </c>
      <c r="O750" t="e">
        <f>ABS(L750-RAVLT_Rec!$C$34)</f>
        <v>#REF!</v>
      </c>
      <c r="P750">
        <f t="shared" si="12"/>
        <v>74.400000000000006</v>
      </c>
    </row>
    <row r="751" spans="10:16">
      <c r="J751" s="5"/>
      <c r="L751">
        <f>RAVLT_Rec!M751</f>
        <v>0.69244399999999995</v>
      </c>
      <c r="M751">
        <f>RAVLT_Rec!N751</f>
        <v>74.5</v>
      </c>
      <c r="O751" t="e">
        <f>ABS(L751-RAVLT_Rec!$C$34)</f>
        <v>#REF!</v>
      </c>
      <c r="P751">
        <f t="shared" si="12"/>
        <v>74.5</v>
      </c>
    </row>
    <row r="752" spans="10:16">
      <c r="J752" s="5"/>
      <c r="L752">
        <f>RAVLT_Rec!M752</f>
        <v>0.69346481599999998</v>
      </c>
      <c r="M752">
        <f>RAVLT_Rec!N752</f>
        <v>74.599999999999994</v>
      </c>
      <c r="O752" t="e">
        <f>ABS(L752-RAVLT_Rec!$C$34)</f>
        <v>#REF!</v>
      </c>
      <c r="P752">
        <f t="shared" si="12"/>
        <v>74.599999999999994</v>
      </c>
    </row>
    <row r="753" spans="10:16">
      <c r="J753" s="5"/>
      <c r="L753">
        <f>RAVLT_Rec!M753</f>
        <v>0.70384311200000005</v>
      </c>
      <c r="M753">
        <f>RAVLT_Rec!N753</f>
        <v>74.7</v>
      </c>
      <c r="O753" t="e">
        <f>ABS(L753-RAVLT_Rec!$C$34)</f>
        <v>#REF!</v>
      </c>
      <c r="P753">
        <f t="shared" si="12"/>
        <v>74.7</v>
      </c>
    </row>
    <row r="754" spans="10:16">
      <c r="J754" s="5"/>
      <c r="L754">
        <f>RAVLT_Rec!M754</f>
        <v>0.714221407999999</v>
      </c>
      <c r="M754">
        <f>RAVLT_Rec!N754</f>
        <v>74.8</v>
      </c>
      <c r="O754" t="e">
        <f>ABS(L754-RAVLT_Rec!$C$34)</f>
        <v>#REF!</v>
      </c>
      <c r="P754">
        <f t="shared" si="12"/>
        <v>74.8</v>
      </c>
    </row>
    <row r="755" spans="10:16">
      <c r="J755" s="5"/>
      <c r="L755">
        <f>RAVLT_Rec!M755</f>
        <v>0.7208</v>
      </c>
      <c r="M755">
        <f>RAVLT_Rec!N755</f>
        <v>74.900000000000006</v>
      </c>
      <c r="O755" t="e">
        <f>ABS(L755-RAVLT_Rec!$C$34)</f>
        <v>#REF!</v>
      </c>
      <c r="P755">
        <f t="shared" si="12"/>
        <v>74.900000000000006</v>
      </c>
    </row>
    <row r="756" spans="10:16">
      <c r="J756" s="5"/>
      <c r="L756">
        <f>RAVLT_Rec!M756</f>
        <v>0.7208</v>
      </c>
      <c r="M756">
        <f>RAVLT_Rec!N756</f>
        <v>75</v>
      </c>
      <c r="O756" t="e">
        <f>ABS(L756-RAVLT_Rec!$C$34)</f>
        <v>#REF!</v>
      </c>
      <c r="P756">
        <f t="shared" si="12"/>
        <v>75</v>
      </c>
    </row>
    <row r="757" spans="10:16">
      <c r="J757" s="5"/>
      <c r="L757">
        <f>RAVLT_Rec!M757</f>
        <v>0.7208</v>
      </c>
      <c r="M757">
        <f>RAVLT_Rec!N757</f>
        <v>75.099999999999994</v>
      </c>
      <c r="O757" t="e">
        <f>ABS(L757-RAVLT_Rec!$C$34)</f>
        <v>#REF!</v>
      </c>
      <c r="P757">
        <f t="shared" si="12"/>
        <v>75.099999999999994</v>
      </c>
    </row>
    <row r="758" spans="10:16">
      <c r="J758" s="5"/>
      <c r="L758">
        <f>RAVLT_Rec!M758</f>
        <v>0.7208</v>
      </c>
      <c r="M758">
        <f>RAVLT_Rec!N758</f>
        <v>75.2</v>
      </c>
      <c r="O758" t="e">
        <f>ABS(L758-RAVLT_Rec!$C$34)</f>
        <v>#REF!</v>
      </c>
      <c r="P758">
        <f t="shared" si="12"/>
        <v>75.2</v>
      </c>
    </row>
    <row r="759" spans="10:16">
      <c r="J759" s="5"/>
      <c r="L759">
        <f>RAVLT_Rec!M759</f>
        <v>0.7208</v>
      </c>
      <c r="M759">
        <f>RAVLT_Rec!N759</f>
        <v>75.3</v>
      </c>
      <c r="O759" t="e">
        <f>ABS(L759-RAVLT_Rec!$C$34)</f>
        <v>#REF!</v>
      </c>
      <c r="P759">
        <f t="shared" si="12"/>
        <v>75.3</v>
      </c>
    </row>
    <row r="760" spans="10:16">
      <c r="J760" s="5"/>
      <c r="L760">
        <f>RAVLT_Rec!M760</f>
        <v>0.7208</v>
      </c>
      <c r="M760">
        <f>RAVLT_Rec!N760</f>
        <v>75.400000000000006</v>
      </c>
      <c r="O760" t="e">
        <f>ABS(L760-RAVLT_Rec!$C$34)</f>
        <v>#REF!</v>
      </c>
      <c r="P760">
        <f t="shared" si="12"/>
        <v>75.400000000000006</v>
      </c>
    </row>
    <row r="761" spans="10:16">
      <c r="J761" s="5"/>
      <c r="L761">
        <f>RAVLT_Rec!M761</f>
        <v>0.7208</v>
      </c>
      <c r="M761">
        <f>RAVLT_Rec!N761</f>
        <v>75.5</v>
      </c>
      <c r="O761" t="e">
        <f>ABS(L761-RAVLT_Rec!$C$34)</f>
        <v>#REF!</v>
      </c>
      <c r="P761">
        <f t="shared" si="12"/>
        <v>75.5</v>
      </c>
    </row>
    <row r="762" spans="10:16">
      <c r="J762" s="5"/>
      <c r="L762">
        <f>RAVLT_Rec!M762</f>
        <v>0.7208</v>
      </c>
      <c r="M762">
        <f>RAVLT_Rec!N762</f>
        <v>75.599999999999994</v>
      </c>
      <c r="O762" t="e">
        <f>ABS(L762-RAVLT_Rec!$C$34)</f>
        <v>#REF!</v>
      </c>
      <c r="P762">
        <f t="shared" si="12"/>
        <v>75.599999999999994</v>
      </c>
    </row>
    <row r="763" spans="10:16">
      <c r="J763" s="5"/>
      <c r="L763">
        <f>RAVLT_Rec!M763</f>
        <v>0.72270414400000005</v>
      </c>
      <c r="M763">
        <f>RAVLT_Rec!N763</f>
        <v>75.7</v>
      </c>
      <c r="O763" t="e">
        <f>ABS(L763-RAVLT_Rec!$C$34)</f>
        <v>#REF!</v>
      </c>
      <c r="P763">
        <f t="shared" si="12"/>
        <v>75.7</v>
      </c>
    </row>
    <row r="764" spans="10:16">
      <c r="J764" s="5"/>
      <c r="L764">
        <f>RAVLT_Rec!M764</f>
        <v>0.73394473599999999</v>
      </c>
      <c r="M764">
        <f>RAVLT_Rec!N764</f>
        <v>75.8</v>
      </c>
      <c r="O764" t="e">
        <f>ABS(L764-RAVLT_Rec!$C$34)</f>
        <v>#REF!</v>
      </c>
      <c r="P764">
        <f t="shared" si="12"/>
        <v>75.8</v>
      </c>
    </row>
    <row r="765" spans="10:16">
      <c r="J765" s="5"/>
      <c r="L765">
        <f>RAVLT_Rec!M765</f>
        <v>0.74518532799999904</v>
      </c>
      <c r="M765">
        <f>RAVLT_Rec!N765</f>
        <v>75.900000000000006</v>
      </c>
      <c r="O765" t="e">
        <f>ABS(L765-RAVLT_Rec!$C$34)</f>
        <v>#REF!</v>
      </c>
      <c r="P765">
        <f t="shared" si="12"/>
        <v>75.900000000000006</v>
      </c>
    </row>
    <row r="766" spans="10:16">
      <c r="J766" s="5"/>
      <c r="L766">
        <f>RAVLT_Rec!M766</f>
        <v>0.75677840000000096</v>
      </c>
      <c r="M766">
        <f>RAVLT_Rec!N766</f>
        <v>76</v>
      </c>
      <c r="O766" t="e">
        <f>ABS(L766-RAVLT_Rec!$C$34)</f>
        <v>#REF!</v>
      </c>
      <c r="P766">
        <f t="shared" si="12"/>
        <v>76</v>
      </c>
    </row>
    <row r="767" spans="10:16">
      <c r="J767" s="5"/>
      <c r="L767">
        <f>RAVLT_Rec!M767</f>
        <v>0.76882528999999999</v>
      </c>
      <c r="M767">
        <f>RAVLT_Rec!N767</f>
        <v>76.099999999999994</v>
      </c>
      <c r="O767" t="e">
        <f>ABS(L767-RAVLT_Rec!$C$34)</f>
        <v>#REF!</v>
      </c>
      <c r="P767">
        <f t="shared" si="12"/>
        <v>76.099999999999994</v>
      </c>
    </row>
    <row r="768" spans="10:16">
      <c r="J768" s="5"/>
      <c r="L768">
        <f>RAVLT_Rec!M768</f>
        <v>0.78087218000000003</v>
      </c>
      <c r="M768">
        <f>RAVLT_Rec!N768</f>
        <v>76.2</v>
      </c>
      <c r="O768" t="e">
        <f>ABS(L768-RAVLT_Rec!$C$34)</f>
        <v>#REF!</v>
      </c>
      <c r="P768">
        <f t="shared" si="12"/>
        <v>76.2</v>
      </c>
    </row>
    <row r="769" spans="10:16">
      <c r="J769" s="5"/>
      <c r="L769">
        <f>RAVLT_Rec!M769</f>
        <v>0.78442699999999999</v>
      </c>
      <c r="M769">
        <f>RAVLT_Rec!N769</f>
        <v>76.3</v>
      </c>
      <c r="O769" t="e">
        <f>ABS(L769-RAVLT_Rec!$C$34)</f>
        <v>#REF!</v>
      </c>
      <c r="P769">
        <f t="shared" si="12"/>
        <v>76.3</v>
      </c>
    </row>
    <row r="770" spans="10:16">
      <c r="J770" s="5"/>
      <c r="L770">
        <f>RAVLT_Rec!M770</f>
        <v>0.78442699999999999</v>
      </c>
      <c r="M770">
        <f>RAVLT_Rec!N770</f>
        <v>76.400000000000006</v>
      </c>
      <c r="O770" t="e">
        <f>ABS(L770-RAVLT_Rec!$C$34)</f>
        <v>#REF!</v>
      </c>
      <c r="P770">
        <f t="shared" si="12"/>
        <v>76.400000000000006</v>
      </c>
    </row>
    <row r="771" spans="10:16">
      <c r="J771" s="5"/>
      <c r="L771">
        <f>RAVLT_Rec!M771</f>
        <v>0.78442699999999999</v>
      </c>
      <c r="M771">
        <f>RAVLT_Rec!N771</f>
        <v>76.5</v>
      </c>
      <c r="O771" t="e">
        <f>ABS(L771-RAVLT_Rec!$C$34)</f>
        <v>#REF!</v>
      </c>
      <c r="P771">
        <f t="shared" si="12"/>
        <v>76.5</v>
      </c>
    </row>
    <row r="772" spans="10:16">
      <c r="J772" s="5"/>
      <c r="L772">
        <f>RAVLT_Rec!M772</f>
        <v>0.78442699999999999</v>
      </c>
      <c r="M772">
        <f>RAVLT_Rec!N772</f>
        <v>76.599999999999994</v>
      </c>
      <c r="O772" t="e">
        <f>ABS(L772-RAVLT_Rec!$C$34)</f>
        <v>#REF!</v>
      </c>
      <c r="P772">
        <f t="shared" si="12"/>
        <v>76.599999999999994</v>
      </c>
    </row>
    <row r="773" spans="10:16">
      <c r="J773" s="5"/>
      <c r="L773">
        <f>RAVLT_Rec!M773</f>
        <v>0.78442699999999999</v>
      </c>
      <c r="M773">
        <f>RAVLT_Rec!N773</f>
        <v>76.7</v>
      </c>
      <c r="O773" t="e">
        <f>ABS(L773-RAVLT_Rec!$C$34)</f>
        <v>#REF!</v>
      </c>
      <c r="P773">
        <f t="shared" si="12"/>
        <v>76.7</v>
      </c>
    </row>
    <row r="774" spans="10:16">
      <c r="J774" s="5"/>
      <c r="L774">
        <f>RAVLT_Rec!M774</f>
        <v>0.78442699999999999</v>
      </c>
      <c r="M774">
        <f>RAVLT_Rec!N774</f>
        <v>76.8</v>
      </c>
      <c r="O774" t="e">
        <f>ABS(L774-RAVLT_Rec!$C$34)</f>
        <v>#REF!</v>
      </c>
      <c r="P774">
        <f t="shared" si="12"/>
        <v>76.8</v>
      </c>
    </row>
    <row r="775" spans="10:16">
      <c r="J775" s="5"/>
      <c r="L775">
        <f>RAVLT_Rec!M775</f>
        <v>0.78442699999999999</v>
      </c>
      <c r="M775">
        <f>RAVLT_Rec!N775</f>
        <v>76.900000000000006</v>
      </c>
      <c r="O775" t="e">
        <f>ABS(L775-RAVLT_Rec!$C$34)</f>
        <v>#REF!</v>
      </c>
      <c r="P775">
        <f t="shared" ref="P775:P838" si="13">M775</f>
        <v>76.900000000000006</v>
      </c>
    </row>
    <row r="776" spans="10:16">
      <c r="J776" s="5"/>
      <c r="L776">
        <f>RAVLT_Rec!M776</f>
        <v>0.78442699999999999</v>
      </c>
      <c r="M776">
        <f>RAVLT_Rec!N776</f>
        <v>77</v>
      </c>
      <c r="O776" t="e">
        <f>ABS(L776-RAVLT_Rec!$C$34)</f>
        <v>#REF!</v>
      </c>
      <c r="P776">
        <f t="shared" si="13"/>
        <v>77</v>
      </c>
    </row>
    <row r="777" spans="10:16">
      <c r="J777" s="5"/>
      <c r="L777">
        <f>RAVLT_Rec!M777</f>
        <v>0.78442699999999999</v>
      </c>
      <c r="M777">
        <f>RAVLT_Rec!N777</f>
        <v>77.099999999999994</v>
      </c>
      <c r="O777" t="e">
        <f>ABS(L777-RAVLT_Rec!$C$34)</f>
        <v>#REF!</v>
      </c>
      <c r="P777">
        <f t="shared" si="13"/>
        <v>77.099999999999994</v>
      </c>
    </row>
    <row r="778" spans="10:16">
      <c r="J778" s="5"/>
      <c r="L778">
        <f>RAVLT_Rec!M778</f>
        <v>0.78442699999999999</v>
      </c>
      <c r="M778">
        <f>RAVLT_Rec!N778</f>
        <v>77.2</v>
      </c>
      <c r="O778" t="e">
        <f>ABS(L778-RAVLT_Rec!$C$34)</f>
        <v>#REF!</v>
      </c>
      <c r="P778">
        <f t="shared" si="13"/>
        <v>77.2</v>
      </c>
    </row>
    <row r="779" spans="10:16">
      <c r="J779" s="5"/>
      <c r="L779">
        <f>RAVLT_Rec!M779</f>
        <v>0.78442699999999999</v>
      </c>
      <c r="M779">
        <f>RAVLT_Rec!N779</f>
        <v>77.3</v>
      </c>
      <c r="O779" t="e">
        <f>ABS(L779-RAVLT_Rec!$C$34)</f>
        <v>#REF!</v>
      </c>
      <c r="P779">
        <f t="shared" si="13"/>
        <v>77.3</v>
      </c>
    </row>
    <row r="780" spans="10:16">
      <c r="J780" s="5"/>
      <c r="L780">
        <f>RAVLT_Rec!M780</f>
        <v>0.79433973599999996</v>
      </c>
      <c r="M780">
        <f>RAVLT_Rec!N780</f>
        <v>77.400000000000006</v>
      </c>
      <c r="O780" t="e">
        <f>ABS(L780-RAVLT_Rec!$C$34)</f>
        <v>#REF!</v>
      </c>
      <c r="P780">
        <f t="shared" si="13"/>
        <v>77.400000000000006</v>
      </c>
    </row>
    <row r="781" spans="10:16">
      <c r="J781" s="5"/>
      <c r="L781">
        <f>RAVLT_Rec!M781</f>
        <v>0.80711460000000101</v>
      </c>
      <c r="M781">
        <f>RAVLT_Rec!N781</f>
        <v>77.5</v>
      </c>
      <c r="O781" t="e">
        <f>ABS(L781-RAVLT_Rec!$C$34)</f>
        <v>#REF!</v>
      </c>
      <c r="P781">
        <f t="shared" si="13"/>
        <v>77.5</v>
      </c>
    </row>
    <row r="782" spans="10:16">
      <c r="J782" s="5"/>
      <c r="L782">
        <f>RAVLT_Rec!M782</f>
        <v>0.81933100000000003</v>
      </c>
      <c r="M782">
        <f>RAVLT_Rec!N782</f>
        <v>77.599999999999994</v>
      </c>
      <c r="O782" t="e">
        <f>ABS(L782-RAVLT_Rec!$C$34)</f>
        <v>#REF!</v>
      </c>
      <c r="P782">
        <f t="shared" si="13"/>
        <v>77.599999999999994</v>
      </c>
    </row>
    <row r="783" spans="10:16">
      <c r="J783" s="5"/>
      <c r="L783">
        <f>RAVLT_Rec!M783</f>
        <v>0.81933100000000003</v>
      </c>
      <c r="M783">
        <f>RAVLT_Rec!N783</f>
        <v>77.7</v>
      </c>
      <c r="O783" t="e">
        <f>ABS(L783-RAVLT_Rec!$C$34)</f>
        <v>#REF!</v>
      </c>
      <c r="P783">
        <f t="shared" si="13"/>
        <v>77.7</v>
      </c>
    </row>
    <row r="784" spans="10:16">
      <c r="J784" s="5"/>
      <c r="L784">
        <f>RAVLT_Rec!M784</f>
        <v>0.81933100000000003</v>
      </c>
      <c r="M784">
        <f>RAVLT_Rec!N784</f>
        <v>77.8</v>
      </c>
      <c r="O784" t="e">
        <f>ABS(L784-RAVLT_Rec!$C$34)</f>
        <v>#REF!</v>
      </c>
      <c r="P784">
        <f t="shared" si="13"/>
        <v>77.8</v>
      </c>
    </row>
    <row r="785" spans="10:16">
      <c r="J785" s="5"/>
      <c r="L785">
        <f>RAVLT_Rec!M785</f>
        <v>0.81933100000000003</v>
      </c>
      <c r="M785">
        <f>RAVLT_Rec!N785</f>
        <v>77.900000000000006</v>
      </c>
      <c r="O785" t="e">
        <f>ABS(L785-RAVLT_Rec!$C$34)</f>
        <v>#REF!</v>
      </c>
      <c r="P785">
        <f t="shared" si="13"/>
        <v>77.900000000000006</v>
      </c>
    </row>
    <row r="786" spans="10:16">
      <c r="J786" s="5"/>
      <c r="L786">
        <f>RAVLT_Rec!M786</f>
        <v>0.81933100000000003</v>
      </c>
      <c r="M786">
        <f>RAVLT_Rec!N786</f>
        <v>78</v>
      </c>
      <c r="O786" t="e">
        <f>ABS(L786-RAVLT_Rec!$C$34)</f>
        <v>#REF!</v>
      </c>
      <c r="P786">
        <f t="shared" si="13"/>
        <v>78</v>
      </c>
    </row>
    <row r="787" spans="10:16">
      <c r="J787" s="5"/>
      <c r="L787">
        <f>RAVLT_Rec!M787</f>
        <v>0.81933100000000003</v>
      </c>
      <c r="M787">
        <f>RAVLT_Rec!N787</f>
        <v>78.099999999999994</v>
      </c>
      <c r="O787" t="e">
        <f>ABS(L787-RAVLT_Rec!$C$34)</f>
        <v>#REF!</v>
      </c>
      <c r="P787">
        <f t="shared" si="13"/>
        <v>78.099999999999994</v>
      </c>
    </row>
    <row r="788" spans="10:16">
      <c r="J788" s="5"/>
      <c r="L788">
        <f>RAVLT_Rec!M788</f>
        <v>0.82708659600000001</v>
      </c>
      <c r="M788">
        <f>RAVLT_Rec!N788</f>
        <v>78.2</v>
      </c>
      <c r="O788" t="e">
        <f>ABS(L788-RAVLT_Rec!$C$34)</f>
        <v>#REF!</v>
      </c>
      <c r="P788">
        <f t="shared" si="13"/>
        <v>78.2</v>
      </c>
    </row>
    <row r="789" spans="10:16">
      <c r="J789" s="5"/>
      <c r="L789">
        <f>RAVLT_Rec!M789</f>
        <v>0.84047597400000096</v>
      </c>
      <c r="M789">
        <f>RAVLT_Rec!N789</f>
        <v>78.3</v>
      </c>
      <c r="O789" t="e">
        <f>ABS(L789-RAVLT_Rec!$C$34)</f>
        <v>#REF!</v>
      </c>
      <c r="P789">
        <f t="shared" si="13"/>
        <v>78.3</v>
      </c>
    </row>
    <row r="790" spans="10:16">
      <c r="J790" s="5"/>
      <c r="L790">
        <f>RAVLT_Rec!M790</f>
        <v>0.85386535200000102</v>
      </c>
      <c r="M790">
        <f>RAVLT_Rec!N790</f>
        <v>78.400000000000006</v>
      </c>
      <c r="O790" t="e">
        <f>ABS(L790-RAVLT_Rec!$C$34)</f>
        <v>#REF!</v>
      </c>
      <c r="P790">
        <f t="shared" si="13"/>
        <v>78.400000000000006</v>
      </c>
    </row>
    <row r="791" spans="10:16">
      <c r="J791" s="5"/>
      <c r="L791">
        <f>RAVLT_Rec!M791</f>
        <v>0.85591399999999995</v>
      </c>
      <c r="M791">
        <f>RAVLT_Rec!N791</f>
        <v>78.5</v>
      </c>
      <c r="O791" t="e">
        <f>ABS(L791-RAVLT_Rec!$C$34)</f>
        <v>#REF!</v>
      </c>
      <c r="P791">
        <f t="shared" si="13"/>
        <v>78.5</v>
      </c>
    </row>
    <row r="792" spans="10:16">
      <c r="J792" s="5"/>
      <c r="L792">
        <f>RAVLT_Rec!M792</f>
        <v>0.85591399999999995</v>
      </c>
      <c r="M792">
        <f>RAVLT_Rec!N792</f>
        <v>78.599999999999994</v>
      </c>
      <c r="O792" t="e">
        <f>ABS(L792-RAVLT_Rec!$C$34)</f>
        <v>#REF!</v>
      </c>
      <c r="P792">
        <f t="shared" si="13"/>
        <v>78.599999999999994</v>
      </c>
    </row>
    <row r="793" spans="10:16">
      <c r="J793" s="5"/>
      <c r="L793">
        <f>RAVLT_Rec!M793</f>
        <v>0.85591399999999995</v>
      </c>
      <c r="M793">
        <f>RAVLT_Rec!N793</f>
        <v>78.7</v>
      </c>
      <c r="O793" t="e">
        <f>ABS(L793-RAVLT_Rec!$C$34)</f>
        <v>#REF!</v>
      </c>
      <c r="P793">
        <f t="shared" si="13"/>
        <v>78.7</v>
      </c>
    </row>
    <row r="794" spans="10:16">
      <c r="J794" s="5"/>
      <c r="L794">
        <f>RAVLT_Rec!M794</f>
        <v>0.85591399999999995</v>
      </c>
      <c r="M794">
        <f>RAVLT_Rec!N794</f>
        <v>78.8</v>
      </c>
      <c r="O794" t="e">
        <f>ABS(L794-RAVLT_Rec!$C$34)</f>
        <v>#REF!</v>
      </c>
      <c r="P794">
        <f t="shared" si="13"/>
        <v>78.8</v>
      </c>
    </row>
    <row r="795" spans="10:16">
      <c r="J795" s="5"/>
      <c r="L795">
        <f>RAVLT_Rec!M795</f>
        <v>0.85591399999999995</v>
      </c>
      <c r="M795">
        <f>RAVLT_Rec!N795</f>
        <v>78.900000000000006</v>
      </c>
      <c r="O795" t="e">
        <f>ABS(L795-RAVLT_Rec!$C$34)</f>
        <v>#REF!</v>
      </c>
      <c r="P795">
        <f t="shared" si="13"/>
        <v>78.900000000000006</v>
      </c>
    </row>
    <row r="796" spans="10:16">
      <c r="J796" s="5"/>
      <c r="L796">
        <f>RAVLT_Rec!M796</f>
        <v>0.85591399999999995</v>
      </c>
      <c r="M796">
        <f>RAVLT_Rec!N796</f>
        <v>79</v>
      </c>
      <c r="O796" t="e">
        <f>ABS(L796-RAVLT_Rec!$C$34)</f>
        <v>#REF!</v>
      </c>
      <c r="P796">
        <f t="shared" si="13"/>
        <v>79</v>
      </c>
    </row>
    <row r="797" spans="10:16">
      <c r="J797" s="5"/>
      <c r="L797">
        <f>RAVLT_Rec!M797</f>
        <v>0.85591399999999995</v>
      </c>
      <c r="M797">
        <f>RAVLT_Rec!N797</f>
        <v>79.099999999999994</v>
      </c>
      <c r="O797" t="e">
        <f>ABS(L797-RAVLT_Rec!$C$34)</f>
        <v>#REF!</v>
      </c>
      <c r="P797">
        <f t="shared" si="13"/>
        <v>79.099999999999994</v>
      </c>
    </row>
    <row r="798" spans="10:16">
      <c r="J798" s="5"/>
      <c r="L798">
        <f>RAVLT_Rec!M798</f>
        <v>0.85591399999999995</v>
      </c>
      <c r="M798">
        <f>RAVLT_Rec!N798</f>
        <v>79.2</v>
      </c>
      <c r="O798" t="e">
        <f>ABS(L798-RAVLT_Rec!$C$34)</f>
        <v>#REF!</v>
      </c>
      <c r="P798">
        <f t="shared" si="13"/>
        <v>79.2</v>
      </c>
    </row>
    <row r="799" spans="10:16">
      <c r="J799" s="5"/>
      <c r="L799">
        <f>RAVLT_Rec!M799</f>
        <v>0.85750146000000005</v>
      </c>
      <c r="M799">
        <f>RAVLT_Rec!N799</f>
        <v>79.3</v>
      </c>
      <c r="O799" t="e">
        <f>ABS(L799-RAVLT_Rec!$C$34)</f>
        <v>#REF!</v>
      </c>
      <c r="P799">
        <f t="shared" si="13"/>
        <v>79.3</v>
      </c>
    </row>
    <row r="800" spans="10:16">
      <c r="J800" s="5"/>
      <c r="L800">
        <f>RAVLT_Rec!M800</f>
        <v>0.85994267999999996</v>
      </c>
      <c r="M800">
        <f>RAVLT_Rec!N800</f>
        <v>79.400000000000006</v>
      </c>
      <c r="O800" t="e">
        <f>ABS(L800-RAVLT_Rec!$C$34)</f>
        <v>#REF!</v>
      </c>
      <c r="P800">
        <f t="shared" si="13"/>
        <v>79.400000000000006</v>
      </c>
    </row>
    <row r="801" spans="10:16">
      <c r="J801" s="5"/>
      <c r="L801">
        <f>RAVLT_Rec!M801</f>
        <v>0.86238389999999998</v>
      </c>
      <c r="M801">
        <f>RAVLT_Rec!N801</f>
        <v>79.5</v>
      </c>
      <c r="O801" t="e">
        <f>ABS(L801-RAVLT_Rec!$C$34)</f>
        <v>#REF!</v>
      </c>
      <c r="P801">
        <f t="shared" si="13"/>
        <v>79.5</v>
      </c>
    </row>
    <row r="802" spans="10:16">
      <c r="J802" s="5"/>
      <c r="L802">
        <f>RAVLT_Rec!M802</f>
        <v>0.86258400000000002</v>
      </c>
      <c r="M802">
        <f>RAVLT_Rec!N802</f>
        <v>79.599999999999994</v>
      </c>
      <c r="O802" t="e">
        <f>ABS(L802-RAVLT_Rec!$C$34)</f>
        <v>#REF!</v>
      </c>
      <c r="P802">
        <f t="shared" si="13"/>
        <v>79.599999999999994</v>
      </c>
    </row>
    <row r="803" spans="10:16">
      <c r="J803" s="5"/>
      <c r="L803">
        <f>RAVLT_Rec!M803</f>
        <v>0.86258400000000002</v>
      </c>
      <c r="M803">
        <f>RAVLT_Rec!N803</f>
        <v>79.7</v>
      </c>
      <c r="O803" t="e">
        <f>ABS(L803-RAVLT_Rec!$C$34)</f>
        <v>#REF!</v>
      </c>
      <c r="P803">
        <f t="shared" si="13"/>
        <v>79.7</v>
      </c>
    </row>
    <row r="804" spans="10:16">
      <c r="J804" s="5"/>
      <c r="L804">
        <f>RAVLT_Rec!M804</f>
        <v>0.86470213200000101</v>
      </c>
      <c r="M804">
        <f>RAVLT_Rec!N804</f>
        <v>79.8</v>
      </c>
      <c r="O804" t="e">
        <f>ABS(L804-RAVLT_Rec!$C$34)</f>
        <v>#REF!</v>
      </c>
      <c r="P804">
        <f t="shared" si="13"/>
        <v>79.8</v>
      </c>
    </row>
    <row r="805" spans="10:16">
      <c r="J805" s="5"/>
      <c r="L805">
        <f>RAVLT_Rec!M805</f>
        <v>0.87610266600000097</v>
      </c>
      <c r="M805">
        <f>RAVLT_Rec!N805</f>
        <v>79.900000000000006</v>
      </c>
      <c r="O805" t="e">
        <f>ABS(L805-RAVLT_Rec!$C$34)</f>
        <v>#REF!</v>
      </c>
      <c r="P805">
        <f t="shared" si="13"/>
        <v>79.900000000000006</v>
      </c>
    </row>
    <row r="806" spans="10:16">
      <c r="J806" s="5"/>
      <c r="L806">
        <f>RAVLT_Rec!M806</f>
        <v>0.88750320000000005</v>
      </c>
      <c r="M806">
        <f>RAVLT_Rec!N806</f>
        <v>80</v>
      </c>
      <c r="O806" t="e">
        <f>ABS(L806-RAVLT_Rec!$C$34)</f>
        <v>#REF!</v>
      </c>
      <c r="P806">
        <f t="shared" si="13"/>
        <v>80</v>
      </c>
    </row>
    <row r="807" spans="10:16">
      <c r="J807" s="5"/>
      <c r="L807">
        <f>RAVLT_Rec!M807</f>
        <v>0.893733</v>
      </c>
      <c r="M807">
        <f>RAVLT_Rec!N807</f>
        <v>80.099999999999994</v>
      </c>
      <c r="O807" t="e">
        <f>ABS(L807-RAVLT_Rec!$C$34)</f>
        <v>#REF!</v>
      </c>
      <c r="P807">
        <f t="shared" si="13"/>
        <v>80.099999999999994</v>
      </c>
    </row>
    <row r="808" spans="10:16">
      <c r="J808" s="5"/>
      <c r="L808">
        <f>RAVLT_Rec!M808</f>
        <v>0.893733</v>
      </c>
      <c r="M808">
        <f>RAVLT_Rec!N808</f>
        <v>80.2</v>
      </c>
      <c r="O808" t="e">
        <f>ABS(L808-RAVLT_Rec!$C$34)</f>
        <v>#REF!</v>
      </c>
      <c r="P808">
        <f t="shared" si="13"/>
        <v>80.2</v>
      </c>
    </row>
    <row r="809" spans="10:16">
      <c r="J809" s="5"/>
      <c r="L809">
        <f>RAVLT_Rec!M809</f>
        <v>0.893733</v>
      </c>
      <c r="M809">
        <f>RAVLT_Rec!N809</f>
        <v>80.3</v>
      </c>
      <c r="O809" t="e">
        <f>ABS(L809-RAVLT_Rec!$C$34)</f>
        <v>#REF!</v>
      </c>
      <c r="P809">
        <f t="shared" si="13"/>
        <v>80.3</v>
      </c>
    </row>
    <row r="810" spans="10:16">
      <c r="J810" s="5"/>
      <c r="L810">
        <f>RAVLT_Rec!M810</f>
        <v>0.893733</v>
      </c>
      <c r="M810">
        <f>RAVLT_Rec!N810</f>
        <v>80.400000000000006</v>
      </c>
      <c r="O810" t="e">
        <f>ABS(L810-RAVLT_Rec!$C$34)</f>
        <v>#REF!</v>
      </c>
      <c r="P810">
        <f t="shared" si="13"/>
        <v>80.400000000000006</v>
      </c>
    </row>
    <row r="811" spans="10:16">
      <c r="J811" s="5"/>
      <c r="L811">
        <f>RAVLT_Rec!M811</f>
        <v>0.893733</v>
      </c>
      <c r="M811">
        <f>RAVLT_Rec!N811</f>
        <v>80.5</v>
      </c>
      <c r="O811" t="e">
        <f>ABS(L811-RAVLT_Rec!$C$34)</f>
        <v>#REF!</v>
      </c>
      <c r="P811">
        <f t="shared" si="13"/>
        <v>80.5</v>
      </c>
    </row>
    <row r="812" spans="10:16">
      <c r="J812" s="5"/>
      <c r="L812">
        <f>RAVLT_Rec!M812</f>
        <v>0.893733</v>
      </c>
      <c r="M812">
        <f>RAVLT_Rec!N812</f>
        <v>80.599999999999994</v>
      </c>
      <c r="O812" t="e">
        <f>ABS(L812-RAVLT_Rec!$C$34)</f>
        <v>#REF!</v>
      </c>
      <c r="P812">
        <f t="shared" si="13"/>
        <v>80.599999999999994</v>
      </c>
    </row>
    <row r="813" spans="10:16">
      <c r="J813" s="5"/>
      <c r="L813">
        <f>RAVLT_Rec!M813</f>
        <v>0.90600697200000102</v>
      </c>
      <c r="M813">
        <f>RAVLT_Rec!N813</f>
        <v>80.7</v>
      </c>
      <c r="O813" t="e">
        <f>ABS(L813-RAVLT_Rec!$C$34)</f>
        <v>#REF!</v>
      </c>
      <c r="P813">
        <f t="shared" si="13"/>
        <v>80.7</v>
      </c>
    </row>
    <row r="814" spans="10:16">
      <c r="J814" s="5"/>
      <c r="L814">
        <f>RAVLT_Rec!M814</f>
        <v>0.91841656800000004</v>
      </c>
      <c r="M814">
        <f>RAVLT_Rec!N814</f>
        <v>80.8</v>
      </c>
      <c r="O814" t="e">
        <f>ABS(L814-RAVLT_Rec!$C$34)</f>
        <v>#REF!</v>
      </c>
      <c r="P814">
        <f t="shared" si="13"/>
        <v>80.8</v>
      </c>
    </row>
    <row r="815" spans="10:16">
      <c r="J815" s="5"/>
      <c r="L815">
        <f>RAVLT_Rec!M815</f>
        <v>0.92806604199999998</v>
      </c>
      <c r="M815">
        <f>RAVLT_Rec!N815</f>
        <v>80.900000000000006</v>
      </c>
      <c r="O815" t="e">
        <f>ABS(L815-RAVLT_Rec!$C$34)</f>
        <v>#REF!</v>
      </c>
      <c r="P815">
        <f t="shared" si="13"/>
        <v>80.900000000000006</v>
      </c>
    </row>
    <row r="816" spans="10:16">
      <c r="J816" s="5"/>
      <c r="L816">
        <f>RAVLT_Rec!M816</f>
        <v>0.92972878000000003</v>
      </c>
      <c r="M816">
        <f>RAVLT_Rec!N816</f>
        <v>81</v>
      </c>
      <c r="O816" t="e">
        <f>ABS(L816-RAVLT_Rec!$C$34)</f>
        <v>#REF!</v>
      </c>
      <c r="P816">
        <f t="shared" si="13"/>
        <v>81</v>
      </c>
    </row>
    <row r="817" spans="10:16">
      <c r="J817" s="5"/>
      <c r="L817">
        <f>RAVLT_Rec!M817</f>
        <v>0.93139151799999997</v>
      </c>
      <c r="M817">
        <f>RAVLT_Rec!N817</f>
        <v>81.099999999999994</v>
      </c>
      <c r="O817" t="e">
        <f>ABS(L817-RAVLT_Rec!$C$34)</f>
        <v>#REF!</v>
      </c>
      <c r="P817">
        <f t="shared" si="13"/>
        <v>81.099999999999994</v>
      </c>
    </row>
    <row r="818" spans="10:16">
      <c r="J818" s="5"/>
      <c r="L818">
        <f>RAVLT_Rec!M818</f>
        <v>0.93218199999999996</v>
      </c>
      <c r="M818">
        <f>RAVLT_Rec!N818</f>
        <v>81.2</v>
      </c>
      <c r="O818" t="e">
        <f>ABS(L818-RAVLT_Rec!$C$34)</f>
        <v>#REF!</v>
      </c>
      <c r="P818">
        <f t="shared" si="13"/>
        <v>81.2</v>
      </c>
    </row>
    <row r="819" spans="10:16">
      <c r="J819" s="5"/>
      <c r="L819">
        <f>RAVLT_Rec!M819</f>
        <v>0.93218199999999996</v>
      </c>
      <c r="M819">
        <f>RAVLT_Rec!N819</f>
        <v>81.3</v>
      </c>
      <c r="O819" t="e">
        <f>ABS(L819-RAVLT_Rec!$C$34)</f>
        <v>#REF!</v>
      </c>
      <c r="P819">
        <f t="shared" si="13"/>
        <v>81.3</v>
      </c>
    </row>
    <row r="820" spans="10:16">
      <c r="J820" s="5"/>
      <c r="L820">
        <f>RAVLT_Rec!M820</f>
        <v>0.93218199999999996</v>
      </c>
      <c r="M820">
        <f>RAVLT_Rec!N820</f>
        <v>81.400000000000006</v>
      </c>
      <c r="O820" t="e">
        <f>ABS(L820-RAVLT_Rec!$C$34)</f>
        <v>#REF!</v>
      </c>
      <c r="P820">
        <f t="shared" si="13"/>
        <v>81.400000000000006</v>
      </c>
    </row>
    <row r="821" spans="10:16">
      <c r="J821" s="5"/>
      <c r="L821">
        <f>RAVLT_Rec!M821</f>
        <v>0.94328378000000102</v>
      </c>
      <c r="M821">
        <f>RAVLT_Rec!N821</f>
        <v>81.5</v>
      </c>
      <c r="O821" t="e">
        <f>ABS(L821-RAVLT_Rec!$C$34)</f>
        <v>#REF!</v>
      </c>
      <c r="P821">
        <f t="shared" si="13"/>
        <v>81.5</v>
      </c>
    </row>
    <row r="822" spans="10:16">
      <c r="J822" s="5"/>
      <c r="L822">
        <f>RAVLT_Rec!M822</f>
        <v>0.95729499200000001</v>
      </c>
      <c r="M822">
        <f>RAVLT_Rec!N822</f>
        <v>81.599999999999994</v>
      </c>
      <c r="O822" t="e">
        <f>ABS(L822-RAVLT_Rec!$C$34)</f>
        <v>#REF!</v>
      </c>
      <c r="P822">
        <f t="shared" si="13"/>
        <v>81.599999999999994</v>
      </c>
    </row>
    <row r="823" spans="10:16">
      <c r="J823" s="5"/>
      <c r="L823">
        <f>RAVLT_Rec!M823</f>
        <v>0.97046399999999999</v>
      </c>
      <c r="M823">
        <f>RAVLT_Rec!N823</f>
        <v>81.7</v>
      </c>
      <c r="O823" t="e">
        <f>ABS(L823-RAVLT_Rec!$C$34)</f>
        <v>#REF!</v>
      </c>
      <c r="P823">
        <f t="shared" si="13"/>
        <v>81.7</v>
      </c>
    </row>
    <row r="824" spans="10:16">
      <c r="J824" s="5"/>
      <c r="L824">
        <f>RAVLT_Rec!M824</f>
        <v>0.97046399999999999</v>
      </c>
      <c r="M824">
        <f>RAVLT_Rec!N824</f>
        <v>81.8</v>
      </c>
      <c r="O824" t="e">
        <f>ABS(L824-RAVLT_Rec!$C$34)</f>
        <v>#REF!</v>
      </c>
      <c r="P824">
        <f t="shared" si="13"/>
        <v>81.8</v>
      </c>
    </row>
    <row r="825" spans="10:16">
      <c r="J825" s="5"/>
      <c r="L825">
        <f>RAVLT_Rec!M825</f>
        <v>0.97046399999999999</v>
      </c>
      <c r="M825">
        <f>RAVLT_Rec!N825</f>
        <v>81.900000000000006</v>
      </c>
      <c r="O825" t="e">
        <f>ABS(L825-RAVLT_Rec!$C$34)</f>
        <v>#REF!</v>
      </c>
      <c r="P825">
        <f t="shared" si="13"/>
        <v>81.900000000000006</v>
      </c>
    </row>
    <row r="826" spans="10:16">
      <c r="J826" s="5"/>
      <c r="L826">
        <f>RAVLT_Rec!M826</f>
        <v>0.97491779999999995</v>
      </c>
      <c r="M826">
        <f>RAVLT_Rec!N826</f>
        <v>82</v>
      </c>
      <c r="O826" t="e">
        <f>ABS(L826-RAVLT_Rec!$C$34)</f>
        <v>#REF!</v>
      </c>
      <c r="P826">
        <f t="shared" si="13"/>
        <v>82</v>
      </c>
    </row>
    <row r="827" spans="10:16">
      <c r="J827" s="5"/>
      <c r="L827">
        <f>RAVLT_Rec!M827</f>
        <v>0.98850189000000199</v>
      </c>
      <c r="M827">
        <f>RAVLT_Rec!N827</f>
        <v>82.1</v>
      </c>
      <c r="O827" t="e">
        <f>ABS(L827-RAVLT_Rec!$C$34)</f>
        <v>#REF!</v>
      </c>
      <c r="P827">
        <f t="shared" si="13"/>
        <v>82.1</v>
      </c>
    </row>
    <row r="828" spans="10:16">
      <c r="J828" s="5"/>
      <c r="L828">
        <f>RAVLT_Rec!M828</f>
        <v>1.0020859799999999</v>
      </c>
      <c r="M828">
        <f>RAVLT_Rec!N828</f>
        <v>82.2</v>
      </c>
      <c r="O828" t="e">
        <f>ABS(L828-RAVLT_Rec!$C$34)</f>
        <v>#REF!</v>
      </c>
      <c r="P828">
        <f t="shared" si="13"/>
        <v>82.2</v>
      </c>
    </row>
    <row r="829" spans="10:16">
      <c r="J829" s="5"/>
      <c r="L829">
        <f>RAVLT_Rec!M829</f>
        <v>1.007579</v>
      </c>
      <c r="M829">
        <f>RAVLT_Rec!N829</f>
        <v>82.3</v>
      </c>
      <c r="O829" t="e">
        <f>ABS(L829-RAVLT_Rec!$C$34)</f>
        <v>#REF!</v>
      </c>
      <c r="P829">
        <f t="shared" si="13"/>
        <v>82.3</v>
      </c>
    </row>
    <row r="830" spans="10:16">
      <c r="J830" s="5"/>
      <c r="L830">
        <f>RAVLT_Rec!M830</f>
        <v>1.007579</v>
      </c>
      <c r="M830">
        <f>RAVLT_Rec!N830</f>
        <v>82.4</v>
      </c>
      <c r="O830" t="e">
        <f>ABS(L830-RAVLT_Rec!$C$34)</f>
        <v>#REF!</v>
      </c>
      <c r="P830">
        <f t="shared" si="13"/>
        <v>82.4</v>
      </c>
    </row>
    <row r="831" spans="10:16">
      <c r="J831" s="5"/>
      <c r="L831">
        <f>RAVLT_Rec!M831</f>
        <v>1.007579</v>
      </c>
      <c r="M831">
        <f>RAVLT_Rec!N831</f>
        <v>82.5</v>
      </c>
      <c r="O831" t="e">
        <f>ABS(L831-RAVLT_Rec!$C$34)</f>
        <v>#REF!</v>
      </c>
      <c r="P831">
        <f t="shared" si="13"/>
        <v>82.5</v>
      </c>
    </row>
    <row r="832" spans="10:16">
      <c r="J832" s="5"/>
      <c r="L832">
        <f>RAVLT_Rec!M832</f>
        <v>1.007579</v>
      </c>
      <c r="M832">
        <f>RAVLT_Rec!N832</f>
        <v>82.6</v>
      </c>
      <c r="O832" t="e">
        <f>ABS(L832-RAVLT_Rec!$C$34)</f>
        <v>#REF!</v>
      </c>
      <c r="P832">
        <f t="shared" si="13"/>
        <v>82.6</v>
      </c>
    </row>
    <row r="833" spans="10:16">
      <c r="J833" s="5"/>
      <c r="L833">
        <f>RAVLT_Rec!M833</f>
        <v>1.007579</v>
      </c>
      <c r="M833">
        <f>RAVLT_Rec!N833</f>
        <v>82.7</v>
      </c>
      <c r="O833" t="e">
        <f>ABS(L833-RAVLT_Rec!$C$34)</f>
        <v>#REF!</v>
      </c>
      <c r="P833">
        <f t="shared" si="13"/>
        <v>82.7</v>
      </c>
    </row>
    <row r="834" spans="10:16">
      <c r="J834" s="5"/>
      <c r="L834">
        <f>RAVLT_Rec!M834</f>
        <v>1.0084642159999999</v>
      </c>
      <c r="M834">
        <f>RAVLT_Rec!N834</f>
        <v>82.8</v>
      </c>
      <c r="O834" t="e">
        <f>ABS(L834-RAVLT_Rec!$C$34)</f>
        <v>#REF!</v>
      </c>
      <c r="P834">
        <f t="shared" si="13"/>
        <v>82.8</v>
      </c>
    </row>
    <row r="835" spans="10:16">
      <c r="J835" s="5"/>
      <c r="L835">
        <f>RAVLT_Rec!M835</f>
        <v>1.015213988</v>
      </c>
      <c r="M835">
        <f>RAVLT_Rec!N835</f>
        <v>82.9</v>
      </c>
      <c r="O835" t="e">
        <f>ABS(L835-RAVLT_Rec!$C$34)</f>
        <v>#REF!</v>
      </c>
      <c r="P835">
        <f t="shared" si="13"/>
        <v>82.9</v>
      </c>
    </row>
    <row r="836" spans="10:16">
      <c r="J836" s="5"/>
      <c r="L836">
        <f>RAVLT_Rec!M836</f>
        <v>1.02196376</v>
      </c>
      <c r="M836">
        <f>RAVLT_Rec!N836</f>
        <v>83</v>
      </c>
      <c r="O836" t="e">
        <f>ABS(L836-RAVLT_Rec!$C$34)</f>
        <v>#REF!</v>
      </c>
      <c r="P836">
        <f t="shared" si="13"/>
        <v>83</v>
      </c>
    </row>
    <row r="837" spans="10:16">
      <c r="J837" s="5"/>
      <c r="L837">
        <f>RAVLT_Rec!M837</f>
        <v>1.0260210000000001</v>
      </c>
      <c r="M837">
        <f>RAVLT_Rec!N837</f>
        <v>83.1</v>
      </c>
      <c r="O837" t="e">
        <f>ABS(L837-RAVLT_Rec!$C$34)</f>
        <v>#REF!</v>
      </c>
      <c r="P837">
        <f t="shared" si="13"/>
        <v>83.1</v>
      </c>
    </row>
    <row r="838" spans="10:16">
      <c r="J838" s="5"/>
      <c r="L838">
        <f>RAVLT_Rec!M838</f>
        <v>1.0260210000000001</v>
      </c>
      <c r="M838">
        <f>RAVLT_Rec!N838</f>
        <v>83.2</v>
      </c>
      <c r="O838" t="e">
        <f>ABS(L838-RAVLT_Rec!$C$34)</f>
        <v>#REF!</v>
      </c>
      <c r="P838">
        <f t="shared" si="13"/>
        <v>83.2</v>
      </c>
    </row>
    <row r="839" spans="10:16">
      <c r="J839" s="5"/>
      <c r="L839">
        <f>RAVLT_Rec!M839</f>
        <v>1.0260210000000001</v>
      </c>
      <c r="M839">
        <f>RAVLT_Rec!N839</f>
        <v>83.3</v>
      </c>
      <c r="O839" t="e">
        <f>ABS(L839-RAVLT_Rec!$C$34)</f>
        <v>#REF!</v>
      </c>
      <c r="P839">
        <f t="shared" ref="P839:P902" si="14">M839</f>
        <v>83.3</v>
      </c>
    </row>
    <row r="840" spans="10:16">
      <c r="J840" s="5"/>
      <c r="L840">
        <f>RAVLT_Rec!M840</f>
        <v>1.0260210000000001</v>
      </c>
      <c r="M840">
        <f>RAVLT_Rec!N840</f>
        <v>83.4</v>
      </c>
      <c r="O840" t="e">
        <f>ABS(L840-RAVLT_Rec!$C$34)</f>
        <v>#REF!</v>
      </c>
      <c r="P840">
        <f t="shared" si="14"/>
        <v>83.4</v>
      </c>
    </row>
    <row r="841" spans="10:16">
      <c r="J841" s="5"/>
      <c r="L841">
        <f>RAVLT_Rec!M841</f>
        <v>1.0260210000000001</v>
      </c>
      <c r="M841">
        <f>RAVLT_Rec!N841</f>
        <v>83.5</v>
      </c>
      <c r="O841" t="e">
        <f>ABS(L841-RAVLT_Rec!$C$34)</f>
        <v>#REF!</v>
      </c>
      <c r="P841">
        <f t="shared" si="14"/>
        <v>83.5</v>
      </c>
    </row>
    <row r="842" spans="10:16">
      <c r="J842" s="5"/>
      <c r="L842">
        <f>RAVLT_Rec!M842</f>
        <v>1.0260210000000001</v>
      </c>
      <c r="M842">
        <f>RAVLT_Rec!N842</f>
        <v>83.6</v>
      </c>
      <c r="O842" t="e">
        <f>ABS(L842-RAVLT_Rec!$C$34)</f>
        <v>#REF!</v>
      </c>
      <c r="P842">
        <f t="shared" si="14"/>
        <v>83.6</v>
      </c>
    </row>
    <row r="843" spans="10:16">
      <c r="J843" s="5"/>
      <c r="L843">
        <f>RAVLT_Rec!M843</f>
        <v>1.0316024399999999</v>
      </c>
      <c r="M843">
        <f>RAVLT_Rec!N843</f>
        <v>83.7</v>
      </c>
      <c r="O843" t="e">
        <f>ABS(L843-RAVLT_Rec!$C$34)</f>
        <v>#REF!</v>
      </c>
      <c r="P843">
        <f t="shared" si="14"/>
        <v>83.7</v>
      </c>
    </row>
    <row r="844" spans="10:16">
      <c r="J844" s="5"/>
      <c r="L844">
        <f>RAVLT_Rec!M844</f>
        <v>1.0375755600000001</v>
      </c>
      <c r="M844">
        <f>RAVLT_Rec!N844</f>
        <v>83.8</v>
      </c>
      <c r="O844" t="e">
        <f>ABS(L844-RAVLT_Rec!$C$34)</f>
        <v>#REF!</v>
      </c>
      <c r="P844">
        <f t="shared" si="14"/>
        <v>83.8</v>
      </c>
    </row>
    <row r="845" spans="10:16">
      <c r="J845" s="5"/>
      <c r="L845">
        <f>RAVLT_Rec!M845</f>
        <v>1.042341</v>
      </c>
      <c r="M845">
        <f>RAVLT_Rec!N845</f>
        <v>83.9</v>
      </c>
      <c r="O845" t="e">
        <f>ABS(L845-RAVLT_Rec!$C$34)</f>
        <v>#REF!</v>
      </c>
      <c r="P845">
        <f t="shared" si="14"/>
        <v>83.9</v>
      </c>
    </row>
    <row r="846" spans="10:16">
      <c r="J846" s="5"/>
      <c r="L846">
        <f>RAVLT_Rec!M846</f>
        <v>1.042341</v>
      </c>
      <c r="M846">
        <f>RAVLT_Rec!N846</f>
        <v>84</v>
      </c>
      <c r="O846" t="e">
        <f>ABS(L846-RAVLT_Rec!$C$34)</f>
        <v>#REF!</v>
      </c>
      <c r="P846">
        <f t="shared" si="14"/>
        <v>84</v>
      </c>
    </row>
    <row r="847" spans="10:16">
      <c r="J847" s="5"/>
      <c r="L847">
        <f>RAVLT_Rec!M847</f>
        <v>1.042341</v>
      </c>
      <c r="M847">
        <f>RAVLT_Rec!N847</f>
        <v>84.1</v>
      </c>
      <c r="O847" t="e">
        <f>ABS(L847-RAVLT_Rec!$C$34)</f>
        <v>#REF!</v>
      </c>
      <c r="P847">
        <f t="shared" si="14"/>
        <v>84.1</v>
      </c>
    </row>
    <row r="848" spans="10:16">
      <c r="J848" s="5"/>
      <c r="L848">
        <f>RAVLT_Rec!M848</f>
        <v>1.0439509199999999</v>
      </c>
      <c r="M848">
        <f>RAVLT_Rec!N848</f>
        <v>84.2</v>
      </c>
      <c r="O848" t="e">
        <f>ABS(L848-RAVLT_Rec!$C$34)</f>
        <v>#REF!</v>
      </c>
      <c r="P848">
        <f t="shared" si="14"/>
        <v>84.2</v>
      </c>
    </row>
    <row r="849" spans="10:16">
      <c r="J849" s="5"/>
      <c r="L849">
        <f>RAVLT_Rec!M849</f>
        <v>1.0473766799999999</v>
      </c>
      <c r="M849">
        <f>RAVLT_Rec!N849</f>
        <v>84.3</v>
      </c>
      <c r="O849" t="e">
        <f>ABS(L849-RAVLT_Rec!$C$34)</f>
        <v>#REF!</v>
      </c>
      <c r="P849">
        <f t="shared" si="14"/>
        <v>84.3</v>
      </c>
    </row>
    <row r="850" spans="10:16">
      <c r="J850" s="5"/>
      <c r="L850">
        <f>RAVLT_Rec!M850</f>
        <v>1.05080244</v>
      </c>
      <c r="M850">
        <f>RAVLT_Rec!N850</f>
        <v>84.4</v>
      </c>
      <c r="O850" t="e">
        <f>ABS(L850-RAVLT_Rec!$C$34)</f>
        <v>#REF!</v>
      </c>
      <c r="P850">
        <f t="shared" si="14"/>
        <v>84.4</v>
      </c>
    </row>
    <row r="851" spans="10:16">
      <c r="J851" s="5"/>
      <c r="L851">
        <f>RAVLT_Rec!M851</f>
        <v>1.05464913</v>
      </c>
      <c r="M851">
        <f>RAVLT_Rec!N851</f>
        <v>84.5</v>
      </c>
      <c r="O851" t="e">
        <f>ABS(L851-RAVLT_Rec!$C$34)</f>
        <v>#REF!</v>
      </c>
      <c r="P851">
        <f t="shared" si="14"/>
        <v>84.5</v>
      </c>
    </row>
    <row r="852" spans="10:16">
      <c r="J852" s="5"/>
      <c r="L852">
        <f>RAVLT_Rec!M852</f>
        <v>1.0586454839999999</v>
      </c>
      <c r="M852">
        <f>RAVLT_Rec!N852</f>
        <v>84.6</v>
      </c>
      <c r="O852" t="e">
        <f>ABS(L852-RAVLT_Rec!$C$34)</f>
        <v>#REF!</v>
      </c>
      <c r="P852">
        <f t="shared" si="14"/>
        <v>84.6</v>
      </c>
    </row>
    <row r="853" spans="10:16">
      <c r="J853" s="5"/>
      <c r="L853">
        <f>RAVLT_Rec!M853</f>
        <v>1.0626199999999999</v>
      </c>
      <c r="M853">
        <f>RAVLT_Rec!N853</f>
        <v>84.7</v>
      </c>
      <c r="O853" t="e">
        <f>ABS(L853-RAVLT_Rec!$C$34)</f>
        <v>#REF!</v>
      </c>
      <c r="P853">
        <f t="shared" si="14"/>
        <v>84.7</v>
      </c>
    </row>
    <row r="854" spans="10:16">
      <c r="J854" s="5"/>
      <c r="L854">
        <f>RAVLT_Rec!M854</f>
        <v>1.0626199999999999</v>
      </c>
      <c r="M854">
        <f>RAVLT_Rec!N854</f>
        <v>84.8</v>
      </c>
      <c r="O854" t="e">
        <f>ABS(L854-RAVLT_Rec!$C$34)</f>
        <v>#REF!</v>
      </c>
      <c r="P854">
        <f t="shared" si="14"/>
        <v>84.8</v>
      </c>
    </row>
    <row r="855" spans="10:16">
      <c r="J855" s="5"/>
      <c r="L855">
        <f>RAVLT_Rec!M855</f>
        <v>1.0626199999999999</v>
      </c>
      <c r="M855">
        <f>RAVLT_Rec!N855</f>
        <v>84.9</v>
      </c>
      <c r="O855" t="e">
        <f>ABS(L855-RAVLT_Rec!$C$34)</f>
        <v>#REF!</v>
      </c>
      <c r="P855">
        <f t="shared" si="14"/>
        <v>84.9</v>
      </c>
    </row>
    <row r="856" spans="10:16">
      <c r="J856" s="5"/>
      <c r="L856">
        <f>RAVLT_Rec!M856</f>
        <v>1.0637011999999999</v>
      </c>
      <c r="M856">
        <f>RAVLT_Rec!N856</f>
        <v>85</v>
      </c>
      <c r="O856" t="e">
        <f>ABS(L856-RAVLT_Rec!$C$34)</f>
        <v>#REF!</v>
      </c>
      <c r="P856">
        <f t="shared" si="14"/>
        <v>85</v>
      </c>
    </row>
    <row r="857" spans="10:16">
      <c r="J857" s="5"/>
      <c r="L857">
        <f>RAVLT_Rec!M857</f>
        <v>1.067658392</v>
      </c>
      <c r="M857">
        <f>RAVLT_Rec!N857</f>
        <v>85.1</v>
      </c>
      <c r="O857" t="e">
        <f>ABS(L857-RAVLT_Rec!$C$34)</f>
        <v>#REF!</v>
      </c>
      <c r="P857">
        <f t="shared" si="14"/>
        <v>85.1</v>
      </c>
    </row>
    <row r="858" spans="10:16">
      <c r="J858" s="5"/>
      <c r="L858">
        <f>RAVLT_Rec!M858</f>
        <v>1.0716155839999999</v>
      </c>
      <c r="M858">
        <f>RAVLT_Rec!N858</f>
        <v>85.2</v>
      </c>
      <c r="O858" t="e">
        <f>ABS(L858-RAVLT_Rec!$C$34)</f>
        <v>#REF!</v>
      </c>
      <c r="P858">
        <f t="shared" si="14"/>
        <v>85.2</v>
      </c>
    </row>
    <row r="859" spans="10:16">
      <c r="J859" s="5"/>
      <c r="L859">
        <f>RAVLT_Rec!M859</f>
        <v>1.0734319999999999</v>
      </c>
      <c r="M859">
        <f>RAVLT_Rec!N859</f>
        <v>85.3</v>
      </c>
      <c r="O859" t="e">
        <f>ABS(L859-RAVLT_Rec!$C$34)</f>
        <v>#REF!</v>
      </c>
      <c r="P859">
        <f t="shared" si="14"/>
        <v>85.3</v>
      </c>
    </row>
    <row r="860" spans="10:16">
      <c r="J860" s="5"/>
      <c r="L860">
        <f>RAVLT_Rec!M860</f>
        <v>1.0734319999999999</v>
      </c>
      <c r="M860">
        <f>RAVLT_Rec!N860</f>
        <v>85.4</v>
      </c>
      <c r="O860" t="e">
        <f>ABS(L860-RAVLT_Rec!$C$34)</f>
        <v>#REF!</v>
      </c>
      <c r="P860">
        <f t="shared" si="14"/>
        <v>85.4</v>
      </c>
    </row>
    <row r="861" spans="10:16">
      <c r="J861" s="5"/>
      <c r="L861">
        <f>RAVLT_Rec!M861</f>
        <v>1.0734319999999999</v>
      </c>
      <c r="M861">
        <f>RAVLT_Rec!N861</f>
        <v>85.5</v>
      </c>
      <c r="O861" t="e">
        <f>ABS(L861-RAVLT_Rec!$C$34)</f>
        <v>#REF!</v>
      </c>
      <c r="P861">
        <f t="shared" si="14"/>
        <v>85.5</v>
      </c>
    </row>
    <row r="862" spans="10:16">
      <c r="J862" s="5"/>
      <c r="L862">
        <f>RAVLT_Rec!M862</f>
        <v>1.0734319999999999</v>
      </c>
      <c r="M862">
        <f>RAVLT_Rec!N862</f>
        <v>85.6</v>
      </c>
      <c r="O862" t="e">
        <f>ABS(L862-RAVLT_Rec!$C$34)</f>
        <v>#REF!</v>
      </c>
      <c r="P862">
        <f t="shared" si="14"/>
        <v>85.6</v>
      </c>
    </row>
    <row r="863" spans="10:16">
      <c r="J863" s="5"/>
      <c r="L863">
        <f>RAVLT_Rec!M863</f>
        <v>1.0734319999999999</v>
      </c>
      <c r="M863">
        <f>RAVLT_Rec!N863</f>
        <v>85.7</v>
      </c>
      <c r="O863" t="e">
        <f>ABS(L863-RAVLT_Rec!$C$34)</f>
        <v>#REF!</v>
      </c>
      <c r="P863">
        <f t="shared" si="14"/>
        <v>85.7</v>
      </c>
    </row>
    <row r="864" spans="10:16">
      <c r="J864" s="5"/>
      <c r="L864">
        <f>RAVLT_Rec!M864</f>
        <v>1.0736452480000001</v>
      </c>
      <c r="M864">
        <f>RAVLT_Rec!N864</f>
        <v>85.8</v>
      </c>
      <c r="O864" t="e">
        <f>ABS(L864-RAVLT_Rec!$C$34)</f>
        <v>#REF!</v>
      </c>
      <c r="P864">
        <f t="shared" si="14"/>
        <v>85.8</v>
      </c>
    </row>
    <row r="865" spans="10:16">
      <c r="J865" s="5"/>
      <c r="L865">
        <f>RAVLT_Rec!M865</f>
        <v>1.0764327039999999</v>
      </c>
      <c r="M865">
        <f>RAVLT_Rec!N865</f>
        <v>85.9</v>
      </c>
      <c r="O865" t="e">
        <f>ABS(L865-RAVLT_Rec!$C$34)</f>
        <v>#REF!</v>
      </c>
      <c r="P865">
        <f t="shared" si="14"/>
        <v>85.9</v>
      </c>
    </row>
    <row r="866" spans="10:16">
      <c r="J866" s="5"/>
      <c r="L866">
        <f>RAVLT_Rec!M866</f>
        <v>1.07922016</v>
      </c>
      <c r="M866">
        <f>RAVLT_Rec!N866</f>
        <v>86</v>
      </c>
      <c r="O866" t="e">
        <f>ABS(L866-RAVLT_Rec!$C$34)</f>
        <v>#REF!</v>
      </c>
      <c r="P866">
        <f t="shared" si="14"/>
        <v>86</v>
      </c>
    </row>
    <row r="867" spans="10:16">
      <c r="J867" s="5"/>
      <c r="L867">
        <f>RAVLT_Rec!M867</f>
        <v>1.0833737080000001</v>
      </c>
      <c r="M867">
        <f>RAVLT_Rec!N867</f>
        <v>86.1</v>
      </c>
      <c r="O867" t="e">
        <f>ABS(L867-RAVLT_Rec!$C$34)</f>
        <v>#REF!</v>
      </c>
      <c r="P867">
        <f t="shared" si="14"/>
        <v>86.1</v>
      </c>
    </row>
    <row r="868" spans="10:16">
      <c r="J868" s="5"/>
      <c r="L868">
        <f>RAVLT_Rec!M868</f>
        <v>1.0901293359999999</v>
      </c>
      <c r="M868">
        <f>RAVLT_Rec!N868</f>
        <v>86.2</v>
      </c>
      <c r="O868" t="e">
        <f>ABS(L868-RAVLT_Rec!$C$34)</f>
        <v>#REF!</v>
      </c>
      <c r="P868">
        <f t="shared" si="14"/>
        <v>86.2</v>
      </c>
    </row>
    <row r="869" spans="10:16">
      <c r="J869" s="5"/>
      <c r="L869">
        <f>RAVLT_Rec!M869</f>
        <v>1.096884964</v>
      </c>
      <c r="M869">
        <f>RAVLT_Rec!N869</f>
        <v>86.3</v>
      </c>
      <c r="O869" t="e">
        <f>ABS(L869-RAVLT_Rec!$C$34)</f>
        <v>#REF!</v>
      </c>
      <c r="P869">
        <f t="shared" si="14"/>
        <v>86.3</v>
      </c>
    </row>
    <row r="870" spans="10:16">
      <c r="J870" s="5"/>
      <c r="L870">
        <f>RAVLT_Rec!M870</f>
        <v>1.0995060000000001</v>
      </c>
      <c r="M870">
        <f>RAVLT_Rec!N870</f>
        <v>86.4</v>
      </c>
      <c r="O870" t="e">
        <f>ABS(L870-RAVLT_Rec!$C$34)</f>
        <v>#REF!</v>
      </c>
      <c r="P870">
        <f t="shared" si="14"/>
        <v>86.4</v>
      </c>
    </row>
    <row r="871" spans="10:16">
      <c r="J871" s="5"/>
      <c r="L871">
        <f>RAVLT_Rec!M871</f>
        <v>1.0995060000000001</v>
      </c>
      <c r="M871">
        <f>RAVLT_Rec!N871</f>
        <v>86.5</v>
      </c>
      <c r="O871" t="e">
        <f>ABS(L871-RAVLT_Rec!$C$34)</f>
        <v>#REF!</v>
      </c>
      <c r="P871">
        <f t="shared" si="14"/>
        <v>86.5</v>
      </c>
    </row>
    <row r="872" spans="10:16">
      <c r="J872" s="5"/>
      <c r="L872">
        <f>RAVLT_Rec!M872</f>
        <v>1.0995060000000001</v>
      </c>
      <c r="M872">
        <f>RAVLT_Rec!N872</f>
        <v>86.6</v>
      </c>
      <c r="O872" t="e">
        <f>ABS(L872-RAVLT_Rec!$C$34)</f>
        <v>#REF!</v>
      </c>
      <c r="P872">
        <f t="shared" si="14"/>
        <v>86.6</v>
      </c>
    </row>
    <row r="873" spans="10:16">
      <c r="J873" s="5"/>
      <c r="L873">
        <f>RAVLT_Rec!M873</f>
        <v>1.100996538</v>
      </c>
      <c r="M873">
        <f>RAVLT_Rec!N873</f>
        <v>86.7</v>
      </c>
      <c r="O873" t="e">
        <f>ABS(L873-RAVLT_Rec!$C$34)</f>
        <v>#REF!</v>
      </c>
      <c r="P873">
        <f t="shared" si="14"/>
        <v>86.7</v>
      </c>
    </row>
    <row r="874" spans="10:16">
      <c r="J874" s="5"/>
      <c r="L874">
        <f>RAVLT_Rec!M874</f>
        <v>1.102690752</v>
      </c>
      <c r="M874">
        <f>RAVLT_Rec!N874</f>
        <v>86.8</v>
      </c>
      <c r="O874" t="e">
        <f>ABS(L874-RAVLT_Rec!$C$34)</f>
        <v>#REF!</v>
      </c>
      <c r="P874">
        <f t="shared" si="14"/>
        <v>86.8</v>
      </c>
    </row>
    <row r="875" spans="10:16">
      <c r="J875" s="5"/>
      <c r="L875">
        <f>RAVLT_Rec!M875</f>
        <v>1.1042283660000001</v>
      </c>
      <c r="M875">
        <f>RAVLT_Rec!N875</f>
        <v>86.9</v>
      </c>
      <c r="O875" t="e">
        <f>ABS(L875-RAVLT_Rec!$C$34)</f>
        <v>#REF!</v>
      </c>
      <c r="P875">
        <f t="shared" si="14"/>
        <v>86.9</v>
      </c>
    </row>
    <row r="876" spans="10:16">
      <c r="J876" s="5"/>
      <c r="L876">
        <f>RAVLT_Rec!M876</f>
        <v>1.1048611800000001</v>
      </c>
      <c r="M876">
        <f>RAVLT_Rec!N876</f>
        <v>87</v>
      </c>
      <c r="O876" t="e">
        <f>ABS(L876-RAVLT_Rec!$C$34)</f>
        <v>#REF!</v>
      </c>
      <c r="P876">
        <f t="shared" si="14"/>
        <v>87</v>
      </c>
    </row>
    <row r="877" spans="10:16">
      <c r="J877" s="5"/>
      <c r="L877">
        <f>RAVLT_Rec!M877</f>
        <v>1.1054939939999999</v>
      </c>
      <c r="M877">
        <f>RAVLT_Rec!N877</f>
        <v>87.1</v>
      </c>
      <c r="O877" t="e">
        <f>ABS(L877-RAVLT_Rec!$C$34)</f>
        <v>#REF!</v>
      </c>
      <c r="P877">
        <f t="shared" si="14"/>
        <v>87.1</v>
      </c>
    </row>
    <row r="878" spans="10:16">
      <c r="J878" s="5"/>
      <c r="L878">
        <f>RAVLT_Rec!M878</f>
        <v>1.105864</v>
      </c>
      <c r="M878">
        <f>RAVLT_Rec!N878</f>
        <v>87.2</v>
      </c>
      <c r="O878" t="e">
        <f>ABS(L878-RAVLT_Rec!$C$34)</f>
        <v>#REF!</v>
      </c>
      <c r="P878">
        <f t="shared" si="14"/>
        <v>87.2</v>
      </c>
    </row>
    <row r="879" spans="10:16">
      <c r="J879" s="5"/>
      <c r="L879">
        <f>RAVLT_Rec!M879</f>
        <v>1.105864</v>
      </c>
      <c r="M879">
        <f>RAVLT_Rec!N879</f>
        <v>87.3</v>
      </c>
      <c r="O879" t="e">
        <f>ABS(L879-RAVLT_Rec!$C$34)</f>
        <v>#REF!</v>
      </c>
      <c r="P879">
        <f t="shared" si="14"/>
        <v>87.3</v>
      </c>
    </row>
    <row r="880" spans="10:16">
      <c r="J880" s="5"/>
      <c r="L880">
        <f>RAVLT_Rec!M880</f>
        <v>1.105864</v>
      </c>
      <c r="M880">
        <f>RAVLT_Rec!N880</f>
        <v>87.4</v>
      </c>
      <c r="O880" t="e">
        <f>ABS(L880-RAVLT_Rec!$C$34)</f>
        <v>#REF!</v>
      </c>
      <c r="P880">
        <f t="shared" si="14"/>
        <v>87.4</v>
      </c>
    </row>
    <row r="881" spans="10:16">
      <c r="J881" s="5"/>
      <c r="L881">
        <f>RAVLT_Rec!M881</f>
        <v>1.1092285</v>
      </c>
      <c r="M881">
        <f>RAVLT_Rec!N881</f>
        <v>87.5</v>
      </c>
      <c r="O881" t="e">
        <f>ABS(L881-RAVLT_Rec!$C$34)</f>
        <v>#REF!</v>
      </c>
      <c r="P881">
        <f t="shared" si="14"/>
        <v>87.5</v>
      </c>
    </row>
    <row r="882" spans="10:16">
      <c r="J882" s="5"/>
      <c r="L882">
        <f>RAVLT_Rec!M882</f>
        <v>1.114154128</v>
      </c>
      <c r="M882">
        <f>RAVLT_Rec!N882</f>
        <v>87.6</v>
      </c>
      <c r="O882" t="e">
        <f>ABS(L882-RAVLT_Rec!$C$34)</f>
        <v>#REF!</v>
      </c>
      <c r="P882">
        <f t="shared" si="14"/>
        <v>87.6</v>
      </c>
    </row>
    <row r="883" spans="10:16">
      <c r="J883" s="5"/>
      <c r="L883">
        <f>RAVLT_Rec!M883</f>
        <v>1.1190797560000001</v>
      </c>
      <c r="M883">
        <f>RAVLT_Rec!N883</f>
        <v>87.7</v>
      </c>
      <c r="O883" t="e">
        <f>ABS(L883-RAVLT_Rec!$C$34)</f>
        <v>#REF!</v>
      </c>
      <c r="P883">
        <f t="shared" si="14"/>
        <v>87.7</v>
      </c>
    </row>
    <row r="884" spans="10:16">
      <c r="J884" s="5"/>
      <c r="L884">
        <f>RAVLT_Rec!M884</f>
        <v>1.1193219999999999</v>
      </c>
      <c r="M884">
        <f>RAVLT_Rec!N884</f>
        <v>87.8</v>
      </c>
      <c r="O884" t="e">
        <f>ABS(L884-RAVLT_Rec!$C$34)</f>
        <v>#REF!</v>
      </c>
      <c r="P884">
        <f t="shared" si="14"/>
        <v>87.8</v>
      </c>
    </row>
    <row r="885" spans="10:16">
      <c r="J885" s="5"/>
      <c r="L885">
        <f>RAVLT_Rec!M885</f>
        <v>1.1193219999999999</v>
      </c>
      <c r="M885">
        <f>RAVLT_Rec!N885</f>
        <v>87.9</v>
      </c>
      <c r="O885" t="e">
        <f>ABS(L885-RAVLT_Rec!$C$34)</f>
        <v>#REF!</v>
      </c>
      <c r="P885">
        <f t="shared" si="14"/>
        <v>87.9</v>
      </c>
    </row>
    <row r="886" spans="10:16">
      <c r="J886" s="5"/>
      <c r="L886">
        <f>RAVLT_Rec!M886</f>
        <v>1.1193219999999999</v>
      </c>
      <c r="M886">
        <f>RAVLT_Rec!N886</f>
        <v>88</v>
      </c>
      <c r="O886" t="e">
        <f>ABS(L886-RAVLT_Rec!$C$34)</f>
        <v>#REF!</v>
      </c>
      <c r="P886">
        <f t="shared" si="14"/>
        <v>88</v>
      </c>
    </row>
    <row r="887" spans="10:16">
      <c r="J887" s="5"/>
      <c r="L887">
        <f>RAVLT_Rec!M887</f>
        <v>1.1193219999999999</v>
      </c>
      <c r="M887">
        <f>RAVLT_Rec!N887</f>
        <v>88.1</v>
      </c>
      <c r="O887" t="e">
        <f>ABS(L887-RAVLT_Rec!$C$34)</f>
        <v>#REF!</v>
      </c>
      <c r="P887">
        <f t="shared" si="14"/>
        <v>88.1</v>
      </c>
    </row>
    <row r="888" spans="10:16">
      <c r="J888" s="5"/>
      <c r="L888">
        <f>RAVLT_Rec!M888</f>
        <v>1.1193219999999999</v>
      </c>
      <c r="M888">
        <f>RAVLT_Rec!N888</f>
        <v>88.2</v>
      </c>
      <c r="O888" t="e">
        <f>ABS(L888-RAVLT_Rec!$C$34)</f>
        <v>#REF!</v>
      </c>
      <c r="P888">
        <f t="shared" si="14"/>
        <v>88.2</v>
      </c>
    </row>
    <row r="889" spans="10:16">
      <c r="J889" s="5"/>
      <c r="L889">
        <f>RAVLT_Rec!M889</f>
        <v>1.1214823860000001</v>
      </c>
      <c r="M889">
        <f>RAVLT_Rec!N889</f>
        <v>88.3</v>
      </c>
      <c r="O889" t="e">
        <f>ABS(L889-RAVLT_Rec!$C$34)</f>
        <v>#REF!</v>
      </c>
      <c r="P889">
        <f t="shared" si="14"/>
        <v>88.3</v>
      </c>
    </row>
    <row r="890" spans="10:16">
      <c r="J890" s="5"/>
      <c r="L890">
        <f>RAVLT_Rec!M890</f>
        <v>1.1259245280000001</v>
      </c>
      <c r="M890">
        <f>RAVLT_Rec!N890</f>
        <v>88.4</v>
      </c>
      <c r="O890" t="e">
        <f>ABS(L890-RAVLT_Rec!$C$34)</f>
        <v>#REF!</v>
      </c>
      <c r="P890">
        <f t="shared" si="14"/>
        <v>88.4</v>
      </c>
    </row>
    <row r="891" spans="10:16">
      <c r="J891" s="5"/>
      <c r="L891">
        <f>RAVLT_Rec!M891</f>
        <v>1.1303666699999999</v>
      </c>
      <c r="M891">
        <f>RAVLT_Rec!N891</f>
        <v>88.5</v>
      </c>
      <c r="O891" t="e">
        <f>ABS(L891-RAVLT_Rec!$C$34)</f>
        <v>#REF!</v>
      </c>
      <c r="P891">
        <f t="shared" si="14"/>
        <v>88.5</v>
      </c>
    </row>
    <row r="892" spans="10:16">
      <c r="J892" s="5"/>
      <c r="L892">
        <f>RAVLT_Rec!M892</f>
        <v>1.131459</v>
      </c>
      <c r="M892">
        <f>RAVLT_Rec!N892</f>
        <v>88.6</v>
      </c>
      <c r="O892" t="e">
        <f>ABS(L892-RAVLT_Rec!$C$34)</f>
        <v>#REF!</v>
      </c>
      <c r="P892">
        <f t="shared" si="14"/>
        <v>88.6</v>
      </c>
    </row>
    <row r="893" spans="10:16">
      <c r="J893" s="5"/>
      <c r="L893">
        <f>RAVLT_Rec!M893</f>
        <v>1.131459</v>
      </c>
      <c r="M893">
        <f>RAVLT_Rec!N893</f>
        <v>88.7</v>
      </c>
      <c r="O893" t="e">
        <f>ABS(L893-RAVLT_Rec!$C$34)</f>
        <v>#REF!</v>
      </c>
      <c r="P893">
        <f t="shared" si="14"/>
        <v>88.7</v>
      </c>
    </row>
    <row r="894" spans="10:16">
      <c r="J894" s="5"/>
      <c r="L894">
        <f>RAVLT_Rec!M894</f>
        <v>1.1314625920000001</v>
      </c>
      <c r="M894">
        <f>RAVLT_Rec!N894</f>
        <v>88.8</v>
      </c>
      <c r="O894" t="e">
        <f>ABS(L894-RAVLT_Rec!$C$34)</f>
        <v>#REF!</v>
      </c>
      <c r="P894">
        <f t="shared" si="14"/>
        <v>88.8</v>
      </c>
    </row>
    <row r="895" spans="10:16">
      <c r="J895" s="5"/>
      <c r="L895">
        <f>RAVLT_Rec!M895</f>
        <v>1.131626926</v>
      </c>
      <c r="M895">
        <f>RAVLT_Rec!N895</f>
        <v>88.9</v>
      </c>
      <c r="O895" t="e">
        <f>ABS(L895-RAVLT_Rec!$C$34)</f>
        <v>#REF!</v>
      </c>
      <c r="P895">
        <f t="shared" si="14"/>
        <v>88.9</v>
      </c>
    </row>
    <row r="896" spans="10:16">
      <c r="J896" s="5"/>
      <c r="L896">
        <f>RAVLT_Rec!M896</f>
        <v>1.13179126</v>
      </c>
      <c r="M896">
        <f>RAVLT_Rec!N896</f>
        <v>89</v>
      </c>
      <c r="O896" t="e">
        <f>ABS(L896-RAVLT_Rec!$C$34)</f>
        <v>#REF!</v>
      </c>
      <c r="P896">
        <f t="shared" si="14"/>
        <v>89</v>
      </c>
    </row>
    <row r="897" spans="10:16">
      <c r="J897" s="5"/>
      <c r="L897">
        <f>RAVLT_Rec!M897</f>
        <v>1.1319079999999999</v>
      </c>
      <c r="M897">
        <f>RAVLT_Rec!N897</f>
        <v>89.1</v>
      </c>
      <c r="O897" t="e">
        <f>ABS(L897-RAVLT_Rec!$C$34)</f>
        <v>#REF!</v>
      </c>
      <c r="P897">
        <f t="shared" si="14"/>
        <v>89.1</v>
      </c>
    </row>
    <row r="898" spans="10:16">
      <c r="J898" s="5"/>
      <c r="L898">
        <f>RAVLT_Rec!M898</f>
        <v>1.1319079999999999</v>
      </c>
      <c r="M898">
        <f>RAVLT_Rec!N898</f>
        <v>89.2</v>
      </c>
      <c r="O898" t="e">
        <f>ABS(L898-RAVLT_Rec!$C$34)</f>
        <v>#REF!</v>
      </c>
      <c r="P898">
        <f t="shared" si="14"/>
        <v>89.2</v>
      </c>
    </row>
    <row r="899" spans="10:16">
      <c r="J899" s="5"/>
      <c r="L899">
        <f>RAVLT_Rec!M899</f>
        <v>1.1319079999999999</v>
      </c>
      <c r="M899">
        <f>RAVLT_Rec!N899</f>
        <v>89.3</v>
      </c>
      <c r="O899" t="e">
        <f>ABS(L899-RAVLT_Rec!$C$34)</f>
        <v>#REF!</v>
      </c>
      <c r="P899">
        <f t="shared" si="14"/>
        <v>89.3</v>
      </c>
    </row>
    <row r="900" spans="10:16">
      <c r="J900" s="5"/>
      <c r="L900">
        <f>RAVLT_Rec!M900</f>
        <v>1.1322545959999999</v>
      </c>
      <c r="M900">
        <f>RAVLT_Rec!N900</f>
        <v>89.4</v>
      </c>
      <c r="O900" t="e">
        <f>ABS(L900-RAVLT_Rec!$C$34)</f>
        <v>#REF!</v>
      </c>
      <c r="P900">
        <f t="shared" si="14"/>
        <v>89.4</v>
      </c>
    </row>
    <row r="901" spans="10:16">
      <c r="J901" s="5"/>
      <c r="L901">
        <f>RAVLT_Rec!M901</f>
        <v>1.13287643</v>
      </c>
      <c r="M901">
        <f>RAVLT_Rec!N901</f>
        <v>89.5</v>
      </c>
      <c r="O901" t="e">
        <f>ABS(L901-RAVLT_Rec!$C$34)</f>
        <v>#REF!</v>
      </c>
      <c r="P901">
        <f t="shared" si="14"/>
        <v>89.5</v>
      </c>
    </row>
    <row r="902" spans="10:16">
      <c r="J902" s="5"/>
      <c r="L902">
        <f>RAVLT_Rec!M902</f>
        <v>1.133498264</v>
      </c>
      <c r="M902">
        <f>RAVLT_Rec!N902</f>
        <v>89.6</v>
      </c>
      <c r="O902" t="e">
        <f>ABS(L902-RAVLT_Rec!$C$34)</f>
        <v>#REF!</v>
      </c>
      <c r="P902">
        <f t="shared" si="14"/>
        <v>89.6</v>
      </c>
    </row>
    <row r="903" spans="10:16">
      <c r="J903" s="5"/>
      <c r="L903">
        <f>RAVLT_Rec!M903</f>
        <v>1.133607</v>
      </c>
      <c r="M903">
        <f>RAVLT_Rec!N903</f>
        <v>89.7</v>
      </c>
      <c r="O903" t="e">
        <f>ABS(L903-RAVLT_Rec!$C$34)</f>
        <v>#REF!</v>
      </c>
      <c r="P903">
        <f t="shared" ref="P903:P966" si="15">M903</f>
        <v>89.7</v>
      </c>
    </row>
    <row r="904" spans="10:16">
      <c r="J904" s="5"/>
      <c r="L904">
        <f>RAVLT_Rec!M904</f>
        <v>1.133607</v>
      </c>
      <c r="M904">
        <f>RAVLT_Rec!N904</f>
        <v>89.8</v>
      </c>
      <c r="O904" t="e">
        <f>ABS(L904-RAVLT_Rec!$C$34)</f>
        <v>#REF!</v>
      </c>
      <c r="P904">
        <f t="shared" si="15"/>
        <v>89.8</v>
      </c>
    </row>
    <row r="905" spans="10:16">
      <c r="J905" s="5"/>
      <c r="L905">
        <f>RAVLT_Rec!M905</f>
        <v>1.133712026</v>
      </c>
      <c r="M905">
        <f>RAVLT_Rec!N905</f>
        <v>89.9</v>
      </c>
      <c r="O905" t="e">
        <f>ABS(L905-RAVLT_Rec!$C$34)</f>
        <v>#REF!</v>
      </c>
      <c r="P905">
        <f t="shared" si="15"/>
        <v>89.9</v>
      </c>
    </row>
    <row r="906" spans="10:16">
      <c r="J906" s="5"/>
      <c r="L906">
        <f>RAVLT_Rec!M906</f>
        <v>1.1348426</v>
      </c>
      <c r="M906">
        <f>RAVLT_Rec!N906</f>
        <v>90</v>
      </c>
      <c r="O906" t="e">
        <f>ABS(L906-RAVLT_Rec!$C$34)</f>
        <v>#REF!</v>
      </c>
      <c r="P906">
        <f t="shared" si="15"/>
        <v>90</v>
      </c>
    </row>
    <row r="907" spans="10:16">
      <c r="J907" s="5"/>
      <c r="L907">
        <f>RAVLT_Rec!M907</f>
        <v>1.1359731740000001</v>
      </c>
      <c r="M907">
        <f>RAVLT_Rec!N907</f>
        <v>90.1</v>
      </c>
      <c r="O907" t="e">
        <f>ABS(L907-RAVLT_Rec!$C$34)</f>
        <v>#REF!</v>
      </c>
      <c r="P907">
        <f t="shared" si="15"/>
        <v>90.1</v>
      </c>
    </row>
    <row r="908" spans="10:16">
      <c r="J908" s="5"/>
      <c r="L908">
        <f>RAVLT_Rec!M908</f>
        <v>1.1425227440000001</v>
      </c>
      <c r="M908">
        <f>RAVLT_Rec!N908</f>
        <v>90.2</v>
      </c>
      <c r="O908" t="e">
        <f>ABS(L908-RAVLT_Rec!$C$34)</f>
        <v>#REF!</v>
      </c>
      <c r="P908">
        <f t="shared" si="15"/>
        <v>90.2</v>
      </c>
    </row>
    <row r="909" spans="10:16">
      <c r="J909" s="5"/>
      <c r="L909">
        <f>RAVLT_Rec!M909</f>
        <v>1.1586787160000001</v>
      </c>
      <c r="M909">
        <f>RAVLT_Rec!N909</f>
        <v>90.3</v>
      </c>
      <c r="O909" t="e">
        <f>ABS(L909-RAVLT_Rec!$C$34)</f>
        <v>#REF!</v>
      </c>
      <c r="P909">
        <f t="shared" si="15"/>
        <v>90.3</v>
      </c>
    </row>
    <row r="910" spans="10:16">
      <c r="J910" s="5"/>
      <c r="L910">
        <f>RAVLT_Rec!M910</f>
        <v>1.174834688</v>
      </c>
      <c r="M910">
        <f>RAVLT_Rec!N910</f>
        <v>90.4</v>
      </c>
      <c r="O910" t="e">
        <f>ABS(L910-RAVLT_Rec!$C$34)</f>
        <v>#REF!</v>
      </c>
      <c r="P910">
        <f t="shared" si="15"/>
        <v>90.4</v>
      </c>
    </row>
    <row r="911" spans="10:16">
      <c r="J911" s="5"/>
      <c r="L911">
        <f>RAVLT_Rec!M911</f>
        <v>1.1846615199999999</v>
      </c>
      <c r="M911">
        <f>RAVLT_Rec!N911</f>
        <v>90.5</v>
      </c>
      <c r="O911" t="e">
        <f>ABS(L911-RAVLT_Rec!$C$34)</f>
        <v>#REF!</v>
      </c>
      <c r="P911">
        <f t="shared" si="15"/>
        <v>90.5</v>
      </c>
    </row>
    <row r="912" spans="10:16">
      <c r="J912" s="5"/>
      <c r="L912">
        <f>RAVLT_Rec!M912</f>
        <v>1.1907459039999999</v>
      </c>
      <c r="M912">
        <f>RAVLT_Rec!N912</f>
        <v>90.6</v>
      </c>
      <c r="O912" t="e">
        <f>ABS(L912-RAVLT_Rec!$C$34)</f>
        <v>#REF!</v>
      </c>
      <c r="P912">
        <f t="shared" si="15"/>
        <v>90.6</v>
      </c>
    </row>
    <row r="913" spans="10:16">
      <c r="J913" s="5"/>
      <c r="L913">
        <f>RAVLT_Rec!M913</f>
        <v>1.1968302879999999</v>
      </c>
      <c r="M913">
        <f>RAVLT_Rec!N913</f>
        <v>90.7</v>
      </c>
      <c r="O913" t="e">
        <f>ABS(L913-RAVLT_Rec!$C$34)</f>
        <v>#REF!</v>
      </c>
      <c r="P913">
        <f t="shared" si="15"/>
        <v>90.7</v>
      </c>
    </row>
    <row r="914" spans="10:16">
      <c r="J914" s="5"/>
      <c r="L914">
        <f>RAVLT_Rec!M914</f>
        <v>1.2099276400000001</v>
      </c>
      <c r="M914">
        <f>RAVLT_Rec!N914</f>
        <v>90.8</v>
      </c>
      <c r="O914" t="e">
        <f>ABS(L914-RAVLT_Rec!$C$34)</f>
        <v>#REF!</v>
      </c>
      <c r="P914">
        <f t="shared" si="15"/>
        <v>90.8</v>
      </c>
    </row>
    <row r="915" spans="10:16">
      <c r="J915" s="5"/>
      <c r="L915">
        <f>RAVLT_Rec!M915</f>
        <v>1.2238374700000001</v>
      </c>
      <c r="M915">
        <f>RAVLT_Rec!N915</f>
        <v>90.9</v>
      </c>
      <c r="O915" t="e">
        <f>ABS(L915-RAVLT_Rec!$C$34)</f>
        <v>#REF!</v>
      </c>
      <c r="P915">
        <f t="shared" si="15"/>
        <v>90.9</v>
      </c>
    </row>
    <row r="916" spans="10:16">
      <c r="J916" s="5"/>
      <c r="L916">
        <f>RAVLT_Rec!M916</f>
        <v>1.2354670000000001</v>
      </c>
      <c r="M916">
        <f>RAVLT_Rec!N916</f>
        <v>91</v>
      </c>
      <c r="O916" t="e">
        <f>ABS(L916-RAVLT_Rec!$C$34)</f>
        <v>#REF!</v>
      </c>
      <c r="P916">
        <f t="shared" si="15"/>
        <v>91</v>
      </c>
    </row>
    <row r="917" spans="10:16">
      <c r="J917" s="5"/>
      <c r="L917">
        <f>RAVLT_Rec!M917</f>
        <v>1.2354670000000001</v>
      </c>
      <c r="M917">
        <f>RAVLT_Rec!N917</f>
        <v>91.1</v>
      </c>
      <c r="O917" t="e">
        <f>ABS(L917-RAVLT_Rec!$C$34)</f>
        <v>#REF!</v>
      </c>
      <c r="P917">
        <f t="shared" si="15"/>
        <v>91.1</v>
      </c>
    </row>
    <row r="918" spans="10:16">
      <c r="J918" s="5"/>
      <c r="L918">
        <f>RAVLT_Rec!M918</f>
        <v>1.2354670000000001</v>
      </c>
      <c r="M918">
        <f>RAVLT_Rec!N918</f>
        <v>91.2</v>
      </c>
      <c r="O918" t="e">
        <f>ABS(L918-RAVLT_Rec!$C$34)</f>
        <v>#REF!</v>
      </c>
      <c r="P918">
        <f t="shared" si="15"/>
        <v>91.2</v>
      </c>
    </row>
    <row r="919" spans="10:16">
      <c r="J919" s="5"/>
      <c r="L919">
        <f>RAVLT_Rec!M919</f>
        <v>1.2419127679999999</v>
      </c>
      <c r="M919">
        <f>RAVLT_Rec!N919</f>
        <v>91.3</v>
      </c>
      <c r="O919" t="e">
        <f>ABS(L919-RAVLT_Rec!$C$34)</f>
        <v>#REF!</v>
      </c>
      <c r="P919">
        <f t="shared" si="15"/>
        <v>91.3</v>
      </c>
    </row>
    <row r="920" spans="10:16">
      <c r="J920" s="5"/>
      <c r="L920">
        <f>RAVLT_Rec!M920</f>
        <v>1.256844104</v>
      </c>
      <c r="M920">
        <f>RAVLT_Rec!N920</f>
        <v>91.4</v>
      </c>
      <c r="O920" t="e">
        <f>ABS(L920-RAVLT_Rec!$C$34)</f>
        <v>#REF!</v>
      </c>
      <c r="P920">
        <f t="shared" si="15"/>
        <v>91.4</v>
      </c>
    </row>
    <row r="921" spans="10:16">
      <c r="J921" s="5"/>
      <c r="L921">
        <f>RAVLT_Rec!M921</f>
        <v>1.2717754400000001</v>
      </c>
      <c r="M921">
        <f>RAVLT_Rec!N921</f>
        <v>91.5</v>
      </c>
      <c r="O921" t="e">
        <f>ABS(L921-RAVLT_Rec!$C$34)</f>
        <v>#REF!</v>
      </c>
      <c r="P921">
        <f t="shared" si="15"/>
        <v>91.5</v>
      </c>
    </row>
    <row r="922" spans="10:16">
      <c r="J922" s="5"/>
      <c r="L922">
        <f>RAVLT_Rec!M922</f>
        <v>1.2872809839999999</v>
      </c>
      <c r="M922">
        <f>RAVLT_Rec!N922</f>
        <v>91.6</v>
      </c>
      <c r="O922" t="e">
        <f>ABS(L922-RAVLT_Rec!$C$34)</f>
        <v>#REF!</v>
      </c>
      <c r="P922">
        <f t="shared" si="15"/>
        <v>91.6</v>
      </c>
    </row>
    <row r="923" spans="10:16">
      <c r="J923" s="5"/>
      <c r="L923">
        <f>RAVLT_Rec!M923</f>
        <v>1.3030332579999999</v>
      </c>
      <c r="M923">
        <f>RAVLT_Rec!N923</f>
        <v>91.7</v>
      </c>
      <c r="O923" t="e">
        <f>ABS(L923-RAVLT_Rec!$C$34)</f>
        <v>#REF!</v>
      </c>
      <c r="P923">
        <f t="shared" si="15"/>
        <v>91.7</v>
      </c>
    </row>
    <row r="924" spans="10:16">
      <c r="J924" s="5"/>
      <c r="L924">
        <f>RAVLT_Rec!M924</f>
        <v>1.3187855319999999</v>
      </c>
      <c r="M924">
        <f>RAVLT_Rec!N924</f>
        <v>91.8</v>
      </c>
      <c r="O924" t="e">
        <f>ABS(L924-RAVLT_Rec!$C$34)</f>
        <v>#REF!</v>
      </c>
      <c r="P924">
        <f t="shared" si="15"/>
        <v>91.8</v>
      </c>
    </row>
    <row r="925" spans="10:16">
      <c r="J925" s="5"/>
      <c r="L925">
        <f>RAVLT_Rec!M925</f>
        <v>1.319302</v>
      </c>
      <c r="M925">
        <f>RAVLT_Rec!N925</f>
        <v>91.9</v>
      </c>
      <c r="O925" t="e">
        <f>ABS(L925-RAVLT_Rec!$C$34)</f>
        <v>#REF!</v>
      </c>
      <c r="P925">
        <f t="shared" si="15"/>
        <v>91.9</v>
      </c>
    </row>
    <row r="926" spans="10:16">
      <c r="J926" s="5"/>
      <c r="L926">
        <f>RAVLT_Rec!M926</f>
        <v>1.319302</v>
      </c>
      <c r="M926">
        <f>RAVLT_Rec!N926</f>
        <v>92</v>
      </c>
      <c r="O926" t="e">
        <f>ABS(L926-RAVLT_Rec!$C$34)</f>
        <v>#REF!</v>
      </c>
      <c r="P926">
        <f t="shared" si="15"/>
        <v>92</v>
      </c>
    </row>
    <row r="927" spans="10:16">
      <c r="J927" s="5"/>
      <c r="L927">
        <f>RAVLT_Rec!M927</f>
        <v>1.32224535</v>
      </c>
      <c r="M927">
        <f>RAVLT_Rec!N927</f>
        <v>92.1</v>
      </c>
      <c r="O927" t="e">
        <f>ABS(L927-RAVLT_Rec!$C$34)</f>
        <v>#REF!</v>
      </c>
      <c r="P927">
        <f t="shared" si="15"/>
        <v>92.1</v>
      </c>
    </row>
    <row r="928" spans="10:16">
      <c r="J928" s="5"/>
      <c r="L928">
        <f>RAVLT_Rec!M928</f>
        <v>1.3347716999999999</v>
      </c>
      <c r="M928">
        <f>RAVLT_Rec!N928</f>
        <v>92.2</v>
      </c>
      <c r="O928" t="e">
        <f>ABS(L928-RAVLT_Rec!$C$34)</f>
        <v>#REF!</v>
      </c>
      <c r="P928">
        <f t="shared" si="15"/>
        <v>92.2</v>
      </c>
    </row>
    <row r="929" spans="10:16">
      <c r="J929" s="5"/>
      <c r="L929">
        <f>RAVLT_Rec!M929</f>
        <v>1.34729805</v>
      </c>
      <c r="M929">
        <f>RAVLT_Rec!N929</f>
        <v>92.3</v>
      </c>
      <c r="O929" t="e">
        <f>ABS(L929-RAVLT_Rec!$C$34)</f>
        <v>#REF!</v>
      </c>
      <c r="P929">
        <f t="shared" si="15"/>
        <v>92.3</v>
      </c>
    </row>
    <row r="930" spans="10:16">
      <c r="J930" s="5"/>
      <c r="L930">
        <f>RAVLT_Rec!M930</f>
        <v>1.3535269999999999</v>
      </c>
      <c r="M930">
        <f>RAVLT_Rec!N930</f>
        <v>92.4</v>
      </c>
      <c r="O930" t="e">
        <f>ABS(L930-RAVLT_Rec!$C$34)</f>
        <v>#REF!</v>
      </c>
      <c r="P930">
        <f t="shared" si="15"/>
        <v>92.4</v>
      </c>
    </row>
    <row r="931" spans="10:16">
      <c r="J931" s="5"/>
      <c r="L931">
        <f>RAVLT_Rec!M931</f>
        <v>1.3535269999999999</v>
      </c>
      <c r="M931">
        <f>RAVLT_Rec!N931</f>
        <v>92.5</v>
      </c>
      <c r="O931" t="e">
        <f>ABS(L931-RAVLT_Rec!$C$34)</f>
        <v>#REF!</v>
      </c>
      <c r="P931">
        <f t="shared" si="15"/>
        <v>92.5</v>
      </c>
    </row>
    <row r="932" spans="10:16">
      <c r="J932" s="5"/>
      <c r="L932">
        <f>RAVLT_Rec!M932</f>
        <v>1.3535269999999999</v>
      </c>
      <c r="M932">
        <f>RAVLT_Rec!N932</f>
        <v>92.6</v>
      </c>
      <c r="O932" t="e">
        <f>ABS(L932-RAVLT_Rec!$C$34)</f>
        <v>#REF!</v>
      </c>
      <c r="P932">
        <f t="shared" si="15"/>
        <v>92.6</v>
      </c>
    </row>
    <row r="933" spans="10:16">
      <c r="J933" s="5"/>
      <c r="L933">
        <f>RAVLT_Rec!M933</f>
        <v>1.367918306</v>
      </c>
      <c r="M933">
        <f>RAVLT_Rec!N933</f>
        <v>92.7</v>
      </c>
      <c r="O933" t="e">
        <f>ABS(L933-RAVLT_Rec!$C$34)</f>
        <v>#REF!</v>
      </c>
      <c r="P933">
        <f t="shared" si="15"/>
        <v>92.7</v>
      </c>
    </row>
    <row r="934" spans="10:16">
      <c r="J934" s="5"/>
      <c r="L934">
        <f>RAVLT_Rec!M934</f>
        <v>1.386596384</v>
      </c>
      <c r="M934">
        <f>RAVLT_Rec!N934</f>
        <v>92.8</v>
      </c>
      <c r="O934" t="e">
        <f>ABS(L934-RAVLT_Rec!$C$34)</f>
        <v>#REF!</v>
      </c>
      <c r="P934">
        <f t="shared" si="15"/>
        <v>92.8</v>
      </c>
    </row>
    <row r="935" spans="10:16">
      <c r="J935" s="5"/>
      <c r="L935">
        <f>RAVLT_Rec!M935</f>
        <v>1.404622174</v>
      </c>
      <c r="M935">
        <f>RAVLT_Rec!N935</f>
        <v>92.9</v>
      </c>
      <c r="O935" t="e">
        <f>ABS(L935-RAVLT_Rec!$C$34)</f>
        <v>#REF!</v>
      </c>
      <c r="P935">
        <f t="shared" si="15"/>
        <v>92.9</v>
      </c>
    </row>
    <row r="936" spans="10:16">
      <c r="J936" s="5"/>
      <c r="L936">
        <f>RAVLT_Rec!M936</f>
        <v>1.4062475800000001</v>
      </c>
      <c r="M936">
        <f>RAVLT_Rec!N936</f>
        <v>93</v>
      </c>
      <c r="O936" t="e">
        <f>ABS(L936-RAVLT_Rec!$C$34)</f>
        <v>#REF!</v>
      </c>
      <c r="P936">
        <f t="shared" si="15"/>
        <v>93</v>
      </c>
    </row>
    <row r="937" spans="10:16">
      <c r="J937" s="5"/>
      <c r="L937">
        <f>RAVLT_Rec!M937</f>
        <v>1.4078729860000001</v>
      </c>
      <c r="M937">
        <f>RAVLT_Rec!N937</f>
        <v>93.1</v>
      </c>
      <c r="O937" t="e">
        <f>ABS(L937-RAVLT_Rec!$C$34)</f>
        <v>#REF!</v>
      </c>
      <c r="P937">
        <f t="shared" si="15"/>
        <v>93.1</v>
      </c>
    </row>
    <row r="938" spans="10:16">
      <c r="J938" s="5"/>
      <c r="L938">
        <f>RAVLT_Rec!M938</f>
        <v>1.4090009999999999</v>
      </c>
      <c r="M938">
        <f>RAVLT_Rec!N938</f>
        <v>93.2</v>
      </c>
      <c r="O938" t="e">
        <f>ABS(L938-RAVLT_Rec!$C$34)</f>
        <v>#REF!</v>
      </c>
      <c r="P938">
        <f t="shared" si="15"/>
        <v>93.2</v>
      </c>
    </row>
    <row r="939" spans="10:16">
      <c r="J939" s="5"/>
      <c r="L939">
        <f>RAVLT_Rec!M939</f>
        <v>1.4090009999999999</v>
      </c>
      <c r="M939">
        <f>RAVLT_Rec!N939</f>
        <v>93.3</v>
      </c>
      <c r="O939" t="e">
        <f>ABS(L939-RAVLT_Rec!$C$34)</f>
        <v>#REF!</v>
      </c>
      <c r="P939">
        <f t="shared" si="15"/>
        <v>93.3</v>
      </c>
    </row>
    <row r="940" spans="10:16">
      <c r="J940" s="5"/>
      <c r="L940">
        <f>RAVLT_Rec!M940</f>
        <v>1.4090009999999999</v>
      </c>
      <c r="M940">
        <f>RAVLT_Rec!N940</f>
        <v>93.4</v>
      </c>
      <c r="O940" t="e">
        <f>ABS(L940-RAVLT_Rec!$C$34)</f>
        <v>#REF!</v>
      </c>
      <c r="P940">
        <f t="shared" si="15"/>
        <v>93.4</v>
      </c>
    </row>
    <row r="941" spans="10:16">
      <c r="J941" s="5"/>
      <c r="L941">
        <f>RAVLT_Rec!M941</f>
        <v>1.41835209</v>
      </c>
      <c r="M941">
        <f>RAVLT_Rec!N941</f>
        <v>93.5</v>
      </c>
      <c r="O941" t="e">
        <f>ABS(L941-RAVLT_Rec!$C$34)</f>
        <v>#REF!</v>
      </c>
      <c r="P941">
        <f t="shared" si="15"/>
        <v>93.5</v>
      </c>
    </row>
    <row r="942" spans="10:16">
      <c r="J942" s="5"/>
      <c r="L942">
        <f>RAVLT_Rec!M942</f>
        <v>1.4346497039999999</v>
      </c>
      <c r="M942">
        <f>RAVLT_Rec!N942</f>
        <v>93.6</v>
      </c>
      <c r="O942" t="e">
        <f>ABS(L942-RAVLT_Rec!$C$34)</f>
        <v>#REF!</v>
      </c>
      <c r="P942">
        <f t="shared" si="15"/>
        <v>93.6</v>
      </c>
    </row>
    <row r="943" spans="10:16">
      <c r="J943" s="5"/>
      <c r="L943">
        <f>RAVLT_Rec!M943</f>
        <v>1.4509473180000001</v>
      </c>
      <c r="M943">
        <f>RAVLT_Rec!N943</f>
        <v>93.7</v>
      </c>
      <c r="O943" t="e">
        <f>ABS(L943-RAVLT_Rec!$C$34)</f>
        <v>#REF!</v>
      </c>
      <c r="P943">
        <f t="shared" si="15"/>
        <v>93.7</v>
      </c>
    </row>
    <row r="944" spans="10:16">
      <c r="J944" s="5"/>
      <c r="L944">
        <f>RAVLT_Rec!M944</f>
        <v>1.45353</v>
      </c>
      <c r="M944">
        <f>RAVLT_Rec!N944</f>
        <v>93.8</v>
      </c>
      <c r="O944" t="e">
        <f>ABS(L944-RAVLT_Rec!$C$34)</f>
        <v>#REF!</v>
      </c>
      <c r="P944">
        <f t="shared" si="15"/>
        <v>93.8</v>
      </c>
    </row>
    <row r="945" spans="10:16">
      <c r="J945" s="5"/>
      <c r="L945">
        <f>RAVLT_Rec!M945</f>
        <v>1.45353</v>
      </c>
      <c r="M945">
        <f>RAVLT_Rec!N945</f>
        <v>93.9</v>
      </c>
      <c r="O945" t="e">
        <f>ABS(L945-RAVLT_Rec!$C$34)</f>
        <v>#REF!</v>
      </c>
      <c r="P945">
        <f t="shared" si="15"/>
        <v>93.9</v>
      </c>
    </row>
    <row r="946" spans="10:16">
      <c r="J946" s="5"/>
      <c r="L946">
        <f>RAVLT_Rec!M946</f>
        <v>1.45522884</v>
      </c>
      <c r="M946">
        <f>RAVLT_Rec!N946</f>
        <v>94</v>
      </c>
      <c r="O946" t="e">
        <f>ABS(L946-RAVLT_Rec!$C$34)</f>
        <v>#REF!</v>
      </c>
      <c r="P946">
        <f t="shared" si="15"/>
        <v>94</v>
      </c>
    </row>
    <row r="947" spans="10:16">
      <c r="J947" s="5"/>
      <c r="L947">
        <f>RAVLT_Rec!M947</f>
        <v>1.4707732259999999</v>
      </c>
      <c r="M947">
        <f>RAVLT_Rec!N947</f>
        <v>94.1</v>
      </c>
      <c r="O947" t="e">
        <f>ABS(L947-RAVLT_Rec!$C$34)</f>
        <v>#REF!</v>
      </c>
      <c r="P947">
        <f t="shared" si="15"/>
        <v>94.1</v>
      </c>
    </row>
    <row r="948" spans="10:16">
      <c r="J948" s="5"/>
      <c r="L948">
        <f>RAVLT_Rec!M948</f>
        <v>1.4863176119999999</v>
      </c>
      <c r="M948">
        <f>RAVLT_Rec!N948</f>
        <v>94.2</v>
      </c>
      <c r="O948" t="e">
        <f>ABS(L948-RAVLT_Rec!$C$34)</f>
        <v>#REF!</v>
      </c>
      <c r="P948">
        <f t="shared" si="15"/>
        <v>94.2</v>
      </c>
    </row>
    <row r="949" spans="10:16">
      <c r="J949" s="5"/>
      <c r="L949">
        <f>RAVLT_Rec!M949</f>
        <v>1.4960009999999999</v>
      </c>
      <c r="M949">
        <f>RAVLT_Rec!N949</f>
        <v>94.3</v>
      </c>
      <c r="O949" t="e">
        <f>ABS(L949-RAVLT_Rec!$C$34)</f>
        <v>#REF!</v>
      </c>
      <c r="P949">
        <f t="shared" si="15"/>
        <v>94.3</v>
      </c>
    </row>
    <row r="950" spans="10:16">
      <c r="J950" s="5"/>
      <c r="L950">
        <f>RAVLT_Rec!M950</f>
        <v>1.4960009999999999</v>
      </c>
      <c r="M950">
        <f>RAVLT_Rec!N950</f>
        <v>94.4</v>
      </c>
      <c r="O950" t="e">
        <f>ABS(L950-RAVLT_Rec!$C$34)</f>
        <v>#REF!</v>
      </c>
      <c r="P950">
        <f t="shared" si="15"/>
        <v>94.4</v>
      </c>
    </row>
    <row r="951" spans="10:16">
      <c r="J951" s="5"/>
      <c r="L951">
        <f>RAVLT_Rec!M951</f>
        <v>1.4960009999999999</v>
      </c>
      <c r="M951">
        <f>RAVLT_Rec!N951</f>
        <v>94.5</v>
      </c>
      <c r="O951" t="e">
        <f>ABS(L951-RAVLT_Rec!$C$34)</f>
        <v>#REF!</v>
      </c>
      <c r="P951">
        <f t="shared" si="15"/>
        <v>94.5</v>
      </c>
    </row>
    <row r="952" spans="10:16">
      <c r="J952" s="5"/>
      <c r="L952">
        <f>RAVLT_Rec!M952</f>
        <v>1.4960009999999999</v>
      </c>
      <c r="M952">
        <f>RAVLT_Rec!N952</f>
        <v>94.6</v>
      </c>
      <c r="O952" t="e">
        <f>ABS(L952-RAVLT_Rec!$C$34)</f>
        <v>#REF!</v>
      </c>
      <c r="P952">
        <f t="shared" si="15"/>
        <v>94.6</v>
      </c>
    </row>
    <row r="953" spans="10:16">
      <c r="J953" s="5"/>
      <c r="L953">
        <f>RAVLT_Rec!M953</f>
        <v>1.4960009999999999</v>
      </c>
      <c r="M953">
        <f>RAVLT_Rec!N953</f>
        <v>94.7</v>
      </c>
      <c r="O953" t="e">
        <f>ABS(L953-RAVLT_Rec!$C$34)</f>
        <v>#REF!</v>
      </c>
      <c r="P953">
        <f t="shared" si="15"/>
        <v>94.7</v>
      </c>
    </row>
    <row r="954" spans="10:16">
      <c r="J954" s="5"/>
      <c r="L954">
        <f>RAVLT_Rec!M954</f>
        <v>1.4960009999999999</v>
      </c>
      <c r="M954">
        <f>RAVLT_Rec!N954</f>
        <v>94.8</v>
      </c>
      <c r="O954" t="e">
        <f>ABS(L954-RAVLT_Rec!$C$34)</f>
        <v>#REF!</v>
      </c>
      <c r="P954">
        <f t="shared" si="15"/>
        <v>94.8</v>
      </c>
    </row>
    <row r="955" spans="10:16">
      <c r="J955" s="5"/>
      <c r="L955">
        <f>RAVLT_Rec!M955</f>
        <v>1.4960009999999999</v>
      </c>
      <c r="M955">
        <f>RAVLT_Rec!N955</f>
        <v>94.9</v>
      </c>
      <c r="O955" t="e">
        <f>ABS(L955-RAVLT_Rec!$C$34)</f>
        <v>#REF!</v>
      </c>
      <c r="P955">
        <f t="shared" si="15"/>
        <v>94.9</v>
      </c>
    </row>
    <row r="956" spans="10:16">
      <c r="J956" s="5"/>
      <c r="L956">
        <f>RAVLT_Rec!M956</f>
        <v>1.4960009999999999</v>
      </c>
      <c r="M956">
        <f>RAVLT_Rec!N956</f>
        <v>95</v>
      </c>
      <c r="O956" t="e">
        <f>ABS(L956-RAVLT_Rec!$C$34)</f>
        <v>#REF!</v>
      </c>
      <c r="P956">
        <f t="shared" si="15"/>
        <v>95</v>
      </c>
    </row>
    <row r="957" spans="10:16">
      <c r="J957" s="5"/>
      <c r="L957">
        <f>RAVLT_Rec!M957</f>
        <v>1.4960009999999999</v>
      </c>
      <c r="M957">
        <f>RAVLT_Rec!N957</f>
        <v>95.1</v>
      </c>
      <c r="O957" t="e">
        <f>ABS(L957-RAVLT_Rec!$C$34)</f>
        <v>#REF!</v>
      </c>
      <c r="P957">
        <f t="shared" si="15"/>
        <v>95.1</v>
      </c>
    </row>
    <row r="958" spans="10:16">
      <c r="J958" s="5"/>
      <c r="L958">
        <f>RAVLT_Rec!M958</f>
        <v>1.4960009999999999</v>
      </c>
      <c r="M958">
        <f>RAVLT_Rec!N958</f>
        <v>95.2</v>
      </c>
      <c r="O958" t="e">
        <f>ABS(L958-RAVLT_Rec!$C$34)</f>
        <v>#REF!</v>
      </c>
      <c r="P958">
        <f t="shared" si="15"/>
        <v>95.2</v>
      </c>
    </row>
    <row r="959" spans="10:16">
      <c r="J959" s="5"/>
      <c r="L959">
        <f>RAVLT_Rec!M959</f>
        <v>1.4960009999999999</v>
      </c>
      <c r="M959">
        <f>RAVLT_Rec!N959</f>
        <v>95.3</v>
      </c>
      <c r="O959" t="e">
        <f>ABS(L959-RAVLT_Rec!$C$34)</f>
        <v>#REF!</v>
      </c>
      <c r="P959">
        <f t="shared" si="15"/>
        <v>95.3</v>
      </c>
    </row>
    <row r="960" spans="10:16">
      <c r="J960" s="5"/>
      <c r="L960">
        <f>RAVLT_Rec!M960</f>
        <v>1.496545808</v>
      </c>
      <c r="M960">
        <f>RAVLT_Rec!N960</f>
        <v>95.4</v>
      </c>
      <c r="O960" t="e">
        <f>ABS(L960-RAVLT_Rec!$C$34)</f>
        <v>#REF!</v>
      </c>
      <c r="P960">
        <f t="shared" si="15"/>
        <v>95.4</v>
      </c>
    </row>
    <row r="961" spans="10:16">
      <c r="J961" s="5"/>
      <c r="L961">
        <f>RAVLT_Rec!M961</f>
        <v>1.4977616600000001</v>
      </c>
      <c r="M961">
        <f>RAVLT_Rec!N961</f>
        <v>95.5</v>
      </c>
      <c r="O961" t="e">
        <f>ABS(L961-RAVLT_Rec!$C$34)</f>
        <v>#REF!</v>
      </c>
      <c r="P961">
        <f t="shared" si="15"/>
        <v>95.5</v>
      </c>
    </row>
    <row r="962" spans="10:16">
      <c r="J962" s="5"/>
      <c r="L962">
        <f>RAVLT_Rec!M962</f>
        <v>1.498977512</v>
      </c>
      <c r="M962">
        <f>RAVLT_Rec!N962</f>
        <v>95.6</v>
      </c>
      <c r="O962" t="e">
        <f>ABS(L962-RAVLT_Rec!$C$34)</f>
        <v>#REF!</v>
      </c>
      <c r="P962">
        <f t="shared" si="15"/>
        <v>95.6</v>
      </c>
    </row>
    <row r="963" spans="10:16">
      <c r="J963" s="5"/>
      <c r="L963">
        <f>RAVLT_Rec!M963</f>
        <v>1.508600682</v>
      </c>
      <c r="M963">
        <f>RAVLT_Rec!N963</f>
        <v>95.7</v>
      </c>
      <c r="O963" t="e">
        <f>ABS(L963-RAVLT_Rec!$C$34)</f>
        <v>#REF!</v>
      </c>
      <c r="P963">
        <f t="shared" si="15"/>
        <v>95.7</v>
      </c>
    </row>
    <row r="964" spans="10:16">
      <c r="J964" s="5"/>
      <c r="L964">
        <f>RAVLT_Rec!M964</f>
        <v>1.521561108</v>
      </c>
      <c r="M964">
        <f>RAVLT_Rec!N964</f>
        <v>95.8</v>
      </c>
      <c r="O964" t="e">
        <f>ABS(L964-RAVLT_Rec!$C$34)</f>
        <v>#REF!</v>
      </c>
      <c r="P964">
        <f t="shared" si="15"/>
        <v>95.8</v>
      </c>
    </row>
    <row r="965" spans="10:16">
      <c r="J965" s="5"/>
      <c r="L965">
        <f>RAVLT_Rec!M965</f>
        <v>1.534521534</v>
      </c>
      <c r="M965">
        <f>RAVLT_Rec!N965</f>
        <v>95.9</v>
      </c>
      <c r="O965" t="e">
        <f>ABS(L965-RAVLT_Rec!$C$34)</f>
        <v>#REF!</v>
      </c>
      <c r="P965">
        <f t="shared" si="15"/>
        <v>95.9</v>
      </c>
    </row>
    <row r="966" spans="10:16">
      <c r="J966" s="5"/>
      <c r="L966">
        <f>RAVLT_Rec!M966</f>
        <v>1.534734</v>
      </c>
      <c r="M966">
        <f>RAVLT_Rec!N966</f>
        <v>96</v>
      </c>
      <c r="O966" t="e">
        <f>ABS(L966-RAVLT_Rec!$C$34)</f>
        <v>#REF!</v>
      </c>
      <c r="P966">
        <f t="shared" si="15"/>
        <v>96</v>
      </c>
    </row>
    <row r="967" spans="10:16">
      <c r="J967" s="5"/>
      <c r="L967">
        <f>RAVLT_Rec!M967</f>
        <v>1.534734</v>
      </c>
      <c r="M967">
        <f>RAVLT_Rec!N967</f>
        <v>96.1</v>
      </c>
      <c r="O967" t="e">
        <f>ABS(L967-RAVLT_Rec!$C$34)</f>
        <v>#REF!</v>
      </c>
      <c r="P967">
        <f t="shared" ref="P967:P1006" si="16">M967</f>
        <v>96.1</v>
      </c>
    </row>
    <row r="968" spans="10:16">
      <c r="J968" s="5"/>
      <c r="L968">
        <f>RAVLT_Rec!M968</f>
        <v>1.534734</v>
      </c>
      <c r="M968">
        <f>RAVLT_Rec!N968</f>
        <v>96.2</v>
      </c>
      <c r="O968" t="e">
        <f>ABS(L968-RAVLT_Rec!$C$34)</f>
        <v>#REF!</v>
      </c>
      <c r="P968">
        <f t="shared" si="16"/>
        <v>96.2</v>
      </c>
    </row>
    <row r="969" spans="10:16">
      <c r="J969" s="5"/>
      <c r="L969">
        <f>RAVLT_Rec!M969</f>
        <v>1.534734</v>
      </c>
      <c r="M969">
        <f>RAVLT_Rec!N969</f>
        <v>96.3</v>
      </c>
      <c r="O969" t="e">
        <f>ABS(L969-RAVLT_Rec!$C$34)</f>
        <v>#REF!</v>
      </c>
      <c r="P969">
        <f t="shared" si="16"/>
        <v>96.3</v>
      </c>
    </row>
    <row r="970" spans="10:16">
      <c r="J970" s="5"/>
      <c r="L970">
        <f>RAVLT_Rec!M970</f>
        <v>1.534734</v>
      </c>
      <c r="M970">
        <f>RAVLT_Rec!N970</f>
        <v>96.4</v>
      </c>
      <c r="O970" t="e">
        <f>ABS(L970-RAVLT_Rec!$C$34)</f>
        <v>#REF!</v>
      </c>
      <c r="P970">
        <f t="shared" si="16"/>
        <v>96.4</v>
      </c>
    </row>
    <row r="971" spans="10:16">
      <c r="J971" s="5"/>
      <c r="L971">
        <f>RAVLT_Rec!M971</f>
        <v>1.53569179</v>
      </c>
      <c r="M971">
        <f>RAVLT_Rec!N971</f>
        <v>96.5</v>
      </c>
      <c r="O971" t="e">
        <f>ABS(L971-RAVLT_Rec!$C$34)</f>
        <v>#REF!</v>
      </c>
      <c r="P971">
        <f t="shared" si="16"/>
        <v>96.5</v>
      </c>
    </row>
    <row r="972" spans="10:16">
      <c r="J972" s="5"/>
      <c r="L972">
        <f>RAVLT_Rec!M972</f>
        <v>1.5375367959999999</v>
      </c>
      <c r="M972">
        <f>RAVLT_Rec!N972</f>
        <v>96.6</v>
      </c>
      <c r="O972" t="e">
        <f>ABS(L972-RAVLT_Rec!$C$34)</f>
        <v>#REF!</v>
      </c>
      <c r="P972">
        <f t="shared" si="16"/>
        <v>96.6</v>
      </c>
    </row>
    <row r="973" spans="10:16">
      <c r="J973" s="5"/>
      <c r="L973">
        <f>RAVLT_Rec!M973</f>
        <v>1.5393818020000001</v>
      </c>
      <c r="M973">
        <f>RAVLT_Rec!N973</f>
        <v>96.7</v>
      </c>
      <c r="O973" t="e">
        <f>ABS(L973-RAVLT_Rec!$C$34)</f>
        <v>#REF!</v>
      </c>
      <c r="P973">
        <f t="shared" si="16"/>
        <v>96.7</v>
      </c>
    </row>
    <row r="974" spans="10:16">
      <c r="J974" s="5"/>
      <c r="L974">
        <f>RAVLT_Rec!M974</f>
        <v>1.5478770159999999</v>
      </c>
      <c r="M974">
        <f>RAVLT_Rec!N974</f>
        <v>96.8</v>
      </c>
      <c r="O974" t="e">
        <f>ABS(L974-RAVLT_Rec!$C$34)</f>
        <v>#REF!</v>
      </c>
      <c r="P974">
        <f t="shared" si="16"/>
        <v>96.8</v>
      </c>
    </row>
    <row r="975" spans="10:16">
      <c r="J975" s="5"/>
      <c r="L975">
        <f>RAVLT_Rec!M975</f>
        <v>1.5581733280000001</v>
      </c>
      <c r="M975">
        <f>RAVLT_Rec!N975</f>
        <v>96.9</v>
      </c>
      <c r="O975" t="e">
        <f>ABS(L975-RAVLT_Rec!$C$34)</f>
        <v>#REF!</v>
      </c>
      <c r="P975">
        <f t="shared" si="16"/>
        <v>96.9</v>
      </c>
    </row>
    <row r="976" spans="10:16">
      <c r="J976" s="5"/>
      <c r="L976">
        <f>RAVLT_Rec!M976</f>
        <v>1.5679069999999999</v>
      </c>
      <c r="M976">
        <f>RAVLT_Rec!N976</f>
        <v>97</v>
      </c>
      <c r="O976" t="e">
        <f>ABS(L976-RAVLT_Rec!$C$34)</f>
        <v>#REF!</v>
      </c>
      <c r="P976">
        <f t="shared" si="16"/>
        <v>97</v>
      </c>
    </row>
    <row r="977" spans="10:16">
      <c r="J977" s="5"/>
      <c r="L977">
        <f>RAVLT_Rec!M977</f>
        <v>1.5679069999999999</v>
      </c>
      <c r="M977">
        <f>RAVLT_Rec!N977</f>
        <v>97.1</v>
      </c>
      <c r="O977" t="e">
        <f>ABS(L977-RAVLT_Rec!$C$34)</f>
        <v>#REF!</v>
      </c>
      <c r="P977">
        <f t="shared" si="16"/>
        <v>97.1</v>
      </c>
    </row>
    <row r="978" spans="10:16">
      <c r="J978" s="5"/>
      <c r="L978">
        <f>RAVLT_Rec!M978</f>
        <v>1.5679069999999999</v>
      </c>
      <c r="M978">
        <f>RAVLT_Rec!N978</f>
        <v>97.2</v>
      </c>
      <c r="O978" t="e">
        <f>ABS(L978-RAVLT_Rec!$C$34)</f>
        <v>#REF!</v>
      </c>
      <c r="P978">
        <f t="shared" si="16"/>
        <v>97.2</v>
      </c>
    </row>
    <row r="979" spans="10:16">
      <c r="J979" s="5"/>
      <c r="L979">
        <f>RAVLT_Rec!M979</f>
        <v>1.5679069999999999</v>
      </c>
      <c r="M979">
        <f>RAVLT_Rec!N979</f>
        <v>97.3</v>
      </c>
      <c r="O979" t="e">
        <f>ABS(L979-RAVLT_Rec!$C$34)</f>
        <v>#REF!</v>
      </c>
      <c r="P979">
        <f t="shared" si="16"/>
        <v>97.3</v>
      </c>
    </row>
    <row r="980" spans="10:16">
      <c r="J980" s="5"/>
      <c r="L980">
        <f>RAVLT_Rec!M980</f>
        <v>1.5679069999999999</v>
      </c>
      <c r="M980">
        <f>RAVLT_Rec!N980</f>
        <v>97.4</v>
      </c>
      <c r="O980" t="e">
        <f>ABS(L980-RAVLT_Rec!$C$34)</f>
        <v>#REF!</v>
      </c>
      <c r="P980">
        <f t="shared" si="16"/>
        <v>97.4</v>
      </c>
    </row>
    <row r="981" spans="10:16">
      <c r="J981" s="5"/>
      <c r="L981">
        <f>RAVLT_Rec!M981</f>
        <v>1.5679069999999999</v>
      </c>
      <c r="M981">
        <f>RAVLT_Rec!N981</f>
        <v>97.5</v>
      </c>
      <c r="O981" t="e">
        <f>ABS(L981-RAVLT_Rec!$C$34)</f>
        <v>#REF!</v>
      </c>
      <c r="P981">
        <f t="shared" si="16"/>
        <v>97.5</v>
      </c>
    </row>
    <row r="982" spans="10:16">
      <c r="J982" s="5"/>
      <c r="L982">
        <f>RAVLT_Rec!M982</f>
        <v>1.5690595759999999</v>
      </c>
      <c r="M982">
        <f>RAVLT_Rec!N982</f>
        <v>97.6</v>
      </c>
      <c r="O982" t="e">
        <f>ABS(L982-RAVLT_Rec!$C$34)</f>
        <v>#REF!</v>
      </c>
      <c r="P982">
        <f t="shared" si="16"/>
        <v>97.6</v>
      </c>
    </row>
    <row r="983" spans="10:16">
      <c r="J983" s="5"/>
      <c r="L983">
        <f>RAVLT_Rec!M983</f>
        <v>1.571012552</v>
      </c>
      <c r="M983">
        <f>RAVLT_Rec!N983</f>
        <v>97.7</v>
      </c>
      <c r="O983" t="e">
        <f>ABS(L983-RAVLT_Rec!$C$34)</f>
        <v>#REF!</v>
      </c>
      <c r="P983">
        <f t="shared" si="16"/>
        <v>97.7</v>
      </c>
    </row>
    <row r="984" spans="10:16">
      <c r="J984" s="5"/>
      <c r="L984">
        <f>RAVLT_Rec!M984</f>
        <v>1.5729655279999999</v>
      </c>
      <c r="M984">
        <f>RAVLT_Rec!N984</f>
        <v>97.8</v>
      </c>
      <c r="O984" t="e">
        <f>ABS(L984-RAVLT_Rec!$C$34)</f>
        <v>#REF!</v>
      </c>
      <c r="P984">
        <f t="shared" si="16"/>
        <v>97.8</v>
      </c>
    </row>
    <row r="985" spans="10:16">
      <c r="J985" s="5"/>
      <c r="L985">
        <f>RAVLT_Rec!M985</f>
        <v>1.5810399340000001</v>
      </c>
      <c r="M985">
        <f>RAVLT_Rec!N985</f>
        <v>97.9</v>
      </c>
      <c r="O985" t="e">
        <f>ABS(L985-RAVLT_Rec!$C$34)</f>
        <v>#REF!</v>
      </c>
      <c r="P985">
        <f t="shared" si="16"/>
        <v>97.9</v>
      </c>
    </row>
    <row r="986" spans="10:16">
      <c r="J986" s="5"/>
      <c r="L986">
        <f>RAVLT_Rec!M986</f>
        <v>1.5901280799999999</v>
      </c>
      <c r="M986">
        <f>RAVLT_Rec!N986</f>
        <v>98</v>
      </c>
      <c r="O986" t="e">
        <f>ABS(L986-RAVLT_Rec!$C$34)</f>
        <v>#REF!</v>
      </c>
      <c r="P986">
        <f t="shared" si="16"/>
        <v>98</v>
      </c>
    </row>
    <row r="987" spans="10:16">
      <c r="J987" s="5"/>
      <c r="L987">
        <f>RAVLT_Rec!M987</f>
        <v>1.598074</v>
      </c>
      <c r="M987">
        <f>RAVLT_Rec!N987</f>
        <v>98.1</v>
      </c>
      <c r="O987" t="e">
        <f>ABS(L987-RAVLT_Rec!$C$34)</f>
        <v>#REF!</v>
      </c>
      <c r="P987">
        <f t="shared" si="16"/>
        <v>98.1</v>
      </c>
    </row>
    <row r="988" spans="10:16">
      <c r="J988" s="5"/>
      <c r="L988">
        <f>RAVLT_Rec!M988</f>
        <v>1.598074</v>
      </c>
      <c r="M988">
        <f>RAVLT_Rec!N988</f>
        <v>98.2</v>
      </c>
      <c r="O988" t="e">
        <f>ABS(L988-RAVLT_Rec!$C$34)</f>
        <v>#REF!</v>
      </c>
      <c r="P988">
        <f t="shared" si="16"/>
        <v>98.2</v>
      </c>
    </row>
    <row r="989" spans="10:16">
      <c r="J989" s="5"/>
      <c r="L989">
        <f>RAVLT_Rec!M989</f>
        <v>1.598074</v>
      </c>
      <c r="M989">
        <f>RAVLT_Rec!N989</f>
        <v>98.3</v>
      </c>
      <c r="O989" t="e">
        <f>ABS(L989-RAVLT_Rec!$C$34)</f>
        <v>#REF!</v>
      </c>
      <c r="P989">
        <f t="shared" si="16"/>
        <v>98.3</v>
      </c>
    </row>
    <row r="990" spans="10:16">
      <c r="J990" s="5"/>
      <c r="L990">
        <f>RAVLT_Rec!M990</f>
        <v>1.599865648</v>
      </c>
      <c r="M990">
        <f>RAVLT_Rec!N990</f>
        <v>98.4</v>
      </c>
      <c r="O990" t="e">
        <f>ABS(L990-RAVLT_Rec!$C$34)</f>
        <v>#REF!</v>
      </c>
      <c r="P990">
        <f t="shared" si="16"/>
        <v>98.4</v>
      </c>
    </row>
    <row r="991" spans="10:16">
      <c r="J991" s="5"/>
      <c r="L991">
        <f>RAVLT_Rec!M991</f>
        <v>1.6044194199999999</v>
      </c>
      <c r="M991">
        <f>RAVLT_Rec!N991</f>
        <v>98.5</v>
      </c>
      <c r="O991" t="e">
        <f>ABS(L991-RAVLT_Rec!$C$34)</f>
        <v>#REF!</v>
      </c>
      <c r="P991">
        <f t="shared" si="16"/>
        <v>98.5</v>
      </c>
    </row>
    <row r="992" spans="10:16">
      <c r="J992" s="5"/>
      <c r="L992">
        <f>RAVLT_Rec!M992</f>
        <v>1.6089731920000001</v>
      </c>
      <c r="M992">
        <f>RAVLT_Rec!N992</f>
        <v>98.6</v>
      </c>
      <c r="O992" t="e">
        <f>ABS(L992-RAVLT_Rec!$C$34)</f>
        <v>#REF!</v>
      </c>
      <c r="P992">
        <f t="shared" si="16"/>
        <v>98.6</v>
      </c>
    </row>
    <row r="993" spans="10:16">
      <c r="J993" s="5"/>
      <c r="L993">
        <f>RAVLT_Rec!M993</f>
        <v>1.6105160000000001</v>
      </c>
      <c r="M993">
        <f>RAVLT_Rec!N993</f>
        <v>98.7</v>
      </c>
      <c r="O993" t="e">
        <f>ABS(L993-RAVLT_Rec!$C$34)</f>
        <v>#REF!</v>
      </c>
      <c r="P993">
        <f t="shared" si="16"/>
        <v>98.7</v>
      </c>
    </row>
    <row r="994" spans="10:16">
      <c r="J994" s="5"/>
      <c r="L994">
        <f>RAVLT_Rec!M994</f>
        <v>1.6105160000000001</v>
      </c>
      <c r="M994">
        <f>RAVLT_Rec!N994</f>
        <v>98.8</v>
      </c>
      <c r="O994" t="e">
        <f>ABS(L994-RAVLT_Rec!$C$34)</f>
        <v>#REF!</v>
      </c>
      <c r="P994">
        <f t="shared" si="16"/>
        <v>98.8</v>
      </c>
    </row>
    <row r="995" spans="10:16">
      <c r="J995" s="5"/>
      <c r="L995">
        <f>RAVLT_Rec!M995</f>
        <v>1.6105160000000001</v>
      </c>
      <c r="M995">
        <f>RAVLT_Rec!N995</f>
        <v>98.9</v>
      </c>
      <c r="O995" t="e">
        <f>ABS(L995-RAVLT_Rec!$C$34)</f>
        <v>#REF!</v>
      </c>
      <c r="P995">
        <f t="shared" si="16"/>
        <v>98.9</v>
      </c>
    </row>
    <row r="996" spans="10:16">
      <c r="J996" s="5"/>
      <c r="L996">
        <f>RAVLT_Rec!M996</f>
        <v>1.6105160000000001</v>
      </c>
      <c r="M996">
        <f>RAVLT_Rec!N996</f>
        <v>99</v>
      </c>
      <c r="O996" t="e">
        <f>ABS(L996-RAVLT_Rec!$C$34)</f>
        <v>#REF!</v>
      </c>
      <c r="P996">
        <f t="shared" si="16"/>
        <v>99</v>
      </c>
    </row>
    <row r="997" spans="10:16">
      <c r="J997" s="5"/>
      <c r="L997">
        <f>RAVLT_Rec!M997</f>
        <v>1.6105160000000001</v>
      </c>
      <c r="M997">
        <f>RAVLT_Rec!N997</f>
        <v>99.1</v>
      </c>
      <c r="O997" t="e">
        <f>ABS(L997-RAVLT_Rec!$C$34)</f>
        <v>#REF!</v>
      </c>
      <c r="P997">
        <f t="shared" si="16"/>
        <v>99.1</v>
      </c>
    </row>
    <row r="998" spans="10:16">
      <c r="J998" s="5"/>
      <c r="L998">
        <f>RAVLT_Rec!M998</f>
        <v>1.6105160000000001</v>
      </c>
      <c r="M998">
        <f>RAVLT_Rec!N998</f>
        <v>99.2</v>
      </c>
      <c r="O998" t="e">
        <f>ABS(L998-RAVLT_Rec!$C$34)</f>
        <v>#REF!</v>
      </c>
      <c r="P998">
        <f t="shared" si="16"/>
        <v>99.2</v>
      </c>
    </row>
    <row r="999" spans="10:16">
      <c r="J999" s="5"/>
      <c r="L999">
        <f>RAVLT_Rec!M999</f>
        <v>1.6105160000000001</v>
      </c>
      <c r="M999">
        <f>RAVLT_Rec!N999</f>
        <v>99.3</v>
      </c>
      <c r="O999" t="e">
        <f>ABS(L999-RAVLT_Rec!$C$34)</f>
        <v>#REF!</v>
      </c>
      <c r="P999">
        <f t="shared" si="16"/>
        <v>99.3</v>
      </c>
    </row>
    <row r="1000" spans="10:16">
      <c r="J1000" s="5"/>
      <c r="L1000">
        <f>RAVLT_Rec!M1000</f>
        <v>1.6105160000000001</v>
      </c>
      <c r="M1000">
        <f>RAVLT_Rec!N1000</f>
        <v>99.4</v>
      </c>
      <c r="O1000" t="e">
        <f>ABS(L1000-RAVLT_Rec!$C$34)</f>
        <v>#REF!</v>
      </c>
      <c r="P1000">
        <f t="shared" si="16"/>
        <v>99.4</v>
      </c>
    </row>
    <row r="1001" spans="10:16">
      <c r="J1001" s="5"/>
      <c r="L1001">
        <f>RAVLT_Rec!M1001</f>
        <v>1.6109311399999999</v>
      </c>
      <c r="M1001">
        <f>RAVLT_Rec!N1001</f>
        <v>99.5</v>
      </c>
      <c r="O1001" t="e">
        <f>ABS(L1001-RAVLT_Rec!$C$34)</f>
        <v>#REF!</v>
      </c>
      <c r="P1001">
        <f t="shared" si="16"/>
        <v>99.5</v>
      </c>
    </row>
    <row r="1002" spans="10:16">
      <c r="J1002" s="5"/>
      <c r="L1002">
        <f>RAVLT_Rec!M1002</f>
        <v>1.6118249120000001</v>
      </c>
      <c r="M1002">
        <f>RAVLT_Rec!N1002</f>
        <v>99.6</v>
      </c>
      <c r="O1002" t="e">
        <f>ABS(L1002-RAVLT_Rec!$C$34)</f>
        <v>#REF!</v>
      </c>
      <c r="P1002">
        <f t="shared" si="16"/>
        <v>99.6</v>
      </c>
    </row>
    <row r="1003" spans="10:16">
      <c r="J1003" s="5"/>
      <c r="L1003">
        <f>RAVLT_Rec!M1003</f>
        <v>1.6127186840000001</v>
      </c>
      <c r="M1003">
        <f>RAVLT_Rec!N1003</f>
        <v>99.7</v>
      </c>
      <c r="O1003" t="e">
        <f>ABS(L1003-RAVLT_Rec!$C$34)</f>
        <v>#REF!</v>
      </c>
      <c r="P1003">
        <f t="shared" si="16"/>
        <v>99.7</v>
      </c>
    </row>
    <row r="1004" spans="10:16">
      <c r="J1004" s="5"/>
      <c r="L1004">
        <f>RAVLT_Rec!M1004</f>
        <v>1.6140774360000001</v>
      </c>
      <c r="M1004">
        <f>RAVLT_Rec!N1004</f>
        <v>99.8</v>
      </c>
      <c r="O1004" t="e">
        <f>ABS(L1004-RAVLT_Rec!$C$34)</f>
        <v>#REF!</v>
      </c>
      <c r="P1004">
        <f t="shared" si="16"/>
        <v>99.8</v>
      </c>
    </row>
    <row r="1005" spans="10:16">
      <c r="J1005" s="5"/>
      <c r="L1005">
        <f>RAVLT_Rec!M1005</f>
        <v>1.6156062179999999</v>
      </c>
      <c r="M1005">
        <f>RAVLT_Rec!N1005</f>
        <v>99.9</v>
      </c>
      <c r="O1005" t="e">
        <f>ABS(L1005-RAVLT_Rec!$C$34)</f>
        <v>#REF!</v>
      </c>
      <c r="P1005">
        <f t="shared" si="16"/>
        <v>99.9</v>
      </c>
    </row>
    <row r="1006" spans="10:16">
      <c r="J1006" s="5"/>
      <c r="L1006">
        <f>RAVLT_Rec!M1006</f>
        <v>1.617135</v>
      </c>
      <c r="M1006">
        <f>RAVLT_Rec!N1006</f>
        <v>100</v>
      </c>
      <c r="O1006" t="e">
        <f>ABS(L1006-RAVLT_Rec!$C$34)</f>
        <v>#REF!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1008"/>
  <sheetViews>
    <sheetView topLeftCell="G1" workbookViewId="0">
      <selection activeCell="T6" sqref="T6"/>
    </sheetView>
  </sheetViews>
  <sheetFormatPr baseColWidth="10" defaultRowHeight="15.5"/>
  <sheetData>
    <row r="1" spans="1:20">
      <c r="A1" s="2" t="s">
        <v>4</v>
      </c>
      <c r="J1" s="5"/>
      <c r="L1" s="2" t="s">
        <v>13</v>
      </c>
    </row>
    <row r="2" spans="1:20">
      <c r="A2" s="2"/>
      <c r="J2" s="5"/>
      <c r="L2" s="2"/>
    </row>
    <row r="3" spans="1:20">
      <c r="A3" s="23" t="s">
        <v>18</v>
      </c>
      <c r="G3" s="21">
        <f>SQRT(RAVLT_Delayed!J6)</f>
        <v>2.8047849999999999</v>
      </c>
      <c r="J3" s="5"/>
    </row>
    <row r="4" spans="1:20">
      <c r="A4" s="18"/>
      <c r="B4" s="18"/>
      <c r="C4" s="18"/>
      <c r="D4" s="18"/>
      <c r="E4" s="18"/>
      <c r="F4" s="18"/>
      <c r="G4" s="18"/>
      <c r="H4" s="18"/>
      <c r="I4" s="18"/>
      <c r="J4" s="19"/>
      <c r="L4" t="str">
        <f>RAVLT_Learning!M5</f>
        <v>Delta</v>
      </c>
      <c r="M4" t="str">
        <f>RAVLT_Learning!N5</f>
        <v>Percentile rank</v>
      </c>
      <c r="O4" t="s">
        <v>14</v>
      </c>
      <c r="P4" t="s">
        <v>10</v>
      </c>
    </row>
    <row r="5" spans="1:20">
      <c r="J5" s="5"/>
      <c r="L5">
        <f>RAVLT_Delayed!M6</f>
        <v>-2.3760379999999999</v>
      </c>
      <c r="M5">
        <v>0</v>
      </c>
      <c r="O5">
        <f>ABS(L5-RAVLT_Delayed!$C$34)</f>
        <v>0.4399125431383597</v>
      </c>
      <c r="P5">
        <f>M5</f>
        <v>0</v>
      </c>
      <c r="R5" t="s">
        <v>15</v>
      </c>
      <c r="T5">
        <f>MIN(O5:O1006)</f>
        <v>0.4399125431383597</v>
      </c>
    </row>
    <row r="6" spans="1:20">
      <c r="A6" s="2" t="s">
        <v>28</v>
      </c>
      <c r="J6" s="5"/>
      <c r="L6">
        <f>RAVLT_Delayed!M7</f>
        <v>-2.3514223599999999</v>
      </c>
      <c r="M6">
        <v>0.1</v>
      </c>
      <c r="O6">
        <f>ABS(L6-RAVLT_Delayed!$C$34)</f>
        <v>0.46452818313835964</v>
      </c>
      <c r="P6">
        <f t="shared" ref="P6:P70" si="0">M6</f>
        <v>0.1</v>
      </c>
      <c r="R6" t="s">
        <v>10</v>
      </c>
      <c r="T6">
        <f>VLOOKUP(T5, O5:P1006, 2, )</f>
        <v>0</v>
      </c>
    </row>
    <row r="7" spans="1:20">
      <c r="J7" s="5"/>
      <c r="L7">
        <f>RAVLT_Delayed!M8</f>
        <v>-2.32680672</v>
      </c>
      <c r="M7">
        <v>0.2</v>
      </c>
      <c r="O7">
        <f>ABS(L7-RAVLT_Delayed!$C$34)</f>
        <v>0.48914382313835958</v>
      </c>
      <c r="P7">
        <f t="shared" si="0"/>
        <v>0.2</v>
      </c>
    </row>
    <row r="8" spans="1:20">
      <c r="A8" t="s">
        <v>16</v>
      </c>
      <c r="B8">
        <f>RAVLT_Delayed!C27</f>
        <v>8.8981358441363234</v>
      </c>
      <c r="J8" s="5"/>
    </row>
    <row r="9" spans="1:20">
      <c r="J9" s="5"/>
      <c r="L9">
        <f>RAVLT_Delayed!M9</f>
        <v>-2.304470808</v>
      </c>
      <c r="M9">
        <v>0.3</v>
      </c>
      <c r="O9">
        <f>ABS(L9-RAVLT_Delayed!$C$34)</f>
        <v>0.51147973513835954</v>
      </c>
      <c r="P9">
        <f t="shared" si="0"/>
        <v>0.3</v>
      </c>
    </row>
    <row r="10" spans="1:20">
      <c r="B10" t="str">
        <f>RAVLT_Learning!J10</f>
        <v>Residual variance</v>
      </c>
      <c r="C10" t="str">
        <f>RAVLT_Learning!I10</f>
        <v>Predicted test score</v>
      </c>
      <c r="J10" s="5"/>
      <c r="L10">
        <f>RAVLT_Delayed!M10</f>
        <v>-2.2849327439999998</v>
      </c>
      <c r="M10">
        <v>0.4</v>
      </c>
      <c r="O10">
        <f>ABS(L10-RAVLT_Delayed!$C$34)</f>
        <v>0.53101779913835978</v>
      </c>
      <c r="P10">
        <f t="shared" si="0"/>
        <v>0.4</v>
      </c>
    </row>
    <row r="11" spans="1:20">
      <c r="B11">
        <f>RAVLT_Delayed!J11</f>
        <v>0</v>
      </c>
      <c r="C11">
        <f>RAVLT_Delayed!I11</f>
        <v>0</v>
      </c>
      <c r="J11" s="5"/>
      <c r="L11">
        <f>RAVLT_Delayed!M11</f>
        <v>-2.26539468</v>
      </c>
      <c r="M11">
        <v>0.5</v>
      </c>
      <c r="O11">
        <f>ABS(L11-RAVLT_Delayed!$C$34)</f>
        <v>0.55055586313835958</v>
      </c>
      <c r="P11">
        <f t="shared" si="0"/>
        <v>0.5</v>
      </c>
    </row>
    <row r="12" spans="1:20">
      <c r="B12">
        <f>RAVLT_Delayed!J12</f>
        <v>0</v>
      </c>
      <c r="C12">
        <f>RAVLT_Delayed!I12</f>
        <v>0</v>
      </c>
      <c r="J12" s="5"/>
      <c r="L12">
        <f>RAVLT_Delayed!M12</f>
        <v>-2.2226291919999999</v>
      </c>
      <c r="M12">
        <v>0.6</v>
      </c>
      <c r="O12">
        <f>ABS(L12-RAVLT_Delayed!$C$34)</f>
        <v>0.59332135113835971</v>
      </c>
      <c r="P12">
        <f t="shared" si="0"/>
        <v>0.6</v>
      </c>
    </row>
    <row r="13" spans="1:20">
      <c r="B13">
        <f>RAVLT_Delayed!J13</f>
        <v>0</v>
      </c>
      <c r="C13">
        <f>RAVLT_Delayed!I13</f>
        <v>0</v>
      </c>
      <c r="J13" s="5"/>
      <c r="L13">
        <f>RAVLT_Delayed!M13</f>
        <v>-2.1772242240000002</v>
      </c>
      <c r="M13">
        <v>0.7</v>
      </c>
      <c r="O13">
        <f>ABS(L13-RAVLT_Delayed!$C$34)</f>
        <v>0.63872631913835942</v>
      </c>
      <c r="P13">
        <f t="shared" si="0"/>
        <v>0.7</v>
      </c>
    </row>
    <row r="14" spans="1:20">
      <c r="B14">
        <f>RAVLT_Delayed!J14</f>
        <v>0</v>
      </c>
      <c r="C14">
        <f>RAVLT_Delayed!I14</f>
        <v>0</v>
      </c>
      <c r="J14" s="5"/>
      <c r="L14">
        <f>RAVLT_Delayed!M14</f>
        <v>-2.1455151360000002</v>
      </c>
      <c r="M14">
        <v>0.8</v>
      </c>
      <c r="O14">
        <f>ABS(L14-RAVLT_Delayed!$C$34)</f>
        <v>0.67043540713835936</v>
      </c>
      <c r="P14">
        <f t="shared" si="0"/>
        <v>0.8</v>
      </c>
    </row>
    <row r="15" spans="1:20">
      <c r="B15">
        <f>RAVLT_Delayed!J15</f>
        <v>0</v>
      </c>
      <c r="C15">
        <f>RAVLT_Delayed!I15</f>
        <v>0</v>
      </c>
      <c r="J15" s="5"/>
      <c r="L15">
        <f>RAVLT_Delayed!M15</f>
        <v>-2.1395865280000002</v>
      </c>
      <c r="M15">
        <v>0.9</v>
      </c>
      <c r="O15">
        <f>ABS(L15-RAVLT_Delayed!$C$34)</f>
        <v>0.67636401513835942</v>
      </c>
      <c r="P15">
        <f t="shared" si="0"/>
        <v>0.9</v>
      </c>
    </row>
    <row r="16" spans="1:20">
      <c r="B16">
        <f>RAVLT_Delayed!J16</f>
        <v>0</v>
      </c>
      <c r="C16">
        <f>RAVLT_Delayed!I16</f>
        <v>0</v>
      </c>
      <c r="J16" s="5"/>
      <c r="L16">
        <f>RAVLT_Delayed!M16</f>
        <v>-2.1336579200000001</v>
      </c>
      <c r="M16">
        <v>1</v>
      </c>
      <c r="O16">
        <f>ABS(L16-RAVLT_Delayed!$C$34)</f>
        <v>0.68229262313835948</v>
      </c>
      <c r="P16">
        <f t="shared" si="0"/>
        <v>1</v>
      </c>
    </row>
    <row r="17" spans="1:16">
      <c r="B17">
        <f>RAVLT_Delayed!J17</f>
        <v>0</v>
      </c>
      <c r="C17">
        <f>RAVLT_Delayed!I17</f>
        <v>0</v>
      </c>
      <c r="J17" s="5"/>
      <c r="L17">
        <f>RAVLT_Delayed!M17</f>
        <v>-2.1153376079999999</v>
      </c>
      <c r="M17">
        <v>1.1000000000000001</v>
      </c>
      <c r="O17">
        <f>ABS(L17-RAVLT_Delayed!$C$34)</f>
        <v>0.70061293513835965</v>
      </c>
      <c r="P17">
        <f t="shared" si="0"/>
        <v>1.1000000000000001</v>
      </c>
    </row>
    <row r="18" spans="1:16">
      <c r="B18">
        <f>RAVLT_Delayed!J18</f>
        <v>0</v>
      </c>
      <c r="C18">
        <f>RAVLT_Delayed!I18</f>
        <v>0</v>
      </c>
      <c r="J18" s="5"/>
      <c r="L18">
        <f>RAVLT_Delayed!M18</f>
        <v>-2.0938399360000002</v>
      </c>
      <c r="M18">
        <v>1.2</v>
      </c>
      <c r="O18">
        <f>ABS(L18-RAVLT_Delayed!$C$34)</f>
        <v>0.72211060713835939</v>
      </c>
      <c r="P18">
        <f t="shared" si="0"/>
        <v>1.2</v>
      </c>
    </row>
    <row r="19" spans="1:16">
      <c r="B19">
        <f>RAVLT_Delayed!J19</f>
        <v>0</v>
      </c>
      <c r="C19">
        <f>RAVLT_Delayed!I19</f>
        <v>0</v>
      </c>
      <c r="J19" s="5"/>
      <c r="L19">
        <f>RAVLT_Delayed!M19</f>
        <v>-2.076843416</v>
      </c>
      <c r="M19">
        <v>1.3</v>
      </c>
      <c r="O19">
        <f>ABS(L19-RAVLT_Delayed!$C$34)</f>
        <v>0.73910712713835958</v>
      </c>
      <c r="P19">
        <f t="shared" si="0"/>
        <v>1.3</v>
      </c>
    </row>
    <row r="20" spans="1:16">
      <c r="B20">
        <f>RAVLT_Delayed!J20</f>
        <v>0</v>
      </c>
      <c r="C20">
        <f>RAVLT_Delayed!I20</f>
        <v>0</v>
      </c>
      <c r="E20" t="s">
        <v>36</v>
      </c>
      <c r="G20" s="9">
        <f t="array" ref="G20">INDEX(B11:B22,MATCH(MIN(ABS(C11:C22-B8)),ABS(C11:C22-B8),0))</f>
        <v>0</v>
      </c>
      <c r="J20" s="5"/>
      <c r="L20">
        <f>RAVLT_Delayed!M20</f>
        <v>-2.0737254479999998</v>
      </c>
      <c r="M20">
        <v>1.4</v>
      </c>
      <c r="O20">
        <f>ABS(L20-RAVLT_Delayed!$C$34)</f>
        <v>0.74222509513835977</v>
      </c>
      <c r="P20">
        <f t="shared" si="0"/>
        <v>1.4</v>
      </c>
    </row>
    <row r="21" spans="1:16">
      <c r="B21">
        <f>RAVLT_Delayed!J21</f>
        <v>0</v>
      </c>
      <c r="C21">
        <f>RAVLT_Delayed!I21</f>
        <v>0</v>
      </c>
      <c r="E21" t="s">
        <v>38</v>
      </c>
      <c r="G21" s="21">
        <f>SQRT(G20)</f>
        <v>0</v>
      </c>
      <c r="J21" s="5"/>
      <c r="L21">
        <f>RAVLT_Delayed!M21</f>
        <v>-2.0706074800000001</v>
      </c>
      <c r="M21">
        <v>1.5</v>
      </c>
      <c r="O21">
        <f>ABS(L21-RAVLT_Delayed!$C$34)</f>
        <v>0.74534306313835952</v>
      </c>
      <c r="P21">
        <f t="shared" si="0"/>
        <v>1.5</v>
      </c>
    </row>
    <row r="22" spans="1:16">
      <c r="B22">
        <f>RAVLT_Delayed!J22</f>
        <v>0</v>
      </c>
      <c r="C22">
        <f>RAVLT_Delayed!I22</f>
        <v>0</v>
      </c>
      <c r="J22" s="5"/>
      <c r="L22">
        <f>RAVLT_Delayed!M22</f>
        <v>-2.0686857679999999</v>
      </c>
      <c r="M22">
        <v>1.6</v>
      </c>
      <c r="O22">
        <f>ABS(L22-RAVLT_Delayed!$C$34)</f>
        <v>0.74726477513835965</v>
      </c>
      <c r="P22">
        <f t="shared" si="0"/>
        <v>1.6</v>
      </c>
    </row>
    <row r="23" spans="1:16">
      <c r="E23" t="s">
        <v>20</v>
      </c>
      <c r="F23" s="20" t="s">
        <v>19</v>
      </c>
      <c r="J23" s="5"/>
      <c r="L23">
        <f>RAVLT_Delayed!M23</f>
        <v>-2.067291816</v>
      </c>
      <c r="M23">
        <v>1.7</v>
      </c>
      <c r="O23">
        <f>ABS(L23-RAVLT_Delayed!$C$34)</f>
        <v>0.74865872713835957</v>
      </c>
      <c r="P23">
        <f t="shared" si="0"/>
        <v>1.7</v>
      </c>
    </row>
    <row r="24" spans="1:16">
      <c r="A24" s="18"/>
      <c r="B24" s="18"/>
      <c r="C24" s="18"/>
      <c r="D24" s="18"/>
      <c r="E24" s="18"/>
      <c r="F24" s="18"/>
      <c r="G24" s="18"/>
      <c r="H24" s="18"/>
      <c r="I24" s="18"/>
      <c r="J24" s="19"/>
      <c r="L24">
        <f>RAVLT_Delayed!M24</f>
        <v>-2.0608786399999999</v>
      </c>
      <c r="M24">
        <v>1.8</v>
      </c>
      <c r="O24">
        <f>ABS(L24-RAVLT_Delayed!$C$34)</f>
        <v>0.7550719031383597</v>
      </c>
      <c r="P24">
        <f t="shared" si="0"/>
        <v>1.8</v>
      </c>
    </row>
    <row r="25" spans="1:16">
      <c r="A25" s="2" t="s">
        <v>27</v>
      </c>
      <c r="J25" s="5"/>
      <c r="L25">
        <f>RAVLT_Delayed!M25</f>
        <v>-2.0243501199999998</v>
      </c>
      <c r="M25">
        <v>1.9</v>
      </c>
      <c r="O25">
        <f>ABS(L25-RAVLT_Delayed!$C$34)</f>
        <v>0.79160042313835977</v>
      </c>
      <c r="P25">
        <f t="shared" si="0"/>
        <v>1.9</v>
      </c>
    </row>
    <row r="26" spans="1:16">
      <c r="H26" s="1"/>
      <c r="J26" s="5"/>
      <c r="L26">
        <f>RAVLT_Delayed!M26</f>
        <v>-1.9878216</v>
      </c>
      <c r="M26">
        <v>2</v>
      </c>
      <c r="O26">
        <f>ABS(L26-RAVLT_Delayed!$C$34)</f>
        <v>0.82812894313835961</v>
      </c>
      <c r="P26">
        <f t="shared" si="0"/>
        <v>2</v>
      </c>
    </row>
    <row r="27" spans="1:16">
      <c r="A27" t="str">
        <f>RAVLT_Learning!I26</f>
        <v/>
      </c>
      <c r="B27" t="str">
        <f>RAVLT_Learning!J26</f>
        <v>Estimate</v>
      </c>
      <c r="C27" t="s">
        <v>29</v>
      </c>
      <c r="D27" t="s">
        <v>30</v>
      </c>
      <c r="J27" s="5"/>
      <c r="L27">
        <f>RAVLT_Delayed!M27</f>
        <v>-1.9311854079999999</v>
      </c>
      <c r="M27">
        <v>2.1</v>
      </c>
      <c r="O27">
        <f>ABS(L27-RAVLT_Delayed!$C$34)</f>
        <v>0.88476513513835964</v>
      </c>
      <c r="P27">
        <f t="shared" si="0"/>
        <v>2.1</v>
      </c>
    </row>
    <row r="28" spans="1:16">
      <c r="A28">
        <f>RAVLT_Delayed!I27</f>
        <v>0</v>
      </c>
      <c r="B28">
        <f>RAVLT_Delayed!J27</f>
        <v>0</v>
      </c>
      <c r="C28">
        <v>1</v>
      </c>
      <c r="D28">
        <f>B28*C28</f>
        <v>0</v>
      </c>
      <c r="J28" s="5"/>
      <c r="L28">
        <f>RAVLT_Delayed!M28</f>
        <v>-1.860681856</v>
      </c>
      <c r="M28">
        <v>2.2000000000000002</v>
      </c>
      <c r="O28">
        <f>ABS(L28-RAVLT_Delayed!$C$34)</f>
        <v>0.95526868713835955</v>
      </c>
      <c r="P28">
        <f t="shared" si="0"/>
        <v>2.2000000000000002</v>
      </c>
    </row>
    <row r="29" spans="1:16">
      <c r="A29">
        <f>RAVLT_Delayed!I28</f>
        <v>0</v>
      </c>
      <c r="B29">
        <f>RAVLT_Delayed!J28</f>
        <v>0</v>
      </c>
      <c r="C29">
        <f>B8</f>
        <v>8.8981358441363234</v>
      </c>
      <c r="D29">
        <f t="shared" ref="D29:D33" si="1">B29*C29</f>
        <v>0</v>
      </c>
      <c r="J29" s="5"/>
      <c r="L29">
        <f>RAVLT_Delayed!M29</f>
        <v>-1.7929717279999999</v>
      </c>
      <c r="M29">
        <v>2.2999999999999998</v>
      </c>
      <c r="O29">
        <f>ABS(L29-RAVLT_Delayed!$C$34)</f>
        <v>1.0229788151383596</v>
      </c>
      <c r="P29">
        <f t="shared" si="0"/>
        <v>2.2999999999999998</v>
      </c>
    </row>
    <row r="30" spans="1:16">
      <c r="A30">
        <f>RAVLT_Delayed!I29</f>
        <v>0</v>
      </c>
      <c r="B30">
        <f>RAVLT_Delayed!J29</f>
        <v>0</v>
      </c>
      <c r="C30">
        <f>B8^2</f>
        <v>79.176821500703639</v>
      </c>
      <c r="D30">
        <f t="shared" si="1"/>
        <v>0</v>
      </c>
      <c r="J30" s="5"/>
      <c r="L30">
        <f>RAVLT_Delayed!M30</f>
        <v>-1.790907064</v>
      </c>
      <c r="M30">
        <v>2.4</v>
      </c>
      <c r="O30">
        <f>ABS(L30-RAVLT_Delayed!$C$34)</f>
        <v>1.0250434791383596</v>
      </c>
      <c r="P30">
        <f t="shared" si="0"/>
        <v>2.4</v>
      </c>
    </row>
    <row r="31" spans="1:16">
      <c r="A31">
        <f>RAVLT_Delayed!I30</f>
        <v>0</v>
      </c>
      <c r="B31">
        <f>RAVLT_Delayed!J30</f>
        <v>0</v>
      </c>
      <c r="C31">
        <f>B8^3</f>
        <v>704.52611342019452</v>
      </c>
      <c r="D31">
        <f t="shared" si="1"/>
        <v>0</v>
      </c>
      <c r="J31" s="5"/>
      <c r="L31">
        <f>RAVLT_Delayed!M31</f>
        <v>-1.7888424000000001</v>
      </c>
      <c r="M31">
        <v>2.5</v>
      </c>
      <c r="O31">
        <f>ABS(L31-RAVLT_Delayed!$C$34)</f>
        <v>1.0271081431383595</v>
      </c>
      <c r="P31">
        <f t="shared" si="0"/>
        <v>2.5</v>
      </c>
    </row>
    <row r="32" spans="1:16">
      <c r="A32">
        <f>RAVLT_Delayed!I31</f>
        <v>0</v>
      </c>
      <c r="B32">
        <f>RAVLT_Delayed!J31</f>
        <v>0</v>
      </c>
      <c r="C32">
        <f>B8^4</f>
        <v>6268.9690629542856</v>
      </c>
      <c r="D32">
        <f t="shared" si="1"/>
        <v>0</v>
      </c>
      <c r="J32" s="5"/>
      <c r="L32">
        <f>RAVLT_Delayed!M32</f>
        <v>-1.7823980239999999</v>
      </c>
      <c r="M32">
        <v>2.6</v>
      </c>
      <c r="O32">
        <f>ABS(L32-RAVLT_Delayed!$C$34)</f>
        <v>1.0335525191383597</v>
      </c>
      <c r="P32">
        <f t="shared" si="0"/>
        <v>2.6</v>
      </c>
    </row>
    <row r="33" spans="1:16">
      <c r="A33">
        <f>RAVLT_Delayed!I32</f>
        <v>0</v>
      </c>
      <c r="B33">
        <f>RAVLT_Delayed!J32</f>
        <v>0</v>
      </c>
      <c r="C33">
        <f>B8^5</f>
        <v>55782.13832485523</v>
      </c>
      <c r="D33">
        <f t="shared" si="1"/>
        <v>0</v>
      </c>
      <c r="J33" s="5"/>
      <c r="L33">
        <f>RAVLT_Delayed!M33</f>
        <v>-1.7713914479999999</v>
      </c>
      <c r="M33">
        <v>2.7</v>
      </c>
      <c r="O33">
        <f>ABS(L33-RAVLT_Delayed!$C$34)</f>
        <v>1.0445590951383597</v>
      </c>
      <c r="P33">
        <f t="shared" si="0"/>
        <v>2.7</v>
      </c>
    </row>
    <row r="34" spans="1:16">
      <c r="G34" s="21">
        <f>SQRT(D35)</f>
        <v>0</v>
      </c>
      <c r="J34" s="5"/>
      <c r="L34">
        <f>RAVLT_Delayed!M34</f>
        <v>-1.7603848719999999</v>
      </c>
      <c r="M34">
        <v>2.8</v>
      </c>
      <c r="O34">
        <f>ABS(L34-RAVLT_Delayed!$C$34)</f>
        <v>1.0555656711383596</v>
      </c>
      <c r="P34">
        <f t="shared" si="0"/>
        <v>2.8</v>
      </c>
    </row>
    <row r="35" spans="1:16">
      <c r="A35" s="18"/>
      <c r="B35" s="18" t="s">
        <v>31</v>
      </c>
      <c r="C35" s="18"/>
      <c r="D35" s="18">
        <f>SUM(D28:D34)</f>
        <v>0</v>
      </c>
      <c r="E35" s="18"/>
      <c r="F35" s="18"/>
      <c r="G35" s="18"/>
      <c r="H35" s="18"/>
      <c r="I35" s="18"/>
      <c r="J35" s="19"/>
      <c r="L35">
        <f>RAVLT_Delayed!M35</f>
        <v>-1.758402392</v>
      </c>
      <c r="M35">
        <v>2.9</v>
      </c>
      <c r="O35">
        <f>ABS(L35-RAVLT_Delayed!$C$34)</f>
        <v>1.0575481511383595</v>
      </c>
      <c r="P35">
        <f t="shared" si="0"/>
        <v>2.9</v>
      </c>
    </row>
    <row r="36" spans="1:16">
      <c r="J36" s="5"/>
      <c r="L36">
        <f>RAVLT_Delayed!M36</f>
        <v>-1.7570084399999999</v>
      </c>
      <c r="M36">
        <v>3</v>
      </c>
      <c r="O36">
        <f>ABS(L36-RAVLT_Delayed!$C$34)</f>
        <v>1.0589421031383597</v>
      </c>
      <c r="P36">
        <f t="shared" si="0"/>
        <v>3</v>
      </c>
    </row>
    <row r="37" spans="1:16">
      <c r="A37" s="24" t="s">
        <v>22</v>
      </c>
      <c r="B37" s="24"/>
      <c r="C37" s="24"/>
      <c r="D37" s="24"/>
      <c r="E37" s="24"/>
      <c r="F37" s="24"/>
      <c r="J37" s="5"/>
      <c r="L37">
        <f>RAVLT_Delayed!M37</f>
        <v>-1.752076384</v>
      </c>
      <c r="M37">
        <v>3.1</v>
      </c>
      <c r="O37">
        <f>ABS(L37-RAVLT_Delayed!$C$34)</f>
        <v>1.0638741591383596</v>
      </c>
      <c r="P37">
        <f t="shared" si="0"/>
        <v>3.1</v>
      </c>
    </row>
    <row r="38" spans="1:16">
      <c r="A38" s="24" t="s">
        <v>23</v>
      </c>
      <c r="B38" s="24"/>
      <c r="C38" s="24"/>
      <c r="D38" s="24">
        <f>IF(G3&gt;0, 1, 0)</f>
        <v>1</v>
      </c>
      <c r="E38" s="24"/>
      <c r="F38" s="24"/>
      <c r="G38" s="2" t="s">
        <v>21</v>
      </c>
      <c r="H38" s="2"/>
      <c r="I38" s="2">
        <f>IF(D41=1, G3+G21+G34, )</f>
        <v>2.8047849999999999</v>
      </c>
      <c r="J38" s="5"/>
      <c r="L38">
        <f>RAVLT_Delayed!M38</f>
        <v>-1.741557848</v>
      </c>
      <c r="M38">
        <v>3.2</v>
      </c>
      <c r="O38">
        <f>ABS(L38-RAVLT_Delayed!$C$34)</f>
        <v>1.0743926951383596</v>
      </c>
      <c r="P38">
        <f t="shared" si="0"/>
        <v>3.2</v>
      </c>
    </row>
    <row r="39" spans="1:16">
      <c r="A39" s="24" t="s">
        <v>24</v>
      </c>
      <c r="B39" s="24"/>
      <c r="C39" s="24"/>
      <c r="D39" s="24">
        <f>IF(G21&gt;0, 1, 0)</f>
        <v>0</v>
      </c>
      <c r="E39" s="24"/>
      <c r="F39" s="24"/>
      <c r="I39" s="2" t="str">
        <f>IF(D41=1, " ", "ERROR!")</f>
        <v xml:space="preserve"> </v>
      </c>
      <c r="J39" s="5"/>
      <c r="L39">
        <f>RAVLT_Delayed!M39</f>
        <v>-1.7310393120000001</v>
      </c>
      <c r="M39">
        <v>3.3</v>
      </c>
      <c r="O39">
        <f>ABS(L39-RAVLT_Delayed!$C$34)</f>
        <v>1.0849112311383595</v>
      </c>
      <c r="P39">
        <f t="shared" si="0"/>
        <v>3.3</v>
      </c>
    </row>
    <row r="40" spans="1:16">
      <c r="A40" s="24" t="s">
        <v>25</v>
      </c>
      <c r="B40" s="24"/>
      <c r="C40" s="24"/>
      <c r="D40" s="24">
        <f>IF(G34&gt;0, 1, 0)</f>
        <v>0</v>
      </c>
      <c r="E40" s="24"/>
      <c r="F40" s="24"/>
      <c r="J40" s="5"/>
      <c r="L40">
        <f>RAVLT_Delayed!M40</f>
        <v>-1.727682328</v>
      </c>
      <c r="M40">
        <v>3.4</v>
      </c>
      <c r="O40">
        <f>ABS(L40-RAVLT_Delayed!$C$34)</f>
        <v>1.0882682151383596</v>
      </c>
      <c r="P40">
        <f t="shared" si="0"/>
        <v>3.4</v>
      </c>
    </row>
    <row r="41" spans="1:16">
      <c r="A41" s="24"/>
      <c r="B41" s="24"/>
      <c r="C41" s="24" t="s">
        <v>26</v>
      </c>
      <c r="D41" s="24">
        <f>SUM(D38:D40)</f>
        <v>1</v>
      </c>
      <c r="E41" s="24" t="s">
        <v>32</v>
      </c>
      <c r="F41" s="24"/>
      <c r="J41" s="5"/>
      <c r="L41">
        <f>RAVLT_Delayed!M41</f>
        <v>-1.72572272</v>
      </c>
      <c r="M41">
        <v>3.5</v>
      </c>
      <c r="O41">
        <f>ABS(L41-RAVLT_Delayed!$C$34)</f>
        <v>1.0902278231383595</v>
      </c>
      <c r="P41">
        <f t="shared" si="0"/>
        <v>3.5</v>
      </c>
    </row>
    <row r="42" spans="1:16">
      <c r="A42" s="26" t="str">
        <f>IF(D41&gt;1, "WARNING: only one residual standard error computation should be used!!!", " ")</f>
        <v xml:space="preserve"> </v>
      </c>
      <c r="B42" s="25"/>
      <c r="C42" s="25"/>
      <c r="D42" s="26" t="str">
        <f>IF(G41=1, "", "OK")</f>
        <v>OK</v>
      </c>
      <c r="E42" s="25"/>
      <c r="F42" s="24"/>
      <c r="J42" s="5"/>
      <c r="L42">
        <f>RAVLT_Delayed!M42</f>
        <v>-1.717857688</v>
      </c>
      <c r="M42">
        <v>3.6</v>
      </c>
      <c r="O42">
        <f>ABS(L42-RAVLT_Delayed!$C$34)</f>
        <v>1.0980928551383595</v>
      </c>
      <c r="P42">
        <f t="shared" si="0"/>
        <v>3.6</v>
      </c>
    </row>
    <row r="43" spans="1:16">
      <c r="A43" s="22"/>
      <c r="J43" s="5"/>
      <c r="L43">
        <f>RAVLT_Delayed!M43</f>
        <v>-1.695229096</v>
      </c>
      <c r="M43">
        <v>3.7</v>
      </c>
      <c r="O43">
        <f>ABS(L43-RAVLT_Delayed!$C$34)</f>
        <v>1.1207214471383595</v>
      </c>
      <c r="P43">
        <f t="shared" si="0"/>
        <v>3.7</v>
      </c>
    </row>
    <row r="44" spans="1:16">
      <c r="J44" s="5"/>
      <c r="L44">
        <f>RAVLT_Delayed!M44</f>
        <v>-1.672600504</v>
      </c>
      <c r="M44">
        <v>3.8</v>
      </c>
      <c r="O44">
        <f>ABS(L44-RAVLT_Delayed!$C$34)</f>
        <v>1.1433500391383595</v>
      </c>
      <c r="P44">
        <f t="shared" si="0"/>
        <v>3.8</v>
      </c>
    </row>
    <row r="45" spans="1:16">
      <c r="J45" s="5"/>
      <c r="L45">
        <f>RAVLT_Delayed!M45</f>
        <v>-1.6583452240000001</v>
      </c>
      <c r="M45">
        <v>3.9</v>
      </c>
      <c r="O45">
        <f>ABS(L45-RAVLT_Delayed!$C$34)</f>
        <v>1.1576053191383595</v>
      </c>
      <c r="P45">
        <f t="shared" si="0"/>
        <v>3.9</v>
      </c>
    </row>
    <row r="46" spans="1:16">
      <c r="J46" s="5"/>
      <c r="L46">
        <f>RAVLT_Delayed!M46</f>
        <v>-1.6471136399999999</v>
      </c>
      <c r="M46">
        <v>4</v>
      </c>
      <c r="O46">
        <f>ABS(L46-RAVLT_Delayed!$C$34)</f>
        <v>1.1688369031383596</v>
      </c>
      <c r="P46">
        <f t="shared" si="0"/>
        <v>4</v>
      </c>
    </row>
    <row r="47" spans="1:16">
      <c r="J47" s="5"/>
      <c r="L47">
        <f>RAVLT_Delayed!M47</f>
        <v>-1.6358608880000001</v>
      </c>
      <c r="M47">
        <v>4.0999999999999996</v>
      </c>
      <c r="O47">
        <f>ABS(L47-RAVLT_Delayed!$C$34)</f>
        <v>1.1800896551383595</v>
      </c>
      <c r="P47">
        <f t="shared" si="0"/>
        <v>4.0999999999999996</v>
      </c>
    </row>
    <row r="48" spans="1:16">
      <c r="J48" s="5"/>
      <c r="L48">
        <f>RAVLT_Delayed!M48</f>
        <v>-1.624514056</v>
      </c>
      <c r="M48">
        <v>4.2</v>
      </c>
      <c r="O48">
        <f>ABS(L48-RAVLT_Delayed!$C$34)</f>
        <v>1.1914364871383596</v>
      </c>
      <c r="P48">
        <f t="shared" si="0"/>
        <v>4.2</v>
      </c>
    </row>
    <row r="49" spans="10:16">
      <c r="J49" s="5"/>
      <c r="L49">
        <f>RAVLT_Delayed!M49</f>
        <v>-1.6131672239999999</v>
      </c>
      <c r="M49">
        <v>4.3</v>
      </c>
      <c r="O49">
        <f>ABS(L49-RAVLT_Delayed!$C$34)</f>
        <v>1.2027833191383597</v>
      </c>
      <c r="P49">
        <f t="shared" si="0"/>
        <v>4.3</v>
      </c>
    </row>
    <row r="50" spans="10:16">
      <c r="J50" s="5"/>
      <c r="L50">
        <f>RAVLT_Delayed!M50</f>
        <v>-1.604980656</v>
      </c>
      <c r="M50">
        <v>4.4000000000000004</v>
      </c>
      <c r="O50">
        <f>ABS(L50-RAVLT_Delayed!$C$34)</f>
        <v>1.2109698871383596</v>
      </c>
      <c r="P50">
        <f t="shared" si="0"/>
        <v>4.4000000000000004</v>
      </c>
    </row>
    <row r="51" spans="10:16">
      <c r="J51" s="5"/>
      <c r="L51">
        <f>RAVLT_Delayed!M51</f>
        <v>-1.59862908</v>
      </c>
      <c r="M51">
        <v>4.5</v>
      </c>
      <c r="O51">
        <f>ABS(L51-RAVLT_Delayed!$C$34)</f>
        <v>1.2173214631383595</v>
      </c>
      <c r="P51">
        <f t="shared" si="0"/>
        <v>4.5</v>
      </c>
    </row>
    <row r="52" spans="10:16">
      <c r="J52" s="5"/>
      <c r="L52">
        <f>RAVLT_Delayed!M52</f>
        <v>-1.5924096640000001</v>
      </c>
      <c r="M52">
        <v>4.5999999999999996</v>
      </c>
      <c r="O52">
        <f>ABS(L52-RAVLT_Delayed!$C$34)</f>
        <v>1.2235408791383595</v>
      </c>
      <c r="P52">
        <f t="shared" si="0"/>
        <v>4.5999999999999996</v>
      </c>
    </row>
    <row r="53" spans="10:16">
      <c r="J53" s="5"/>
      <c r="L53">
        <f>RAVLT_Delayed!M53</f>
        <v>-1.587677048</v>
      </c>
      <c r="M53">
        <v>4.7</v>
      </c>
      <c r="O53">
        <f>ABS(L53-RAVLT_Delayed!$C$34)</f>
        <v>1.2282734951383596</v>
      </c>
      <c r="P53">
        <f t="shared" si="0"/>
        <v>4.7</v>
      </c>
    </row>
    <row r="54" spans="10:16">
      <c r="J54" s="5"/>
      <c r="L54">
        <f>RAVLT_Delayed!M54</f>
        <v>-1.5829444319999999</v>
      </c>
      <c r="M54">
        <v>4.8</v>
      </c>
      <c r="O54">
        <f>ABS(L54-RAVLT_Delayed!$C$34)</f>
        <v>1.2330061111383597</v>
      </c>
      <c r="P54">
        <f t="shared" si="0"/>
        <v>4.8</v>
      </c>
    </row>
    <row r="55" spans="10:16">
      <c r="J55" s="5"/>
      <c r="L55">
        <f>RAVLT_Delayed!M55</f>
        <v>-1.5694354639999999</v>
      </c>
      <c r="M55">
        <v>4.9000000000000004</v>
      </c>
      <c r="O55">
        <f>ABS(L55-RAVLT_Delayed!$C$34)</f>
        <v>1.2465150791383597</v>
      </c>
      <c r="P55">
        <f t="shared" si="0"/>
        <v>4.9000000000000004</v>
      </c>
    </row>
    <row r="56" spans="10:16">
      <c r="J56" s="5"/>
      <c r="L56">
        <f>RAVLT_Delayed!M56</f>
        <v>-1.5481628000000001</v>
      </c>
      <c r="M56">
        <v>5</v>
      </c>
      <c r="O56">
        <f>ABS(L56-RAVLT_Delayed!$C$34)</f>
        <v>1.2677877431383595</v>
      </c>
      <c r="P56">
        <f t="shared" si="0"/>
        <v>5</v>
      </c>
    </row>
    <row r="57" spans="10:16">
      <c r="J57" s="5"/>
      <c r="L57">
        <f>RAVLT_Delayed!M57</f>
        <v>-1.526890136</v>
      </c>
      <c r="M57">
        <v>5.0999999999999996</v>
      </c>
      <c r="O57">
        <f>ABS(L57-RAVLT_Delayed!$C$34)</f>
        <v>1.2890604071383596</v>
      </c>
      <c r="P57">
        <f t="shared" si="0"/>
        <v>5.0999999999999996</v>
      </c>
    </row>
    <row r="58" spans="10:16">
      <c r="J58" s="5"/>
      <c r="L58">
        <f>RAVLT_Delayed!M58</f>
        <v>-1.5229235839999999</v>
      </c>
      <c r="M58">
        <v>5.2</v>
      </c>
      <c r="O58">
        <f>ABS(L58-RAVLT_Delayed!$C$34)</f>
        <v>1.2930269591383596</v>
      </c>
      <c r="P58">
        <f t="shared" si="0"/>
        <v>5.2</v>
      </c>
    </row>
    <row r="59" spans="10:16">
      <c r="J59" s="5"/>
      <c r="L59">
        <f>RAVLT_Delayed!M59</f>
        <v>-1.5193175759999999</v>
      </c>
      <c r="M59">
        <v>5.3</v>
      </c>
      <c r="O59">
        <f>ABS(L59-RAVLT_Delayed!$C$34)</f>
        <v>1.2966329671383596</v>
      </c>
      <c r="P59">
        <f t="shared" si="0"/>
        <v>5.3</v>
      </c>
    </row>
    <row r="60" spans="10:16">
      <c r="J60" s="5"/>
      <c r="L60">
        <f>RAVLT_Delayed!M60</f>
        <v>-1.509881128</v>
      </c>
      <c r="M60">
        <v>5.4</v>
      </c>
      <c r="O60">
        <f>ABS(L60-RAVLT_Delayed!$C$34)</f>
        <v>1.3060694151383596</v>
      </c>
      <c r="P60">
        <f t="shared" si="0"/>
        <v>5.4</v>
      </c>
    </row>
    <row r="61" spans="10:16">
      <c r="J61" s="5"/>
      <c r="L61">
        <f>RAVLT_Delayed!M61</f>
        <v>-1.49267076</v>
      </c>
      <c r="M61">
        <v>5.5</v>
      </c>
      <c r="O61">
        <f>ABS(L61-RAVLT_Delayed!$C$34)</f>
        <v>1.3232797831383596</v>
      </c>
      <c r="P61">
        <f t="shared" si="0"/>
        <v>5.5</v>
      </c>
    </row>
    <row r="62" spans="10:16">
      <c r="J62" s="5"/>
      <c r="L62">
        <f>RAVLT_Delayed!M62</f>
        <v>-1.475460392</v>
      </c>
      <c r="M62">
        <v>5.6</v>
      </c>
      <c r="O62">
        <f>ABS(L62-RAVLT_Delayed!$C$34)</f>
        <v>1.3404901511383596</v>
      </c>
      <c r="P62">
        <f t="shared" si="0"/>
        <v>5.6</v>
      </c>
    </row>
    <row r="63" spans="10:16">
      <c r="J63" s="5"/>
      <c r="L63">
        <f>RAVLT_Delayed!M63</f>
        <v>-1.4713103279999999</v>
      </c>
      <c r="M63">
        <v>5.7</v>
      </c>
      <c r="O63">
        <f>ABS(L63-RAVLT_Delayed!$C$34)</f>
        <v>1.3446402151383596</v>
      </c>
      <c r="P63">
        <f t="shared" si="0"/>
        <v>5.7</v>
      </c>
    </row>
    <row r="64" spans="10:16">
      <c r="J64" s="5"/>
      <c r="L64">
        <f>RAVLT_Delayed!M64</f>
        <v>-1.4689826319999999</v>
      </c>
      <c r="M64">
        <v>5.8</v>
      </c>
      <c r="O64">
        <f>ABS(L64-RAVLT_Delayed!$C$34)</f>
        <v>1.3469679111383597</v>
      </c>
      <c r="P64">
        <f t="shared" si="0"/>
        <v>5.8</v>
      </c>
    </row>
    <row r="65" spans="10:16">
      <c r="J65" s="5"/>
      <c r="L65">
        <f>RAVLT_Delayed!M65</f>
        <v>-1.4651564399999999</v>
      </c>
      <c r="M65">
        <v>5.9</v>
      </c>
      <c r="O65">
        <f>ABS(L65-RAVLT_Delayed!$C$34)</f>
        <v>1.3507941031383597</v>
      </c>
      <c r="P65">
        <f t="shared" si="0"/>
        <v>5.9</v>
      </c>
    </row>
    <row r="66" spans="10:16">
      <c r="J66" s="5"/>
      <c r="L66">
        <f>RAVLT_Delayed!M66</f>
        <v>-1.4582396</v>
      </c>
      <c r="M66">
        <v>6</v>
      </c>
      <c r="O66">
        <f>ABS(L66-RAVLT_Delayed!$C$34)</f>
        <v>1.3577109431383596</v>
      </c>
      <c r="P66">
        <f t="shared" si="0"/>
        <v>6</v>
      </c>
    </row>
    <row r="67" spans="10:16">
      <c r="J67" s="5"/>
      <c r="L67">
        <f>RAVLT_Delayed!M67</f>
        <v>-1.45132276</v>
      </c>
      <c r="M67">
        <v>6.1</v>
      </c>
      <c r="O67">
        <f>ABS(L67-RAVLT_Delayed!$C$34)</f>
        <v>1.3646277831383595</v>
      </c>
      <c r="P67">
        <f t="shared" si="0"/>
        <v>6.1</v>
      </c>
    </row>
    <row r="68" spans="10:16">
      <c r="J68" s="5"/>
      <c r="L68">
        <f>RAVLT_Delayed!M68</f>
        <v>-1.4486889759999999</v>
      </c>
      <c r="M68">
        <v>6.2</v>
      </c>
      <c r="O68">
        <f>ABS(L68-RAVLT_Delayed!$C$34)</f>
        <v>1.3672615671383597</v>
      </c>
      <c r="P68">
        <f t="shared" si="0"/>
        <v>6.2</v>
      </c>
    </row>
    <row r="69" spans="10:16">
      <c r="J69" s="5"/>
      <c r="L69">
        <f>RAVLT_Delayed!M69</f>
        <v>-1.447295024</v>
      </c>
      <c r="M69">
        <v>6.3</v>
      </c>
      <c r="O69">
        <f>ABS(L69-RAVLT_Delayed!$C$34)</f>
        <v>1.3686555191383596</v>
      </c>
      <c r="P69">
        <f t="shared" si="0"/>
        <v>6.3</v>
      </c>
    </row>
    <row r="70" spans="10:16">
      <c r="J70" s="5"/>
      <c r="L70">
        <f>RAVLT_Delayed!M70</f>
        <v>-1.445183608</v>
      </c>
      <c r="M70">
        <v>6.4</v>
      </c>
      <c r="O70">
        <f>ABS(L70-RAVLT_Delayed!$C$34)</f>
        <v>1.3707669351383596</v>
      </c>
      <c r="P70">
        <f t="shared" si="0"/>
        <v>6.4</v>
      </c>
    </row>
    <row r="71" spans="10:16">
      <c r="J71" s="5"/>
      <c r="L71">
        <f>RAVLT_Delayed!M71</f>
        <v>-1.4405936800000001</v>
      </c>
      <c r="M71">
        <v>6.5</v>
      </c>
      <c r="O71">
        <f>ABS(L71-RAVLT_Delayed!$C$34)</f>
        <v>1.3753568631383595</v>
      </c>
      <c r="P71">
        <f t="shared" ref="P71:P134" si="2">M71</f>
        <v>6.5</v>
      </c>
    </row>
    <row r="72" spans="10:16">
      <c r="J72" s="5"/>
      <c r="L72">
        <f>RAVLT_Delayed!M72</f>
        <v>-1.436003752</v>
      </c>
      <c r="M72">
        <v>6.6</v>
      </c>
      <c r="O72">
        <f>ABS(L72-RAVLT_Delayed!$C$34)</f>
        <v>1.3799467911383596</v>
      </c>
      <c r="P72">
        <f t="shared" si="2"/>
        <v>6.6</v>
      </c>
    </row>
    <row r="73" spans="10:16">
      <c r="J73" s="5"/>
      <c r="L73">
        <f>RAVLT_Delayed!M73</f>
        <v>-1.424914936</v>
      </c>
      <c r="M73">
        <v>6.7</v>
      </c>
      <c r="O73">
        <f>ABS(L73-RAVLT_Delayed!$C$34)</f>
        <v>1.3910356071383596</v>
      </c>
      <c r="P73">
        <f t="shared" si="2"/>
        <v>6.7</v>
      </c>
    </row>
    <row r="74" spans="10:16">
      <c r="J74" s="5"/>
      <c r="L74">
        <f>RAVLT_Delayed!M74</f>
        <v>-1.410675144</v>
      </c>
      <c r="M74">
        <v>6.8</v>
      </c>
      <c r="O74">
        <f>ABS(L74-RAVLT_Delayed!$C$34)</f>
        <v>1.4052753991383595</v>
      </c>
      <c r="P74">
        <f t="shared" si="2"/>
        <v>6.8</v>
      </c>
    </row>
    <row r="75" spans="10:16">
      <c r="J75" s="5"/>
      <c r="L75">
        <f>RAVLT_Delayed!M75</f>
        <v>-1.3969602800000001</v>
      </c>
      <c r="M75">
        <v>6.9</v>
      </c>
      <c r="O75">
        <f>ABS(L75-RAVLT_Delayed!$C$34)</f>
        <v>1.4189902631383595</v>
      </c>
      <c r="P75">
        <f t="shared" si="2"/>
        <v>6.9</v>
      </c>
    </row>
    <row r="76" spans="10:16">
      <c r="J76" s="5"/>
      <c r="L76">
        <f>RAVLT_Delayed!M76</f>
        <v>-1.3870073999999999</v>
      </c>
      <c r="M76">
        <v>7</v>
      </c>
      <c r="O76">
        <f>ABS(L76-RAVLT_Delayed!$C$34)</f>
        <v>1.4289431431383597</v>
      </c>
      <c r="P76">
        <f t="shared" si="2"/>
        <v>7</v>
      </c>
    </row>
    <row r="77" spans="10:16">
      <c r="J77" s="5"/>
      <c r="L77">
        <f>RAVLT_Delayed!M77</f>
        <v>-1.3770545199999999</v>
      </c>
      <c r="M77">
        <v>7.1</v>
      </c>
      <c r="O77">
        <f>ABS(L77-RAVLT_Delayed!$C$34)</f>
        <v>1.4388960231383596</v>
      </c>
      <c r="P77">
        <f t="shared" si="2"/>
        <v>7.1</v>
      </c>
    </row>
    <row r="78" spans="10:16">
      <c r="J78" s="5"/>
      <c r="L78">
        <f>RAVLT_Delayed!M78</f>
        <v>-1.3686416400000001</v>
      </c>
      <c r="M78">
        <v>7.2</v>
      </c>
      <c r="O78">
        <f>ABS(L78-RAVLT_Delayed!$C$34)</f>
        <v>1.4473089031383595</v>
      </c>
      <c r="P78">
        <f t="shared" si="2"/>
        <v>7.2</v>
      </c>
    </row>
    <row r="79" spans="10:16">
      <c r="J79" s="5"/>
      <c r="L79">
        <f>RAVLT_Delayed!M79</f>
        <v>-1.3613837600000001</v>
      </c>
      <c r="M79">
        <v>7.3</v>
      </c>
      <c r="O79">
        <f>ABS(L79-RAVLT_Delayed!$C$34)</f>
        <v>1.4545667831383595</v>
      </c>
      <c r="P79">
        <f t="shared" si="2"/>
        <v>7.3</v>
      </c>
    </row>
    <row r="80" spans="10:16">
      <c r="J80" s="5"/>
      <c r="L80">
        <f>RAVLT_Delayed!M80</f>
        <v>-1.3540147600000001</v>
      </c>
      <c r="M80">
        <v>7.4</v>
      </c>
      <c r="O80">
        <f>ABS(L80-RAVLT_Delayed!$C$34)</f>
        <v>1.4619357831383595</v>
      </c>
      <c r="P80">
        <f t="shared" si="2"/>
        <v>7.4</v>
      </c>
    </row>
    <row r="81" spans="10:16">
      <c r="J81" s="5"/>
      <c r="L81">
        <f>RAVLT_Delayed!M81</f>
        <v>-1.3413120000000001</v>
      </c>
      <c r="M81">
        <v>7.5</v>
      </c>
      <c r="O81">
        <f>ABS(L81-RAVLT_Delayed!$C$34)</f>
        <v>1.4746385431383595</v>
      </c>
      <c r="P81">
        <f t="shared" si="2"/>
        <v>7.5</v>
      </c>
    </row>
    <row r="82" spans="10:16">
      <c r="J82" s="5"/>
      <c r="L82">
        <f>RAVLT_Delayed!M82</f>
        <v>-1.32860924</v>
      </c>
      <c r="M82">
        <v>7.6</v>
      </c>
      <c r="O82">
        <f>ABS(L82-RAVLT_Delayed!$C$34)</f>
        <v>1.4873413031383595</v>
      </c>
      <c r="P82">
        <f t="shared" si="2"/>
        <v>7.6</v>
      </c>
    </row>
    <row r="83" spans="10:16">
      <c r="J83" s="5"/>
      <c r="L83">
        <f>RAVLT_Delayed!M83</f>
        <v>-1.315782832</v>
      </c>
      <c r="M83">
        <v>7.7</v>
      </c>
      <c r="O83">
        <f>ABS(L83-RAVLT_Delayed!$C$34)</f>
        <v>1.5001677111383596</v>
      </c>
      <c r="P83">
        <f t="shared" si="2"/>
        <v>7.7</v>
      </c>
    </row>
    <row r="84" spans="10:16">
      <c r="J84" s="5"/>
      <c r="L84">
        <f>RAVLT_Delayed!M84</f>
        <v>-1.3028166480000001</v>
      </c>
      <c r="M84">
        <v>7.8</v>
      </c>
      <c r="O84">
        <f>ABS(L84-RAVLT_Delayed!$C$34)</f>
        <v>1.5131338951383595</v>
      </c>
      <c r="P84">
        <f t="shared" si="2"/>
        <v>7.8</v>
      </c>
    </row>
    <row r="85" spans="10:16">
      <c r="J85" s="5"/>
      <c r="L85">
        <f>RAVLT_Delayed!M85</f>
        <v>-1.2898504639999999</v>
      </c>
      <c r="M85">
        <v>7.9</v>
      </c>
      <c r="O85">
        <f>ABS(L85-RAVLT_Delayed!$C$34)</f>
        <v>1.5261000791383597</v>
      </c>
      <c r="P85">
        <f t="shared" si="2"/>
        <v>7.9</v>
      </c>
    </row>
    <row r="86" spans="10:16">
      <c r="J86" s="5"/>
      <c r="L86">
        <f>RAVLT_Delayed!M86</f>
        <v>-1.2861351999999999</v>
      </c>
      <c r="M86">
        <v>8</v>
      </c>
      <c r="O86">
        <f>ABS(L86-RAVLT_Delayed!$C$34)</f>
        <v>1.5298153431383597</v>
      </c>
      <c r="P86">
        <f t="shared" si="2"/>
        <v>8</v>
      </c>
    </row>
    <row r="87" spans="10:16">
      <c r="J87" s="5"/>
      <c r="L87">
        <f>RAVLT_Delayed!M87</f>
        <v>-1.2832422400000001</v>
      </c>
      <c r="M87">
        <v>8.1</v>
      </c>
      <c r="O87">
        <f>ABS(L87-RAVLT_Delayed!$C$34)</f>
        <v>1.5327083031383595</v>
      </c>
      <c r="P87">
        <f t="shared" si="2"/>
        <v>8.1</v>
      </c>
    </row>
    <row r="88" spans="10:16">
      <c r="J88" s="5"/>
      <c r="L88">
        <f>RAVLT_Delayed!M88</f>
        <v>-1.279576864</v>
      </c>
      <c r="M88">
        <v>8.1999999999999993</v>
      </c>
      <c r="O88">
        <f>ABS(L88-RAVLT_Delayed!$C$34)</f>
        <v>1.5363736791383595</v>
      </c>
      <c r="P88">
        <f t="shared" si="2"/>
        <v>8.1999999999999993</v>
      </c>
    </row>
    <row r="89" spans="10:16">
      <c r="J89" s="5"/>
      <c r="L89">
        <f>RAVLT_Delayed!M89</f>
        <v>-1.2745812160000001</v>
      </c>
      <c r="M89">
        <v>8.3000000000000007</v>
      </c>
      <c r="O89">
        <f>ABS(L89-RAVLT_Delayed!$C$34)</f>
        <v>1.5413693271383595</v>
      </c>
      <c r="P89">
        <f t="shared" si="2"/>
        <v>8.3000000000000007</v>
      </c>
    </row>
    <row r="90" spans="10:16">
      <c r="J90" s="5"/>
      <c r="L90">
        <f>RAVLT_Delayed!M90</f>
        <v>-1.2695855680000001</v>
      </c>
      <c r="M90">
        <v>8.4</v>
      </c>
      <c r="O90">
        <f>ABS(L90-RAVLT_Delayed!$C$34)</f>
        <v>1.5463649751383595</v>
      </c>
      <c r="P90">
        <f t="shared" si="2"/>
        <v>8.4</v>
      </c>
    </row>
    <row r="91" spans="10:16">
      <c r="J91" s="5"/>
      <c r="L91">
        <f>RAVLT_Delayed!M91</f>
        <v>-1.2591582400000001</v>
      </c>
      <c r="M91">
        <v>8.5</v>
      </c>
      <c r="O91">
        <f>ABS(L91-RAVLT_Delayed!$C$34)</f>
        <v>1.5567923031383595</v>
      </c>
      <c r="P91">
        <f t="shared" si="2"/>
        <v>8.5</v>
      </c>
    </row>
    <row r="92" spans="10:16">
      <c r="J92" s="5"/>
      <c r="L92">
        <f>RAVLT_Delayed!M92</f>
        <v>-1.2475087840000001</v>
      </c>
      <c r="M92">
        <v>8.6</v>
      </c>
      <c r="O92">
        <f>ABS(L92-RAVLT_Delayed!$C$34)</f>
        <v>1.5684417591383595</v>
      </c>
      <c r="P92">
        <f t="shared" si="2"/>
        <v>8.6</v>
      </c>
    </row>
    <row r="93" spans="10:16">
      <c r="J93" s="5"/>
      <c r="L93">
        <f>RAVLT_Delayed!M93</f>
        <v>-1.236744992</v>
      </c>
      <c r="M93">
        <v>8.6999999999999993</v>
      </c>
      <c r="O93">
        <f>ABS(L93-RAVLT_Delayed!$C$34)</f>
        <v>1.5792055511383596</v>
      </c>
      <c r="P93">
        <f t="shared" si="2"/>
        <v>8.6999999999999993</v>
      </c>
    </row>
    <row r="94" spans="10:16">
      <c r="J94" s="5"/>
      <c r="L94">
        <f>RAVLT_Delayed!M94</f>
        <v>-1.2284338079999999</v>
      </c>
      <c r="M94">
        <v>8.8000000000000007</v>
      </c>
      <c r="O94">
        <f>ABS(L94-RAVLT_Delayed!$C$34)</f>
        <v>1.5875167351383597</v>
      </c>
      <c r="P94">
        <f t="shared" si="2"/>
        <v>8.8000000000000007</v>
      </c>
    </row>
    <row r="95" spans="10:16">
      <c r="J95" s="5"/>
      <c r="L95">
        <f>RAVLT_Delayed!M95</f>
        <v>-1.220122624</v>
      </c>
      <c r="M95">
        <v>8.9</v>
      </c>
      <c r="O95">
        <f>ABS(L95-RAVLT_Delayed!$C$34)</f>
        <v>1.5958279191383595</v>
      </c>
      <c r="P95">
        <f t="shared" si="2"/>
        <v>8.9</v>
      </c>
    </row>
    <row r="96" spans="10:16">
      <c r="J96" s="5"/>
      <c r="L96">
        <f>RAVLT_Delayed!M96</f>
        <v>-1.2106387999999999</v>
      </c>
      <c r="M96">
        <v>9</v>
      </c>
      <c r="O96">
        <f>ABS(L96-RAVLT_Delayed!$C$34)</f>
        <v>1.6053117431383597</v>
      </c>
      <c r="P96">
        <f t="shared" si="2"/>
        <v>9</v>
      </c>
    </row>
    <row r="97" spans="10:16">
      <c r="J97" s="5"/>
      <c r="L97">
        <f>RAVLT_Delayed!M97</f>
        <v>-1.20068592</v>
      </c>
      <c r="M97">
        <v>9.1</v>
      </c>
      <c r="O97">
        <f>ABS(L97-RAVLT_Delayed!$C$34)</f>
        <v>1.6152646231383596</v>
      </c>
      <c r="P97">
        <f t="shared" si="2"/>
        <v>9.1</v>
      </c>
    </row>
    <row r="98" spans="10:16">
      <c r="J98" s="5"/>
      <c r="L98">
        <f>RAVLT_Delayed!M98</f>
        <v>-1.1920380639999999</v>
      </c>
      <c r="M98">
        <v>9.1999999999999993</v>
      </c>
      <c r="O98">
        <f>ABS(L98-RAVLT_Delayed!$C$34)</f>
        <v>1.6239124791383597</v>
      </c>
      <c r="P98">
        <f t="shared" si="2"/>
        <v>9.1999999999999993</v>
      </c>
    </row>
    <row r="99" spans="10:16">
      <c r="J99" s="5"/>
      <c r="L99">
        <f>RAVLT_Delayed!M99</f>
        <v>-1.190078456</v>
      </c>
      <c r="M99">
        <v>9.3000000000000007</v>
      </c>
      <c r="O99">
        <f>ABS(L99-RAVLT_Delayed!$C$34)</f>
        <v>1.6258720871383596</v>
      </c>
      <c r="P99">
        <f t="shared" si="2"/>
        <v>9.3000000000000007</v>
      </c>
    </row>
    <row r="100" spans="10:16">
      <c r="J100" s="5"/>
      <c r="L100">
        <f>RAVLT_Delayed!M100</f>
        <v>-1.188118848</v>
      </c>
      <c r="M100">
        <v>9.4</v>
      </c>
      <c r="O100">
        <f>ABS(L100-RAVLT_Delayed!$C$34)</f>
        <v>1.6278316951383596</v>
      </c>
      <c r="P100">
        <f t="shared" si="2"/>
        <v>9.4</v>
      </c>
    </row>
    <row r="101" spans="10:16">
      <c r="J101" s="5"/>
      <c r="L101">
        <f>RAVLT_Delayed!M101</f>
        <v>-1.1871336400000001</v>
      </c>
      <c r="M101">
        <v>9.5</v>
      </c>
      <c r="O101">
        <f>ABS(L101-RAVLT_Delayed!$C$34)</f>
        <v>1.6288169031383595</v>
      </c>
      <c r="P101">
        <f t="shared" si="2"/>
        <v>9.5</v>
      </c>
    </row>
    <row r="102" spans="10:16">
      <c r="J102" s="5"/>
      <c r="L102">
        <f>RAVLT_Delayed!M102</f>
        <v>-1.186765552</v>
      </c>
      <c r="M102">
        <v>9.6</v>
      </c>
      <c r="O102">
        <f>ABS(L102-RAVLT_Delayed!$C$34)</f>
        <v>1.6291849911383596</v>
      </c>
      <c r="P102">
        <f t="shared" si="2"/>
        <v>9.6</v>
      </c>
    </row>
    <row r="103" spans="10:16">
      <c r="J103" s="5"/>
      <c r="L103">
        <f>RAVLT_Delayed!M103</f>
        <v>-1.1861575360000001</v>
      </c>
      <c r="M103">
        <v>9.6999999999999993</v>
      </c>
      <c r="O103">
        <f>ABS(L103-RAVLT_Delayed!$C$34)</f>
        <v>1.6297930071383595</v>
      </c>
      <c r="P103">
        <f t="shared" si="2"/>
        <v>9.6999999999999993</v>
      </c>
    </row>
    <row r="104" spans="10:16">
      <c r="J104" s="5"/>
      <c r="L104">
        <f>RAVLT_Delayed!M104</f>
        <v>-1.1818706240000001</v>
      </c>
      <c r="M104">
        <v>9.8000000000000007</v>
      </c>
      <c r="O104">
        <f>ABS(L104-RAVLT_Delayed!$C$34)</f>
        <v>1.6340799191383595</v>
      </c>
      <c r="P104">
        <f t="shared" si="2"/>
        <v>9.8000000000000007</v>
      </c>
    </row>
    <row r="105" spans="10:16">
      <c r="J105" s="5"/>
      <c r="L105">
        <f>RAVLT_Delayed!M105</f>
        <v>-1.1775837119999999</v>
      </c>
      <c r="M105">
        <v>9.9</v>
      </c>
      <c r="O105">
        <f>ABS(L105-RAVLT_Delayed!$C$34)</f>
        <v>1.6383668311383597</v>
      </c>
      <c r="P105">
        <f t="shared" si="2"/>
        <v>9.9</v>
      </c>
    </row>
    <row r="106" spans="10:16">
      <c r="J106" s="5"/>
      <c r="L106">
        <f>RAVLT_Delayed!M106</f>
        <v>-1.1751955999999999</v>
      </c>
      <c r="M106">
        <v>10</v>
      </c>
      <c r="O106">
        <f>ABS(L106-RAVLT_Delayed!$C$34)</f>
        <v>1.6407549431383597</v>
      </c>
      <c r="P106">
        <f t="shared" si="2"/>
        <v>10</v>
      </c>
    </row>
    <row r="107" spans="10:16">
      <c r="J107" s="5"/>
      <c r="L107">
        <f>RAVLT_Delayed!M107</f>
        <v>-1.1746303360000001</v>
      </c>
      <c r="M107">
        <v>10.1</v>
      </c>
      <c r="O107">
        <f>ABS(L107-RAVLT_Delayed!$C$34)</f>
        <v>1.6413202071383595</v>
      </c>
      <c r="P107">
        <f t="shared" si="2"/>
        <v>10.1</v>
      </c>
    </row>
    <row r="108" spans="10:16">
      <c r="J108" s="5"/>
      <c r="L108">
        <f>RAVLT_Delayed!M108</f>
        <v>-1.1740650720000001</v>
      </c>
      <c r="M108">
        <v>10.199999999999999</v>
      </c>
      <c r="O108">
        <f>ABS(L108-RAVLT_Delayed!$C$34)</f>
        <v>1.6418854711383595</v>
      </c>
      <c r="P108">
        <f t="shared" si="2"/>
        <v>10.199999999999999</v>
      </c>
    </row>
    <row r="109" spans="10:16">
      <c r="J109" s="5"/>
      <c r="L109">
        <f>RAVLT_Delayed!M109</f>
        <v>-1.1729568640000001</v>
      </c>
      <c r="M109">
        <v>10.3</v>
      </c>
      <c r="O109">
        <f>ABS(L109-RAVLT_Delayed!$C$34)</f>
        <v>1.6429936791383595</v>
      </c>
      <c r="P109">
        <f t="shared" si="2"/>
        <v>10.3</v>
      </c>
    </row>
    <row r="110" spans="10:16">
      <c r="J110" s="5"/>
      <c r="L110">
        <f>RAVLT_Delayed!M110</f>
        <v>-1.171825552</v>
      </c>
      <c r="M110">
        <v>10.4</v>
      </c>
      <c r="O110">
        <f>ABS(L110-RAVLT_Delayed!$C$34)</f>
        <v>1.6441249911383595</v>
      </c>
      <c r="P110">
        <f t="shared" si="2"/>
        <v>10.4</v>
      </c>
    </row>
    <row r="111" spans="10:16">
      <c r="J111" s="5"/>
      <c r="L111">
        <f>RAVLT_Delayed!M111</f>
        <v>-1.1708668799999999</v>
      </c>
      <c r="M111">
        <v>10.5</v>
      </c>
      <c r="O111">
        <f>ABS(L111-RAVLT_Delayed!$C$34)</f>
        <v>1.6450836631383596</v>
      </c>
      <c r="P111">
        <f t="shared" si="2"/>
        <v>10.5</v>
      </c>
    </row>
    <row r="112" spans="10:16">
      <c r="J112" s="5"/>
      <c r="L112">
        <f>RAVLT_Delayed!M112</f>
        <v>-1.170158536</v>
      </c>
      <c r="M112">
        <v>10.6</v>
      </c>
      <c r="O112">
        <f>ABS(L112-RAVLT_Delayed!$C$34)</f>
        <v>1.6457920071383596</v>
      </c>
      <c r="P112">
        <f t="shared" si="2"/>
        <v>10.6</v>
      </c>
    </row>
    <row r="113" spans="10:16">
      <c r="J113" s="5"/>
      <c r="L113">
        <f>RAVLT_Delayed!M113</f>
        <v>-1.169450192</v>
      </c>
      <c r="M113">
        <v>10.7</v>
      </c>
      <c r="O113">
        <f>ABS(L113-RAVLT_Delayed!$C$34)</f>
        <v>1.6465003511383596</v>
      </c>
      <c r="P113">
        <f t="shared" si="2"/>
        <v>10.7</v>
      </c>
    </row>
    <row r="114" spans="10:16">
      <c r="J114" s="5"/>
      <c r="L114">
        <f>RAVLT_Delayed!M114</f>
        <v>-1.16686932</v>
      </c>
      <c r="M114">
        <v>10.8</v>
      </c>
      <c r="O114">
        <f>ABS(L114-RAVLT_Delayed!$C$34)</f>
        <v>1.6490812231383596</v>
      </c>
      <c r="P114">
        <f t="shared" si="2"/>
        <v>10.8</v>
      </c>
    </row>
    <row r="115" spans="10:16">
      <c r="J115" s="5"/>
      <c r="L115">
        <f>RAVLT_Delayed!M115</f>
        <v>-1.1639763599999999</v>
      </c>
      <c r="M115">
        <v>10.9</v>
      </c>
      <c r="O115">
        <f>ABS(L115-RAVLT_Delayed!$C$34)</f>
        <v>1.6519741831383596</v>
      </c>
      <c r="P115">
        <f t="shared" si="2"/>
        <v>10.9</v>
      </c>
    </row>
    <row r="116" spans="10:16">
      <c r="J116" s="5"/>
      <c r="L116">
        <f>RAVLT_Delayed!M116</f>
        <v>-1.16019768</v>
      </c>
      <c r="M116">
        <v>11</v>
      </c>
      <c r="O116">
        <f>ABS(L116-RAVLT_Delayed!$C$34)</f>
        <v>1.6557528631383596</v>
      </c>
      <c r="P116">
        <f t="shared" si="2"/>
        <v>11</v>
      </c>
    </row>
    <row r="117" spans="10:16">
      <c r="J117" s="5"/>
      <c r="L117">
        <f>RAVLT_Delayed!M117</f>
        <v>-1.1544113680000001</v>
      </c>
      <c r="M117">
        <v>11.1</v>
      </c>
      <c r="O117">
        <f>ABS(L117-RAVLT_Delayed!$C$34)</f>
        <v>1.6615391751383595</v>
      </c>
      <c r="P117">
        <f t="shared" si="2"/>
        <v>11.1</v>
      </c>
    </row>
    <row r="118" spans="10:16">
      <c r="J118" s="5"/>
      <c r="L118">
        <f>RAVLT_Delayed!M118</f>
        <v>-1.148625056</v>
      </c>
      <c r="M118">
        <v>11.2</v>
      </c>
      <c r="O118">
        <f>ABS(L118-RAVLT_Delayed!$C$34)</f>
        <v>1.6673254871383596</v>
      </c>
      <c r="P118">
        <f t="shared" si="2"/>
        <v>11.2</v>
      </c>
    </row>
    <row r="119" spans="10:16">
      <c r="J119" s="5"/>
      <c r="L119">
        <f>RAVLT_Delayed!M119</f>
        <v>-1.147208</v>
      </c>
      <c r="M119">
        <v>11.3</v>
      </c>
      <c r="O119">
        <f>ABS(L119-RAVLT_Delayed!$C$34)</f>
        <v>1.6687425431383596</v>
      </c>
      <c r="P119">
        <f t="shared" si="2"/>
        <v>11.3</v>
      </c>
    </row>
    <row r="120" spans="10:16">
      <c r="J120" s="5"/>
      <c r="L120">
        <f>RAVLT_Delayed!M120</f>
        <v>-1.147208</v>
      </c>
      <c r="M120">
        <v>11.4</v>
      </c>
      <c r="O120">
        <f>ABS(L120-RAVLT_Delayed!$C$34)</f>
        <v>1.6687425431383596</v>
      </c>
      <c r="P120">
        <f t="shared" si="2"/>
        <v>11.4</v>
      </c>
    </row>
    <row r="121" spans="10:16">
      <c r="J121" s="5"/>
      <c r="L121">
        <f>RAVLT_Delayed!M121</f>
        <v>-1.14643272</v>
      </c>
      <c r="M121">
        <v>11.5</v>
      </c>
      <c r="O121">
        <f>ABS(L121-RAVLT_Delayed!$C$34)</f>
        <v>1.6695178231383596</v>
      </c>
      <c r="P121">
        <f t="shared" si="2"/>
        <v>11.5</v>
      </c>
    </row>
    <row r="122" spans="10:16">
      <c r="J122" s="5"/>
      <c r="L122">
        <f>RAVLT_Delayed!M122</f>
        <v>-1.142633848</v>
      </c>
      <c r="M122">
        <v>11.6</v>
      </c>
      <c r="O122">
        <f>ABS(L122-RAVLT_Delayed!$C$34)</f>
        <v>1.6733166951383596</v>
      </c>
      <c r="P122">
        <f t="shared" si="2"/>
        <v>11.6</v>
      </c>
    </row>
    <row r="123" spans="10:16">
      <c r="J123" s="5"/>
      <c r="L123">
        <f>RAVLT_Delayed!M123</f>
        <v>-1.1388349760000001</v>
      </c>
      <c r="M123">
        <v>11.7</v>
      </c>
      <c r="O123">
        <f>ABS(L123-RAVLT_Delayed!$C$34)</f>
        <v>1.6771155671383595</v>
      </c>
      <c r="P123">
        <f t="shared" si="2"/>
        <v>11.7</v>
      </c>
    </row>
    <row r="124" spans="10:16">
      <c r="J124" s="5"/>
      <c r="L124">
        <f>RAVLT_Delayed!M124</f>
        <v>-1.136829128</v>
      </c>
      <c r="M124">
        <v>11.8</v>
      </c>
      <c r="O124">
        <f>ABS(L124-RAVLT_Delayed!$C$34)</f>
        <v>1.6791214151383596</v>
      </c>
      <c r="P124">
        <f t="shared" si="2"/>
        <v>11.8</v>
      </c>
    </row>
    <row r="125" spans="10:16">
      <c r="J125" s="5"/>
      <c r="L125">
        <f>RAVLT_Delayed!M125</f>
        <v>-1.135775824</v>
      </c>
      <c r="M125">
        <v>11.9</v>
      </c>
      <c r="O125">
        <f>ABS(L125-RAVLT_Delayed!$C$34)</f>
        <v>1.6801747191383596</v>
      </c>
      <c r="P125">
        <f t="shared" si="2"/>
        <v>11.9</v>
      </c>
    </row>
    <row r="126" spans="10:16">
      <c r="J126" s="5"/>
      <c r="L126">
        <f>RAVLT_Delayed!M126</f>
        <v>-1.13346144</v>
      </c>
      <c r="M126">
        <v>12</v>
      </c>
      <c r="O126">
        <f>ABS(L126-RAVLT_Delayed!$C$34)</f>
        <v>1.6824891031383595</v>
      </c>
      <c r="P126">
        <f t="shared" si="2"/>
        <v>12</v>
      </c>
    </row>
    <row r="127" spans="10:16">
      <c r="J127" s="5"/>
      <c r="L127">
        <f>RAVLT_Delayed!M127</f>
        <v>-1.120049552</v>
      </c>
      <c r="M127">
        <v>12.1</v>
      </c>
      <c r="O127">
        <f>ABS(L127-RAVLT_Delayed!$C$34)</f>
        <v>1.6959009911383596</v>
      </c>
      <c r="P127">
        <f t="shared" si="2"/>
        <v>12.1</v>
      </c>
    </row>
    <row r="128" spans="10:16">
      <c r="J128" s="5"/>
      <c r="L128">
        <f>RAVLT_Delayed!M128</f>
        <v>-1.106637664</v>
      </c>
      <c r="M128">
        <v>12.2</v>
      </c>
      <c r="O128">
        <f>ABS(L128-RAVLT_Delayed!$C$34)</f>
        <v>1.7093128791383596</v>
      </c>
      <c r="P128">
        <f t="shared" si="2"/>
        <v>12.2</v>
      </c>
    </row>
    <row r="129" spans="10:16">
      <c r="J129" s="5"/>
      <c r="L129">
        <f>RAVLT_Delayed!M129</f>
        <v>-1.100616</v>
      </c>
      <c r="M129">
        <v>12.3</v>
      </c>
      <c r="O129">
        <f>ABS(L129-RAVLT_Delayed!$C$34)</f>
        <v>1.7153345431383595</v>
      </c>
      <c r="P129">
        <f t="shared" si="2"/>
        <v>12.3</v>
      </c>
    </row>
    <row r="130" spans="10:16">
      <c r="J130" s="5"/>
      <c r="L130">
        <f>RAVLT_Delayed!M130</f>
        <v>-1.100616</v>
      </c>
      <c r="M130">
        <v>12.4</v>
      </c>
      <c r="O130">
        <f>ABS(L130-RAVLT_Delayed!$C$34)</f>
        <v>1.7153345431383595</v>
      </c>
      <c r="P130">
        <f t="shared" si="2"/>
        <v>12.4</v>
      </c>
    </row>
    <row r="131" spans="10:16">
      <c r="J131" s="5"/>
      <c r="L131">
        <f>RAVLT_Delayed!M131</f>
        <v>-1.100616</v>
      </c>
      <c r="M131">
        <v>12.5</v>
      </c>
      <c r="O131">
        <f>ABS(L131-RAVLT_Delayed!$C$34)</f>
        <v>1.7153345431383595</v>
      </c>
      <c r="P131">
        <f t="shared" si="2"/>
        <v>12.5</v>
      </c>
    </row>
    <row r="132" spans="10:16">
      <c r="J132" s="5"/>
      <c r="L132">
        <f>RAVLT_Delayed!M132</f>
        <v>-1.0963290880000001</v>
      </c>
      <c r="M132">
        <v>12.6</v>
      </c>
      <c r="O132">
        <f>ABS(L132-RAVLT_Delayed!$C$34)</f>
        <v>1.7196214551383595</v>
      </c>
      <c r="P132">
        <f t="shared" si="2"/>
        <v>12.6</v>
      </c>
    </row>
    <row r="133" spans="10:16">
      <c r="J133" s="5"/>
      <c r="L133">
        <f>RAVLT_Delayed!M133</f>
        <v>-1.0920421760000001</v>
      </c>
      <c r="M133">
        <v>12.7</v>
      </c>
      <c r="O133">
        <f>ABS(L133-RAVLT_Delayed!$C$34)</f>
        <v>1.7239083671383595</v>
      </c>
      <c r="P133">
        <f t="shared" si="2"/>
        <v>12.7</v>
      </c>
    </row>
    <row r="134" spans="10:16">
      <c r="J134" s="5"/>
      <c r="L134">
        <f>RAVLT_Delayed!M134</f>
        <v>-1.08838112</v>
      </c>
      <c r="M134">
        <v>12.8</v>
      </c>
      <c r="O134">
        <f>ABS(L134-RAVLT_Delayed!$C$34)</f>
        <v>1.7275694231383596</v>
      </c>
      <c r="P134">
        <f t="shared" si="2"/>
        <v>12.8</v>
      </c>
    </row>
    <row r="135" spans="10:16">
      <c r="J135" s="5"/>
      <c r="L135">
        <f>RAVLT_Delayed!M135</f>
        <v>-1.0854881599999999</v>
      </c>
      <c r="M135">
        <v>12.9</v>
      </c>
      <c r="O135">
        <f>ABS(L135-RAVLT_Delayed!$C$34)</f>
        <v>1.7304623831383596</v>
      </c>
      <c r="P135">
        <f t="shared" ref="P135:P198" si="3">M135</f>
        <v>12.9</v>
      </c>
    </row>
    <row r="136" spans="10:16">
      <c r="J136" s="5"/>
      <c r="L136">
        <f>RAVLT_Delayed!M136</f>
        <v>-1.0825952000000001</v>
      </c>
      <c r="M136">
        <v>13</v>
      </c>
      <c r="O136">
        <f>ABS(L136-RAVLT_Delayed!$C$34)</f>
        <v>1.7333553431383595</v>
      </c>
      <c r="P136">
        <f t="shared" si="3"/>
        <v>13</v>
      </c>
    </row>
    <row r="137" spans="10:16">
      <c r="J137" s="5"/>
      <c r="L137">
        <f>RAVLT_Delayed!M137</f>
        <v>-1.0700796159999999</v>
      </c>
      <c r="M137">
        <v>13.1</v>
      </c>
      <c r="O137">
        <f>ABS(L137-RAVLT_Delayed!$C$34)</f>
        <v>1.7458709271383597</v>
      </c>
      <c r="P137">
        <f t="shared" si="3"/>
        <v>13.1</v>
      </c>
    </row>
    <row r="138" spans="10:16">
      <c r="J138" s="5"/>
      <c r="L138">
        <f>RAVLT_Delayed!M138</f>
        <v>-1.056470552</v>
      </c>
      <c r="M138">
        <v>13.2</v>
      </c>
      <c r="O138">
        <f>ABS(L138-RAVLT_Delayed!$C$34)</f>
        <v>1.7594799911383596</v>
      </c>
      <c r="P138">
        <f t="shared" si="3"/>
        <v>13.2</v>
      </c>
    </row>
    <row r="139" spans="10:16">
      <c r="J139" s="5"/>
      <c r="L139">
        <f>RAVLT_Delayed!M139</f>
        <v>-1.0474552960000001</v>
      </c>
      <c r="M139">
        <v>13.3</v>
      </c>
      <c r="O139">
        <f>ABS(L139-RAVLT_Delayed!$C$34)</f>
        <v>1.7684952471383595</v>
      </c>
      <c r="P139">
        <f t="shared" si="3"/>
        <v>13.3</v>
      </c>
    </row>
    <row r="140" spans="10:16">
      <c r="J140" s="5"/>
      <c r="L140">
        <f>RAVLT_Delayed!M140</f>
        <v>-1.047087208</v>
      </c>
      <c r="M140">
        <v>13.4</v>
      </c>
      <c r="O140">
        <f>ABS(L140-RAVLT_Delayed!$C$34)</f>
        <v>1.7688633351383596</v>
      </c>
      <c r="P140">
        <f t="shared" si="3"/>
        <v>13.4</v>
      </c>
    </row>
    <row r="141" spans="10:16">
      <c r="J141" s="5"/>
      <c r="L141">
        <f>RAVLT_Delayed!M141</f>
        <v>-1.0467191199999999</v>
      </c>
      <c r="M141">
        <v>13.5</v>
      </c>
      <c r="O141">
        <f>ABS(L141-RAVLT_Delayed!$C$34)</f>
        <v>1.7692314231383597</v>
      </c>
      <c r="P141">
        <f t="shared" si="3"/>
        <v>13.5</v>
      </c>
    </row>
    <row r="142" spans="10:16">
      <c r="J142" s="5"/>
      <c r="L142">
        <f>RAVLT_Delayed!M142</f>
        <v>-1.0466439999999999</v>
      </c>
      <c r="M142">
        <v>13.6</v>
      </c>
      <c r="O142">
        <f>ABS(L142-RAVLT_Delayed!$C$34)</f>
        <v>1.7693065431383597</v>
      </c>
      <c r="P142">
        <f t="shared" si="3"/>
        <v>13.6</v>
      </c>
    </row>
    <row r="143" spans="10:16">
      <c r="J143" s="5"/>
      <c r="L143">
        <f>RAVLT_Delayed!M143</f>
        <v>-1.0466439999999999</v>
      </c>
      <c r="M143">
        <v>13.7</v>
      </c>
      <c r="O143">
        <f>ABS(L143-RAVLT_Delayed!$C$34)</f>
        <v>1.7693065431383597</v>
      </c>
      <c r="P143">
        <f t="shared" si="3"/>
        <v>13.7</v>
      </c>
    </row>
    <row r="144" spans="10:16">
      <c r="J144" s="5"/>
      <c r="L144">
        <f>RAVLT_Delayed!M144</f>
        <v>-1.045732576</v>
      </c>
      <c r="M144">
        <v>13.8</v>
      </c>
      <c r="O144">
        <f>ABS(L144-RAVLT_Delayed!$C$34)</f>
        <v>1.7702179671383595</v>
      </c>
      <c r="P144">
        <f t="shared" si="3"/>
        <v>13.8</v>
      </c>
    </row>
    <row r="145" spans="10:16">
      <c r="J145" s="5"/>
      <c r="L145">
        <f>RAVLT_Delayed!M145</f>
        <v>-1.0420109280000001</v>
      </c>
      <c r="M145">
        <v>13.9</v>
      </c>
      <c r="O145">
        <f>ABS(L145-RAVLT_Delayed!$C$34)</f>
        <v>1.7739396151383595</v>
      </c>
      <c r="P145">
        <f t="shared" si="3"/>
        <v>13.9</v>
      </c>
    </row>
    <row r="146" spans="10:16">
      <c r="J146" s="5"/>
      <c r="L146">
        <f>RAVLT_Delayed!M146</f>
        <v>-1.0382892800000001</v>
      </c>
      <c r="M146">
        <v>14</v>
      </c>
      <c r="O146">
        <f>ABS(L146-RAVLT_Delayed!$C$34)</f>
        <v>1.7776612631383595</v>
      </c>
      <c r="P146">
        <f t="shared" si="3"/>
        <v>14</v>
      </c>
    </row>
    <row r="147" spans="10:16">
      <c r="J147" s="5"/>
      <c r="L147">
        <f>RAVLT_Delayed!M147</f>
        <v>-1.0343579199999999</v>
      </c>
      <c r="M147">
        <v>14.1</v>
      </c>
      <c r="O147">
        <f>ABS(L147-RAVLT_Delayed!$C$34)</f>
        <v>1.7815926231383596</v>
      </c>
      <c r="P147">
        <f t="shared" si="3"/>
        <v>14.1</v>
      </c>
    </row>
    <row r="148" spans="10:16">
      <c r="J148" s="5"/>
      <c r="L148">
        <f>RAVLT_Delayed!M148</f>
        <v>-1.0303340400000001</v>
      </c>
      <c r="M148">
        <v>14.2</v>
      </c>
      <c r="O148">
        <f>ABS(L148-RAVLT_Delayed!$C$34)</f>
        <v>1.7856165031383595</v>
      </c>
      <c r="P148">
        <f t="shared" si="3"/>
        <v>14.2</v>
      </c>
    </row>
    <row r="149" spans="10:16">
      <c r="J149" s="5"/>
      <c r="L149">
        <f>RAVLT_Delayed!M149</f>
        <v>-1.026160304</v>
      </c>
      <c r="M149">
        <v>14.3</v>
      </c>
      <c r="O149">
        <f>ABS(L149-RAVLT_Delayed!$C$34)</f>
        <v>1.7897902391383596</v>
      </c>
      <c r="P149">
        <f t="shared" si="3"/>
        <v>14.3</v>
      </c>
    </row>
    <row r="150" spans="10:16">
      <c r="J150" s="5"/>
      <c r="L150">
        <f>RAVLT_Delayed!M150</f>
        <v>-1.0210874320000001</v>
      </c>
      <c r="M150">
        <v>14.4</v>
      </c>
      <c r="O150">
        <f>ABS(L150-RAVLT_Delayed!$C$34)</f>
        <v>1.7948631111383595</v>
      </c>
      <c r="P150">
        <f t="shared" si="3"/>
        <v>14.4</v>
      </c>
    </row>
    <row r="151" spans="10:16">
      <c r="J151" s="5"/>
      <c r="L151">
        <f>RAVLT_Delayed!M151</f>
        <v>-1.0160145599999999</v>
      </c>
      <c r="M151">
        <v>14.5</v>
      </c>
      <c r="O151">
        <f>ABS(L151-RAVLT_Delayed!$C$34)</f>
        <v>1.7999359831383597</v>
      </c>
      <c r="P151">
        <f t="shared" si="3"/>
        <v>14.5</v>
      </c>
    </row>
    <row r="152" spans="10:16">
      <c r="J152" s="5"/>
      <c r="L152">
        <f>RAVLT_Delayed!M152</f>
        <v>-1.0123162880000001</v>
      </c>
      <c r="M152">
        <v>14.6</v>
      </c>
      <c r="O152">
        <f>ABS(L152-RAVLT_Delayed!$C$34)</f>
        <v>1.8036342551383595</v>
      </c>
      <c r="P152">
        <f t="shared" si="3"/>
        <v>14.6</v>
      </c>
    </row>
    <row r="153" spans="10:16">
      <c r="J153" s="5"/>
      <c r="L153">
        <f>RAVLT_Delayed!M153</f>
        <v>-1.009566016</v>
      </c>
      <c r="M153">
        <v>14.7</v>
      </c>
      <c r="O153">
        <f>ABS(L153-RAVLT_Delayed!$C$34)</f>
        <v>1.8063845271383596</v>
      </c>
      <c r="P153">
        <f t="shared" si="3"/>
        <v>14.7</v>
      </c>
    </row>
    <row r="154" spans="10:16">
      <c r="J154" s="5"/>
      <c r="L154">
        <f>RAVLT_Delayed!M154</f>
        <v>-1.006817984</v>
      </c>
      <c r="M154">
        <v>14.8</v>
      </c>
      <c r="O154">
        <f>ABS(L154-RAVLT_Delayed!$C$34)</f>
        <v>1.8091325591383596</v>
      </c>
      <c r="P154">
        <f t="shared" si="3"/>
        <v>14.8</v>
      </c>
    </row>
    <row r="155" spans="10:16">
      <c r="J155" s="5"/>
      <c r="L155">
        <f>RAVLT_Delayed!M155</f>
        <v>-1.0041225920000001</v>
      </c>
      <c r="M155">
        <v>14.9</v>
      </c>
      <c r="O155">
        <f>ABS(L155-RAVLT_Delayed!$C$34)</f>
        <v>1.8118279511383595</v>
      </c>
      <c r="P155">
        <f t="shared" si="3"/>
        <v>14.9</v>
      </c>
    </row>
    <row r="156" spans="10:16">
      <c r="J156" s="5"/>
      <c r="L156">
        <f>RAVLT_Delayed!M156</f>
        <v>-1.0014272</v>
      </c>
      <c r="M156">
        <v>15</v>
      </c>
      <c r="O156">
        <f>ABS(L156-RAVLT_Delayed!$C$34)</f>
        <v>1.8145233431383596</v>
      </c>
      <c r="P156">
        <f t="shared" si="3"/>
        <v>15</v>
      </c>
    </row>
    <row r="157" spans="10:16">
      <c r="J157" s="5"/>
      <c r="L157">
        <f>RAVLT_Delayed!M157</f>
        <v>-0.99978838400000003</v>
      </c>
      <c r="M157">
        <v>15.1</v>
      </c>
      <c r="O157">
        <f>ABS(L157-RAVLT_Delayed!$C$34)</f>
        <v>1.8161621591383597</v>
      </c>
      <c r="P157">
        <f t="shared" si="3"/>
        <v>15.1</v>
      </c>
    </row>
    <row r="158" spans="10:16">
      <c r="J158" s="5"/>
      <c r="L158">
        <f>RAVLT_Delayed!M158</f>
        <v>-0.99925016799999999</v>
      </c>
      <c r="M158">
        <v>15.2</v>
      </c>
      <c r="O158">
        <f>ABS(L158-RAVLT_Delayed!$C$34)</f>
        <v>1.8167003751383595</v>
      </c>
      <c r="P158">
        <f t="shared" si="3"/>
        <v>15.2</v>
      </c>
    </row>
    <row r="159" spans="10:16">
      <c r="J159" s="5"/>
      <c r="L159">
        <f>RAVLT_Delayed!M159</f>
        <v>-0.99871195199999996</v>
      </c>
      <c r="M159">
        <v>15.3</v>
      </c>
      <c r="O159">
        <f>ABS(L159-RAVLT_Delayed!$C$34)</f>
        <v>1.8172385911383597</v>
      </c>
      <c r="P159">
        <f t="shared" si="3"/>
        <v>15.3</v>
      </c>
    </row>
    <row r="160" spans="10:16">
      <c r="J160" s="5"/>
      <c r="L160">
        <f>RAVLT_Delayed!M160</f>
        <v>-0.99833381600000004</v>
      </c>
      <c r="M160">
        <v>15.4</v>
      </c>
      <c r="O160">
        <f>ABS(L160-RAVLT_Delayed!$C$34)</f>
        <v>1.8176167271383594</v>
      </c>
      <c r="P160">
        <f t="shared" si="3"/>
        <v>15.4</v>
      </c>
    </row>
    <row r="161" spans="10:16">
      <c r="J161" s="5"/>
      <c r="L161">
        <f>RAVLT_Delayed!M161</f>
        <v>-0.99796611999999996</v>
      </c>
      <c r="M161">
        <v>15.5</v>
      </c>
      <c r="O161">
        <f>ABS(L161-RAVLT_Delayed!$C$34)</f>
        <v>1.8179844231383595</v>
      </c>
      <c r="P161">
        <f t="shared" si="3"/>
        <v>15.5</v>
      </c>
    </row>
    <row r="162" spans="10:16">
      <c r="J162" s="5"/>
      <c r="L162">
        <f>RAVLT_Delayed!M162</f>
        <v>-0.99486956800000004</v>
      </c>
      <c r="M162">
        <v>15.6</v>
      </c>
      <c r="O162">
        <f>ABS(L162-RAVLT_Delayed!$C$34)</f>
        <v>1.8210809751383596</v>
      </c>
      <c r="P162">
        <f t="shared" si="3"/>
        <v>15.6</v>
      </c>
    </row>
    <row r="163" spans="10:16">
      <c r="J163" s="5"/>
      <c r="L163">
        <f>RAVLT_Delayed!M163</f>
        <v>-0.98746429599999996</v>
      </c>
      <c r="M163">
        <v>15.7</v>
      </c>
      <c r="O163">
        <f>ABS(L163-RAVLT_Delayed!$C$34)</f>
        <v>1.8284862471383596</v>
      </c>
      <c r="P163">
        <f t="shared" si="3"/>
        <v>15.7</v>
      </c>
    </row>
    <row r="164" spans="10:16">
      <c r="J164" s="5"/>
      <c r="L164">
        <f>RAVLT_Delayed!M164</f>
        <v>-0.980059024</v>
      </c>
      <c r="M164">
        <v>15.8</v>
      </c>
      <c r="O164">
        <f>ABS(L164-RAVLT_Delayed!$C$34)</f>
        <v>1.8358915191383596</v>
      </c>
      <c r="P164">
        <f t="shared" si="3"/>
        <v>15.8</v>
      </c>
    </row>
    <row r="165" spans="10:16">
      <c r="J165" s="5"/>
      <c r="L165">
        <f>RAVLT_Delayed!M165</f>
        <v>-0.97825730399999999</v>
      </c>
      <c r="M165">
        <v>15.9</v>
      </c>
      <c r="O165">
        <f>ABS(L165-RAVLT_Delayed!$C$34)</f>
        <v>1.8376932391383596</v>
      </c>
      <c r="P165">
        <f t="shared" si="3"/>
        <v>15.9</v>
      </c>
    </row>
    <row r="166" spans="10:16">
      <c r="J166" s="5"/>
      <c r="L166">
        <f>RAVLT_Delayed!M166</f>
        <v>-0.97754896000000002</v>
      </c>
      <c r="M166">
        <v>16</v>
      </c>
      <c r="O166">
        <f>ABS(L166-RAVLT_Delayed!$C$34)</f>
        <v>1.8384015831383596</v>
      </c>
      <c r="P166">
        <f t="shared" si="3"/>
        <v>16</v>
      </c>
    </row>
    <row r="167" spans="10:16">
      <c r="J167" s="5"/>
      <c r="L167">
        <f>RAVLT_Delayed!M167</f>
        <v>-0.97482999199999998</v>
      </c>
      <c r="M167">
        <v>16.100000000000001</v>
      </c>
      <c r="O167">
        <f>ABS(L167-RAVLT_Delayed!$C$34)</f>
        <v>1.8411205511383595</v>
      </c>
      <c r="P167">
        <f t="shared" si="3"/>
        <v>16.100000000000001</v>
      </c>
    </row>
    <row r="168" spans="10:16">
      <c r="J168" s="5"/>
      <c r="L168">
        <f>RAVLT_Delayed!M168</f>
        <v>-0.96708446400000003</v>
      </c>
      <c r="M168">
        <v>16.2</v>
      </c>
      <c r="O168">
        <f>ABS(L168-RAVLT_Delayed!$C$34)</f>
        <v>1.8488660791383595</v>
      </c>
      <c r="P168">
        <f t="shared" si="3"/>
        <v>16.2</v>
      </c>
    </row>
    <row r="169" spans="10:16">
      <c r="J169" s="5"/>
      <c r="L169">
        <f>RAVLT_Delayed!M169</f>
        <v>-0.95933893599999998</v>
      </c>
      <c r="M169">
        <v>16.3</v>
      </c>
      <c r="O169">
        <f>ABS(L169-RAVLT_Delayed!$C$34)</f>
        <v>1.8566116071383596</v>
      </c>
      <c r="P169">
        <f t="shared" si="3"/>
        <v>16.3</v>
      </c>
    </row>
    <row r="170" spans="10:16">
      <c r="J170" s="5"/>
      <c r="L170">
        <f>RAVLT_Delayed!M170</f>
        <v>-0.95618268799999995</v>
      </c>
      <c r="M170">
        <v>16.399999999999999</v>
      </c>
      <c r="O170">
        <f>ABS(L170-RAVLT_Delayed!$C$34)</f>
        <v>1.8597678551383596</v>
      </c>
      <c r="P170">
        <f t="shared" si="3"/>
        <v>16.399999999999999</v>
      </c>
    </row>
    <row r="171" spans="10:16">
      <c r="J171" s="5"/>
      <c r="L171">
        <f>RAVLT_Delayed!M171</f>
        <v>-0.95468368000000003</v>
      </c>
      <c r="M171">
        <v>16.5</v>
      </c>
      <c r="O171">
        <f>ABS(L171-RAVLT_Delayed!$C$34)</f>
        <v>1.8612668631383595</v>
      </c>
      <c r="P171">
        <f t="shared" si="3"/>
        <v>16.5</v>
      </c>
    </row>
    <row r="172" spans="10:16">
      <c r="J172" s="5"/>
      <c r="L172">
        <f>RAVLT_Delayed!M172</f>
        <v>-0.95116809599999996</v>
      </c>
      <c r="M172">
        <v>16.600000000000001</v>
      </c>
      <c r="O172">
        <f>ABS(L172-RAVLT_Delayed!$C$34)</f>
        <v>1.8647824471383596</v>
      </c>
      <c r="P172">
        <f t="shared" si="3"/>
        <v>16.600000000000001</v>
      </c>
    </row>
    <row r="173" spans="10:16">
      <c r="J173" s="5"/>
      <c r="L173">
        <f>RAVLT_Delayed!M173</f>
        <v>-0.93868995200000005</v>
      </c>
      <c r="M173">
        <v>16.7</v>
      </c>
      <c r="O173">
        <f>ABS(L173-RAVLT_Delayed!$C$34)</f>
        <v>1.8772605911383595</v>
      </c>
      <c r="P173">
        <f t="shared" si="3"/>
        <v>16.7</v>
      </c>
    </row>
    <row r="174" spans="10:16">
      <c r="J174" s="5"/>
      <c r="L174">
        <f>RAVLT_Delayed!M174</f>
        <v>-0.92621180800000003</v>
      </c>
      <c r="M174">
        <v>16.8</v>
      </c>
      <c r="O174">
        <f>ABS(L174-RAVLT_Delayed!$C$34)</f>
        <v>1.8897387351383594</v>
      </c>
      <c r="P174">
        <f t="shared" si="3"/>
        <v>16.8</v>
      </c>
    </row>
    <row r="175" spans="10:16">
      <c r="J175" s="5"/>
      <c r="L175">
        <f>RAVLT_Delayed!M175</f>
        <v>-0.92060375999999999</v>
      </c>
      <c r="M175">
        <v>16.899999999999999</v>
      </c>
      <c r="O175">
        <f>ABS(L175-RAVLT_Delayed!$C$34)</f>
        <v>1.8953467831383595</v>
      </c>
      <c r="P175">
        <f t="shared" si="3"/>
        <v>16.899999999999999</v>
      </c>
    </row>
    <row r="176" spans="10:16">
      <c r="J176" s="5"/>
      <c r="L176">
        <f>RAVLT_Delayed!M176</f>
        <v>-0.91898480000000005</v>
      </c>
      <c r="M176">
        <v>17</v>
      </c>
      <c r="O176">
        <f>ABS(L176-RAVLT_Delayed!$C$34)</f>
        <v>1.8969657431383595</v>
      </c>
      <c r="P176">
        <f t="shared" si="3"/>
        <v>17</v>
      </c>
    </row>
    <row r="177" spans="10:16">
      <c r="J177" s="5"/>
      <c r="L177">
        <f>RAVLT_Delayed!M177</f>
        <v>-0.91742404799999999</v>
      </c>
      <c r="M177">
        <v>17.100000000000001</v>
      </c>
      <c r="O177">
        <f>ABS(L177-RAVLT_Delayed!$C$34)</f>
        <v>1.8985264951383596</v>
      </c>
      <c r="P177">
        <f t="shared" si="3"/>
        <v>17.100000000000001</v>
      </c>
    </row>
    <row r="178" spans="10:16">
      <c r="J178" s="5"/>
      <c r="L178">
        <f>RAVLT_Delayed!M178</f>
        <v>-0.91651813599999998</v>
      </c>
      <c r="M178">
        <v>17.2</v>
      </c>
      <c r="O178">
        <f>ABS(L178-RAVLT_Delayed!$C$34)</f>
        <v>1.8994324071383595</v>
      </c>
      <c r="P178">
        <f t="shared" si="3"/>
        <v>17.2</v>
      </c>
    </row>
    <row r="179" spans="10:16">
      <c r="J179" s="5"/>
      <c r="L179">
        <f>RAVLT_Delayed!M179</f>
        <v>-0.91561222399999997</v>
      </c>
      <c r="M179">
        <v>17.3</v>
      </c>
      <c r="O179">
        <f>ABS(L179-RAVLT_Delayed!$C$34)</f>
        <v>1.9003383191383596</v>
      </c>
      <c r="P179">
        <f t="shared" si="3"/>
        <v>17.3</v>
      </c>
    </row>
    <row r="180" spans="10:16">
      <c r="J180" s="5"/>
      <c r="L180">
        <f>RAVLT_Delayed!M180</f>
        <v>-0.91481093599999996</v>
      </c>
      <c r="M180">
        <v>17.399999999999999</v>
      </c>
      <c r="O180">
        <f>ABS(L180-RAVLT_Delayed!$C$34)</f>
        <v>1.9011396071383597</v>
      </c>
      <c r="P180">
        <f t="shared" si="3"/>
        <v>17.399999999999999</v>
      </c>
    </row>
    <row r="181" spans="10:16">
      <c r="J181" s="5"/>
      <c r="L181">
        <f>RAVLT_Delayed!M181</f>
        <v>-0.91410219999999998</v>
      </c>
      <c r="M181">
        <v>17.5</v>
      </c>
      <c r="O181">
        <f>ABS(L181-RAVLT_Delayed!$C$34)</f>
        <v>1.9018483431383597</v>
      </c>
      <c r="P181">
        <f t="shared" si="3"/>
        <v>17.5</v>
      </c>
    </row>
    <row r="182" spans="10:16">
      <c r="J182" s="5"/>
      <c r="L182">
        <f>RAVLT_Delayed!M182</f>
        <v>-0.91339346399999999</v>
      </c>
      <c r="M182">
        <v>17.600000000000001</v>
      </c>
      <c r="O182">
        <f>ABS(L182-RAVLT_Delayed!$C$34)</f>
        <v>1.9025570791383597</v>
      </c>
      <c r="P182">
        <f t="shared" si="3"/>
        <v>17.600000000000001</v>
      </c>
    </row>
    <row r="183" spans="10:16">
      <c r="J183" s="5"/>
      <c r="L183">
        <f>RAVLT_Delayed!M183</f>
        <v>-0.910878776</v>
      </c>
      <c r="M183">
        <v>17.7</v>
      </c>
      <c r="O183">
        <f>ABS(L183-RAVLT_Delayed!$C$34)</f>
        <v>1.9050717671383595</v>
      </c>
      <c r="P183">
        <f t="shared" si="3"/>
        <v>17.7</v>
      </c>
    </row>
    <row r="184" spans="10:16">
      <c r="J184" s="5"/>
      <c r="L184">
        <f>RAVLT_Delayed!M184</f>
        <v>-0.90832646399999994</v>
      </c>
      <c r="M184">
        <v>17.8</v>
      </c>
      <c r="O184">
        <f>ABS(L184-RAVLT_Delayed!$C$34)</f>
        <v>1.9076240791383596</v>
      </c>
      <c r="P184">
        <f t="shared" si="3"/>
        <v>17.8</v>
      </c>
    </row>
    <row r="185" spans="10:16">
      <c r="J185" s="5"/>
      <c r="L185">
        <f>RAVLT_Delayed!M185</f>
        <v>-0.90686800000000001</v>
      </c>
      <c r="M185">
        <v>17.899999999999999</v>
      </c>
      <c r="O185">
        <f>ABS(L185-RAVLT_Delayed!$C$34)</f>
        <v>1.9090825431383596</v>
      </c>
      <c r="P185">
        <f t="shared" si="3"/>
        <v>17.899999999999999</v>
      </c>
    </row>
    <row r="186" spans="10:16">
      <c r="J186" s="5"/>
      <c r="L186">
        <f>RAVLT_Delayed!M186</f>
        <v>-0.90686800000000001</v>
      </c>
      <c r="M186">
        <v>18</v>
      </c>
      <c r="O186">
        <f>ABS(L186-RAVLT_Delayed!$C$34)</f>
        <v>1.9090825431383596</v>
      </c>
      <c r="P186">
        <f t="shared" si="3"/>
        <v>18</v>
      </c>
    </row>
    <row r="187" spans="10:16">
      <c r="J187" s="5"/>
      <c r="L187">
        <f>RAVLT_Delayed!M187</f>
        <v>-0.90686800000000001</v>
      </c>
      <c r="M187">
        <v>18.100000000000001</v>
      </c>
      <c r="O187">
        <f>ABS(L187-RAVLT_Delayed!$C$34)</f>
        <v>1.9090825431383596</v>
      </c>
      <c r="P187">
        <f t="shared" si="3"/>
        <v>18.100000000000001</v>
      </c>
    </row>
    <row r="188" spans="10:16">
      <c r="J188" s="5"/>
      <c r="L188">
        <f>RAVLT_Delayed!M188</f>
        <v>-0.90637160800000005</v>
      </c>
      <c r="M188">
        <v>18.2</v>
      </c>
      <c r="O188">
        <f>ABS(L188-RAVLT_Delayed!$C$34)</f>
        <v>1.9095789351383594</v>
      </c>
      <c r="P188">
        <f t="shared" si="3"/>
        <v>18.2</v>
      </c>
    </row>
    <row r="189" spans="10:16">
      <c r="J189" s="5"/>
      <c r="L189">
        <f>RAVLT_Delayed!M189</f>
        <v>-0.90580595200000003</v>
      </c>
      <c r="M189">
        <v>18.3</v>
      </c>
      <c r="O189">
        <f>ABS(L189-RAVLT_Delayed!$C$34)</f>
        <v>1.9101445911383594</v>
      </c>
      <c r="P189">
        <f t="shared" si="3"/>
        <v>18.3</v>
      </c>
    </row>
    <row r="190" spans="10:16">
      <c r="J190" s="5"/>
      <c r="L190">
        <f>RAVLT_Delayed!M190</f>
        <v>-0.90473853599999998</v>
      </c>
      <c r="M190">
        <v>18.399999999999999</v>
      </c>
      <c r="O190">
        <f>ABS(L190-RAVLT_Delayed!$C$34)</f>
        <v>1.9112120071383596</v>
      </c>
      <c r="P190">
        <f t="shared" si="3"/>
        <v>18.399999999999999</v>
      </c>
    </row>
    <row r="191" spans="10:16">
      <c r="J191" s="5"/>
      <c r="L191">
        <f>RAVLT_Delayed!M191</f>
        <v>-0.90263623999999998</v>
      </c>
      <c r="M191">
        <v>18.5</v>
      </c>
      <c r="O191">
        <f>ABS(L191-RAVLT_Delayed!$C$34)</f>
        <v>1.9133143031383595</v>
      </c>
      <c r="P191">
        <f t="shared" si="3"/>
        <v>18.5</v>
      </c>
    </row>
    <row r="192" spans="10:16">
      <c r="J192" s="5"/>
      <c r="L192">
        <f>RAVLT_Delayed!M192</f>
        <v>-0.90053394399999998</v>
      </c>
      <c r="M192">
        <v>18.600000000000001</v>
      </c>
      <c r="O192">
        <f>ABS(L192-RAVLT_Delayed!$C$34)</f>
        <v>1.9154165991383596</v>
      </c>
      <c r="P192">
        <f t="shared" si="3"/>
        <v>18.600000000000001</v>
      </c>
    </row>
    <row r="193" spans="10:16">
      <c r="J193" s="5"/>
      <c r="L193">
        <f>RAVLT_Delayed!M193</f>
        <v>-0.89361659199999999</v>
      </c>
      <c r="M193">
        <v>18.7</v>
      </c>
      <c r="O193">
        <f>ABS(L193-RAVLT_Delayed!$C$34)</f>
        <v>1.9223339511383597</v>
      </c>
      <c r="P193">
        <f t="shared" si="3"/>
        <v>18.7</v>
      </c>
    </row>
    <row r="194" spans="10:16">
      <c r="J194" s="5"/>
      <c r="L194">
        <f>RAVLT_Delayed!M194</f>
        <v>-0.88530540800000002</v>
      </c>
      <c r="M194">
        <v>18.8</v>
      </c>
      <c r="O194">
        <f>ABS(L194-RAVLT_Delayed!$C$34)</f>
        <v>1.9306451351383596</v>
      </c>
      <c r="P194">
        <f t="shared" si="3"/>
        <v>18.8</v>
      </c>
    </row>
    <row r="195" spans="10:16">
      <c r="J195" s="5"/>
      <c r="L195">
        <f>RAVLT_Delayed!M195</f>
        <v>-0.87768810399999997</v>
      </c>
      <c r="M195">
        <v>18.899999999999999</v>
      </c>
      <c r="O195">
        <f>ABS(L195-RAVLT_Delayed!$C$34)</f>
        <v>1.9382624391383596</v>
      </c>
      <c r="P195">
        <f t="shared" si="3"/>
        <v>18.899999999999999</v>
      </c>
    </row>
    <row r="196" spans="10:16">
      <c r="J196" s="5"/>
      <c r="L196">
        <f>RAVLT_Delayed!M196</f>
        <v>-0.87246783999999999</v>
      </c>
      <c r="M196">
        <v>19</v>
      </c>
      <c r="O196">
        <f>ABS(L196-RAVLT_Delayed!$C$34)</f>
        <v>1.9434827031383595</v>
      </c>
      <c r="P196">
        <f t="shared" si="3"/>
        <v>19</v>
      </c>
    </row>
    <row r="197" spans="10:16">
      <c r="J197" s="5"/>
      <c r="L197">
        <f>RAVLT_Delayed!M197</f>
        <v>-0.86724757600000002</v>
      </c>
      <c r="M197">
        <v>19.100000000000001</v>
      </c>
      <c r="O197">
        <f>ABS(L197-RAVLT_Delayed!$C$34)</f>
        <v>1.9487029671383596</v>
      </c>
      <c r="P197">
        <f t="shared" si="3"/>
        <v>19.100000000000001</v>
      </c>
    </row>
    <row r="198" spans="10:16">
      <c r="J198" s="5"/>
      <c r="L198">
        <f>RAVLT_Delayed!M198</f>
        <v>-0.86516204799999996</v>
      </c>
      <c r="M198">
        <v>19.2</v>
      </c>
      <c r="O198">
        <f>ABS(L198-RAVLT_Delayed!$C$34)</f>
        <v>1.9507884951383596</v>
      </c>
      <c r="P198">
        <f t="shared" si="3"/>
        <v>19.2</v>
      </c>
    </row>
    <row r="199" spans="10:16">
      <c r="J199" s="5"/>
      <c r="L199">
        <f>RAVLT_Delayed!M199</f>
        <v>-0.86459639200000005</v>
      </c>
      <c r="M199">
        <v>19.3</v>
      </c>
      <c r="O199">
        <f>ABS(L199-RAVLT_Delayed!$C$34)</f>
        <v>1.9513541511383594</v>
      </c>
      <c r="P199">
        <f t="shared" ref="P199:P262" si="4">M199</f>
        <v>19.3</v>
      </c>
    </row>
    <row r="200" spans="10:16">
      <c r="J200" s="5"/>
      <c r="L200">
        <f>RAVLT_Delayed!M200</f>
        <v>-0.86396152000000004</v>
      </c>
      <c r="M200">
        <v>19.399999999999999</v>
      </c>
      <c r="O200">
        <f>ABS(L200-RAVLT_Delayed!$C$34)</f>
        <v>1.9519890231383594</v>
      </c>
      <c r="P200">
        <f t="shared" si="4"/>
        <v>19.399999999999999</v>
      </c>
    </row>
    <row r="201" spans="10:16">
      <c r="J201" s="5"/>
      <c r="L201">
        <f>RAVLT_Delayed!M201</f>
        <v>-0.8628306</v>
      </c>
      <c r="M201">
        <v>19.5</v>
      </c>
      <c r="O201">
        <f>ABS(L201-RAVLT_Delayed!$C$34)</f>
        <v>1.9531199431383595</v>
      </c>
      <c r="P201">
        <f t="shared" si="4"/>
        <v>19.5</v>
      </c>
    </row>
    <row r="202" spans="10:16">
      <c r="J202" s="5"/>
      <c r="L202">
        <f>RAVLT_Delayed!M202</f>
        <v>-0.86169967999999997</v>
      </c>
      <c r="M202">
        <v>19.600000000000001</v>
      </c>
      <c r="O202">
        <f>ABS(L202-RAVLT_Delayed!$C$34)</f>
        <v>1.9542508631383595</v>
      </c>
      <c r="P202">
        <f t="shared" si="4"/>
        <v>19.600000000000001</v>
      </c>
    </row>
    <row r="203" spans="10:16">
      <c r="J203" s="5"/>
      <c r="L203">
        <f>RAVLT_Delayed!M203</f>
        <v>-0.860487</v>
      </c>
      <c r="M203">
        <v>19.7</v>
      </c>
      <c r="O203">
        <f>ABS(L203-RAVLT_Delayed!$C$34)</f>
        <v>1.9554635431383596</v>
      </c>
      <c r="P203">
        <f t="shared" si="4"/>
        <v>19.7</v>
      </c>
    </row>
    <row r="204" spans="10:16">
      <c r="J204" s="5"/>
      <c r="L204">
        <f>RAVLT_Delayed!M204</f>
        <v>-0.859213</v>
      </c>
      <c r="M204">
        <v>19.8</v>
      </c>
      <c r="O204">
        <f>ABS(L204-RAVLT_Delayed!$C$34)</f>
        <v>1.9567375431383596</v>
      </c>
      <c r="P204">
        <f t="shared" si="4"/>
        <v>19.8</v>
      </c>
    </row>
    <row r="205" spans="10:16">
      <c r="J205" s="5"/>
      <c r="L205">
        <f>RAVLT_Delayed!M205</f>
        <v>-0.85795963200000003</v>
      </c>
      <c r="M205">
        <v>19.899999999999999</v>
      </c>
      <c r="O205">
        <f>ABS(L205-RAVLT_Delayed!$C$34)</f>
        <v>1.9579909111383595</v>
      </c>
      <c r="P205">
        <f t="shared" si="4"/>
        <v>19.899999999999999</v>
      </c>
    </row>
    <row r="206" spans="10:16">
      <c r="J206" s="5"/>
      <c r="L206">
        <f>RAVLT_Delayed!M206</f>
        <v>-0.85769660000000003</v>
      </c>
      <c r="M206">
        <v>20</v>
      </c>
      <c r="O206">
        <f>ABS(L206-RAVLT_Delayed!$C$34)</f>
        <v>1.9582539431383594</v>
      </c>
      <c r="P206">
        <f t="shared" si="4"/>
        <v>20</v>
      </c>
    </row>
    <row r="207" spans="10:16">
      <c r="J207" s="5"/>
      <c r="L207">
        <f>RAVLT_Delayed!M207</f>
        <v>-0.85743356800000003</v>
      </c>
      <c r="M207">
        <v>20.100000000000001</v>
      </c>
      <c r="O207">
        <f>ABS(L207-RAVLT_Delayed!$C$34)</f>
        <v>1.9585169751383595</v>
      </c>
      <c r="P207">
        <f t="shared" si="4"/>
        <v>20.100000000000001</v>
      </c>
    </row>
    <row r="208" spans="10:16">
      <c r="J208" s="5"/>
      <c r="L208">
        <f>RAVLT_Delayed!M208</f>
        <v>-0.85718838399999997</v>
      </c>
      <c r="M208">
        <v>20.2</v>
      </c>
      <c r="O208">
        <f>ABS(L208-RAVLT_Delayed!$C$34)</f>
        <v>1.9587621591383595</v>
      </c>
      <c r="P208">
        <f t="shared" si="4"/>
        <v>20.2</v>
      </c>
    </row>
    <row r="209" spans="10:16">
      <c r="J209" s="5"/>
      <c r="L209">
        <f>RAVLT_Delayed!M209</f>
        <v>-0.85696337600000005</v>
      </c>
      <c r="M209">
        <v>20.3</v>
      </c>
      <c r="O209">
        <f>ABS(L209-RAVLT_Delayed!$C$34)</f>
        <v>1.9589871671383596</v>
      </c>
      <c r="P209">
        <f t="shared" si="4"/>
        <v>20.3</v>
      </c>
    </row>
    <row r="210" spans="10:16">
      <c r="J210" s="5"/>
      <c r="L210">
        <f>RAVLT_Delayed!M210</f>
        <v>-0.85673836800000003</v>
      </c>
      <c r="M210">
        <v>20.399999999999999</v>
      </c>
      <c r="O210">
        <f>ABS(L210-RAVLT_Delayed!$C$34)</f>
        <v>1.9592121751383595</v>
      </c>
      <c r="P210">
        <f t="shared" si="4"/>
        <v>20.399999999999999</v>
      </c>
    </row>
    <row r="211" spans="10:16">
      <c r="J211" s="5"/>
      <c r="L211">
        <f>RAVLT_Delayed!M211</f>
        <v>-0.85568104</v>
      </c>
      <c r="M211">
        <v>20.5</v>
      </c>
      <c r="O211">
        <f>ABS(L211-RAVLT_Delayed!$C$34)</f>
        <v>1.9602695031383597</v>
      </c>
      <c r="P211">
        <f t="shared" si="4"/>
        <v>20.5</v>
      </c>
    </row>
    <row r="212" spans="10:16">
      <c r="J212" s="5"/>
      <c r="L212">
        <f>RAVLT_Delayed!M212</f>
        <v>-0.85454972799999995</v>
      </c>
      <c r="M212">
        <v>20.6</v>
      </c>
      <c r="O212">
        <f>ABS(L212-RAVLT_Delayed!$C$34)</f>
        <v>1.9614008151383597</v>
      </c>
      <c r="P212">
        <f t="shared" si="4"/>
        <v>20.6</v>
      </c>
    </row>
    <row r="213" spans="10:16">
      <c r="J213" s="5"/>
      <c r="L213">
        <f>RAVLT_Delayed!M213</f>
        <v>-0.852979072</v>
      </c>
      <c r="M213">
        <v>20.7</v>
      </c>
      <c r="O213">
        <f>ABS(L213-RAVLT_Delayed!$C$34)</f>
        <v>1.9629714711383595</v>
      </c>
      <c r="P213">
        <f t="shared" si="4"/>
        <v>20.7</v>
      </c>
    </row>
    <row r="214" spans="10:16">
      <c r="J214" s="5"/>
      <c r="L214">
        <f>RAVLT_Delayed!M214</f>
        <v>-0.85065176799999997</v>
      </c>
      <c r="M214">
        <v>20.8</v>
      </c>
      <c r="O214">
        <f>ABS(L214-RAVLT_Delayed!$C$34)</f>
        <v>1.9652987751383595</v>
      </c>
      <c r="P214">
        <f t="shared" si="4"/>
        <v>20.8</v>
      </c>
    </row>
    <row r="215" spans="10:16">
      <c r="J215" s="5"/>
      <c r="L215">
        <f>RAVLT_Delayed!M215</f>
        <v>-0.84832446399999994</v>
      </c>
      <c r="M215">
        <v>20.9</v>
      </c>
      <c r="O215">
        <f>ABS(L215-RAVLT_Delayed!$C$34)</f>
        <v>1.9676260791383595</v>
      </c>
      <c r="P215">
        <f t="shared" si="4"/>
        <v>20.9</v>
      </c>
    </row>
    <row r="216" spans="10:16">
      <c r="J216" s="5"/>
      <c r="L216">
        <f>RAVLT_Delayed!M216</f>
        <v>-0.84657892000000001</v>
      </c>
      <c r="M216">
        <v>21</v>
      </c>
      <c r="O216">
        <f>ABS(L216-RAVLT_Delayed!$C$34)</f>
        <v>1.9693716231383596</v>
      </c>
      <c r="P216">
        <f t="shared" si="4"/>
        <v>21</v>
      </c>
    </row>
    <row r="217" spans="10:16">
      <c r="J217" s="5"/>
      <c r="L217">
        <f>RAVLT_Delayed!M217</f>
        <v>-0.84496427200000002</v>
      </c>
      <c r="M217">
        <v>21.1</v>
      </c>
      <c r="O217">
        <f>ABS(L217-RAVLT_Delayed!$C$34)</f>
        <v>1.9709862711383597</v>
      </c>
      <c r="P217">
        <f t="shared" si="4"/>
        <v>21.1</v>
      </c>
    </row>
    <row r="218" spans="10:16">
      <c r="J218" s="5"/>
      <c r="L218">
        <f>RAVLT_Delayed!M218</f>
        <v>-0.84243099200000005</v>
      </c>
      <c r="M218">
        <v>21.2</v>
      </c>
      <c r="O218">
        <f>ABS(L218-RAVLT_Delayed!$C$34)</f>
        <v>1.9735195511383594</v>
      </c>
      <c r="P218">
        <f t="shared" si="4"/>
        <v>21.2</v>
      </c>
    </row>
    <row r="219" spans="10:16">
      <c r="J219" s="5"/>
      <c r="L219">
        <f>RAVLT_Delayed!M219</f>
        <v>-0.83735380800000003</v>
      </c>
      <c r="M219">
        <v>21.3</v>
      </c>
      <c r="O219">
        <f>ABS(L219-RAVLT_Delayed!$C$34)</f>
        <v>1.9785967351383595</v>
      </c>
      <c r="P219">
        <f t="shared" si="4"/>
        <v>21.3</v>
      </c>
    </row>
    <row r="220" spans="10:16">
      <c r="J220" s="5"/>
      <c r="L220">
        <f>RAVLT_Delayed!M220</f>
        <v>-0.83227662400000002</v>
      </c>
      <c r="M220">
        <v>21.4</v>
      </c>
      <c r="O220">
        <f>ABS(L220-RAVLT_Delayed!$C$34)</f>
        <v>1.9836739191383597</v>
      </c>
      <c r="P220">
        <f t="shared" si="4"/>
        <v>21.4</v>
      </c>
    </row>
    <row r="221" spans="10:16">
      <c r="J221" s="5"/>
      <c r="L221">
        <f>RAVLT_Delayed!M221</f>
        <v>-0.82991572000000002</v>
      </c>
      <c r="M221">
        <v>21.5</v>
      </c>
      <c r="O221">
        <f>ABS(L221-RAVLT_Delayed!$C$34)</f>
        <v>1.9860348231383596</v>
      </c>
      <c r="P221">
        <f t="shared" si="4"/>
        <v>21.5</v>
      </c>
    </row>
    <row r="222" spans="10:16">
      <c r="J222" s="5"/>
      <c r="L222">
        <f>RAVLT_Delayed!M222</f>
        <v>-0.82864132800000001</v>
      </c>
      <c r="M222">
        <v>21.6</v>
      </c>
      <c r="O222">
        <f>ABS(L222-RAVLT_Delayed!$C$34)</f>
        <v>1.9873092151383596</v>
      </c>
      <c r="P222">
        <f t="shared" si="4"/>
        <v>21.6</v>
      </c>
    </row>
    <row r="223" spans="10:16">
      <c r="J223" s="5"/>
      <c r="L223">
        <f>RAVLT_Delayed!M223</f>
        <v>-0.827366296</v>
      </c>
      <c r="M223">
        <v>21.7</v>
      </c>
      <c r="O223">
        <f>ABS(L223-RAVLT_Delayed!$C$34)</f>
        <v>1.9885842471383595</v>
      </c>
      <c r="P223">
        <f t="shared" si="4"/>
        <v>21.7</v>
      </c>
    </row>
    <row r="224" spans="10:16">
      <c r="J224" s="5"/>
      <c r="L224">
        <f>RAVLT_Delayed!M224</f>
        <v>-0.82608798400000005</v>
      </c>
      <c r="M224">
        <v>21.8</v>
      </c>
      <c r="O224">
        <f>ABS(L224-RAVLT_Delayed!$C$34)</f>
        <v>1.9898625591383596</v>
      </c>
      <c r="P224">
        <f t="shared" si="4"/>
        <v>21.8</v>
      </c>
    </row>
    <row r="225" spans="10:16">
      <c r="J225" s="5"/>
      <c r="L225">
        <f>RAVLT_Delayed!M225</f>
        <v>-0.82480967199999999</v>
      </c>
      <c r="M225">
        <v>21.9</v>
      </c>
      <c r="O225">
        <f>ABS(L225-RAVLT_Delayed!$C$34)</f>
        <v>1.9911408711383596</v>
      </c>
      <c r="P225">
        <f t="shared" si="4"/>
        <v>21.9</v>
      </c>
    </row>
    <row r="226" spans="10:16">
      <c r="J226" s="5"/>
      <c r="L226">
        <f>RAVLT_Delayed!M226</f>
        <v>-0.82302664000000003</v>
      </c>
      <c r="M226">
        <v>22</v>
      </c>
      <c r="O226">
        <f>ABS(L226-RAVLT_Delayed!$C$34)</f>
        <v>1.9929239031383594</v>
      </c>
      <c r="P226">
        <f t="shared" si="4"/>
        <v>22</v>
      </c>
    </row>
    <row r="227" spans="10:16">
      <c r="J227" s="5"/>
      <c r="L227">
        <f>RAVLT_Delayed!M227</f>
        <v>-0.82092395200000001</v>
      </c>
      <c r="M227">
        <v>22.1</v>
      </c>
      <c r="O227">
        <f>ABS(L227-RAVLT_Delayed!$C$34)</f>
        <v>1.9950265911383596</v>
      </c>
      <c r="P227">
        <f t="shared" si="4"/>
        <v>22.1</v>
      </c>
    </row>
    <row r="228" spans="10:16">
      <c r="J228" s="5"/>
      <c r="L228">
        <f>RAVLT_Delayed!M228</f>
        <v>-0.81894999999999996</v>
      </c>
      <c r="M228">
        <v>22.2</v>
      </c>
      <c r="O228">
        <f>ABS(L228-RAVLT_Delayed!$C$34)</f>
        <v>1.9970005431383595</v>
      </c>
      <c r="P228">
        <f t="shared" si="4"/>
        <v>22.2</v>
      </c>
    </row>
    <row r="229" spans="10:16">
      <c r="J229" s="5"/>
      <c r="L229">
        <f>RAVLT_Delayed!M229</f>
        <v>-0.81894999999999996</v>
      </c>
      <c r="M229">
        <v>22.3</v>
      </c>
      <c r="O229">
        <f>ABS(L229-RAVLT_Delayed!$C$34)</f>
        <v>1.9970005431383595</v>
      </c>
      <c r="P229">
        <f t="shared" si="4"/>
        <v>22.3</v>
      </c>
    </row>
    <row r="230" spans="10:16">
      <c r="J230" s="5"/>
      <c r="L230">
        <f>RAVLT_Delayed!M230</f>
        <v>-0.81894999999999996</v>
      </c>
      <c r="M230">
        <v>22.4</v>
      </c>
      <c r="O230">
        <f>ABS(L230-RAVLT_Delayed!$C$34)</f>
        <v>1.9970005431383595</v>
      </c>
      <c r="P230">
        <f t="shared" si="4"/>
        <v>22.4</v>
      </c>
    </row>
    <row r="231" spans="10:16">
      <c r="J231" s="5"/>
      <c r="L231">
        <f>RAVLT_Delayed!M231</f>
        <v>-0.81789679999999998</v>
      </c>
      <c r="M231">
        <v>22.5</v>
      </c>
      <c r="O231">
        <f>ABS(L231-RAVLT_Delayed!$C$34)</f>
        <v>1.9980537431383596</v>
      </c>
      <c r="P231">
        <f t="shared" si="4"/>
        <v>22.5</v>
      </c>
    </row>
    <row r="232" spans="10:16">
      <c r="J232" s="5"/>
      <c r="L232">
        <f>RAVLT_Delayed!M232</f>
        <v>-0.81583252799999995</v>
      </c>
      <c r="M232">
        <v>22.6</v>
      </c>
      <c r="O232">
        <f>ABS(L232-RAVLT_Delayed!$C$34)</f>
        <v>2.0001180151383595</v>
      </c>
      <c r="P232">
        <f t="shared" si="4"/>
        <v>22.6</v>
      </c>
    </row>
    <row r="233" spans="10:16">
      <c r="J233" s="5"/>
      <c r="L233">
        <f>RAVLT_Delayed!M233</f>
        <v>-0.81376825600000002</v>
      </c>
      <c r="M233">
        <v>22.7</v>
      </c>
      <c r="O233">
        <f>ABS(L233-RAVLT_Delayed!$C$34)</f>
        <v>2.0021822871383597</v>
      </c>
      <c r="P233">
        <f t="shared" si="4"/>
        <v>22.7</v>
      </c>
    </row>
    <row r="234" spans="10:16">
      <c r="J234" s="5"/>
      <c r="L234">
        <f>RAVLT_Delayed!M234</f>
        <v>-0.81281468800000001</v>
      </c>
      <c r="M234">
        <v>22.8</v>
      </c>
      <c r="O234">
        <f>ABS(L234-RAVLT_Delayed!$C$34)</f>
        <v>2.0031358551383596</v>
      </c>
      <c r="P234">
        <f t="shared" si="4"/>
        <v>22.8</v>
      </c>
    </row>
    <row r="235" spans="10:16">
      <c r="J235" s="5"/>
      <c r="L235">
        <f>RAVLT_Delayed!M235</f>
        <v>-0.81190838399999998</v>
      </c>
      <c r="M235">
        <v>22.9</v>
      </c>
      <c r="O235">
        <f>ABS(L235-RAVLT_Delayed!$C$34)</f>
        <v>2.0040421591383595</v>
      </c>
      <c r="P235">
        <f t="shared" si="4"/>
        <v>22.9</v>
      </c>
    </row>
    <row r="236" spans="10:16">
      <c r="J236" s="5"/>
      <c r="L236">
        <f>RAVLT_Delayed!M236</f>
        <v>-0.81065295999999998</v>
      </c>
      <c r="M236">
        <v>23</v>
      </c>
      <c r="O236">
        <f>ABS(L236-RAVLT_Delayed!$C$34)</f>
        <v>2.0052975831383595</v>
      </c>
      <c r="P236">
        <f t="shared" si="4"/>
        <v>23</v>
      </c>
    </row>
    <row r="237" spans="10:16">
      <c r="J237" s="5"/>
      <c r="L237">
        <f>RAVLT_Delayed!M237</f>
        <v>-0.80889131199999997</v>
      </c>
      <c r="M237">
        <v>23.1</v>
      </c>
      <c r="O237">
        <f>ABS(L237-RAVLT_Delayed!$C$34)</f>
        <v>2.0070592311383595</v>
      </c>
      <c r="P237">
        <f t="shared" si="4"/>
        <v>23.1</v>
      </c>
    </row>
    <row r="238" spans="10:16">
      <c r="J238" s="5"/>
      <c r="L238">
        <f>RAVLT_Delayed!M238</f>
        <v>-0.80712966399999997</v>
      </c>
      <c r="M238">
        <v>23.2</v>
      </c>
      <c r="O238">
        <f>ABS(L238-RAVLT_Delayed!$C$34)</f>
        <v>2.0088208791383595</v>
      </c>
      <c r="P238">
        <f t="shared" si="4"/>
        <v>23.2</v>
      </c>
    </row>
    <row r="239" spans="10:16">
      <c r="J239" s="5"/>
      <c r="L239">
        <f>RAVLT_Delayed!M239</f>
        <v>-0.80439832</v>
      </c>
      <c r="M239">
        <v>23.3</v>
      </c>
      <c r="O239">
        <f>ABS(L239-RAVLT_Delayed!$C$34)</f>
        <v>2.0115522231383594</v>
      </c>
      <c r="P239">
        <f t="shared" si="4"/>
        <v>23.3</v>
      </c>
    </row>
    <row r="240" spans="10:16">
      <c r="J240" s="5"/>
      <c r="L240">
        <f>RAVLT_Delayed!M240</f>
        <v>-0.80150535999999994</v>
      </c>
      <c r="M240">
        <v>23.4</v>
      </c>
      <c r="O240">
        <f>ABS(L240-RAVLT_Delayed!$C$34)</f>
        <v>2.0144451831383599</v>
      </c>
      <c r="P240">
        <f t="shared" si="4"/>
        <v>23.4</v>
      </c>
    </row>
    <row r="241" spans="10:16">
      <c r="J241" s="5"/>
      <c r="L241">
        <f>RAVLT_Delayed!M241</f>
        <v>-0.79922055999999997</v>
      </c>
      <c r="M241">
        <v>23.5</v>
      </c>
      <c r="O241">
        <f>ABS(L241-RAVLT_Delayed!$C$34)</f>
        <v>2.0167299831383598</v>
      </c>
      <c r="P241">
        <f t="shared" si="4"/>
        <v>23.5</v>
      </c>
    </row>
    <row r="242" spans="10:16">
      <c r="J242" s="5"/>
      <c r="L242">
        <f>RAVLT_Delayed!M242</f>
        <v>-0.79831425600000006</v>
      </c>
      <c r="M242">
        <v>23.6</v>
      </c>
      <c r="O242">
        <f>ABS(L242-RAVLT_Delayed!$C$34)</f>
        <v>2.0176362871383597</v>
      </c>
      <c r="P242">
        <f t="shared" si="4"/>
        <v>23.6</v>
      </c>
    </row>
    <row r="243" spans="10:16">
      <c r="J243" s="5"/>
      <c r="L243">
        <f>RAVLT_Delayed!M243</f>
        <v>-0.79740795200000003</v>
      </c>
      <c r="M243">
        <v>23.7</v>
      </c>
      <c r="O243">
        <f>ABS(L243-RAVLT_Delayed!$C$34)</f>
        <v>2.0185425911383597</v>
      </c>
      <c r="P243">
        <f t="shared" si="4"/>
        <v>23.7</v>
      </c>
    </row>
    <row r="244" spans="10:16">
      <c r="J244" s="5"/>
      <c r="L244">
        <f>RAVLT_Delayed!M244</f>
        <v>-0.79307426400000003</v>
      </c>
      <c r="M244">
        <v>23.8</v>
      </c>
      <c r="O244">
        <f>ABS(L244-RAVLT_Delayed!$C$34)</f>
        <v>2.0228762791383597</v>
      </c>
      <c r="P244">
        <f t="shared" si="4"/>
        <v>23.8</v>
      </c>
    </row>
    <row r="245" spans="10:16">
      <c r="J245" s="5"/>
      <c r="L245">
        <f>RAVLT_Delayed!M245</f>
        <v>-0.78762899200000003</v>
      </c>
      <c r="M245">
        <v>23.9</v>
      </c>
      <c r="O245">
        <f>ABS(L245-RAVLT_Delayed!$C$34)</f>
        <v>2.0283215511383594</v>
      </c>
      <c r="P245">
        <f t="shared" si="4"/>
        <v>23.9</v>
      </c>
    </row>
    <row r="246" spans="10:16">
      <c r="J246" s="5"/>
      <c r="L246">
        <f>RAVLT_Delayed!M246</f>
        <v>-0.78299468000000005</v>
      </c>
      <c r="M246">
        <v>24</v>
      </c>
      <c r="O246">
        <f>ABS(L246-RAVLT_Delayed!$C$34)</f>
        <v>2.0329558631383593</v>
      </c>
      <c r="P246">
        <f t="shared" si="4"/>
        <v>24</v>
      </c>
    </row>
    <row r="247" spans="10:16">
      <c r="J247" s="5"/>
      <c r="L247">
        <f>RAVLT_Delayed!M247</f>
        <v>-0.78152311200000002</v>
      </c>
      <c r="M247">
        <v>24.1</v>
      </c>
      <c r="O247">
        <f>ABS(L247-RAVLT_Delayed!$C$34)</f>
        <v>2.0344274311383597</v>
      </c>
      <c r="P247">
        <f t="shared" si="4"/>
        <v>24.1</v>
      </c>
    </row>
    <row r="248" spans="10:16">
      <c r="J248" s="5"/>
      <c r="L248">
        <f>RAVLT_Delayed!M248</f>
        <v>-0.78005154399999999</v>
      </c>
      <c r="M248">
        <v>24.2</v>
      </c>
      <c r="O248">
        <f>ABS(L248-RAVLT_Delayed!$C$34)</f>
        <v>2.0358989991383596</v>
      </c>
      <c r="P248">
        <f t="shared" si="4"/>
        <v>24.2</v>
      </c>
    </row>
    <row r="249" spans="10:16">
      <c r="J249" s="5"/>
      <c r="L249">
        <f>RAVLT_Delayed!M249</f>
        <v>-0.77272218400000003</v>
      </c>
      <c r="M249">
        <v>24.3</v>
      </c>
      <c r="O249">
        <f>ABS(L249-RAVLT_Delayed!$C$34)</f>
        <v>2.0432283591383595</v>
      </c>
      <c r="P249">
        <f t="shared" si="4"/>
        <v>24.3</v>
      </c>
    </row>
    <row r="250" spans="10:16">
      <c r="J250" s="5"/>
      <c r="L250">
        <f>RAVLT_Delayed!M250</f>
        <v>-0.76228087200000005</v>
      </c>
      <c r="M250">
        <v>24.4</v>
      </c>
      <c r="O250">
        <f>ABS(L250-RAVLT_Delayed!$C$34)</f>
        <v>2.0536696711383593</v>
      </c>
      <c r="P250">
        <f t="shared" si="4"/>
        <v>24.4</v>
      </c>
    </row>
    <row r="251" spans="10:16">
      <c r="J251" s="5"/>
      <c r="L251">
        <f>RAVLT_Delayed!M251</f>
        <v>-0.75255212000000005</v>
      </c>
      <c r="M251">
        <v>24.5</v>
      </c>
      <c r="O251">
        <f>ABS(L251-RAVLT_Delayed!$C$34)</f>
        <v>2.0633984231383593</v>
      </c>
      <c r="P251">
        <f t="shared" si="4"/>
        <v>24.5</v>
      </c>
    </row>
    <row r="252" spans="10:16">
      <c r="J252" s="5"/>
      <c r="L252">
        <f>RAVLT_Delayed!M252</f>
        <v>-0.74909389599999998</v>
      </c>
      <c r="M252">
        <v>24.6</v>
      </c>
      <c r="O252">
        <f>ABS(L252-RAVLT_Delayed!$C$34)</f>
        <v>2.0668566471383594</v>
      </c>
      <c r="P252">
        <f t="shared" si="4"/>
        <v>24.6</v>
      </c>
    </row>
    <row r="253" spans="10:16">
      <c r="J253" s="5"/>
      <c r="L253">
        <f>RAVLT_Delayed!M253</f>
        <v>-0.74563567200000003</v>
      </c>
      <c r="M253">
        <v>24.7</v>
      </c>
      <c r="O253">
        <f>ABS(L253-RAVLT_Delayed!$C$34)</f>
        <v>2.0703148711383594</v>
      </c>
      <c r="P253">
        <f t="shared" si="4"/>
        <v>24.7</v>
      </c>
    </row>
    <row r="254" spans="10:16">
      <c r="J254" s="5"/>
      <c r="L254">
        <f>RAVLT_Delayed!M254</f>
        <v>-0.74101882399999996</v>
      </c>
      <c r="M254">
        <v>24.8</v>
      </c>
      <c r="O254">
        <f>ABS(L254-RAVLT_Delayed!$C$34)</f>
        <v>2.0749317191383598</v>
      </c>
      <c r="P254">
        <f t="shared" si="4"/>
        <v>24.8</v>
      </c>
    </row>
    <row r="255" spans="10:16">
      <c r="J255" s="5"/>
      <c r="L255">
        <f>RAVLT_Delayed!M255</f>
        <v>-0.73545791199999999</v>
      </c>
      <c r="M255">
        <v>24.9</v>
      </c>
      <c r="O255">
        <f>ABS(L255-RAVLT_Delayed!$C$34)</f>
        <v>2.0804926311383598</v>
      </c>
      <c r="P255">
        <f t="shared" si="4"/>
        <v>24.9</v>
      </c>
    </row>
    <row r="256" spans="10:16">
      <c r="J256" s="5"/>
      <c r="L256">
        <f>RAVLT_Delayed!M256</f>
        <v>-0.72989700000000002</v>
      </c>
      <c r="M256">
        <v>25</v>
      </c>
      <c r="O256">
        <f>ABS(L256-RAVLT_Delayed!$C$34)</f>
        <v>2.0860535431383598</v>
      </c>
      <c r="P256">
        <f t="shared" si="4"/>
        <v>25</v>
      </c>
    </row>
    <row r="257" spans="10:16">
      <c r="J257" s="5"/>
      <c r="L257">
        <f>RAVLT_Delayed!M257</f>
        <v>-0.72827803999999996</v>
      </c>
      <c r="M257">
        <v>25.1</v>
      </c>
      <c r="O257">
        <f>ABS(L257-RAVLT_Delayed!$C$34)</f>
        <v>2.0876725031383598</v>
      </c>
      <c r="P257">
        <f t="shared" si="4"/>
        <v>25.1</v>
      </c>
    </row>
    <row r="258" spans="10:16">
      <c r="J258" s="5"/>
      <c r="L258">
        <f>RAVLT_Delayed!M258</f>
        <v>-0.72665908000000001</v>
      </c>
      <c r="M258">
        <v>25.2</v>
      </c>
      <c r="O258">
        <f>ABS(L258-RAVLT_Delayed!$C$34)</f>
        <v>2.0892914631383595</v>
      </c>
      <c r="P258">
        <f t="shared" si="4"/>
        <v>25.2</v>
      </c>
    </row>
    <row r="259" spans="10:16">
      <c r="J259" s="5"/>
      <c r="L259">
        <f>RAVLT_Delayed!M259</f>
        <v>-0.72484000800000004</v>
      </c>
      <c r="M259">
        <v>25.3</v>
      </c>
      <c r="O259">
        <f>ABS(L259-RAVLT_Delayed!$C$34)</f>
        <v>2.0911105351383594</v>
      </c>
      <c r="P259">
        <f t="shared" si="4"/>
        <v>25.3</v>
      </c>
    </row>
    <row r="260" spans="10:16">
      <c r="J260" s="5"/>
      <c r="L260">
        <f>RAVLT_Delayed!M260</f>
        <v>-0.72277534399999999</v>
      </c>
      <c r="M260">
        <v>25.4</v>
      </c>
      <c r="O260">
        <f>ABS(L260-RAVLT_Delayed!$C$34)</f>
        <v>2.0931751991383596</v>
      </c>
      <c r="P260">
        <f t="shared" si="4"/>
        <v>25.4</v>
      </c>
    </row>
    <row r="261" spans="10:16">
      <c r="J261" s="5"/>
      <c r="L261">
        <f>RAVLT_Delayed!M261</f>
        <v>-0.72071068000000005</v>
      </c>
      <c r="M261">
        <v>25.5</v>
      </c>
      <c r="O261">
        <f>ABS(L261-RAVLT_Delayed!$C$34)</f>
        <v>2.0952398631383593</v>
      </c>
      <c r="P261">
        <f t="shared" si="4"/>
        <v>25.5</v>
      </c>
    </row>
    <row r="262" spans="10:16">
      <c r="J262" s="5"/>
      <c r="L262">
        <f>RAVLT_Delayed!M262</f>
        <v>-0.71583670399999999</v>
      </c>
      <c r="M262">
        <v>25.6</v>
      </c>
      <c r="O262">
        <f>ABS(L262-RAVLT_Delayed!$C$34)</f>
        <v>2.1001138391383596</v>
      </c>
      <c r="P262">
        <f t="shared" si="4"/>
        <v>25.6</v>
      </c>
    </row>
    <row r="263" spans="10:16">
      <c r="J263" s="5"/>
      <c r="L263">
        <f>RAVLT_Delayed!M263</f>
        <v>-0.71064348799999999</v>
      </c>
      <c r="M263">
        <v>25.7</v>
      </c>
      <c r="O263">
        <f>ABS(L263-RAVLT_Delayed!$C$34)</f>
        <v>2.1053070551383595</v>
      </c>
      <c r="P263">
        <f t="shared" ref="P263:P326" si="5">M263</f>
        <v>25.7</v>
      </c>
    </row>
    <row r="264" spans="10:16">
      <c r="J264" s="5"/>
      <c r="L264">
        <f>RAVLT_Delayed!M264</f>
        <v>-0.70536268800000002</v>
      </c>
      <c r="M264">
        <v>25.8</v>
      </c>
      <c r="O264">
        <f>ABS(L264-RAVLT_Delayed!$C$34)</f>
        <v>2.1105878551383594</v>
      </c>
      <c r="P264">
        <f t="shared" si="5"/>
        <v>25.8</v>
      </c>
    </row>
    <row r="265" spans="10:16">
      <c r="J265" s="5"/>
      <c r="L265">
        <f>RAVLT_Delayed!M265</f>
        <v>-0.699917024</v>
      </c>
      <c r="M265">
        <v>25.9</v>
      </c>
      <c r="O265">
        <f>ABS(L265-RAVLT_Delayed!$C$34)</f>
        <v>2.1160335191383597</v>
      </c>
      <c r="P265">
        <f t="shared" si="5"/>
        <v>25.9</v>
      </c>
    </row>
    <row r="266" spans="10:16">
      <c r="J266" s="5"/>
      <c r="L266">
        <f>RAVLT_Delayed!M266</f>
        <v>-0.69447135999999998</v>
      </c>
      <c r="M266">
        <v>26</v>
      </c>
      <c r="O266">
        <f>ABS(L266-RAVLT_Delayed!$C$34)</f>
        <v>2.1214791831383595</v>
      </c>
      <c r="P266">
        <f t="shared" si="5"/>
        <v>26</v>
      </c>
    </row>
    <row r="267" spans="10:16">
      <c r="J267" s="5"/>
      <c r="L267">
        <f>RAVLT_Delayed!M267</f>
        <v>-0.69263896800000002</v>
      </c>
      <c r="M267">
        <v>26.1</v>
      </c>
      <c r="O267">
        <f>ABS(L267-RAVLT_Delayed!$C$34)</f>
        <v>2.1233115751383593</v>
      </c>
      <c r="P267">
        <f t="shared" si="5"/>
        <v>26.1</v>
      </c>
    </row>
    <row r="268" spans="10:16">
      <c r="J268" s="5"/>
      <c r="L268">
        <f>RAVLT_Delayed!M268</f>
        <v>-0.69173305600000001</v>
      </c>
      <c r="M268">
        <v>26.2</v>
      </c>
      <c r="O268">
        <f>ABS(L268-RAVLT_Delayed!$C$34)</f>
        <v>2.1242174871383597</v>
      </c>
      <c r="P268">
        <f t="shared" si="5"/>
        <v>26.2</v>
      </c>
    </row>
    <row r="269" spans="10:16">
      <c r="J269" s="5"/>
      <c r="L269">
        <f>RAVLT_Delayed!M269</f>
        <v>-0.69101405599999999</v>
      </c>
      <c r="M269">
        <v>26.3</v>
      </c>
      <c r="O269">
        <f>ABS(L269-RAVLT_Delayed!$C$34)</f>
        <v>2.1249364871383598</v>
      </c>
      <c r="P269">
        <f t="shared" si="5"/>
        <v>26.3</v>
      </c>
    </row>
    <row r="270" spans="10:16">
      <c r="J270" s="5"/>
      <c r="L270">
        <f>RAVLT_Delayed!M270</f>
        <v>-0.69087136800000004</v>
      </c>
      <c r="M270">
        <v>26.4</v>
      </c>
      <c r="O270">
        <f>ABS(L270-RAVLT_Delayed!$C$34)</f>
        <v>2.1250791751383593</v>
      </c>
      <c r="P270">
        <f t="shared" si="5"/>
        <v>26.4</v>
      </c>
    </row>
    <row r="271" spans="10:16">
      <c r="J271" s="5"/>
      <c r="L271">
        <f>RAVLT_Delayed!M271</f>
        <v>-0.69072867999999998</v>
      </c>
      <c r="M271">
        <v>26.5</v>
      </c>
      <c r="O271">
        <f>ABS(L271-RAVLT_Delayed!$C$34)</f>
        <v>2.1252218631383597</v>
      </c>
      <c r="P271">
        <f t="shared" si="5"/>
        <v>26.5</v>
      </c>
    </row>
    <row r="272" spans="10:16">
      <c r="J272" s="5"/>
      <c r="L272">
        <f>RAVLT_Delayed!M272</f>
        <v>-0.69052887200000002</v>
      </c>
      <c r="M272">
        <v>26.6</v>
      </c>
      <c r="O272">
        <f>ABS(L272-RAVLT_Delayed!$C$34)</f>
        <v>2.1254216711383593</v>
      </c>
      <c r="P272">
        <f t="shared" si="5"/>
        <v>26.6</v>
      </c>
    </row>
    <row r="273" spans="10:16">
      <c r="J273" s="5"/>
      <c r="L273">
        <f>RAVLT_Delayed!M273</f>
        <v>-0.69030386399999999</v>
      </c>
      <c r="M273">
        <v>26.7</v>
      </c>
      <c r="O273">
        <f>ABS(L273-RAVLT_Delayed!$C$34)</f>
        <v>2.1256466791383595</v>
      </c>
      <c r="P273">
        <f t="shared" si="5"/>
        <v>26.7</v>
      </c>
    </row>
    <row r="274" spans="10:16">
      <c r="J274" s="5"/>
      <c r="L274">
        <f>RAVLT_Delayed!M274</f>
        <v>-0.68874168800000002</v>
      </c>
      <c r="M274">
        <v>26.8</v>
      </c>
      <c r="O274">
        <f>ABS(L274-RAVLT_Delayed!$C$34)</f>
        <v>2.1272088551383597</v>
      </c>
      <c r="P274">
        <f t="shared" si="5"/>
        <v>26.8</v>
      </c>
    </row>
    <row r="275" spans="10:16">
      <c r="J275" s="5"/>
      <c r="L275">
        <f>RAVLT_Delayed!M275</f>
        <v>-0.67915650400000005</v>
      </c>
      <c r="M275">
        <v>26.9</v>
      </c>
      <c r="O275">
        <f>ABS(L275-RAVLT_Delayed!$C$34)</f>
        <v>2.1367940391383593</v>
      </c>
      <c r="P275">
        <f t="shared" si="5"/>
        <v>26.9</v>
      </c>
    </row>
    <row r="276" spans="10:16">
      <c r="J276" s="5"/>
      <c r="L276">
        <f>RAVLT_Delayed!M276</f>
        <v>-0.66957131999999997</v>
      </c>
      <c r="M276">
        <v>27</v>
      </c>
      <c r="O276">
        <f>ABS(L276-RAVLT_Delayed!$C$34)</f>
        <v>2.1463792231383598</v>
      </c>
      <c r="P276">
        <f t="shared" si="5"/>
        <v>27</v>
      </c>
    </row>
    <row r="277" spans="10:16">
      <c r="J277" s="5"/>
      <c r="L277">
        <f>RAVLT_Delayed!M277</f>
        <v>-0.664031288</v>
      </c>
      <c r="M277">
        <v>27.1</v>
      </c>
      <c r="O277">
        <f>ABS(L277-RAVLT_Delayed!$C$34)</f>
        <v>2.1519192551383597</v>
      </c>
      <c r="P277">
        <f t="shared" si="5"/>
        <v>27.1</v>
      </c>
    </row>
    <row r="278" spans="10:16">
      <c r="J278" s="5"/>
      <c r="L278">
        <f>RAVLT_Delayed!M278</f>
        <v>-0.661281016</v>
      </c>
      <c r="M278">
        <v>27.2</v>
      </c>
      <c r="O278">
        <f>ABS(L278-RAVLT_Delayed!$C$34)</f>
        <v>2.1546695271383598</v>
      </c>
      <c r="P278">
        <f t="shared" si="5"/>
        <v>27.2</v>
      </c>
    </row>
    <row r="279" spans="10:16">
      <c r="J279" s="5"/>
      <c r="L279">
        <f>RAVLT_Delayed!M279</f>
        <v>-0.65858028000000002</v>
      </c>
      <c r="M279">
        <v>27.3</v>
      </c>
      <c r="O279">
        <f>ABS(L279-RAVLT_Delayed!$C$34)</f>
        <v>2.1573702631383593</v>
      </c>
      <c r="P279">
        <f t="shared" si="5"/>
        <v>27.3</v>
      </c>
    </row>
    <row r="280" spans="10:16">
      <c r="J280" s="5"/>
      <c r="L280">
        <f>RAVLT_Delayed!M280</f>
        <v>-0.65704364000000004</v>
      </c>
      <c r="M280">
        <v>27.4</v>
      </c>
      <c r="O280">
        <f>ABS(L280-RAVLT_Delayed!$C$34)</f>
        <v>2.1589069031383596</v>
      </c>
      <c r="P280">
        <f t="shared" si="5"/>
        <v>27.4</v>
      </c>
    </row>
    <row r="281" spans="10:16">
      <c r="J281" s="5"/>
      <c r="L281">
        <f>RAVLT_Delayed!M281</f>
        <v>-0.65550699999999995</v>
      </c>
      <c r="M281">
        <v>27.5</v>
      </c>
      <c r="O281">
        <f>ABS(L281-RAVLT_Delayed!$C$34)</f>
        <v>2.1604435431383595</v>
      </c>
      <c r="P281">
        <f t="shared" si="5"/>
        <v>27.5</v>
      </c>
    </row>
    <row r="282" spans="10:16">
      <c r="J282" s="5"/>
      <c r="L282">
        <f>RAVLT_Delayed!M282</f>
        <v>-0.65437586400000003</v>
      </c>
      <c r="M282">
        <v>27.6</v>
      </c>
      <c r="O282">
        <f>ABS(L282-RAVLT_Delayed!$C$34)</f>
        <v>2.1615746791383597</v>
      </c>
      <c r="P282">
        <f t="shared" si="5"/>
        <v>27.6</v>
      </c>
    </row>
    <row r="283" spans="10:16">
      <c r="J283" s="5"/>
      <c r="L283">
        <f>RAVLT_Delayed!M283</f>
        <v>-0.65366712800000004</v>
      </c>
      <c r="M283">
        <v>27.7</v>
      </c>
      <c r="O283">
        <f>ABS(L283-RAVLT_Delayed!$C$34)</f>
        <v>2.1622834151383596</v>
      </c>
      <c r="P283">
        <f t="shared" si="5"/>
        <v>27.7</v>
      </c>
    </row>
    <row r="284" spans="10:16">
      <c r="J284" s="5"/>
      <c r="L284">
        <f>RAVLT_Delayed!M284</f>
        <v>-0.65295839200000005</v>
      </c>
      <c r="M284">
        <v>27.8</v>
      </c>
      <c r="O284">
        <f>ABS(L284-RAVLT_Delayed!$C$34)</f>
        <v>2.1629921511383596</v>
      </c>
      <c r="P284">
        <f t="shared" si="5"/>
        <v>27.8</v>
      </c>
    </row>
    <row r="285" spans="10:16">
      <c r="J285" s="5"/>
      <c r="L285">
        <f>RAVLT_Delayed!M285</f>
        <v>-0.65217274400000003</v>
      </c>
      <c r="M285">
        <v>27.9</v>
      </c>
      <c r="O285">
        <f>ABS(L285-RAVLT_Delayed!$C$34)</f>
        <v>2.1637777991383595</v>
      </c>
      <c r="P285">
        <f t="shared" si="5"/>
        <v>27.9</v>
      </c>
    </row>
    <row r="286" spans="10:16">
      <c r="J286" s="5"/>
      <c r="L286">
        <f>RAVLT_Delayed!M286</f>
        <v>-0.65138207999999997</v>
      </c>
      <c r="M286">
        <v>28</v>
      </c>
      <c r="O286">
        <f>ABS(L286-RAVLT_Delayed!$C$34)</f>
        <v>2.1645684631383597</v>
      </c>
      <c r="P286">
        <f t="shared" si="5"/>
        <v>28</v>
      </c>
    </row>
    <row r="287" spans="10:16">
      <c r="J287" s="5"/>
      <c r="L287">
        <f>RAVLT_Delayed!M287</f>
        <v>-0.64901654399999997</v>
      </c>
      <c r="M287">
        <v>28.1</v>
      </c>
      <c r="O287">
        <f>ABS(L287-RAVLT_Delayed!$C$34)</f>
        <v>2.1669339991383598</v>
      </c>
      <c r="P287">
        <f t="shared" si="5"/>
        <v>28.1</v>
      </c>
    </row>
    <row r="288" spans="10:16">
      <c r="J288" s="5"/>
      <c r="L288">
        <f>RAVLT_Delayed!M288</f>
        <v>-0.64416436799999999</v>
      </c>
      <c r="M288">
        <v>28.2</v>
      </c>
      <c r="O288">
        <f>ABS(L288-RAVLT_Delayed!$C$34)</f>
        <v>2.1717861751383598</v>
      </c>
      <c r="P288">
        <f t="shared" si="5"/>
        <v>28.2</v>
      </c>
    </row>
    <row r="289" spans="10:16">
      <c r="J289" s="5"/>
      <c r="L289">
        <f>RAVLT_Delayed!M289</f>
        <v>-0.639312192</v>
      </c>
      <c r="M289">
        <v>28.3</v>
      </c>
      <c r="O289">
        <f>ABS(L289-RAVLT_Delayed!$C$34)</f>
        <v>2.1766383511383598</v>
      </c>
      <c r="P289">
        <f t="shared" si="5"/>
        <v>28.3</v>
      </c>
    </row>
    <row r="290" spans="10:16">
      <c r="J290" s="5"/>
      <c r="L290">
        <f>RAVLT_Delayed!M290</f>
        <v>-0.63320541600000002</v>
      </c>
      <c r="M290">
        <v>28.4</v>
      </c>
      <c r="O290">
        <f>ABS(L290-RAVLT_Delayed!$C$34)</f>
        <v>2.1827451271383596</v>
      </c>
      <c r="P290">
        <f t="shared" si="5"/>
        <v>28.4</v>
      </c>
    </row>
    <row r="291" spans="10:16">
      <c r="J291" s="5"/>
      <c r="L291">
        <f>RAVLT_Delayed!M291</f>
        <v>-0.62685384</v>
      </c>
      <c r="M291">
        <v>28.5</v>
      </c>
      <c r="O291">
        <f>ABS(L291-RAVLT_Delayed!$C$34)</f>
        <v>2.1890967031383597</v>
      </c>
      <c r="P291">
        <f t="shared" si="5"/>
        <v>28.5</v>
      </c>
    </row>
    <row r="292" spans="10:16">
      <c r="J292" s="5"/>
      <c r="L292">
        <f>RAVLT_Delayed!M292</f>
        <v>-0.62036416800000005</v>
      </c>
      <c r="M292">
        <v>28.6</v>
      </c>
      <c r="O292">
        <f>ABS(L292-RAVLT_Delayed!$C$34)</f>
        <v>2.1955863751383595</v>
      </c>
      <c r="P292">
        <f t="shared" si="5"/>
        <v>28.6</v>
      </c>
    </row>
    <row r="293" spans="10:16">
      <c r="J293" s="5"/>
      <c r="L293">
        <f>RAVLT_Delayed!M293</f>
        <v>-0.61352925599999997</v>
      </c>
      <c r="M293">
        <v>28.7</v>
      </c>
      <c r="O293">
        <f>ABS(L293-RAVLT_Delayed!$C$34)</f>
        <v>2.2024212871383595</v>
      </c>
      <c r="P293">
        <f t="shared" si="5"/>
        <v>28.7</v>
      </c>
    </row>
    <row r="294" spans="10:16">
      <c r="J294" s="5"/>
      <c r="L294">
        <f>RAVLT_Delayed!M294</f>
        <v>-0.606694344</v>
      </c>
      <c r="M294">
        <v>28.8</v>
      </c>
      <c r="O294">
        <f>ABS(L294-RAVLT_Delayed!$C$34)</f>
        <v>2.2092561991383595</v>
      </c>
      <c r="P294">
        <f t="shared" si="5"/>
        <v>28.8</v>
      </c>
    </row>
    <row r="295" spans="10:16">
      <c r="J295" s="5"/>
      <c r="L295">
        <f>RAVLT_Delayed!M295</f>
        <v>-0.60286039199999997</v>
      </c>
      <c r="M295">
        <v>28.9</v>
      </c>
      <c r="O295">
        <f>ABS(L295-RAVLT_Delayed!$C$34)</f>
        <v>2.2130901511383598</v>
      </c>
      <c r="P295">
        <f t="shared" si="5"/>
        <v>28.9</v>
      </c>
    </row>
    <row r="296" spans="10:16">
      <c r="J296" s="5"/>
      <c r="L296">
        <f>RAVLT_Delayed!M296</f>
        <v>-0.60011011999999997</v>
      </c>
      <c r="M296">
        <v>29</v>
      </c>
      <c r="O296">
        <f>ABS(L296-RAVLT_Delayed!$C$34)</f>
        <v>2.2158404231383595</v>
      </c>
      <c r="P296">
        <f t="shared" si="5"/>
        <v>29</v>
      </c>
    </row>
    <row r="297" spans="10:16">
      <c r="J297" s="5"/>
      <c r="L297">
        <f>RAVLT_Delayed!M297</f>
        <v>-0.59614074399999994</v>
      </c>
      <c r="M297">
        <v>29.1</v>
      </c>
      <c r="O297">
        <f>ABS(L297-RAVLT_Delayed!$C$34)</f>
        <v>2.2198097991383596</v>
      </c>
      <c r="P297">
        <f t="shared" si="5"/>
        <v>29.1</v>
      </c>
    </row>
    <row r="298" spans="10:16">
      <c r="J298" s="5"/>
      <c r="L298">
        <f>RAVLT_Delayed!M298</f>
        <v>-0.58675312800000001</v>
      </c>
      <c r="M298">
        <v>29.2</v>
      </c>
      <c r="O298">
        <f>ABS(L298-RAVLT_Delayed!$C$34)</f>
        <v>2.2291974151383593</v>
      </c>
      <c r="P298">
        <f t="shared" si="5"/>
        <v>29.2</v>
      </c>
    </row>
    <row r="299" spans="10:16">
      <c r="J299" s="5"/>
      <c r="L299">
        <f>RAVLT_Delayed!M299</f>
        <v>-0.57736551199999997</v>
      </c>
      <c r="M299">
        <v>29.3</v>
      </c>
      <c r="O299">
        <f>ABS(L299-RAVLT_Delayed!$C$34)</f>
        <v>2.2385850311383595</v>
      </c>
      <c r="P299">
        <f t="shared" si="5"/>
        <v>29.3</v>
      </c>
    </row>
    <row r="300" spans="10:16">
      <c r="J300" s="5"/>
      <c r="L300">
        <f>RAVLT_Delayed!M300</f>
        <v>-0.56937463200000005</v>
      </c>
      <c r="M300">
        <v>29.4</v>
      </c>
      <c r="O300">
        <f>ABS(L300-RAVLT_Delayed!$C$34)</f>
        <v>2.2465759111383594</v>
      </c>
      <c r="P300">
        <f t="shared" si="5"/>
        <v>29.4</v>
      </c>
    </row>
    <row r="301" spans="10:16">
      <c r="J301" s="5"/>
      <c r="L301">
        <f>RAVLT_Delayed!M301</f>
        <v>-0.56219476000000002</v>
      </c>
      <c r="M301">
        <v>29.5</v>
      </c>
      <c r="O301">
        <f>ABS(L301-RAVLT_Delayed!$C$34)</f>
        <v>2.2537557831383594</v>
      </c>
      <c r="P301">
        <f t="shared" si="5"/>
        <v>29.5</v>
      </c>
    </row>
    <row r="302" spans="10:16">
      <c r="J302" s="5"/>
      <c r="L302">
        <f>RAVLT_Delayed!M302</f>
        <v>-0.55560100000000001</v>
      </c>
      <c r="M302">
        <v>29.6</v>
      </c>
      <c r="O302">
        <f>ABS(L302-RAVLT_Delayed!$C$34)</f>
        <v>2.2603495431383598</v>
      </c>
      <c r="P302">
        <f t="shared" si="5"/>
        <v>29.6</v>
      </c>
    </row>
    <row r="303" spans="10:16">
      <c r="J303" s="5"/>
      <c r="L303">
        <f>RAVLT_Delayed!M303</f>
        <v>-0.55560100000000001</v>
      </c>
      <c r="M303">
        <v>29.7</v>
      </c>
      <c r="O303">
        <f>ABS(L303-RAVLT_Delayed!$C$34)</f>
        <v>2.2603495431383598</v>
      </c>
      <c r="P303">
        <f t="shared" si="5"/>
        <v>29.7</v>
      </c>
    </row>
    <row r="304" spans="10:16">
      <c r="J304" s="5"/>
      <c r="L304">
        <f>RAVLT_Delayed!M304</f>
        <v>-0.55560100000000001</v>
      </c>
      <c r="M304">
        <v>29.8</v>
      </c>
      <c r="O304">
        <f>ABS(L304-RAVLT_Delayed!$C$34)</f>
        <v>2.2603495431383598</v>
      </c>
      <c r="P304">
        <f t="shared" si="5"/>
        <v>29.8</v>
      </c>
    </row>
    <row r="305" spans="10:16">
      <c r="J305" s="5"/>
      <c r="L305">
        <f>RAVLT_Delayed!M305</f>
        <v>-0.55530085600000001</v>
      </c>
      <c r="M305">
        <v>29.9</v>
      </c>
      <c r="O305">
        <f>ABS(L305-RAVLT_Delayed!$C$34)</f>
        <v>2.2606496871383595</v>
      </c>
      <c r="P305">
        <f t="shared" si="5"/>
        <v>29.9</v>
      </c>
    </row>
    <row r="306" spans="10:16">
      <c r="J306" s="5"/>
      <c r="L306">
        <f>RAVLT_Delayed!M306</f>
        <v>-0.55473519999999998</v>
      </c>
      <c r="M306">
        <v>30</v>
      </c>
      <c r="O306">
        <f>ABS(L306-RAVLT_Delayed!$C$34)</f>
        <v>2.2612153431383595</v>
      </c>
      <c r="P306">
        <f t="shared" si="5"/>
        <v>30</v>
      </c>
    </row>
    <row r="307" spans="10:16">
      <c r="J307" s="5"/>
      <c r="L307">
        <f>RAVLT_Delayed!M307</f>
        <v>-0.55416954399999996</v>
      </c>
      <c r="M307">
        <v>30.1</v>
      </c>
      <c r="O307">
        <f>ABS(L307-RAVLT_Delayed!$C$34)</f>
        <v>2.2617809991383595</v>
      </c>
      <c r="P307">
        <f t="shared" si="5"/>
        <v>30.1</v>
      </c>
    </row>
    <row r="308" spans="10:16">
      <c r="J308" s="5"/>
      <c r="L308">
        <f>RAVLT_Delayed!M308</f>
        <v>-0.55180216000000004</v>
      </c>
      <c r="M308">
        <v>30.2</v>
      </c>
      <c r="O308">
        <f>ABS(L308-RAVLT_Delayed!$C$34)</f>
        <v>2.2641483831383598</v>
      </c>
      <c r="P308">
        <f t="shared" si="5"/>
        <v>30.2</v>
      </c>
    </row>
    <row r="309" spans="10:16">
      <c r="J309" s="5"/>
      <c r="L309">
        <f>RAVLT_Delayed!M309</f>
        <v>-0.54939724000000001</v>
      </c>
      <c r="M309">
        <v>30.3</v>
      </c>
      <c r="O309">
        <f>ABS(L309-RAVLT_Delayed!$C$34)</f>
        <v>2.2665533031383598</v>
      </c>
      <c r="P309">
        <f t="shared" si="5"/>
        <v>30.3</v>
      </c>
    </row>
    <row r="310" spans="10:16">
      <c r="J310" s="5"/>
      <c r="L310">
        <f>RAVLT_Delayed!M310</f>
        <v>-0.54757158399999994</v>
      </c>
      <c r="M310">
        <v>30.4</v>
      </c>
      <c r="O310">
        <f>ABS(L310-RAVLT_Delayed!$C$34)</f>
        <v>2.2683789591383596</v>
      </c>
      <c r="P310">
        <f t="shared" si="5"/>
        <v>30.4</v>
      </c>
    </row>
    <row r="311" spans="10:16">
      <c r="J311" s="5"/>
      <c r="L311">
        <f>RAVLT_Delayed!M311</f>
        <v>-0.54651828000000002</v>
      </c>
      <c r="M311">
        <v>30.5</v>
      </c>
      <c r="O311">
        <f>ABS(L311-RAVLT_Delayed!$C$34)</f>
        <v>2.2694322631383597</v>
      </c>
      <c r="P311">
        <f t="shared" si="5"/>
        <v>30.5</v>
      </c>
    </row>
    <row r="312" spans="10:16">
      <c r="J312" s="5"/>
      <c r="L312">
        <f>RAVLT_Delayed!M312</f>
        <v>-0.54546497599999999</v>
      </c>
      <c r="M312">
        <v>30.6</v>
      </c>
      <c r="O312">
        <f>ABS(L312-RAVLT_Delayed!$C$34)</f>
        <v>2.2704855671383597</v>
      </c>
      <c r="P312">
        <f t="shared" si="5"/>
        <v>30.6</v>
      </c>
    </row>
    <row r="313" spans="10:16">
      <c r="J313" s="5"/>
      <c r="L313">
        <f>RAVLT_Delayed!M313</f>
        <v>-0.54138034400000001</v>
      </c>
      <c r="M313">
        <v>30.7</v>
      </c>
      <c r="O313">
        <f>ABS(L313-RAVLT_Delayed!$C$34)</f>
        <v>2.2745701991383598</v>
      </c>
      <c r="P313">
        <f t="shared" si="5"/>
        <v>30.7</v>
      </c>
    </row>
    <row r="314" spans="10:16">
      <c r="J314" s="5"/>
      <c r="L314">
        <f>RAVLT_Delayed!M314</f>
        <v>-0.53687273599999996</v>
      </c>
      <c r="M314">
        <v>30.8</v>
      </c>
      <c r="O314">
        <f>ABS(L314-RAVLT_Delayed!$C$34)</f>
        <v>2.2790778071383597</v>
      </c>
      <c r="P314">
        <f t="shared" si="5"/>
        <v>30.8</v>
      </c>
    </row>
    <row r="315" spans="10:16">
      <c r="J315" s="5"/>
      <c r="L315">
        <f>RAVLT_Delayed!M315</f>
        <v>-0.53383700000000001</v>
      </c>
      <c r="M315">
        <v>30.9</v>
      </c>
      <c r="O315">
        <f>ABS(L315-RAVLT_Delayed!$C$34)</f>
        <v>2.2821135431383595</v>
      </c>
      <c r="P315">
        <f t="shared" si="5"/>
        <v>30.9</v>
      </c>
    </row>
    <row r="316" spans="10:16">
      <c r="J316" s="5"/>
      <c r="L316">
        <f>RAVLT_Delayed!M316</f>
        <v>-0.53383700000000001</v>
      </c>
      <c r="M316">
        <v>31</v>
      </c>
      <c r="O316">
        <f>ABS(L316-RAVLT_Delayed!$C$34)</f>
        <v>2.2821135431383595</v>
      </c>
      <c r="P316">
        <f t="shared" si="5"/>
        <v>31</v>
      </c>
    </row>
    <row r="317" spans="10:16">
      <c r="J317" s="5"/>
      <c r="L317">
        <f>RAVLT_Delayed!M317</f>
        <v>-0.53383700000000001</v>
      </c>
      <c r="M317">
        <v>31.1</v>
      </c>
      <c r="O317">
        <f>ABS(L317-RAVLT_Delayed!$C$34)</f>
        <v>2.2821135431383595</v>
      </c>
      <c r="P317">
        <f t="shared" si="5"/>
        <v>31.1</v>
      </c>
    </row>
    <row r="318" spans="10:16">
      <c r="J318" s="5"/>
      <c r="L318">
        <f>RAVLT_Delayed!M318</f>
        <v>-0.53383700000000001</v>
      </c>
      <c r="M318">
        <v>31.2</v>
      </c>
      <c r="O318">
        <f>ABS(L318-RAVLT_Delayed!$C$34)</f>
        <v>2.2821135431383595</v>
      </c>
      <c r="P318">
        <f t="shared" si="5"/>
        <v>31.2</v>
      </c>
    </row>
    <row r="319" spans="10:16">
      <c r="J319" s="5"/>
      <c r="L319">
        <f>RAVLT_Delayed!M319</f>
        <v>-0.53383700000000001</v>
      </c>
      <c r="M319">
        <v>31.3</v>
      </c>
      <c r="O319">
        <f>ABS(L319-RAVLT_Delayed!$C$34)</f>
        <v>2.2821135431383595</v>
      </c>
      <c r="P319">
        <f t="shared" si="5"/>
        <v>31.3</v>
      </c>
    </row>
    <row r="320" spans="10:16">
      <c r="J320" s="5"/>
      <c r="L320">
        <f>RAVLT_Delayed!M320</f>
        <v>-0.53365950399999995</v>
      </c>
      <c r="M320">
        <v>31.4</v>
      </c>
      <c r="O320">
        <f>ABS(L320-RAVLT_Delayed!$C$34)</f>
        <v>2.2822910391383595</v>
      </c>
      <c r="P320">
        <f t="shared" si="5"/>
        <v>31.4</v>
      </c>
    </row>
    <row r="321" spans="10:16">
      <c r="J321" s="5"/>
      <c r="L321">
        <f>RAVLT_Delayed!M321</f>
        <v>-0.53286884000000001</v>
      </c>
      <c r="M321">
        <v>31.5</v>
      </c>
      <c r="O321">
        <f>ABS(L321-RAVLT_Delayed!$C$34)</f>
        <v>2.2830817031383597</v>
      </c>
      <c r="P321">
        <f t="shared" si="5"/>
        <v>31.5</v>
      </c>
    </row>
    <row r="322" spans="10:16">
      <c r="J322" s="5"/>
      <c r="L322">
        <f>RAVLT_Delayed!M322</f>
        <v>-0.53207817599999996</v>
      </c>
      <c r="M322">
        <v>31.6</v>
      </c>
      <c r="O322">
        <f>ABS(L322-RAVLT_Delayed!$C$34)</f>
        <v>2.2838723671383594</v>
      </c>
      <c r="P322">
        <f t="shared" si="5"/>
        <v>31.6</v>
      </c>
    </row>
    <row r="323" spans="10:16">
      <c r="J323" s="5"/>
      <c r="L323">
        <f>RAVLT_Delayed!M323</f>
        <v>-0.52954299999999999</v>
      </c>
      <c r="M323">
        <v>31.7</v>
      </c>
      <c r="O323">
        <f>ABS(L323-RAVLT_Delayed!$C$34)</f>
        <v>2.2864075431383597</v>
      </c>
      <c r="P323">
        <f t="shared" si="5"/>
        <v>31.7</v>
      </c>
    </row>
    <row r="324" spans="10:16">
      <c r="J324" s="5"/>
      <c r="L324">
        <f>RAVLT_Delayed!M324</f>
        <v>-0.52616200000000002</v>
      </c>
      <c r="M324">
        <v>31.8</v>
      </c>
      <c r="O324">
        <f>ABS(L324-RAVLT_Delayed!$C$34)</f>
        <v>2.2897885431383598</v>
      </c>
      <c r="P324">
        <f t="shared" si="5"/>
        <v>31.8</v>
      </c>
    </row>
    <row r="325" spans="10:16">
      <c r="J325" s="5"/>
      <c r="L325">
        <f>RAVLT_Delayed!M325</f>
        <v>-0.52319499999999997</v>
      </c>
      <c r="M325">
        <v>31.9</v>
      </c>
      <c r="O325">
        <f>ABS(L325-RAVLT_Delayed!$C$34)</f>
        <v>2.2927555431383597</v>
      </c>
      <c r="P325">
        <f t="shared" si="5"/>
        <v>31.9</v>
      </c>
    </row>
    <row r="326" spans="10:16">
      <c r="J326" s="5"/>
      <c r="L326">
        <f>RAVLT_Delayed!M326</f>
        <v>-0.52319499999999997</v>
      </c>
      <c r="M326">
        <v>32</v>
      </c>
      <c r="O326">
        <f>ABS(L326-RAVLT_Delayed!$C$34)</f>
        <v>2.2927555431383597</v>
      </c>
      <c r="P326">
        <f t="shared" si="5"/>
        <v>32</v>
      </c>
    </row>
    <row r="327" spans="10:16">
      <c r="J327" s="5"/>
      <c r="L327">
        <f>RAVLT_Delayed!M327</f>
        <v>-0.52319499999999997</v>
      </c>
      <c r="M327">
        <v>32.1</v>
      </c>
      <c r="O327">
        <f>ABS(L327-RAVLT_Delayed!$C$34)</f>
        <v>2.2927555431383597</v>
      </c>
      <c r="P327">
        <f t="shared" ref="P327:P390" si="6">M327</f>
        <v>32.1</v>
      </c>
    </row>
    <row r="328" spans="10:16">
      <c r="J328" s="5"/>
      <c r="L328">
        <f>RAVLT_Delayed!M328</f>
        <v>-0.52300056800000005</v>
      </c>
      <c r="M328">
        <v>32.200000000000003</v>
      </c>
      <c r="O328">
        <f>ABS(L328-RAVLT_Delayed!$C$34)</f>
        <v>2.2929499751383595</v>
      </c>
      <c r="P328">
        <f t="shared" si="6"/>
        <v>32.200000000000003</v>
      </c>
    </row>
    <row r="329" spans="10:16">
      <c r="J329" s="5"/>
      <c r="L329">
        <f>RAVLT_Delayed!M329</f>
        <v>-0.52266031199999996</v>
      </c>
      <c r="M329">
        <v>32.299999999999997</v>
      </c>
      <c r="O329">
        <f>ABS(L329-RAVLT_Delayed!$C$34)</f>
        <v>2.2932902311383598</v>
      </c>
      <c r="P329">
        <f t="shared" si="6"/>
        <v>32.299999999999997</v>
      </c>
    </row>
    <row r="330" spans="10:16">
      <c r="J330" s="5"/>
      <c r="L330">
        <f>RAVLT_Delayed!M330</f>
        <v>-0.52231545599999996</v>
      </c>
      <c r="M330">
        <v>32.4</v>
      </c>
      <c r="O330">
        <f>ABS(L330-RAVLT_Delayed!$C$34)</f>
        <v>2.2936350871383597</v>
      </c>
      <c r="P330">
        <f t="shared" si="6"/>
        <v>32.4</v>
      </c>
    </row>
    <row r="331" spans="10:16">
      <c r="J331" s="5"/>
      <c r="L331">
        <f>RAVLT_Delayed!M331</f>
        <v>-0.52174980000000004</v>
      </c>
      <c r="M331">
        <v>32.5</v>
      </c>
      <c r="O331">
        <f>ABS(L331-RAVLT_Delayed!$C$34)</f>
        <v>2.2942007431383598</v>
      </c>
      <c r="P331">
        <f t="shared" si="6"/>
        <v>32.5</v>
      </c>
    </row>
    <row r="332" spans="10:16">
      <c r="J332" s="5"/>
      <c r="L332">
        <f>RAVLT_Delayed!M332</f>
        <v>-0.52118414400000002</v>
      </c>
      <c r="M332">
        <v>32.6</v>
      </c>
      <c r="O332">
        <f>ABS(L332-RAVLT_Delayed!$C$34)</f>
        <v>2.2947663991383598</v>
      </c>
      <c r="P332">
        <f t="shared" si="6"/>
        <v>32.6</v>
      </c>
    </row>
    <row r="333" spans="10:16">
      <c r="J333" s="5"/>
      <c r="L333">
        <f>RAVLT_Delayed!M333</f>
        <v>-0.52088400000000001</v>
      </c>
      <c r="M333">
        <v>32.700000000000003</v>
      </c>
      <c r="O333">
        <f>ABS(L333-RAVLT_Delayed!$C$34)</f>
        <v>2.2950665431383594</v>
      </c>
      <c r="P333">
        <f t="shared" si="6"/>
        <v>32.700000000000003</v>
      </c>
    </row>
    <row r="334" spans="10:16">
      <c r="J334" s="5"/>
      <c r="L334">
        <f>RAVLT_Delayed!M334</f>
        <v>-0.52088400000000001</v>
      </c>
      <c r="M334">
        <v>32.799999999999997</v>
      </c>
      <c r="O334">
        <f>ABS(L334-RAVLT_Delayed!$C$34)</f>
        <v>2.2950665431383594</v>
      </c>
      <c r="P334">
        <f t="shared" si="6"/>
        <v>32.799999999999997</v>
      </c>
    </row>
    <row r="335" spans="10:16">
      <c r="J335" s="5"/>
      <c r="L335">
        <f>RAVLT_Delayed!M335</f>
        <v>-0.52088400000000001</v>
      </c>
      <c r="M335">
        <v>32.9</v>
      </c>
      <c r="O335">
        <f>ABS(L335-RAVLT_Delayed!$C$34)</f>
        <v>2.2950665431383594</v>
      </c>
      <c r="P335">
        <f t="shared" si="6"/>
        <v>32.9</v>
      </c>
    </row>
    <row r="336" spans="10:16">
      <c r="J336" s="5"/>
      <c r="L336">
        <f>RAVLT_Delayed!M336</f>
        <v>-0.52054595999999997</v>
      </c>
      <c r="M336">
        <v>33</v>
      </c>
      <c r="O336">
        <f>ABS(L336-RAVLT_Delayed!$C$34)</f>
        <v>2.2954045831383594</v>
      </c>
      <c r="P336">
        <f t="shared" si="6"/>
        <v>33</v>
      </c>
    </row>
    <row r="337" spans="10:16">
      <c r="J337" s="5"/>
      <c r="L337">
        <f>RAVLT_Delayed!M337</f>
        <v>-0.52017787199999999</v>
      </c>
      <c r="M337">
        <v>33.1</v>
      </c>
      <c r="O337">
        <f>ABS(L337-RAVLT_Delayed!$C$34)</f>
        <v>2.2957726711383595</v>
      </c>
      <c r="P337">
        <f t="shared" si="6"/>
        <v>33.1</v>
      </c>
    </row>
    <row r="338" spans="10:16">
      <c r="J338" s="5"/>
      <c r="L338">
        <f>RAVLT_Delayed!M338</f>
        <v>-0.51867448800000004</v>
      </c>
      <c r="M338">
        <v>33.200000000000003</v>
      </c>
      <c r="O338">
        <f>ABS(L338-RAVLT_Delayed!$C$34)</f>
        <v>2.2972760551383598</v>
      </c>
      <c r="P338">
        <f t="shared" si="6"/>
        <v>33.200000000000003</v>
      </c>
    </row>
    <row r="339" spans="10:16">
      <c r="J339" s="5"/>
      <c r="L339">
        <f>RAVLT_Delayed!M339</f>
        <v>-0.51521587199999996</v>
      </c>
      <c r="M339">
        <v>33.299999999999997</v>
      </c>
      <c r="O339">
        <f>ABS(L339-RAVLT_Delayed!$C$34)</f>
        <v>2.3007346711383594</v>
      </c>
      <c r="P339">
        <f t="shared" si="6"/>
        <v>33.299999999999997</v>
      </c>
    </row>
    <row r="340" spans="10:16">
      <c r="J340" s="5"/>
      <c r="L340">
        <f>RAVLT_Delayed!M340</f>
        <v>-0.51175725599999999</v>
      </c>
      <c r="M340">
        <v>33.4</v>
      </c>
      <c r="O340">
        <f>ABS(L340-RAVLT_Delayed!$C$34)</f>
        <v>2.3041932871383595</v>
      </c>
      <c r="P340">
        <f t="shared" si="6"/>
        <v>33.4</v>
      </c>
    </row>
    <row r="341" spans="10:16">
      <c r="J341" s="5"/>
      <c r="L341">
        <f>RAVLT_Delayed!M341</f>
        <v>-0.51066056000000004</v>
      </c>
      <c r="M341">
        <v>33.5</v>
      </c>
      <c r="O341">
        <f>ABS(L341-RAVLT_Delayed!$C$34)</f>
        <v>2.3052899831383593</v>
      </c>
      <c r="P341">
        <f t="shared" si="6"/>
        <v>33.5</v>
      </c>
    </row>
    <row r="342" spans="10:16">
      <c r="J342" s="5"/>
      <c r="L342">
        <f>RAVLT_Delayed!M342</f>
        <v>-0.51009529600000003</v>
      </c>
      <c r="M342">
        <v>33.6</v>
      </c>
      <c r="O342">
        <f>ABS(L342-RAVLT_Delayed!$C$34)</f>
        <v>2.3058552471383598</v>
      </c>
      <c r="P342">
        <f t="shared" si="6"/>
        <v>33.6</v>
      </c>
    </row>
    <row r="343" spans="10:16">
      <c r="J343" s="5"/>
      <c r="L343">
        <f>RAVLT_Delayed!M343</f>
        <v>-0.509062448</v>
      </c>
      <c r="M343">
        <v>33.700000000000003</v>
      </c>
      <c r="O343">
        <f>ABS(L343-RAVLT_Delayed!$C$34)</f>
        <v>2.3068880951383597</v>
      </c>
      <c r="P343">
        <f t="shared" si="6"/>
        <v>33.700000000000003</v>
      </c>
    </row>
    <row r="344" spans="10:16">
      <c r="J344" s="5"/>
      <c r="L344">
        <f>RAVLT_Delayed!M344</f>
        <v>-0.50673475199999995</v>
      </c>
      <c r="M344">
        <v>33.799999999999997</v>
      </c>
      <c r="O344">
        <f>ABS(L344-RAVLT_Delayed!$C$34)</f>
        <v>2.3092157911383597</v>
      </c>
      <c r="P344">
        <f t="shared" si="6"/>
        <v>33.799999999999997</v>
      </c>
    </row>
    <row r="345" spans="10:16">
      <c r="J345" s="5"/>
      <c r="L345">
        <f>RAVLT_Delayed!M345</f>
        <v>-0.50440705600000002</v>
      </c>
      <c r="M345">
        <v>33.9</v>
      </c>
      <c r="O345">
        <f>ABS(L345-RAVLT_Delayed!$C$34)</f>
        <v>2.3115434871383593</v>
      </c>
      <c r="P345">
        <f t="shared" si="6"/>
        <v>33.9</v>
      </c>
    </row>
    <row r="346" spans="10:16">
      <c r="J346" s="5"/>
      <c r="L346">
        <f>RAVLT_Delayed!M346</f>
        <v>-0.50309492</v>
      </c>
      <c r="M346">
        <v>34</v>
      </c>
      <c r="O346">
        <f>ABS(L346-RAVLT_Delayed!$C$34)</f>
        <v>2.3128556231383595</v>
      </c>
      <c r="P346">
        <f t="shared" si="6"/>
        <v>34</v>
      </c>
    </row>
    <row r="347" spans="10:16">
      <c r="J347" s="5"/>
      <c r="L347">
        <f>RAVLT_Delayed!M347</f>
        <v>-0.50218900799999999</v>
      </c>
      <c r="M347">
        <v>34.1</v>
      </c>
      <c r="O347">
        <f>ABS(L347-RAVLT_Delayed!$C$34)</f>
        <v>2.3137615351383598</v>
      </c>
      <c r="P347">
        <f t="shared" si="6"/>
        <v>34.1</v>
      </c>
    </row>
    <row r="348" spans="10:16">
      <c r="J348" s="5"/>
      <c r="L348">
        <f>RAVLT_Delayed!M348</f>
        <v>-0.50125896800000003</v>
      </c>
      <c r="M348">
        <v>34.200000000000003</v>
      </c>
      <c r="O348">
        <f>ABS(L348-RAVLT_Delayed!$C$34)</f>
        <v>2.3146915751383594</v>
      </c>
      <c r="P348">
        <f t="shared" si="6"/>
        <v>34.200000000000003</v>
      </c>
    </row>
    <row r="349" spans="10:16">
      <c r="J349" s="5"/>
      <c r="L349">
        <f>RAVLT_Delayed!M349</f>
        <v>-0.50020527199999998</v>
      </c>
      <c r="M349">
        <v>34.299999999999997</v>
      </c>
      <c r="O349">
        <f>ABS(L349-RAVLT_Delayed!$C$34)</f>
        <v>2.3157452711383595</v>
      </c>
      <c r="P349">
        <f t="shared" si="6"/>
        <v>34.299999999999997</v>
      </c>
    </row>
    <row r="350" spans="10:16">
      <c r="J350" s="5"/>
      <c r="L350">
        <f>RAVLT_Delayed!M350</f>
        <v>-0.49915157599999999</v>
      </c>
      <c r="M350">
        <v>34.4</v>
      </c>
      <c r="O350">
        <f>ABS(L350-RAVLT_Delayed!$C$34)</f>
        <v>2.3167989671383595</v>
      </c>
      <c r="P350">
        <f t="shared" si="6"/>
        <v>34.4</v>
      </c>
    </row>
    <row r="351" spans="10:16">
      <c r="J351" s="5"/>
      <c r="L351">
        <f>RAVLT_Delayed!M351</f>
        <v>-0.49731811999999997</v>
      </c>
      <c r="M351">
        <v>34.5</v>
      </c>
      <c r="O351">
        <f>ABS(L351-RAVLT_Delayed!$C$34)</f>
        <v>2.3186324231383595</v>
      </c>
      <c r="P351">
        <f t="shared" si="6"/>
        <v>34.5</v>
      </c>
    </row>
    <row r="352" spans="10:16">
      <c r="J352" s="5"/>
      <c r="L352">
        <f>RAVLT_Delayed!M352</f>
        <v>-0.494990816</v>
      </c>
      <c r="M352">
        <v>34.6</v>
      </c>
      <c r="O352">
        <f>ABS(L352-RAVLT_Delayed!$C$34)</f>
        <v>2.3209597271383595</v>
      </c>
      <c r="P352">
        <f t="shared" si="6"/>
        <v>34.6</v>
      </c>
    </row>
    <row r="353" spans="10:16">
      <c r="J353" s="5"/>
      <c r="L353">
        <f>RAVLT_Delayed!M353</f>
        <v>-0.49275053600000002</v>
      </c>
      <c r="M353">
        <v>34.700000000000003</v>
      </c>
      <c r="O353">
        <f>ABS(L353-RAVLT_Delayed!$C$34)</f>
        <v>2.3232000071383596</v>
      </c>
      <c r="P353">
        <f t="shared" si="6"/>
        <v>34.700000000000003</v>
      </c>
    </row>
    <row r="354" spans="10:16">
      <c r="J354" s="5"/>
      <c r="L354">
        <f>RAVLT_Delayed!M354</f>
        <v>-0.49184462400000001</v>
      </c>
      <c r="M354">
        <v>34.799999999999997</v>
      </c>
      <c r="O354">
        <f>ABS(L354-RAVLT_Delayed!$C$34)</f>
        <v>2.3241059191383595</v>
      </c>
      <c r="P354">
        <f t="shared" si="6"/>
        <v>34.799999999999997</v>
      </c>
    </row>
    <row r="355" spans="10:16">
      <c r="J355" s="5"/>
      <c r="L355">
        <f>RAVLT_Delayed!M355</f>
        <v>-0.490938712</v>
      </c>
      <c r="M355">
        <v>34.9</v>
      </c>
      <c r="O355">
        <f>ABS(L355-RAVLT_Delayed!$C$34)</f>
        <v>2.3250118311383594</v>
      </c>
      <c r="P355">
        <f t="shared" si="6"/>
        <v>34.9</v>
      </c>
    </row>
    <row r="356" spans="10:16">
      <c r="J356" s="5"/>
      <c r="L356">
        <f>RAVLT_Delayed!M356</f>
        <v>-0.49049500000000001</v>
      </c>
      <c r="M356">
        <v>35</v>
      </c>
      <c r="O356">
        <f>ABS(L356-RAVLT_Delayed!$C$34)</f>
        <v>2.3254555431383594</v>
      </c>
      <c r="P356">
        <f t="shared" si="6"/>
        <v>35</v>
      </c>
    </row>
    <row r="357" spans="10:16">
      <c r="J357" s="5"/>
      <c r="L357">
        <f>RAVLT_Delayed!M357</f>
        <v>-0.49049500000000001</v>
      </c>
      <c r="M357">
        <v>35.1</v>
      </c>
      <c r="O357">
        <f>ABS(L357-RAVLT_Delayed!$C$34)</f>
        <v>2.3254555431383594</v>
      </c>
      <c r="P357">
        <f t="shared" si="6"/>
        <v>35.1</v>
      </c>
    </row>
    <row r="358" spans="10:16">
      <c r="J358" s="5"/>
      <c r="L358">
        <f>RAVLT_Delayed!M358</f>
        <v>-0.49049500000000001</v>
      </c>
      <c r="M358">
        <v>35.200000000000003</v>
      </c>
      <c r="O358">
        <f>ABS(L358-RAVLT_Delayed!$C$34)</f>
        <v>2.3254555431383594</v>
      </c>
      <c r="P358">
        <f t="shared" si="6"/>
        <v>35.200000000000003</v>
      </c>
    </row>
    <row r="359" spans="10:16">
      <c r="J359" s="5"/>
      <c r="L359">
        <f>RAVLT_Delayed!M359</f>
        <v>-0.48995243199999999</v>
      </c>
      <c r="M359">
        <v>35.299999999999997</v>
      </c>
      <c r="O359">
        <f>ABS(L359-RAVLT_Delayed!$C$34)</f>
        <v>2.3259981111383596</v>
      </c>
      <c r="P359">
        <f t="shared" si="6"/>
        <v>35.299999999999997</v>
      </c>
    </row>
    <row r="360" spans="10:16">
      <c r="J360" s="5"/>
      <c r="L360">
        <f>RAVLT_Delayed!M360</f>
        <v>-0.48938677600000002</v>
      </c>
      <c r="M360">
        <v>35.4</v>
      </c>
      <c r="O360">
        <f>ABS(L360-RAVLT_Delayed!$C$34)</f>
        <v>2.3265637671383597</v>
      </c>
      <c r="P360">
        <f t="shared" si="6"/>
        <v>35.4</v>
      </c>
    </row>
    <row r="361" spans="10:16">
      <c r="J361" s="5"/>
      <c r="L361">
        <f>RAVLT_Delayed!M361</f>
        <v>-0.48446768000000001</v>
      </c>
      <c r="M361">
        <v>35.5</v>
      </c>
      <c r="O361">
        <f>ABS(L361-RAVLT_Delayed!$C$34)</f>
        <v>2.3314828631383597</v>
      </c>
      <c r="P361">
        <f t="shared" si="6"/>
        <v>35.5</v>
      </c>
    </row>
    <row r="362" spans="10:16">
      <c r="J362" s="5"/>
      <c r="L362">
        <f>RAVLT_Delayed!M362</f>
        <v>-0.47323609599999999</v>
      </c>
      <c r="M362">
        <v>35.6</v>
      </c>
      <c r="O362">
        <f>ABS(L362-RAVLT_Delayed!$C$34)</f>
        <v>2.3427144471383596</v>
      </c>
      <c r="P362">
        <f t="shared" si="6"/>
        <v>35.6</v>
      </c>
    </row>
    <row r="363" spans="10:16">
      <c r="J363" s="5"/>
      <c r="L363">
        <f>RAVLT_Delayed!M363</f>
        <v>-0.46200451199999998</v>
      </c>
      <c r="M363">
        <v>35.700000000000003</v>
      </c>
      <c r="O363">
        <f>ABS(L363-RAVLT_Delayed!$C$34)</f>
        <v>2.3539460311383595</v>
      </c>
      <c r="P363">
        <f t="shared" si="6"/>
        <v>35.700000000000003</v>
      </c>
    </row>
    <row r="364" spans="10:16">
      <c r="J364" s="5"/>
      <c r="L364">
        <f>RAVLT_Delayed!M364</f>
        <v>-0.45962350400000002</v>
      </c>
      <c r="M364">
        <v>35.799999999999997</v>
      </c>
      <c r="O364">
        <f>ABS(L364-RAVLT_Delayed!$C$34)</f>
        <v>2.3563270391383595</v>
      </c>
      <c r="P364">
        <f t="shared" si="6"/>
        <v>35.799999999999997</v>
      </c>
    </row>
    <row r="365" spans="10:16">
      <c r="J365" s="5"/>
      <c r="L365">
        <f>RAVLT_Delayed!M365</f>
        <v>-0.45871759200000001</v>
      </c>
      <c r="M365">
        <v>35.9</v>
      </c>
      <c r="O365">
        <f>ABS(L365-RAVLT_Delayed!$C$34)</f>
        <v>2.3572329511383594</v>
      </c>
      <c r="P365">
        <f t="shared" si="6"/>
        <v>35.9</v>
      </c>
    </row>
    <row r="366" spans="10:16">
      <c r="J366" s="5"/>
      <c r="L366">
        <f>RAVLT_Delayed!M366</f>
        <v>-0.45797631999999999</v>
      </c>
      <c r="M366">
        <v>36</v>
      </c>
      <c r="O366">
        <f>ABS(L366-RAVLT_Delayed!$C$34)</f>
        <v>2.3579742231383598</v>
      </c>
      <c r="P366">
        <f t="shared" si="6"/>
        <v>36</v>
      </c>
    </row>
    <row r="367" spans="10:16">
      <c r="J367" s="5"/>
      <c r="L367">
        <f>RAVLT_Delayed!M367</f>
        <v>-0.457608232</v>
      </c>
      <c r="M367">
        <v>36.1</v>
      </c>
      <c r="O367">
        <f>ABS(L367-RAVLT_Delayed!$C$34)</f>
        <v>2.3583423111383595</v>
      </c>
      <c r="P367">
        <f t="shared" si="6"/>
        <v>36.1</v>
      </c>
    </row>
    <row r="368" spans="10:16">
      <c r="J368" s="5"/>
      <c r="L368">
        <f>RAVLT_Delayed!M368</f>
        <v>-0.45724014400000002</v>
      </c>
      <c r="M368">
        <v>36.200000000000003</v>
      </c>
      <c r="O368">
        <f>ABS(L368-RAVLT_Delayed!$C$34)</f>
        <v>2.3587103991383596</v>
      </c>
      <c r="P368">
        <f t="shared" si="6"/>
        <v>36.200000000000003</v>
      </c>
    </row>
    <row r="369" spans="10:16">
      <c r="J369" s="5"/>
      <c r="L369">
        <f>RAVLT_Delayed!M369</f>
        <v>-0.45359711200000002</v>
      </c>
      <c r="M369">
        <v>36.299999999999997</v>
      </c>
      <c r="O369">
        <f>ABS(L369-RAVLT_Delayed!$C$34)</f>
        <v>2.3623534311383594</v>
      </c>
      <c r="P369">
        <f t="shared" si="6"/>
        <v>36.299999999999997</v>
      </c>
    </row>
    <row r="370" spans="10:16">
      <c r="J370" s="5"/>
      <c r="L370">
        <f>RAVLT_Delayed!M370</f>
        <v>-0.44889193599999999</v>
      </c>
      <c r="M370">
        <v>36.4</v>
      </c>
      <c r="O370">
        <f>ABS(L370-RAVLT_Delayed!$C$34)</f>
        <v>2.3670586071383597</v>
      </c>
      <c r="P370">
        <f t="shared" si="6"/>
        <v>36.4</v>
      </c>
    </row>
    <row r="371" spans="10:16">
      <c r="J371" s="5"/>
      <c r="L371">
        <f>RAVLT_Delayed!M371</f>
        <v>-0.44242580000000098</v>
      </c>
      <c r="M371">
        <v>36.5</v>
      </c>
      <c r="O371">
        <f>ABS(L371-RAVLT_Delayed!$C$34)</f>
        <v>2.3735247431383586</v>
      </c>
      <c r="P371">
        <f t="shared" si="6"/>
        <v>36.5</v>
      </c>
    </row>
    <row r="372" spans="10:16">
      <c r="J372" s="5"/>
      <c r="L372">
        <f>RAVLT_Delayed!M372</f>
        <v>-0.42909192000000002</v>
      </c>
      <c r="M372">
        <v>36.6</v>
      </c>
      <c r="O372">
        <f>ABS(L372-RAVLT_Delayed!$C$34)</f>
        <v>2.3868586231383597</v>
      </c>
      <c r="P372">
        <f t="shared" si="6"/>
        <v>36.6</v>
      </c>
    </row>
    <row r="373" spans="10:16">
      <c r="J373" s="5"/>
      <c r="L373">
        <f>RAVLT_Delayed!M373</f>
        <v>-0.41575804</v>
      </c>
      <c r="M373">
        <v>36.700000000000003</v>
      </c>
      <c r="O373">
        <f>ABS(L373-RAVLT_Delayed!$C$34)</f>
        <v>2.4001925031383595</v>
      </c>
      <c r="P373">
        <f t="shared" si="6"/>
        <v>36.700000000000003</v>
      </c>
    </row>
    <row r="374" spans="10:16">
      <c r="J374" s="5"/>
      <c r="L374">
        <f>RAVLT_Delayed!M374</f>
        <v>-0.407077472</v>
      </c>
      <c r="M374">
        <v>36.799999999999997</v>
      </c>
      <c r="O374">
        <f>ABS(L374-RAVLT_Delayed!$C$34)</f>
        <v>2.4088730711383595</v>
      </c>
      <c r="P374">
        <f t="shared" si="6"/>
        <v>36.799999999999997</v>
      </c>
    </row>
    <row r="375" spans="10:16">
      <c r="J375" s="5"/>
      <c r="L375">
        <f>RAVLT_Delayed!M375</f>
        <v>-0.40086897599999999</v>
      </c>
      <c r="M375">
        <v>36.9</v>
      </c>
      <c r="O375">
        <f>ABS(L375-RAVLT_Delayed!$C$34)</f>
        <v>2.4150815671383596</v>
      </c>
      <c r="P375">
        <f t="shared" si="6"/>
        <v>36.9</v>
      </c>
    </row>
    <row r="376" spans="10:16">
      <c r="J376" s="5"/>
      <c r="L376">
        <f>RAVLT_Delayed!M376</f>
        <v>-0.39524468000000001</v>
      </c>
      <c r="M376">
        <v>37</v>
      </c>
      <c r="O376">
        <f>ABS(L376-RAVLT_Delayed!$C$34)</f>
        <v>2.4207058631383598</v>
      </c>
      <c r="P376">
        <f t="shared" si="6"/>
        <v>37</v>
      </c>
    </row>
    <row r="377" spans="10:16">
      <c r="J377" s="5"/>
      <c r="L377">
        <f>RAVLT_Delayed!M377</f>
        <v>-0.39476134400000001</v>
      </c>
      <c r="M377">
        <v>37.1</v>
      </c>
      <c r="O377">
        <f>ABS(L377-RAVLT_Delayed!$C$34)</f>
        <v>2.4211891991383596</v>
      </c>
      <c r="P377">
        <f t="shared" si="6"/>
        <v>37.1</v>
      </c>
    </row>
    <row r="378" spans="10:16">
      <c r="J378" s="5"/>
      <c r="L378">
        <f>RAVLT_Delayed!M378</f>
        <v>-0.39427800800000001</v>
      </c>
      <c r="M378">
        <v>37.200000000000003</v>
      </c>
      <c r="O378">
        <f>ABS(L378-RAVLT_Delayed!$C$34)</f>
        <v>2.4216725351383595</v>
      </c>
      <c r="P378">
        <f t="shared" si="6"/>
        <v>37.200000000000003</v>
      </c>
    </row>
    <row r="379" spans="10:16">
      <c r="J379" s="5"/>
      <c r="L379">
        <f>RAVLT_Delayed!M379</f>
        <v>-0.39348039200000001</v>
      </c>
      <c r="M379">
        <v>37.299999999999997</v>
      </c>
      <c r="O379">
        <f>ABS(L379-RAVLT_Delayed!$C$34)</f>
        <v>2.4224701511383597</v>
      </c>
      <c r="P379">
        <f t="shared" si="6"/>
        <v>37.299999999999997</v>
      </c>
    </row>
    <row r="380" spans="10:16">
      <c r="J380" s="5"/>
      <c r="L380">
        <f>RAVLT_Delayed!M380</f>
        <v>-0.39242669600000002</v>
      </c>
      <c r="M380">
        <v>37.4</v>
      </c>
      <c r="O380">
        <f>ABS(L380-RAVLT_Delayed!$C$34)</f>
        <v>2.4235238471383598</v>
      </c>
      <c r="P380">
        <f t="shared" si="6"/>
        <v>37.4</v>
      </c>
    </row>
    <row r="381" spans="10:16">
      <c r="J381" s="5"/>
      <c r="L381">
        <f>RAVLT_Delayed!M381</f>
        <v>-0.39137300000000003</v>
      </c>
      <c r="M381">
        <v>37.5</v>
      </c>
      <c r="O381">
        <f>ABS(L381-RAVLT_Delayed!$C$34)</f>
        <v>2.4245775431383594</v>
      </c>
      <c r="P381">
        <f t="shared" si="6"/>
        <v>37.5</v>
      </c>
    </row>
    <row r="382" spans="10:16">
      <c r="J382" s="5"/>
      <c r="L382">
        <f>RAVLT_Delayed!M382</f>
        <v>-0.38389050400000002</v>
      </c>
      <c r="M382">
        <v>37.6</v>
      </c>
      <c r="O382">
        <f>ABS(L382-RAVLT_Delayed!$C$34)</f>
        <v>2.4320600391383596</v>
      </c>
      <c r="P382">
        <f t="shared" si="6"/>
        <v>37.6</v>
      </c>
    </row>
    <row r="383" spans="10:16">
      <c r="J383" s="5"/>
      <c r="L383">
        <f>RAVLT_Delayed!M383</f>
        <v>-0.37640800800000002</v>
      </c>
      <c r="M383">
        <v>37.700000000000003</v>
      </c>
      <c r="O383">
        <f>ABS(L383-RAVLT_Delayed!$C$34)</f>
        <v>2.4395425351383597</v>
      </c>
      <c r="P383">
        <f t="shared" si="6"/>
        <v>37.700000000000003</v>
      </c>
    </row>
    <row r="384" spans="10:16">
      <c r="J384" s="5"/>
      <c r="L384">
        <f>RAVLT_Delayed!M384</f>
        <v>-0.370296024</v>
      </c>
      <c r="M384">
        <v>37.799999999999997</v>
      </c>
      <c r="O384">
        <f>ABS(L384-RAVLT_Delayed!$C$34)</f>
        <v>2.4456545191383596</v>
      </c>
      <c r="P384">
        <f t="shared" si="6"/>
        <v>37.799999999999997</v>
      </c>
    </row>
    <row r="385" spans="10:16">
      <c r="J385" s="5"/>
      <c r="L385">
        <f>RAVLT_Delayed!M385</f>
        <v>-0.36586603200000001</v>
      </c>
      <c r="M385">
        <v>37.9</v>
      </c>
      <c r="O385">
        <f>ABS(L385-RAVLT_Delayed!$C$34)</f>
        <v>2.4500845111383596</v>
      </c>
      <c r="P385">
        <f t="shared" si="6"/>
        <v>37.9</v>
      </c>
    </row>
    <row r="386" spans="10:16">
      <c r="J386" s="5"/>
      <c r="L386">
        <f>RAVLT_Delayed!M386</f>
        <v>-0.36143604000000001</v>
      </c>
      <c r="M386">
        <v>38</v>
      </c>
      <c r="O386">
        <f>ABS(L386-RAVLT_Delayed!$C$34)</f>
        <v>2.4545145031383595</v>
      </c>
      <c r="P386">
        <f t="shared" si="6"/>
        <v>38</v>
      </c>
    </row>
    <row r="387" spans="10:16">
      <c r="J387" s="5"/>
      <c r="L387">
        <f>RAVLT_Delayed!M387</f>
        <v>-0.359130016</v>
      </c>
      <c r="M387">
        <v>38.1</v>
      </c>
      <c r="O387">
        <f>ABS(L387-RAVLT_Delayed!$C$34)</f>
        <v>2.4568205271383596</v>
      </c>
      <c r="P387">
        <f t="shared" si="6"/>
        <v>38.1</v>
      </c>
    </row>
    <row r="388" spans="10:16">
      <c r="J388" s="5"/>
      <c r="L388">
        <f>RAVLT_Delayed!M388</f>
        <v>-0.357065352</v>
      </c>
      <c r="M388">
        <v>38.200000000000003</v>
      </c>
      <c r="O388">
        <f>ABS(L388-RAVLT_Delayed!$C$34)</f>
        <v>2.4588851911383598</v>
      </c>
      <c r="P388">
        <f t="shared" si="6"/>
        <v>38.200000000000003</v>
      </c>
    </row>
    <row r="389" spans="10:16">
      <c r="J389" s="5"/>
      <c r="L389">
        <f>RAVLT_Delayed!M389</f>
        <v>-0.35490956800000001</v>
      </c>
      <c r="M389">
        <v>38.299999999999997</v>
      </c>
      <c r="O389">
        <f>ABS(L389-RAVLT_Delayed!$C$34)</f>
        <v>2.4610409751383595</v>
      </c>
      <c r="P389">
        <f t="shared" si="6"/>
        <v>38.299999999999997</v>
      </c>
    </row>
    <row r="390" spans="10:16">
      <c r="J390" s="5"/>
      <c r="L390">
        <f>RAVLT_Delayed!M390</f>
        <v>-0.35258226399999998</v>
      </c>
      <c r="M390">
        <v>38.4</v>
      </c>
      <c r="O390">
        <f>ABS(L390-RAVLT_Delayed!$C$34)</f>
        <v>2.4633682791383595</v>
      </c>
      <c r="P390">
        <f t="shared" si="6"/>
        <v>38.4</v>
      </c>
    </row>
    <row r="391" spans="10:16">
      <c r="J391" s="5"/>
      <c r="L391">
        <f>RAVLT_Delayed!M391</f>
        <v>-0.35025496</v>
      </c>
      <c r="M391">
        <v>38.5</v>
      </c>
      <c r="O391">
        <f>ABS(L391-RAVLT_Delayed!$C$34)</f>
        <v>2.4656955831383596</v>
      </c>
      <c r="P391">
        <f t="shared" ref="P391:P454" si="7">M391</f>
        <v>38.5</v>
      </c>
    </row>
    <row r="392" spans="10:16">
      <c r="J392" s="5"/>
      <c r="L392">
        <f>RAVLT_Delayed!M392</f>
        <v>-0.34501732000000002</v>
      </c>
      <c r="M392">
        <v>38.6</v>
      </c>
      <c r="O392">
        <f>ABS(L392-RAVLT_Delayed!$C$34)</f>
        <v>2.4709332231383594</v>
      </c>
      <c r="P392">
        <f t="shared" si="7"/>
        <v>38.6</v>
      </c>
    </row>
    <row r="393" spans="10:16">
      <c r="J393" s="5"/>
      <c r="L393">
        <f>RAVLT_Delayed!M393</f>
        <v>-0.33903344000000002</v>
      </c>
      <c r="M393">
        <v>38.700000000000003</v>
      </c>
      <c r="O393">
        <f>ABS(L393-RAVLT_Delayed!$C$34)</f>
        <v>2.4769171031383594</v>
      </c>
      <c r="P393">
        <f t="shared" si="7"/>
        <v>38.700000000000003</v>
      </c>
    </row>
    <row r="394" spans="10:16">
      <c r="J394" s="5"/>
      <c r="L394">
        <f>RAVLT_Delayed!M394</f>
        <v>-0.33451500000000001</v>
      </c>
      <c r="M394">
        <v>38.799999999999997</v>
      </c>
      <c r="O394">
        <f>ABS(L394-RAVLT_Delayed!$C$34)</f>
        <v>2.4814355431383595</v>
      </c>
      <c r="P394">
        <f t="shared" si="7"/>
        <v>38.799999999999997</v>
      </c>
    </row>
    <row r="395" spans="10:16">
      <c r="J395" s="5"/>
      <c r="L395">
        <f>RAVLT_Delayed!M395</f>
        <v>-0.33451500000000001</v>
      </c>
      <c r="M395">
        <v>38.9</v>
      </c>
      <c r="O395">
        <f>ABS(L395-RAVLT_Delayed!$C$34)</f>
        <v>2.4814355431383595</v>
      </c>
      <c r="P395">
        <f t="shared" si="7"/>
        <v>38.9</v>
      </c>
    </row>
    <row r="396" spans="10:16">
      <c r="J396" s="5"/>
      <c r="L396">
        <f>RAVLT_Delayed!M396</f>
        <v>-0.33451500000000001</v>
      </c>
      <c r="M396">
        <v>39</v>
      </c>
      <c r="O396">
        <f>ABS(L396-RAVLT_Delayed!$C$34)</f>
        <v>2.4814355431383595</v>
      </c>
      <c r="P396">
        <f t="shared" si="7"/>
        <v>39</v>
      </c>
    </row>
    <row r="397" spans="10:16">
      <c r="J397" s="5"/>
      <c r="L397">
        <f>RAVLT_Delayed!M397</f>
        <v>-0.33425986400000002</v>
      </c>
      <c r="M397">
        <v>39.1</v>
      </c>
      <c r="O397">
        <f>ABS(L397-RAVLT_Delayed!$C$34)</f>
        <v>2.4816906791383597</v>
      </c>
      <c r="P397">
        <f t="shared" si="7"/>
        <v>39.1</v>
      </c>
    </row>
    <row r="398" spans="10:16">
      <c r="J398" s="5"/>
      <c r="L398">
        <f>RAVLT_Delayed!M398</f>
        <v>-0.33389216799999999</v>
      </c>
      <c r="M398">
        <v>39.200000000000003</v>
      </c>
      <c r="O398">
        <f>ABS(L398-RAVLT_Delayed!$C$34)</f>
        <v>2.4820583751383598</v>
      </c>
      <c r="P398">
        <f t="shared" si="7"/>
        <v>39.200000000000003</v>
      </c>
    </row>
    <row r="399" spans="10:16">
      <c r="J399" s="5"/>
      <c r="L399">
        <f>RAVLT_Delayed!M399</f>
        <v>-0.33344758400000002</v>
      </c>
      <c r="M399">
        <v>39.299999999999997</v>
      </c>
      <c r="O399">
        <f>ABS(L399-RAVLT_Delayed!$C$34)</f>
        <v>2.4825029591383596</v>
      </c>
      <c r="P399">
        <f t="shared" si="7"/>
        <v>39.299999999999997</v>
      </c>
    </row>
    <row r="400" spans="10:16">
      <c r="J400" s="5"/>
      <c r="L400">
        <f>RAVLT_Delayed!M400</f>
        <v>-0.33254167200000001</v>
      </c>
      <c r="M400">
        <v>39.4</v>
      </c>
      <c r="O400">
        <f>ABS(L400-RAVLT_Delayed!$C$34)</f>
        <v>2.4834088711383595</v>
      </c>
      <c r="P400">
        <f t="shared" si="7"/>
        <v>39.4</v>
      </c>
    </row>
    <row r="401" spans="10:16">
      <c r="J401" s="5"/>
      <c r="L401">
        <f>RAVLT_Delayed!M401</f>
        <v>-0.33163576</v>
      </c>
      <c r="M401">
        <v>39.5</v>
      </c>
      <c r="O401">
        <f>ABS(L401-RAVLT_Delayed!$C$34)</f>
        <v>2.4843147831383594</v>
      </c>
      <c r="P401">
        <f t="shared" si="7"/>
        <v>39.5</v>
      </c>
    </row>
    <row r="402" spans="10:16">
      <c r="J402" s="5"/>
      <c r="L402">
        <f>RAVLT_Delayed!M402</f>
        <v>-0.32926499999999997</v>
      </c>
      <c r="M402">
        <v>39.6</v>
      </c>
      <c r="O402">
        <f>ABS(L402-RAVLT_Delayed!$C$34)</f>
        <v>2.4866855431383597</v>
      </c>
      <c r="P402">
        <f t="shared" si="7"/>
        <v>39.6</v>
      </c>
    </row>
    <row r="403" spans="10:16">
      <c r="J403" s="5"/>
      <c r="L403">
        <f>RAVLT_Delayed!M403</f>
        <v>-0.32588400000000001</v>
      </c>
      <c r="M403">
        <v>39.700000000000003</v>
      </c>
      <c r="O403">
        <f>ABS(L403-RAVLT_Delayed!$C$34)</f>
        <v>2.4900665431383597</v>
      </c>
      <c r="P403">
        <f t="shared" si="7"/>
        <v>39.700000000000003</v>
      </c>
    </row>
    <row r="404" spans="10:16">
      <c r="J404" s="5"/>
      <c r="L404">
        <f>RAVLT_Delayed!M404</f>
        <v>-0.32242474399999999</v>
      </c>
      <c r="M404">
        <v>39.799999999999997</v>
      </c>
      <c r="O404">
        <f>ABS(L404-RAVLT_Delayed!$C$34)</f>
        <v>2.4935257991383595</v>
      </c>
      <c r="P404">
        <f t="shared" si="7"/>
        <v>39.799999999999997</v>
      </c>
    </row>
    <row r="405" spans="10:16">
      <c r="J405" s="5"/>
      <c r="L405">
        <f>RAVLT_Delayed!M405</f>
        <v>-0.31712647199999999</v>
      </c>
      <c r="M405">
        <v>39.9</v>
      </c>
      <c r="O405">
        <f>ABS(L405-RAVLT_Delayed!$C$34)</f>
        <v>2.4988240711383596</v>
      </c>
      <c r="P405">
        <f t="shared" si="7"/>
        <v>39.9</v>
      </c>
    </row>
    <row r="406" spans="10:16">
      <c r="J406" s="5"/>
      <c r="L406">
        <f>RAVLT_Delayed!M406</f>
        <v>-0.3118282</v>
      </c>
      <c r="M406">
        <v>40</v>
      </c>
      <c r="O406">
        <f>ABS(L406-RAVLT_Delayed!$C$34)</f>
        <v>2.5041223431383597</v>
      </c>
      <c r="P406">
        <f t="shared" si="7"/>
        <v>40</v>
      </c>
    </row>
    <row r="407" spans="10:16">
      <c r="J407" s="5"/>
      <c r="L407">
        <f>RAVLT_Delayed!M407</f>
        <v>-0.30754138399999997</v>
      </c>
      <c r="M407">
        <v>40.1</v>
      </c>
      <c r="O407">
        <f>ABS(L407-RAVLT_Delayed!$C$34)</f>
        <v>2.5084091591383597</v>
      </c>
      <c r="P407">
        <f t="shared" si="7"/>
        <v>40.1</v>
      </c>
    </row>
    <row r="408" spans="10:16">
      <c r="J408" s="5"/>
      <c r="L408">
        <f>RAVLT_Delayed!M408</f>
        <v>-0.30430816799999999</v>
      </c>
      <c r="M408">
        <v>40.200000000000003</v>
      </c>
      <c r="O408">
        <f>ABS(L408-RAVLT_Delayed!$C$34)</f>
        <v>2.5116423751383596</v>
      </c>
      <c r="P408">
        <f t="shared" si="7"/>
        <v>40.200000000000003</v>
      </c>
    </row>
    <row r="409" spans="10:16">
      <c r="J409" s="5"/>
      <c r="L409">
        <f>RAVLT_Delayed!M409</f>
        <v>-0.30107495200000001</v>
      </c>
      <c r="M409">
        <v>40.299999999999997</v>
      </c>
      <c r="O409">
        <f>ABS(L409-RAVLT_Delayed!$C$34)</f>
        <v>2.5148755911383596</v>
      </c>
      <c r="P409">
        <f t="shared" si="7"/>
        <v>40.299999999999997</v>
      </c>
    </row>
    <row r="410" spans="10:16">
      <c r="J410" s="5"/>
      <c r="L410">
        <f>RAVLT_Delayed!M410</f>
        <v>-0.29848058399999999</v>
      </c>
      <c r="M410">
        <v>40.4</v>
      </c>
      <c r="O410">
        <f>ABS(L410-RAVLT_Delayed!$C$34)</f>
        <v>2.5174699591383596</v>
      </c>
      <c r="P410">
        <f t="shared" si="7"/>
        <v>40.4</v>
      </c>
    </row>
    <row r="411" spans="10:16">
      <c r="J411" s="5"/>
      <c r="L411">
        <f>RAVLT_Delayed!M411</f>
        <v>-0.29592787999999998</v>
      </c>
      <c r="M411">
        <v>40.5</v>
      </c>
      <c r="O411">
        <f>ABS(L411-RAVLT_Delayed!$C$34)</f>
        <v>2.5200226631383598</v>
      </c>
      <c r="P411">
        <f t="shared" si="7"/>
        <v>40.5</v>
      </c>
    </row>
    <row r="412" spans="10:16">
      <c r="J412" s="5"/>
      <c r="L412">
        <f>RAVLT_Delayed!M412</f>
        <v>-0.292891968</v>
      </c>
      <c r="M412">
        <v>40.6</v>
      </c>
      <c r="O412">
        <f>ABS(L412-RAVLT_Delayed!$C$34)</f>
        <v>2.5230585751383594</v>
      </c>
      <c r="P412">
        <f t="shared" si="7"/>
        <v>40.6</v>
      </c>
    </row>
    <row r="413" spans="10:16">
      <c r="J413" s="5"/>
      <c r="L413">
        <f>RAVLT_Delayed!M413</f>
        <v>-0.28909309599999999</v>
      </c>
      <c r="M413">
        <v>40.700000000000003</v>
      </c>
      <c r="O413">
        <f>ABS(L413-RAVLT_Delayed!$C$34)</f>
        <v>2.5268574471383598</v>
      </c>
      <c r="P413">
        <f t="shared" si="7"/>
        <v>40.700000000000003</v>
      </c>
    </row>
    <row r="414" spans="10:16">
      <c r="J414" s="5"/>
      <c r="L414">
        <f>RAVLT_Delayed!M414</f>
        <v>-0.28529422399999999</v>
      </c>
      <c r="M414">
        <v>40.799999999999997</v>
      </c>
      <c r="O414">
        <f>ABS(L414-RAVLT_Delayed!$C$34)</f>
        <v>2.5306563191383598</v>
      </c>
      <c r="P414">
        <f t="shared" si="7"/>
        <v>40.799999999999997</v>
      </c>
    </row>
    <row r="415" spans="10:16">
      <c r="J415" s="5"/>
      <c r="L415">
        <f>RAVLT_Delayed!M415</f>
        <v>-0.281371696</v>
      </c>
      <c r="M415">
        <v>40.9</v>
      </c>
      <c r="O415">
        <f>ABS(L415-RAVLT_Delayed!$C$34)</f>
        <v>2.5345788471383597</v>
      </c>
      <c r="P415">
        <f t="shared" si="7"/>
        <v>40.9</v>
      </c>
    </row>
    <row r="416" spans="10:16">
      <c r="J416" s="5"/>
      <c r="L416">
        <f>RAVLT_Delayed!M416</f>
        <v>-0.27742504000000001</v>
      </c>
      <c r="M416">
        <v>41</v>
      </c>
      <c r="O416">
        <f>ABS(L416-RAVLT_Delayed!$C$34)</f>
        <v>2.5385255031383593</v>
      </c>
      <c r="P416">
        <f t="shared" si="7"/>
        <v>41</v>
      </c>
    </row>
    <row r="417" spans="10:16">
      <c r="J417" s="5"/>
      <c r="L417">
        <f>RAVLT_Delayed!M417</f>
        <v>-0.27450867200000001</v>
      </c>
      <c r="M417">
        <v>41.1</v>
      </c>
      <c r="O417">
        <f>ABS(L417-RAVLT_Delayed!$C$34)</f>
        <v>2.5414418711383595</v>
      </c>
      <c r="P417">
        <f t="shared" si="7"/>
        <v>41.1</v>
      </c>
    </row>
    <row r="418" spans="10:16">
      <c r="J418" s="5"/>
      <c r="L418">
        <f>RAVLT_Delayed!M418</f>
        <v>-0.27416802400000001</v>
      </c>
      <c r="M418">
        <v>41.2</v>
      </c>
      <c r="O418">
        <f>ABS(L418-RAVLT_Delayed!$C$34)</f>
        <v>2.5417825191383594</v>
      </c>
      <c r="P418">
        <f t="shared" si="7"/>
        <v>41.2</v>
      </c>
    </row>
    <row r="419" spans="10:16">
      <c r="J419" s="5"/>
      <c r="L419">
        <f>RAVLT_Delayed!M419</f>
        <v>-0.27382737600000001</v>
      </c>
      <c r="M419">
        <v>41.3</v>
      </c>
      <c r="O419">
        <f>ABS(L419-RAVLT_Delayed!$C$34)</f>
        <v>2.5421231671383597</v>
      </c>
      <c r="P419">
        <f t="shared" si="7"/>
        <v>41.3</v>
      </c>
    </row>
    <row r="420" spans="10:16">
      <c r="J420" s="5"/>
      <c r="L420">
        <f>RAVLT_Delayed!M420</f>
        <v>-0.27346685599999998</v>
      </c>
      <c r="M420">
        <v>41.4</v>
      </c>
      <c r="O420">
        <f>ABS(L420-RAVLT_Delayed!$C$34)</f>
        <v>2.5424836871383594</v>
      </c>
      <c r="P420">
        <f t="shared" si="7"/>
        <v>41.4</v>
      </c>
    </row>
    <row r="421" spans="10:16">
      <c r="J421" s="5"/>
      <c r="L421">
        <f>RAVLT_Delayed!M421</f>
        <v>-0.27309916000000001</v>
      </c>
      <c r="M421">
        <v>41.5</v>
      </c>
      <c r="O421">
        <f>ABS(L421-RAVLT_Delayed!$C$34)</f>
        <v>2.5428513831383595</v>
      </c>
      <c r="P421">
        <f t="shared" si="7"/>
        <v>41.5</v>
      </c>
    </row>
    <row r="422" spans="10:16">
      <c r="J422" s="5"/>
      <c r="L422">
        <f>RAVLT_Delayed!M422</f>
        <v>-0.27272138400000001</v>
      </c>
      <c r="M422">
        <v>41.6</v>
      </c>
      <c r="O422">
        <f>ABS(L422-RAVLT_Delayed!$C$34)</f>
        <v>2.5432291591383596</v>
      </c>
      <c r="P422">
        <f t="shared" si="7"/>
        <v>41.6</v>
      </c>
    </row>
    <row r="423" spans="10:16">
      <c r="J423" s="5"/>
      <c r="L423">
        <f>RAVLT_Delayed!M423</f>
        <v>-0.272298808</v>
      </c>
      <c r="M423">
        <v>41.7</v>
      </c>
      <c r="O423">
        <f>ABS(L423-RAVLT_Delayed!$C$34)</f>
        <v>2.5436517351383596</v>
      </c>
      <c r="P423">
        <f t="shared" si="7"/>
        <v>41.7</v>
      </c>
    </row>
    <row r="424" spans="10:16">
      <c r="J424" s="5"/>
      <c r="L424">
        <f>RAVLT_Delayed!M424</f>
        <v>-0.271876232</v>
      </c>
      <c r="M424">
        <v>41.8</v>
      </c>
      <c r="O424">
        <f>ABS(L424-RAVLT_Delayed!$C$34)</f>
        <v>2.5440743111383597</v>
      </c>
      <c r="P424">
        <f t="shared" si="7"/>
        <v>41.8</v>
      </c>
    </row>
    <row r="425" spans="10:16">
      <c r="J425" s="5"/>
      <c r="L425">
        <f>RAVLT_Delayed!M425</f>
        <v>-0.26980024000000002</v>
      </c>
      <c r="M425">
        <v>41.9</v>
      </c>
      <c r="O425">
        <f>ABS(L425-RAVLT_Delayed!$C$34)</f>
        <v>2.5461503031383597</v>
      </c>
      <c r="P425">
        <f t="shared" si="7"/>
        <v>41.9</v>
      </c>
    </row>
    <row r="426" spans="10:16">
      <c r="J426" s="5"/>
      <c r="L426">
        <f>RAVLT_Delayed!M426</f>
        <v>-0.26676420000000001</v>
      </c>
      <c r="M426">
        <v>42</v>
      </c>
      <c r="O426">
        <f>ABS(L426-RAVLT_Delayed!$C$34)</f>
        <v>2.5491863431383597</v>
      </c>
      <c r="P426">
        <f t="shared" si="7"/>
        <v>42</v>
      </c>
    </row>
    <row r="427" spans="10:16">
      <c r="J427" s="5"/>
      <c r="L427">
        <f>RAVLT_Delayed!M427</f>
        <v>-0.26391369599999998</v>
      </c>
      <c r="M427">
        <v>42.1</v>
      </c>
      <c r="O427">
        <f>ABS(L427-RAVLT_Delayed!$C$34)</f>
        <v>2.5520368471383597</v>
      </c>
      <c r="P427">
        <f t="shared" si="7"/>
        <v>42.1</v>
      </c>
    </row>
    <row r="428" spans="10:16">
      <c r="J428" s="5"/>
      <c r="L428">
        <f>RAVLT_Delayed!M428</f>
        <v>-0.26315047200000002</v>
      </c>
      <c r="M428">
        <v>42.2</v>
      </c>
      <c r="O428">
        <f>ABS(L428-RAVLT_Delayed!$C$34)</f>
        <v>2.5528000711383596</v>
      </c>
      <c r="P428">
        <f t="shared" si="7"/>
        <v>42.2</v>
      </c>
    </row>
    <row r="429" spans="10:16">
      <c r="J429" s="5"/>
      <c r="L429">
        <f>RAVLT_Delayed!M429</f>
        <v>-0.26238724800000002</v>
      </c>
      <c r="M429">
        <v>42.3</v>
      </c>
      <c r="O429">
        <f>ABS(L429-RAVLT_Delayed!$C$34)</f>
        <v>2.5535632951383596</v>
      </c>
      <c r="P429">
        <f t="shared" si="7"/>
        <v>42.3</v>
      </c>
    </row>
    <row r="430" spans="10:16">
      <c r="J430" s="5"/>
      <c r="L430">
        <f>RAVLT_Delayed!M430</f>
        <v>-0.26109424799999997</v>
      </c>
      <c r="M430">
        <v>42.4</v>
      </c>
      <c r="O430">
        <f>ABS(L430-RAVLT_Delayed!$C$34)</f>
        <v>2.5548562951383595</v>
      </c>
      <c r="P430">
        <f t="shared" si="7"/>
        <v>42.4</v>
      </c>
    </row>
    <row r="431" spans="10:16">
      <c r="J431" s="5"/>
      <c r="L431">
        <f>RAVLT_Delayed!M431</f>
        <v>-0.25933260000000002</v>
      </c>
      <c r="M431">
        <v>42.5</v>
      </c>
      <c r="O431">
        <f>ABS(L431-RAVLT_Delayed!$C$34)</f>
        <v>2.5566179431383595</v>
      </c>
      <c r="P431">
        <f t="shared" si="7"/>
        <v>42.5</v>
      </c>
    </row>
    <row r="432" spans="10:16">
      <c r="J432" s="5"/>
      <c r="L432">
        <f>RAVLT_Delayed!M432</f>
        <v>-0.25757095200000002</v>
      </c>
      <c r="M432">
        <v>42.6</v>
      </c>
      <c r="O432">
        <f>ABS(L432-RAVLT_Delayed!$C$34)</f>
        <v>2.5583795911383596</v>
      </c>
      <c r="P432">
        <f t="shared" si="7"/>
        <v>42.6</v>
      </c>
    </row>
    <row r="433" spans="10:16">
      <c r="J433" s="5"/>
      <c r="L433">
        <f>RAVLT_Delayed!M433</f>
        <v>-0.25628661600000002</v>
      </c>
      <c r="M433">
        <v>42.7</v>
      </c>
      <c r="O433">
        <f>ABS(L433-RAVLT_Delayed!$C$34)</f>
        <v>2.5596639271383594</v>
      </c>
      <c r="P433">
        <f t="shared" si="7"/>
        <v>42.7</v>
      </c>
    </row>
    <row r="434" spans="10:16">
      <c r="J434" s="5"/>
      <c r="L434">
        <f>RAVLT_Delayed!M434</f>
        <v>-0.25501222400000001</v>
      </c>
      <c r="M434">
        <v>42.8</v>
      </c>
      <c r="O434">
        <f>ABS(L434-RAVLT_Delayed!$C$34)</f>
        <v>2.5609383191383595</v>
      </c>
      <c r="P434">
        <f t="shared" si="7"/>
        <v>42.8</v>
      </c>
    </row>
    <row r="435" spans="10:16">
      <c r="J435" s="5"/>
      <c r="L435">
        <f>RAVLT_Delayed!M435</f>
        <v>-0.25283499999999998</v>
      </c>
      <c r="M435">
        <v>42.9</v>
      </c>
      <c r="O435">
        <f>ABS(L435-RAVLT_Delayed!$C$34)</f>
        <v>2.5631155431383594</v>
      </c>
      <c r="P435">
        <f t="shared" si="7"/>
        <v>42.9</v>
      </c>
    </row>
    <row r="436" spans="10:16">
      <c r="J436" s="5"/>
      <c r="L436">
        <f>RAVLT_Delayed!M436</f>
        <v>-0.24945400000000001</v>
      </c>
      <c r="M436">
        <v>43</v>
      </c>
      <c r="O436">
        <f>ABS(L436-RAVLT_Delayed!$C$34)</f>
        <v>2.5664965431383595</v>
      </c>
      <c r="P436">
        <f t="shared" si="7"/>
        <v>43</v>
      </c>
    </row>
    <row r="437" spans="10:16">
      <c r="J437" s="5"/>
      <c r="L437">
        <f>RAVLT_Delayed!M437</f>
        <v>-0.24607299999999999</v>
      </c>
      <c r="M437">
        <v>43.1</v>
      </c>
      <c r="O437">
        <f>ABS(L437-RAVLT_Delayed!$C$34)</f>
        <v>2.5698775431383596</v>
      </c>
      <c r="P437">
        <f t="shared" si="7"/>
        <v>43.1</v>
      </c>
    </row>
    <row r="438" spans="10:16">
      <c r="J438" s="5"/>
      <c r="L438">
        <f>RAVLT_Delayed!M438</f>
        <v>-0.24417051200000001</v>
      </c>
      <c r="M438">
        <v>43.2</v>
      </c>
      <c r="O438">
        <f>ABS(L438-RAVLT_Delayed!$C$34)</f>
        <v>2.5717800311383594</v>
      </c>
      <c r="P438">
        <f t="shared" si="7"/>
        <v>43.2</v>
      </c>
    </row>
    <row r="439" spans="10:16">
      <c r="J439" s="5"/>
      <c r="L439">
        <f>RAVLT_Delayed!M439</f>
        <v>-0.24247432799999999</v>
      </c>
      <c r="M439">
        <v>43.3</v>
      </c>
      <c r="O439">
        <f>ABS(L439-RAVLT_Delayed!$C$34)</f>
        <v>2.5734762151383594</v>
      </c>
      <c r="P439">
        <f t="shared" si="7"/>
        <v>43.3</v>
      </c>
    </row>
    <row r="440" spans="10:16">
      <c r="J440" s="5"/>
      <c r="L440">
        <f>RAVLT_Delayed!M440</f>
        <v>-0.240267168</v>
      </c>
      <c r="M440">
        <v>43.4</v>
      </c>
      <c r="O440">
        <f>ABS(L440-RAVLT_Delayed!$C$34)</f>
        <v>2.5756833751383597</v>
      </c>
      <c r="P440">
        <f t="shared" si="7"/>
        <v>43.4</v>
      </c>
    </row>
    <row r="441" spans="10:16">
      <c r="J441" s="5"/>
      <c r="L441">
        <f>RAVLT_Delayed!M441</f>
        <v>-0.23700611999999999</v>
      </c>
      <c r="M441">
        <v>43.5</v>
      </c>
      <c r="O441">
        <f>ABS(L441-RAVLT_Delayed!$C$34)</f>
        <v>2.5789444231383598</v>
      </c>
      <c r="P441">
        <f t="shared" si="7"/>
        <v>43.5</v>
      </c>
    </row>
    <row r="442" spans="10:16">
      <c r="J442" s="5"/>
      <c r="L442">
        <f>RAVLT_Delayed!M442</f>
        <v>-0.233745072</v>
      </c>
      <c r="M442">
        <v>43.6</v>
      </c>
      <c r="O442">
        <f>ABS(L442-RAVLT_Delayed!$C$34)</f>
        <v>2.5822054711383595</v>
      </c>
      <c r="P442">
        <f t="shared" si="7"/>
        <v>43.6</v>
      </c>
    </row>
    <row r="443" spans="10:16">
      <c r="J443" s="5"/>
      <c r="L443">
        <f>RAVLT_Delayed!M443</f>
        <v>-0.23193167200000001</v>
      </c>
      <c r="M443">
        <v>43.7</v>
      </c>
      <c r="O443">
        <f>ABS(L443-RAVLT_Delayed!$C$34)</f>
        <v>2.5840188711383596</v>
      </c>
      <c r="P443">
        <f t="shared" si="7"/>
        <v>43.7</v>
      </c>
    </row>
    <row r="444" spans="10:16">
      <c r="J444" s="5"/>
      <c r="L444">
        <f>RAVLT_Delayed!M444</f>
        <v>-0.23053732800000001</v>
      </c>
      <c r="M444">
        <v>43.8</v>
      </c>
      <c r="O444">
        <f>ABS(L444-RAVLT_Delayed!$C$34)</f>
        <v>2.5854132151383595</v>
      </c>
      <c r="P444">
        <f t="shared" si="7"/>
        <v>43.8</v>
      </c>
    </row>
    <row r="445" spans="10:16">
      <c r="J445" s="5"/>
      <c r="L445">
        <f>RAVLT_Delayed!M445</f>
        <v>-0.22907513600000001</v>
      </c>
      <c r="M445">
        <v>43.9</v>
      </c>
      <c r="O445">
        <f>ABS(L445-RAVLT_Delayed!$C$34)</f>
        <v>2.5868754071383595</v>
      </c>
      <c r="P445">
        <f t="shared" si="7"/>
        <v>43.9</v>
      </c>
    </row>
    <row r="446" spans="10:16">
      <c r="J446" s="5"/>
      <c r="L446">
        <f>RAVLT_Delayed!M446</f>
        <v>-0.22737856000000001</v>
      </c>
      <c r="M446">
        <v>44</v>
      </c>
      <c r="O446">
        <f>ABS(L446-RAVLT_Delayed!$C$34)</f>
        <v>2.5885719831383596</v>
      </c>
      <c r="P446">
        <f t="shared" si="7"/>
        <v>44</v>
      </c>
    </row>
    <row r="447" spans="10:16">
      <c r="J447" s="5"/>
      <c r="L447">
        <f>RAVLT_Delayed!M447</f>
        <v>-0.225681984</v>
      </c>
      <c r="M447">
        <v>44.1</v>
      </c>
      <c r="O447">
        <f>ABS(L447-RAVLT_Delayed!$C$34)</f>
        <v>2.5902685591383596</v>
      </c>
      <c r="P447">
        <f t="shared" si="7"/>
        <v>44.1</v>
      </c>
    </row>
    <row r="448" spans="10:16">
      <c r="J448" s="5"/>
      <c r="L448">
        <f>RAVLT_Delayed!M448</f>
        <v>-0.221382896</v>
      </c>
      <c r="M448">
        <v>44.2</v>
      </c>
      <c r="O448">
        <f>ABS(L448-RAVLT_Delayed!$C$34)</f>
        <v>2.5945676471383594</v>
      </c>
      <c r="P448">
        <f t="shared" si="7"/>
        <v>44.2</v>
      </c>
    </row>
    <row r="449" spans="10:16">
      <c r="J449" s="5"/>
      <c r="L449">
        <f>RAVLT_Delayed!M449</f>
        <v>-0.21582198399999999</v>
      </c>
      <c r="M449">
        <v>44.3</v>
      </c>
      <c r="O449">
        <f>ABS(L449-RAVLT_Delayed!$C$34)</f>
        <v>2.6001285591383594</v>
      </c>
      <c r="P449">
        <f t="shared" si="7"/>
        <v>44.3</v>
      </c>
    </row>
    <row r="450" spans="10:16">
      <c r="J450" s="5"/>
      <c r="L450">
        <f>RAVLT_Delayed!M450</f>
        <v>-0.21094199999999999</v>
      </c>
      <c r="M450">
        <v>44.4</v>
      </c>
      <c r="O450">
        <f>ABS(L450-RAVLT_Delayed!$C$34)</f>
        <v>2.6050085431383594</v>
      </c>
      <c r="P450">
        <f t="shared" si="7"/>
        <v>44.4</v>
      </c>
    </row>
    <row r="451" spans="10:16">
      <c r="J451" s="5"/>
      <c r="L451">
        <f>RAVLT_Delayed!M451</f>
        <v>-0.21094199999999999</v>
      </c>
      <c r="M451">
        <v>44.5</v>
      </c>
      <c r="O451">
        <f>ABS(L451-RAVLT_Delayed!$C$34)</f>
        <v>2.6050085431383594</v>
      </c>
      <c r="P451">
        <f t="shared" si="7"/>
        <v>44.5</v>
      </c>
    </row>
    <row r="452" spans="10:16">
      <c r="J452" s="5"/>
      <c r="L452">
        <f>RAVLT_Delayed!M452</f>
        <v>-0.21094199999999999</v>
      </c>
      <c r="M452">
        <v>44.6</v>
      </c>
      <c r="O452">
        <f>ABS(L452-RAVLT_Delayed!$C$34)</f>
        <v>2.6050085431383594</v>
      </c>
      <c r="P452">
        <f t="shared" si="7"/>
        <v>44.6</v>
      </c>
    </row>
    <row r="453" spans="10:16">
      <c r="J453" s="5"/>
      <c r="L453">
        <f>RAVLT_Delayed!M453</f>
        <v>-0.21073188800000001</v>
      </c>
      <c r="M453">
        <v>44.7</v>
      </c>
      <c r="O453">
        <f>ABS(L453-RAVLT_Delayed!$C$34)</f>
        <v>2.6052186551383594</v>
      </c>
      <c r="P453">
        <f t="shared" si="7"/>
        <v>44.7</v>
      </c>
    </row>
    <row r="454" spans="10:16">
      <c r="J454" s="5"/>
      <c r="L454">
        <f>RAVLT_Delayed!M454</f>
        <v>-0.21036419200000001</v>
      </c>
      <c r="M454">
        <v>44.8</v>
      </c>
      <c r="O454">
        <f>ABS(L454-RAVLT_Delayed!$C$34)</f>
        <v>2.6055863511383595</v>
      </c>
      <c r="P454">
        <f t="shared" si="7"/>
        <v>44.8</v>
      </c>
    </row>
    <row r="455" spans="10:16">
      <c r="J455" s="5"/>
      <c r="L455">
        <f>RAVLT_Delayed!M455</f>
        <v>-0.210004</v>
      </c>
      <c r="M455">
        <v>44.9</v>
      </c>
      <c r="O455">
        <f>ABS(L455-RAVLT_Delayed!$C$34)</f>
        <v>2.6059465431383595</v>
      </c>
      <c r="P455">
        <f t="shared" ref="P455:P518" si="8">M455</f>
        <v>44.9</v>
      </c>
    </row>
    <row r="456" spans="10:16">
      <c r="J456" s="5"/>
      <c r="L456">
        <f>RAVLT_Delayed!M456</f>
        <v>-0.210004</v>
      </c>
      <c r="M456">
        <v>45</v>
      </c>
      <c r="O456">
        <f>ABS(L456-RAVLT_Delayed!$C$34)</f>
        <v>2.6059465431383595</v>
      </c>
      <c r="P456">
        <f t="shared" si="8"/>
        <v>45</v>
      </c>
    </row>
    <row r="457" spans="10:16">
      <c r="J457" s="5"/>
      <c r="L457">
        <f>RAVLT_Delayed!M457</f>
        <v>-0.210004</v>
      </c>
      <c r="M457">
        <v>45.1</v>
      </c>
      <c r="O457">
        <f>ABS(L457-RAVLT_Delayed!$C$34)</f>
        <v>2.6059465431383595</v>
      </c>
      <c r="P457">
        <f t="shared" si="8"/>
        <v>45.1</v>
      </c>
    </row>
    <row r="458" spans="10:16">
      <c r="J458" s="5"/>
      <c r="L458">
        <f>RAVLT_Delayed!M458</f>
        <v>-0.20908418400000001</v>
      </c>
      <c r="M458">
        <v>45.2</v>
      </c>
      <c r="O458">
        <f>ABS(L458-RAVLT_Delayed!$C$34)</f>
        <v>2.6068663591383596</v>
      </c>
      <c r="P458">
        <f t="shared" si="8"/>
        <v>45.2</v>
      </c>
    </row>
    <row r="459" spans="10:16">
      <c r="J459" s="5"/>
      <c r="L459">
        <f>RAVLT_Delayed!M459</f>
        <v>-0.207124576</v>
      </c>
      <c r="M459">
        <v>45.3</v>
      </c>
      <c r="O459">
        <f>ABS(L459-RAVLT_Delayed!$C$34)</f>
        <v>2.6088259671383596</v>
      </c>
      <c r="P459">
        <f t="shared" si="8"/>
        <v>45.3</v>
      </c>
    </row>
    <row r="460" spans="10:16">
      <c r="J460" s="5"/>
      <c r="L460">
        <f>RAVLT_Delayed!M460</f>
        <v>-0.205164968</v>
      </c>
      <c r="M460">
        <v>45.4</v>
      </c>
      <c r="O460">
        <f>ABS(L460-RAVLT_Delayed!$C$34)</f>
        <v>2.6107855751383595</v>
      </c>
      <c r="P460">
        <f t="shared" si="8"/>
        <v>45.4</v>
      </c>
    </row>
    <row r="461" spans="10:16">
      <c r="J461" s="5"/>
      <c r="L461">
        <f>RAVLT_Delayed!M461</f>
        <v>-0.20500499999999999</v>
      </c>
      <c r="M461">
        <v>45.5</v>
      </c>
      <c r="O461">
        <f>ABS(L461-RAVLT_Delayed!$C$34)</f>
        <v>2.6109455431383597</v>
      </c>
      <c r="P461">
        <f t="shared" si="8"/>
        <v>45.5</v>
      </c>
    </row>
    <row r="462" spans="10:16">
      <c r="J462" s="5"/>
      <c r="L462">
        <f>RAVLT_Delayed!M462</f>
        <v>-0.20500499999999999</v>
      </c>
      <c r="M462">
        <v>45.6</v>
      </c>
      <c r="O462">
        <f>ABS(L462-RAVLT_Delayed!$C$34)</f>
        <v>2.6109455431383597</v>
      </c>
      <c r="P462">
        <f t="shared" si="8"/>
        <v>45.6</v>
      </c>
    </row>
    <row r="463" spans="10:16">
      <c r="J463" s="5"/>
      <c r="L463">
        <f>RAVLT_Delayed!M463</f>
        <v>-0.20500499999999999</v>
      </c>
      <c r="M463">
        <v>45.7</v>
      </c>
      <c r="O463">
        <f>ABS(L463-RAVLT_Delayed!$C$34)</f>
        <v>2.6109455431383597</v>
      </c>
      <c r="P463">
        <f t="shared" si="8"/>
        <v>45.7</v>
      </c>
    </row>
    <row r="464" spans="10:16">
      <c r="J464" s="5"/>
      <c r="L464">
        <f>RAVLT_Delayed!M464</f>
        <v>-0.20500499999999999</v>
      </c>
      <c r="M464">
        <v>45.8</v>
      </c>
      <c r="O464">
        <f>ABS(L464-RAVLT_Delayed!$C$34)</f>
        <v>2.6109455431383597</v>
      </c>
      <c r="P464">
        <f t="shared" si="8"/>
        <v>45.8</v>
      </c>
    </row>
    <row r="465" spans="10:16">
      <c r="J465" s="5"/>
      <c r="L465">
        <f>RAVLT_Delayed!M465</f>
        <v>-0.20500499999999999</v>
      </c>
      <c r="M465">
        <v>45.9</v>
      </c>
      <c r="O465">
        <f>ABS(L465-RAVLT_Delayed!$C$34)</f>
        <v>2.6109455431383597</v>
      </c>
      <c r="P465">
        <f t="shared" si="8"/>
        <v>45.9</v>
      </c>
    </row>
    <row r="466" spans="10:16">
      <c r="J466" s="5"/>
      <c r="L466">
        <f>RAVLT_Delayed!M466</f>
        <v>-0.20141972</v>
      </c>
      <c r="M466">
        <v>46</v>
      </c>
      <c r="O466">
        <f>ABS(L466-RAVLT_Delayed!$C$34)</f>
        <v>2.6145308231383595</v>
      </c>
      <c r="P466">
        <f t="shared" si="8"/>
        <v>46</v>
      </c>
    </row>
    <row r="467" spans="10:16">
      <c r="J467" s="5"/>
      <c r="L467">
        <f>RAVLT_Delayed!M467</f>
        <v>-0.197027752</v>
      </c>
      <c r="M467">
        <v>46.1</v>
      </c>
      <c r="O467">
        <f>ABS(L467-RAVLT_Delayed!$C$34)</f>
        <v>2.6189227911383597</v>
      </c>
      <c r="P467">
        <f t="shared" si="8"/>
        <v>46.1</v>
      </c>
    </row>
    <row r="468" spans="10:16">
      <c r="J468" s="5"/>
      <c r="L468">
        <f>RAVLT_Delayed!M468</f>
        <v>-0.193801</v>
      </c>
      <c r="M468">
        <v>46.2</v>
      </c>
      <c r="O468">
        <f>ABS(L468-RAVLT_Delayed!$C$34)</f>
        <v>2.6221495431383595</v>
      </c>
      <c r="P468">
        <f t="shared" si="8"/>
        <v>46.2</v>
      </c>
    </row>
    <row r="469" spans="10:16">
      <c r="J469" s="5"/>
      <c r="L469">
        <f>RAVLT_Delayed!M469</f>
        <v>-0.193801</v>
      </c>
      <c r="M469">
        <v>46.3</v>
      </c>
      <c r="O469">
        <f>ABS(L469-RAVLT_Delayed!$C$34)</f>
        <v>2.6221495431383595</v>
      </c>
      <c r="P469">
        <f t="shared" si="8"/>
        <v>46.3</v>
      </c>
    </row>
    <row r="470" spans="10:16">
      <c r="J470" s="5"/>
      <c r="L470">
        <f>RAVLT_Delayed!M470</f>
        <v>-0.193801</v>
      </c>
      <c r="M470">
        <v>46.4</v>
      </c>
      <c r="O470">
        <f>ABS(L470-RAVLT_Delayed!$C$34)</f>
        <v>2.6221495431383595</v>
      </c>
      <c r="P470">
        <f t="shared" si="8"/>
        <v>46.4</v>
      </c>
    </row>
    <row r="471" spans="10:16">
      <c r="J471" s="5"/>
      <c r="L471">
        <f>RAVLT_Delayed!M471</f>
        <v>-0.19341655999999999</v>
      </c>
      <c r="M471">
        <v>46.5</v>
      </c>
      <c r="O471">
        <f>ABS(L471-RAVLT_Delayed!$C$34)</f>
        <v>2.6225339831383594</v>
      </c>
      <c r="P471">
        <f t="shared" si="8"/>
        <v>46.5</v>
      </c>
    </row>
    <row r="472" spans="10:16">
      <c r="J472" s="5"/>
      <c r="L472">
        <f>RAVLT_Delayed!M472</f>
        <v>-0.19287834400000001</v>
      </c>
      <c r="M472">
        <v>46.6</v>
      </c>
      <c r="O472">
        <f>ABS(L472-RAVLT_Delayed!$C$34)</f>
        <v>2.6230721991383597</v>
      </c>
      <c r="P472">
        <f t="shared" si="8"/>
        <v>46.6</v>
      </c>
    </row>
    <row r="473" spans="10:16">
      <c r="J473" s="5"/>
      <c r="L473">
        <f>RAVLT_Delayed!M473</f>
        <v>-0.192367968</v>
      </c>
      <c r="M473">
        <v>46.7</v>
      </c>
      <c r="O473">
        <f>ABS(L473-RAVLT_Delayed!$C$34)</f>
        <v>2.6235825751383595</v>
      </c>
      <c r="P473">
        <f t="shared" si="8"/>
        <v>46.7</v>
      </c>
    </row>
    <row r="474" spans="10:16">
      <c r="J474" s="5"/>
      <c r="L474">
        <f>RAVLT_Delayed!M474</f>
        <v>-0.192000272</v>
      </c>
      <c r="M474">
        <v>46.8</v>
      </c>
      <c r="O474">
        <f>ABS(L474-RAVLT_Delayed!$C$34)</f>
        <v>2.6239502711383595</v>
      </c>
      <c r="P474">
        <f t="shared" si="8"/>
        <v>46.8</v>
      </c>
    </row>
    <row r="475" spans="10:16">
      <c r="J475" s="5"/>
      <c r="L475">
        <f>RAVLT_Delayed!M475</f>
        <v>-0.191632576</v>
      </c>
      <c r="M475">
        <v>46.9</v>
      </c>
      <c r="O475">
        <f>ABS(L475-RAVLT_Delayed!$C$34)</f>
        <v>2.6243179671383596</v>
      </c>
      <c r="P475">
        <f t="shared" si="8"/>
        <v>46.9</v>
      </c>
    </row>
    <row r="476" spans="10:16">
      <c r="J476" s="5"/>
      <c r="L476">
        <f>RAVLT_Delayed!M476</f>
        <v>-0.19006487999999999</v>
      </c>
      <c r="M476">
        <v>47</v>
      </c>
      <c r="O476">
        <f>ABS(L476-RAVLT_Delayed!$C$34)</f>
        <v>2.6258856631383596</v>
      </c>
      <c r="P476">
        <f t="shared" si="8"/>
        <v>47</v>
      </c>
    </row>
    <row r="477" spans="10:16">
      <c r="J477" s="5"/>
      <c r="L477">
        <f>RAVLT_Delayed!M477</f>
        <v>-0.187737184</v>
      </c>
      <c r="M477">
        <v>47.1</v>
      </c>
      <c r="O477">
        <f>ABS(L477-RAVLT_Delayed!$C$34)</f>
        <v>2.6282133591383596</v>
      </c>
      <c r="P477">
        <f t="shared" si="8"/>
        <v>47.1</v>
      </c>
    </row>
    <row r="478" spans="10:16">
      <c r="J478" s="5"/>
      <c r="L478">
        <f>RAVLT_Delayed!M478</f>
        <v>-0.18535402400000001</v>
      </c>
      <c r="M478">
        <v>47.2</v>
      </c>
      <c r="O478">
        <f>ABS(L478-RAVLT_Delayed!$C$34)</f>
        <v>2.6305965191383596</v>
      </c>
      <c r="P478">
        <f t="shared" si="8"/>
        <v>47.2</v>
      </c>
    </row>
    <row r="479" spans="10:16">
      <c r="J479" s="5"/>
      <c r="L479">
        <f>RAVLT_Delayed!M479</f>
        <v>-0.18212041600000001</v>
      </c>
      <c r="M479">
        <v>47.3</v>
      </c>
      <c r="O479">
        <f>ABS(L479-RAVLT_Delayed!$C$34)</f>
        <v>2.6338301271383595</v>
      </c>
      <c r="P479">
        <f t="shared" si="8"/>
        <v>47.3</v>
      </c>
    </row>
    <row r="480" spans="10:16">
      <c r="J480" s="5"/>
      <c r="L480">
        <f>RAVLT_Delayed!M480</f>
        <v>-0.17888680800000001</v>
      </c>
      <c r="M480">
        <v>47.4</v>
      </c>
      <c r="O480">
        <f>ABS(L480-RAVLT_Delayed!$C$34)</f>
        <v>2.6370637351383595</v>
      </c>
      <c r="P480">
        <f t="shared" si="8"/>
        <v>47.4</v>
      </c>
    </row>
    <row r="481" spans="10:16">
      <c r="J481" s="5"/>
      <c r="L481">
        <f>RAVLT_Delayed!M481</f>
        <v>-0.1759</v>
      </c>
      <c r="M481">
        <v>47.5</v>
      </c>
      <c r="O481">
        <f>ABS(L481-RAVLT_Delayed!$C$34)</f>
        <v>2.6400505431383596</v>
      </c>
      <c r="P481">
        <f t="shared" si="8"/>
        <v>47.5</v>
      </c>
    </row>
    <row r="482" spans="10:16">
      <c r="J482" s="5"/>
      <c r="L482">
        <f>RAVLT_Delayed!M482</f>
        <v>-0.17315011999999999</v>
      </c>
      <c r="M482">
        <v>47.6</v>
      </c>
      <c r="O482">
        <f>ABS(L482-RAVLT_Delayed!$C$34)</f>
        <v>2.6428004231383597</v>
      </c>
      <c r="P482">
        <f t="shared" si="8"/>
        <v>47.6</v>
      </c>
    </row>
    <row r="483" spans="10:16">
      <c r="J483" s="5"/>
      <c r="L483">
        <f>RAVLT_Delayed!M483</f>
        <v>-0.17040024000000001</v>
      </c>
      <c r="M483">
        <v>47.7</v>
      </c>
      <c r="O483">
        <f>ABS(L483-RAVLT_Delayed!$C$34)</f>
        <v>2.6455503031383594</v>
      </c>
      <c r="P483">
        <f t="shared" si="8"/>
        <v>47.7</v>
      </c>
    </row>
    <row r="484" spans="10:16">
      <c r="J484" s="5"/>
      <c r="L484">
        <f>RAVLT_Delayed!M484</f>
        <v>-0.167702248</v>
      </c>
      <c r="M484">
        <v>47.8</v>
      </c>
      <c r="O484">
        <f>ABS(L484-RAVLT_Delayed!$C$34)</f>
        <v>2.6482482951383597</v>
      </c>
      <c r="P484">
        <f t="shared" si="8"/>
        <v>47.8</v>
      </c>
    </row>
    <row r="485" spans="10:16">
      <c r="J485" s="5"/>
      <c r="L485">
        <f>RAVLT_Delayed!M485</f>
        <v>-0.16500646399999999</v>
      </c>
      <c r="M485">
        <v>47.9</v>
      </c>
      <c r="O485">
        <f>ABS(L485-RAVLT_Delayed!$C$34)</f>
        <v>2.6509440791383594</v>
      </c>
      <c r="P485">
        <f t="shared" si="8"/>
        <v>47.9</v>
      </c>
    </row>
    <row r="486" spans="10:16">
      <c r="J486" s="5"/>
      <c r="L486">
        <f>RAVLT_Delayed!M486</f>
        <v>-0.16304124</v>
      </c>
      <c r="M486">
        <v>48</v>
      </c>
      <c r="O486">
        <f>ABS(L486-RAVLT_Delayed!$C$34)</f>
        <v>2.6529093031383595</v>
      </c>
      <c r="P486">
        <f t="shared" si="8"/>
        <v>48</v>
      </c>
    </row>
    <row r="487" spans="10:16">
      <c r="J487" s="5"/>
      <c r="L487">
        <f>RAVLT_Delayed!M487</f>
        <v>-0.162135328</v>
      </c>
      <c r="M487">
        <v>48.1</v>
      </c>
      <c r="O487">
        <f>ABS(L487-RAVLT_Delayed!$C$34)</f>
        <v>2.6538152151383594</v>
      </c>
      <c r="P487">
        <f t="shared" si="8"/>
        <v>48.1</v>
      </c>
    </row>
    <row r="488" spans="10:16">
      <c r="J488" s="5"/>
      <c r="L488">
        <f>RAVLT_Delayed!M488</f>
        <v>-0.16122941599999999</v>
      </c>
      <c r="M488">
        <v>48.2</v>
      </c>
      <c r="O488">
        <f>ABS(L488-RAVLT_Delayed!$C$34)</f>
        <v>2.6547211271383597</v>
      </c>
      <c r="P488">
        <f t="shared" si="8"/>
        <v>48.2</v>
      </c>
    </row>
    <row r="489" spans="10:16">
      <c r="J489" s="5"/>
      <c r="L489">
        <f>RAVLT_Delayed!M489</f>
        <v>-0.15643262399999999</v>
      </c>
      <c r="M489">
        <v>48.3</v>
      </c>
      <c r="O489">
        <f>ABS(L489-RAVLT_Delayed!$C$34)</f>
        <v>2.6595179191383598</v>
      </c>
      <c r="P489">
        <f t="shared" si="8"/>
        <v>48.3</v>
      </c>
    </row>
    <row r="490" spans="10:16">
      <c r="J490" s="5"/>
      <c r="L490">
        <f>RAVLT_Delayed!M490</f>
        <v>-0.15098735199999999</v>
      </c>
      <c r="M490">
        <v>48.4</v>
      </c>
      <c r="O490">
        <f>ABS(L490-RAVLT_Delayed!$C$34)</f>
        <v>2.6649631911383596</v>
      </c>
      <c r="P490">
        <f t="shared" si="8"/>
        <v>48.4</v>
      </c>
    </row>
    <row r="491" spans="10:16">
      <c r="J491" s="5"/>
      <c r="L491">
        <f>RAVLT_Delayed!M491</f>
        <v>-0.14660912000000001</v>
      </c>
      <c r="M491">
        <v>48.5</v>
      </c>
      <c r="O491">
        <f>ABS(L491-RAVLT_Delayed!$C$34)</f>
        <v>2.6693414231383596</v>
      </c>
      <c r="P491">
        <f t="shared" si="8"/>
        <v>48.5</v>
      </c>
    </row>
    <row r="492" spans="10:16">
      <c r="J492" s="5"/>
      <c r="L492">
        <f>RAVLT_Delayed!M492</f>
        <v>-0.14464951200000001</v>
      </c>
      <c r="M492">
        <v>48.6</v>
      </c>
      <c r="O492">
        <f>ABS(L492-RAVLT_Delayed!$C$34)</f>
        <v>2.6713010311383596</v>
      </c>
      <c r="P492">
        <f t="shared" si="8"/>
        <v>48.6</v>
      </c>
    </row>
    <row r="493" spans="10:16">
      <c r="J493" s="5"/>
      <c r="L493">
        <f>RAVLT_Delayed!M493</f>
        <v>-0.14268990400000001</v>
      </c>
      <c r="M493">
        <v>48.7</v>
      </c>
      <c r="O493">
        <f>ABS(L493-RAVLT_Delayed!$C$34)</f>
        <v>2.6732606391383595</v>
      </c>
      <c r="P493">
        <f t="shared" si="8"/>
        <v>48.7</v>
      </c>
    </row>
    <row r="494" spans="10:16">
      <c r="J494" s="5"/>
      <c r="L494">
        <f>RAVLT_Delayed!M494</f>
        <v>-0.13976829599999999</v>
      </c>
      <c r="M494">
        <v>48.8</v>
      </c>
      <c r="O494">
        <f>ABS(L494-RAVLT_Delayed!$C$34)</f>
        <v>2.6761822471383594</v>
      </c>
      <c r="P494">
        <f t="shared" si="8"/>
        <v>48.8</v>
      </c>
    </row>
    <row r="495" spans="10:16">
      <c r="J495" s="5"/>
      <c r="L495">
        <f>RAVLT_Delayed!M495</f>
        <v>-0.13653468799999999</v>
      </c>
      <c r="M495">
        <v>48.9</v>
      </c>
      <c r="O495">
        <f>ABS(L495-RAVLT_Delayed!$C$34)</f>
        <v>2.6794158551383598</v>
      </c>
      <c r="P495">
        <f t="shared" si="8"/>
        <v>48.9</v>
      </c>
    </row>
    <row r="496" spans="10:16">
      <c r="J496" s="5"/>
      <c r="L496">
        <f>RAVLT_Delayed!M496</f>
        <v>-0.13377052</v>
      </c>
      <c r="M496">
        <v>49</v>
      </c>
      <c r="O496">
        <f>ABS(L496-RAVLT_Delayed!$C$34)</f>
        <v>2.6821800231383595</v>
      </c>
      <c r="P496">
        <f t="shared" si="8"/>
        <v>49</v>
      </c>
    </row>
    <row r="497" spans="10:16">
      <c r="J497" s="5"/>
      <c r="L497">
        <f>RAVLT_Delayed!M497</f>
        <v>-0.13283716800000001</v>
      </c>
      <c r="M497">
        <v>49.1</v>
      </c>
      <c r="O497">
        <f>ABS(L497-RAVLT_Delayed!$C$34)</f>
        <v>2.6831133751383596</v>
      </c>
      <c r="P497">
        <f t="shared" si="8"/>
        <v>49.1</v>
      </c>
    </row>
    <row r="498" spans="10:16">
      <c r="J498" s="5"/>
      <c r="L498">
        <f>RAVLT_Delayed!M498</f>
        <v>-0.13190381600000001</v>
      </c>
      <c r="M498">
        <v>49.2</v>
      </c>
      <c r="O498">
        <f>ABS(L498-RAVLT_Delayed!$C$34)</f>
        <v>2.6840467271383597</v>
      </c>
      <c r="P498">
        <f t="shared" si="8"/>
        <v>49.2</v>
      </c>
    </row>
    <row r="499" spans="10:16">
      <c r="J499" s="5"/>
      <c r="L499">
        <f>RAVLT_Delayed!M499</f>
        <v>-0.12983766399999999</v>
      </c>
      <c r="M499">
        <v>49.3</v>
      </c>
      <c r="O499">
        <f>ABS(L499-RAVLT_Delayed!$C$34)</f>
        <v>2.6861128791383595</v>
      </c>
      <c r="P499">
        <f t="shared" si="8"/>
        <v>49.3</v>
      </c>
    </row>
    <row r="500" spans="10:16">
      <c r="J500" s="5"/>
      <c r="L500">
        <f>RAVLT_Delayed!M500</f>
        <v>-0.12716971199999999</v>
      </c>
      <c r="M500">
        <v>49.4</v>
      </c>
      <c r="O500">
        <f>ABS(L500-RAVLT_Delayed!$C$34)</f>
        <v>2.6887808311383594</v>
      </c>
      <c r="P500">
        <f t="shared" si="8"/>
        <v>49.4</v>
      </c>
    </row>
    <row r="501" spans="10:16">
      <c r="J501" s="5"/>
      <c r="L501">
        <f>RAVLT_Delayed!M501</f>
        <v>-0.12440092</v>
      </c>
      <c r="M501">
        <v>49.5</v>
      </c>
      <c r="O501">
        <f>ABS(L501-RAVLT_Delayed!$C$34)</f>
        <v>2.6915496231383598</v>
      </c>
      <c r="P501">
        <f t="shared" si="8"/>
        <v>49.5</v>
      </c>
    </row>
    <row r="502" spans="10:16">
      <c r="J502" s="5"/>
      <c r="L502">
        <f>RAVLT_Delayed!M502</f>
        <v>-0.12074473600000001</v>
      </c>
      <c r="M502">
        <v>49.6</v>
      </c>
      <c r="O502">
        <f>ABS(L502-RAVLT_Delayed!$C$34)</f>
        <v>2.6952058071383598</v>
      </c>
      <c r="P502">
        <f t="shared" si="8"/>
        <v>49.6</v>
      </c>
    </row>
    <row r="503" spans="10:16">
      <c r="J503" s="5"/>
      <c r="L503">
        <f>RAVLT_Delayed!M503</f>
        <v>-0.117088552</v>
      </c>
      <c r="M503">
        <v>49.7</v>
      </c>
      <c r="O503">
        <f>ABS(L503-RAVLT_Delayed!$C$34)</f>
        <v>2.6988619911383598</v>
      </c>
      <c r="P503">
        <f t="shared" si="8"/>
        <v>49.7</v>
      </c>
    </row>
    <row r="504" spans="10:16">
      <c r="J504" s="5"/>
      <c r="L504">
        <f>RAVLT_Delayed!M504</f>
        <v>-0.114932488</v>
      </c>
      <c r="M504">
        <v>49.8</v>
      </c>
      <c r="O504">
        <f>ABS(L504-RAVLT_Delayed!$C$34)</f>
        <v>2.7010180551383596</v>
      </c>
      <c r="P504">
        <f t="shared" si="8"/>
        <v>49.8</v>
      </c>
    </row>
    <row r="505" spans="10:16">
      <c r="J505" s="5"/>
      <c r="L505">
        <f>RAVLT_Delayed!M505</f>
        <v>-0.113998744</v>
      </c>
      <c r="M505">
        <v>49.9</v>
      </c>
      <c r="O505">
        <f>ABS(L505-RAVLT_Delayed!$C$34)</f>
        <v>2.7019517991383597</v>
      </c>
      <c r="P505">
        <f t="shared" si="8"/>
        <v>49.9</v>
      </c>
    </row>
    <row r="506" spans="10:16">
      <c r="J506" s="5"/>
      <c r="L506">
        <f>RAVLT_Delayed!M506</f>
        <v>-0.113065</v>
      </c>
      <c r="M506">
        <v>50</v>
      </c>
      <c r="O506">
        <f>ABS(L506-RAVLT_Delayed!$C$34)</f>
        <v>2.7028855431383594</v>
      </c>
      <c r="P506">
        <f t="shared" si="8"/>
        <v>50</v>
      </c>
    </row>
    <row r="507" spans="10:16">
      <c r="J507" s="5"/>
      <c r="L507">
        <f>RAVLT_Delayed!M507</f>
        <v>-0.102426512</v>
      </c>
      <c r="M507">
        <v>50.1</v>
      </c>
      <c r="O507">
        <f>ABS(L507-RAVLT_Delayed!$C$34)</f>
        <v>2.7135240311383595</v>
      </c>
      <c r="P507">
        <f t="shared" si="8"/>
        <v>50.1</v>
      </c>
    </row>
    <row r="508" spans="10:16">
      <c r="J508" s="5"/>
      <c r="L508">
        <f>RAVLT_Delayed!M508</f>
        <v>-9.1788024000000204E-2</v>
      </c>
      <c r="M508">
        <v>50.2</v>
      </c>
      <c r="O508">
        <f>ABS(L508-RAVLT_Delayed!$C$34)</f>
        <v>2.7241625191383592</v>
      </c>
      <c r="P508">
        <f t="shared" si="8"/>
        <v>50.2</v>
      </c>
    </row>
    <row r="509" spans="10:16">
      <c r="J509" s="5"/>
      <c r="L509">
        <f>RAVLT_Delayed!M509</f>
        <v>-8.3328240000000206E-2</v>
      </c>
      <c r="M509">
        <v>50.3</v>
      </c>
      <c r="O509">
        <f>ABS(L509-RAVLT_Delayed!$C$34)</f>
        <v>2.7326223031383594</v>
      </c>
      <c r="P509">
        <f t="shared" si="8"/>
        <v>50.3</v>
      </c>
    </row>
    <row r="510" spans="10:16">
      <c r="J510" s="5"/>
      <c r="L510">
        <f>RAVLT_Delayed!M510</f>
        <v>-7.7542319999999804E-2</v>
      </c>
      <c r="M510">
        <v>50.4</v>
      </c>
      <c r="O510">
        <f>ABS(L510-RAVLT_Delayed!$C$34)</f>
        <v>2.73840822313836</v>
      </c>
      <c r="P510">
        <f t="shared" si="8"/>
        <v>50.4</v>
      </c>
    </row>
    <row r="511" spans="10:16">
      <c r="J511" s="5"/>
      <c r="L511">
        <f>RAVLT_Delayed!M511</f>
        <v>-7.1756399999999901E-2</v>
      </c>
      <c r="M511">
        <v>50.5</v>
      </c>
      <c r="O511">
        <f>ABS(L511-RAVLT_Delayed!$C$34)</f>
        <v>2.7441941431383596</v>
      </c>
      <c r="P511">
        <f t="shared" si="8"/>
        <v>50.5</v>
      </c>
    </row>
    <row r="512" spans="10:16">
      <c r="J512" s="5"/>
      <c r="L512">
        <f>RAVLT_Delayed!M512</f>
        <v>-7.0022000000000001E-2</v>
      </c>
      <c r="M512">
        <v>50.6</v>
      </c>
      <c r="O512">
        <f>ABS(L512-RAVLT_Delayed!$C$34)</f>
        <v>2.7459285431383598</v>
      </c>
      <c r="P512">
        <f t="shared" si="8"/>
        <v>50.6</v>
      </c>
    </row>
    <row r="513" spans="10:16">
      <c r="J513" s="5"/>
      <c r="L513">
        <f>RAVLT_Delayed!M513</f>
        <v>-6.8748000000000004E-2</v>
      </c>
      <c r="M513">
        <v>50.7</v>
      </c>
      <c r="O513">
        <f>ABS(L513-RAVLT_Delayed!$C$34)</f>
        <v>2.7472025431383598</v>
      </c>
      <c r="P513">
        <f t="shared" si="8"/>
        <v>50.7</v>
      </c>
    </row>
    <row r="514" spans="10:16">
      <c r="J514" s="5"/>
      <c r="L514">
        <f>RAVLT_Delayed!M514</f>
        <v>-6.7550568000000005E-2</v>
      </c>
      <c r="M514">
        <v>50.8</v>
      </c>
      <c r="O514">
        <f>ABS(L514-RAVLT_Delayed!$C$34)</f>
        <v>2.7483999751383594</v>
      </c>
      <c r="P514">
        <f t="shared" si="8"/>
        <v>50.8</v>
      </c>
    </row>
    <row r="515" spans="10:16">
      <c r="J515" s="5"/>
      <c r="L515">
        <f>RAVLT_Delayed!M515</f>
        <v>-6.6497264E-2</v>
      </c>
      <c r="M515">
        <v>50.9</v>
      </c>
      <c r="O515">
        <f>ABS(L515-RAVLT_Delayed!$C$34)</f>
        <v>2.7494532791383595</v>
      </c>
      <c r="P515">
        <f t="shared" si="8"/>
        <v>50.9</v>
      </c>
    </row>
    <row r="516" spans="10:16">
      <c r="J516" s="5"/>
      <c r="L516">
        <f>RAVLT_Delayed!M516</f>
        <v>-6.5443959999999995E-2</v>
      </c>
      <c r="M516">
        <v>51</v>
      </c>
      <c r="O516">
        <f>ABS(L516-RAVLT_Delayed!$C$34)</f>
        <v>2.7505065831383595</v>
      </c>
      <c r="P516">
        <f t="shared" si="8"/>
        <v>51</v>
      </c>
    </row>
    <row r="517" spans="10:16">
      <c r="J517" s="5"/>
      <c r="L517">
        <f>RAVLT_Delayed!M517</f>
        <v>-6.3376343999999904E-2</v>
      </c>
      <c r="M517">
        <v>51.1</v>
      </c>
      <c r="O517">
        <f>ABS(L517-RAVLT_Delayed!$C$34)</f>
        <v>2.7525741991383597</v>
      </c>
      <c r="P517">
        <f t="shared" si="8"/>
        <v>51.1</v>
      </c>
    </row>
    <row r="518" spans="10:16">
      <c r="J518" s="5"/>
      <c r="L518">
        <f>RAVLT_Delayed!M518</f>
        <v>-6.1048647999999997E-2</v>
      </c>
      <c r="M518">
        <v>51.2</v>
      </c>
      <c r="O518">
        <f>ABS(L518-RAVLT_Delayed!$C$34)</f>
        <v>2.7549018951383597</v>
      </c>
      <c r="P518">
        <f t="shared" si="8"/>
        <v>51.2</v>
      </c>
    </row>
    <row r="519" spans="10:16">
      <c r="J519" s="5"/>
      <c r="L519">
        <f>RAVLT_Delayed!M519</f>
        <v>-5.8875511999999998E-2</v>
      </c>
      <c r="M519">
        <v>51.3</v>
      </c>
      <c r="O519">
        <f>ABS(L519-RAVLT_Delayed!$C$34)</f>
        <v>2.7570750311383594</v>
      </c>
      <c r="P519">
        <f t="shared" ref="P519:P582" si="9">M519</f>
        <v>51.3</v>
      </c>
    </row>
    <row r="520" spans="10:16">
      <c r="J520" s="5"/>
      <c r="L520">
        <f>RAVLT_Delayed!M520</f>
        <v>-5.7178936E-2</v>
      </c>
      <c r="M520">
        <v>51.4</v>
      </c>
      <c r="O520">
        <f>ABS(L520-RAVLT_Delayed!$C$34)</f>
        <v>2.7587716071383594</v>
      </c>
      <c r="P520">
        <f t="shared" si="9"/>
        <v>51.4</v>
      </c>
    </row>
    <row r="521" spans="10:16">
      <c r="J521" s="5"/>
      <c r="L521">
        <f>RAVLT_Delayed!M521</f>
        <v>-5.5482360000000001E-2</v>
      </c>
      <c r="M521">
        <v>51.5</v>
      </c>
      <c r="O521">
        <f>ABS(L521-RAVLT_Delayed!$C$34)</f>
        <v>2.7604681831383595</v>
      </c>
      <c r="P521">
        <f t="shared" si="9"/>
        <v>51.5</v>
      </c>
    </row>
    <row r="522" spans="10:16">
      <c r="J522" s="5"/>
      <c r="L522">
        <f>RAVLT_Delayed!M522</f>
        <v>-5.3348135999999997E-2</v>
      </c>
      <c r="M522">
        <v>51.6</v>
      </c>
      <c r="O522">
        <f>ABS(L522-RAVLT_Delayed!$C$34)</f>
        <v>2.7626024071383597</v>
      </c>
      <c r="P522">
        <f t="shared" si="9"/>
        <v>51.6</v>
      </c>
    </row>
    <row r="523" spans="10:16">
      <c r="J523" s="5"/>
      <c r="L523">
        <f>RAVLT_Delayed!M523</f>
        <v>-5.1020831999999898E-2</v>
      </c>
      <c r="M523">
        <v>51.7</v>
      </c>
      <c r="O523">
        <f>ABS(L523-RAVLT_Delayed!$C$34)</f>
        <v>2.7649297111383597</v>
      </c>
      <c r="P523">
        <f t="shared" si="9"/>
        <v>51.7</v>
      </c>
    </row>
    <row r="524" spans="10:16">
      <c r="J524" s="5"/>
      <c r="L524">
        <f>RAVLT_Delayed!M524</f>
        <v>-4.8382055999999903E-2</v>
      </c>
      <c r="M524">
        <v>51.8</v>
      </c>
      <c r="O524">
        <f>ABS(L524-RAVLT_Delayed!$C$34)</f>
        <v>2.7675684871383597</v>
      </c>
      <c r="P524">
        <f t="shared" si="9"/>
        <v>51.8</v>
      </c>
    </row>
    <row r="525" spans="10:16">
      <c r="J525" s="5"/>
      <c r="L525">
        <f>RAVLT_Delayed!M525</f>
        <v>-4.3874447999999899E-2</v>
      </c>
      <c r="M525">
        <v>51.9</v>
      </c>
      <c r="O525">
        <f>ABS(L525-RAVLT_Delayed!$C$34)</f>
        <v>2.7720760951383596</v>
      </c>
      <c r="P525">
        <f t="shared" si="9"/>
        <v>51.9</v>
      </c>
    </row>
    <row r="526" spans="10:16">
      <c r="J526" s="5"/>
      <c r="L526">
        <f>RAVLT_Delayed!M526</f>
        <v>-3.936684E-2</v>
      </c>
      <c r="M526">
        <v>52</v>
      </c>
      <c r="O526">
        <f>ABS(L526-RAVLT_Delayed!$C$34)</f>
        <v>2.7765837031383596</v>
      </c>
      <c r="P526">
        <f t="shared" si="9"/>
        <v>52</v>
      </c>
    </row>
    <row r="527" spans="10:16">
      <c r="J527" s="5"/>
      <c r="L527">
        <f>RAVLT_Delayed!M527</f>
        <v>-2.9385424E-2</v>
      </c>
      <c r="M527">
        <v>52.1</v>
      </c>
      <c r="O527">
        <f>ABS(L527-RAVLT_Delayed!$C$34)</f>
        <v>2.7865651191383596</v>
      </c>
      <c r="P527">
        <f t="shared" si="9"/>
        <v>52.1</v>
      </c>
    </row>
    <row r="528" spans="10:16">
      <c r="J528" s="5"/>
      <c r="L528">
        <f>RAVLT_Delayed!M528</f>
        <v>-1.5628968000000201E-2</v>
      </c>
      <c r="M528">
        <v>52.2</v>
      </c>
      <c r="O528">
        <f>ABS(L528-RAVLT_Delayed!$C$34)</f>
        <v>2.8003215751383594</v>
      </c>
      <c r="P528">
        <f t="shared" si="9"/>
        <v>52.2</v>
      </c>
    </row>
    <row r="529" spans="10:16">
      <c r="J529" s="5"/>
      <c r="L529">
        <f>RAVLT_Delayed!M529</f>
        <v>-2.3389919999998801E-3</v>
      </c>
      <c r="M529">
        <v>52.3</v>
      </c>
      <c r="O529">
        <f>ABS(L529-RAVLT_Delayed!$C$34)</f>
        <v>2.8136115511383597</v>
      </c>
      <c r="P529">
        <f t="shared" si="9"/>
        <v>52.3</v>
      </c>
    </row>
    <row r="530" spans="10:16">
      <c r="J530" s="5"/>
      <c r="L530">
        <f>RAVLT_Delayed!M530</f>
        <v>-1.12959999999081E-5</v>
      </c>
      <c r="M530">
        <v>52.4</v>
      </c>
      <c r="O530">
        <f>ABS(L530-RAVLT_Delayed!$C$34)</f>
        <v>2.8159392471383597</v>
      </c>
      <c r="P530">
        <f t="shared" si="9"/>
        <v>52.4</v>
      </c>
    </row>
    <row r="531" spans="10:16">
      <c r="J531" s="5"/>
      <c r="L531">
        <f>RAVLT_Delayed!M531</f>
        <v>2.31640000000007E-3</v>
      </c>
      <c r="M531">
        <v>52.5</v>
      </c>
      <c r="O531">
        <f>ABS(L531-RAVLT_Delayed!$C$34)</f>
        <v>2.8182669431383598</v>
      </c>
      <c r="P531">
        <f t="shared" si="9"/>
        <v>52.5</v>
      </c>
    </row>
    <row r="532" spans="10:16">
      <c r="J532" s="5"/>
      <c r="L532">
        <f>RAVLT_Delayed!M532</f>
        <v>3.9477120000000199E-3</v>
      </c>
      <c r="M532">
        <v>52.6</v>
      </c>
      <c r="O532">
        <f>ABS(L532-RAVLT_Delayed!$C$34)</f>
        <v>2.8198982551383596</v>
      </c>
      <c r="P532">
        <f t="shared" si="9"/>
        <v>52.6</v>
      </c>
    </row>
    <row r="533" spans="10:16">
      <c r="J533" s="5"/>
      <c r="L533">
        <f>RAVLT_Delayed!M533</f>
        <v>4.8536240000000104E-3</v>
      </c>
      <c r="M533">
        <v>52.7</v>
      </c>
      <c r="O533">
        <f>ABS(L533-RAVLT_Delayed!$C$34)</f>
        <v>2.8208041671383595</v>
      </c>
      <c r="P533">
        <f t="shared" si="9"/>
        <v>52.7</v>
      </c>
    </row>
    <row r="534" spans="10:16">
      <c r="J534" s="5"/>
      <c r="L534">
        <f>RAVLT_Delayed!M534</f>
        <v>5.759536E-3</v>
      </c>
      <c r="M534">
        <v>52.8</v>
      </c>
      <c r="O534">
        <f>ABS(L534-RAVLT_Delayed!$C$34)</f>
        <v>2.8217100791383594</v>
      </c>
      <c r="P534">
        <f t="shared" si="9"/>
        <v>52.8</v>
      </c>
    </row>
    <row r="535" spans="10:16">
      <c r="J535" s="5"/>
      <c r="L535">
        <f>RAVLT_Delayed!M535</f>
        <v>6.1605520000000196E-3</v>
      </c>
      <c r="M535">
        <v>52.9</v>
      </c>
      <c r="O535">
        <f>ABS(L535-RAVLT_Delayed!$C$34)</f>
        <v>2.8221110951383594</v>
      </c>
      <c r="P535">
        <f t="shared" si="9"/>
        <v>52.9</v>
      </c>
    </row>
    <row r="536" spans="10:16">
      <c r="J536" s="5"/>
      <c r="L536">
        <f>RAVLT_Delayed!M536</f>
        <v>6.5286400000000196E-3</v>
      </c>
      <c r="M536">
        <v>53</v>
      </c>
      <c r="O536">
        <f>ABS(L536-RAVLT_Delayed!$C$34)</f>
        <v>2.8224791831383595</v>
      </c>
      <c r="P536">
        <f t="shared" si="9"/>
        <v>53</v>
      </c>
    </row>
    <row r="537" spans="10:16">
      <c r="J537" s="5"/>
      <c r="L537">
        <f>RAVLT_Delayed!M537</f>
        <v>1.0251368000000399E-2</v>
      </c>
      <c r="M537">
        <v>53.1</v>
      </c>
      <c r="O537">
        <f>ABS(L537-RAVLT_Delayed!$C$34)</f>
        <v>2.8262019111383601</v>
      </c>
      <c r="P537">
        <f t="shared" si="9"/>
        <v>53.1</v>
      </c>
    </row>
    <row r="538" spans="10:16">
      <c r="J538" s="5"/>
      <c r="L538">
        <f>RAVLT_Delayed!M538</f>
        <v>1.9270896000000301E-2</v>
      </c>
      <c r="M538">
        <v>53.2</v>
      </c>
      <c r="O538">
        <f>ABS(L538-RAVLT_Delayed!$C$34)</f>
        <v>2.8352214391383597</v>
      </c>
      <c r="P538">
        <f t="shared" si="9"/>
        <v>53.2</v>
      </c>
    </row>
    <row r="539" spans="10:16">
      <c r="J539" s="5"/>
      <c r="L539">
        <f>RAVLT_Delayed!M539</f>
        <v>2.8290424000000199E-2</v>
      </c>
      <c r="M539">
        <v>53.3</v>
      </c>
      <c r="O539">
        <f>ABS(L539-RAVLT_Delayed!$C$34)</f>
        <v>2.8442409671383597</v>
      </c>
      <c r="P539">
        <f t="shared" si="9"/>
        <v>53.3</v>
      </c>
    </row>
    <row r="540" spans="10:16">
      <c r="J540" s="5"/>
      <c r="L540">
        <f>RAVLT_Delayed!M540</f>
        <v>3.2537223999999997E-2</v>
      </c>
      <c r="M540">
        <v>53.4</v>
      </c>
      <c r="O540">
        <f>ABS(L540-RAVLT_Delayed!$C$34)</f>
        <v>2.8484877671383595</v>
      </c>
      <c r="P540">
        <f t="shared" si="9"/>
        <v>53.4</v>
      </c>
    </row>
    <row r="541" spans="10:16">
      <c r="J541" s="5"/>
      <c r="L541">
        <f>RAVLT_Delayed!M541</f>
        <v>3.5852759999999997E-2</v>
      </c>
      <c r="M541">
        <v>53.5</v>
      </c>
      <c r="O541">
        <f>ABS(L541-RAVLT_Delayed!$C$34)</f>
        <v>2.8518033031383596</v>
      </c>
      <c r="P541">
        <f t="shared" si="9"/>
        <v>53.5</v>
      </c>
    </row>
    <row r="542" spans="10:16">
      <c r="J542" s="5"/>
      <c r="L542">
        <f>RAVLT_Delayed!M542</f>
        <v>3.8843832000000099E-2</v>
      </c>
      <c r="M542">
        <v>53.6</v>
      </c>
      <c r="O542">
        <f>ABS(L542-RAVLT_Delayed!$C$34)</f>
        <v>2.8547943751383595</v>
      </c>
      <c r="P542">
        <f t="shared" si="9"/>
        <v>53.6</v>
      </c>
    </row>
    <row r="543" spans="10:16">
      <c r="J543" s="5"/>
      <c r="L543">
        <f>RAVLT_Delayed!M543</f>
        <v>4.1023744000000098E-2</v>
      </c>
      <c r="M543">
        <v>53.7</v>
      </c>
      <c r="O543">
        <f>ABS(L543-RAVLT_Delayed!$C$34)</f>
        <v>2.8569742871383599</v>
      </c>
      <c r="P543">
        <f t="shared" si="9"/>
        <v>53.7</v>
      </c>
    </row>
    <row r="544" spans="10:16">
      <c r="J544" s="5"/>
      <c r="L544">
        <f>RAVLT_Delayed!M544</f>
        <v>4.3203656000000097E-2</v>
      </c>
      <c r="M544">
        <v>53.8</v>
      </c>
      <c r="O544">
        <f>ABS(L544-RAVLT_Delayed!$C$34)</f>
        <v>2.8591541991383598</v>
      </c>
      <c r="P544">
        <f t="shared" si="9"/>
        <v>53.8</v>
      </c>
    </row>
    <row r="545" spans="10:16">
      <c r="J545" s="5"/>
      <c r="L545">
        <f>RAVLT_Delayed!M545</f>
        <v>4.6266000000000099E-2</v>
      </c>
      <c r="M545">
        <v>53.9</v>
      </c>
      <c r="O545">
        <f>ABS(L545-RAVLT_Delayed!$C$34)</f>
        <v>2.8622165431383597</v>
      </c>
      <c r="P545">
        <f t="shared" si="9"/>
        <v>53.9</v>
      </c>
    </row>
    <row r="546" spans="10:16">
      <c r="J546" s="5"/>
      <c r="L546">
        <f>RAVLT_Delayed!M546</f>
        <v>4.9647000000000101E-2</v>
      </c>
      <c r="M546">
        <v>54</v>
      </c>
      <c r="O546">
        <f>ABS(L546-RAVLT_Delayed!$C$34)</f>
        <v>2.8655975431383598</v>
      </c>
      <c r="P546">
        <f t="shared" si="9"/>
        <v>54</v>
      </c>
    </row>
    <row r="547" spans="10:16">
      <c r="J547" s="5"/>
      <c r="L547">
        <f>RAVLT_Delayed!M547</f>
        <v>5.2641E-2</v>
      </c>
      <c r="M547">
        <v>54.1</v>
      </c>
      <c r="O547">
        <f>ABS(L547-RAVLT_Delayed!$C$34)</f>
        <v>2.8685915431383595</v>
      </c>
      <c r="P547">
        <f t="shared" si="9"/>
        <v>54.1</v>
      </c>
    </row>
    <row r="548" spans="10:16">
      <c r="J548" s="5"/>
      <c r="L548">
        <f>RAVLT_Delayed!M548</f>
        <v>5.3915000000000102E-2</v>
      </c>
      <c r="M548">
        <v>54.2</v>
      </c>
      <c r="O548">
        <f>ABS(L548-RAVLT_Delayed!$C$34)</f>
        <v>2.8698655431383595</v>
      </c>
      <c r="P548">
        <f t="shared" si="9"/>
        <v>54.2</v>
      </c>
    </row>
    <row r="549" spans="10:16">
      <c r="J549" s="5"/>
      <c r="L549">
        <f>RAVLT_Delayed!M549</f>
        <v>5.5189000000000099E-2</v>
      </c>
      <c r="M549">
        <v>54.3</v>
      </c>
      <c r="O549">
        <f>ABS(L549-RAVLT_Delayed!$C$34)</f>
        <v>2.8711395431383595</v>
      </c>
      <c r="P549">
        <f t="shared" si="9"/>
        <v>54.3</v>
      </c>
    </row>
    <row r="550" spans="10:16">
      <c r="J550" s="5"/>
      <c r="L550">
        <f>RAVLT_Delayed!M550</f>
        <v>6.40024480000006E-2</v>
      </c>
      <c r="M550">
        <v>54.4</v>
      </c>
      <c r="O550">
        <f>ABS(L550-RAVLT_Delayed!$C$34)</f>
        <v>2.8799529911383601</v>
      </c>
      <c r="P550">
        <f t="shared" si="9"/>
        <v>54.4</v>
      </c>
    </row>
    <row r="551" spans="10:16">
      <c r="J551" s="5"/>
      <c r="L551">
        <f>RAVLT_Delayed!M551</f>
        <v>7.7193640000000494E-2</v>
      </c>
      <c r="M551">
        <v>54.5</v>
      </c>
      <c r="O551">
        <f>ABS(L551-RAVLT_Delayed!$C$34)</f>
        <v>2.89314418313836</v>
      </c>
      <c r="P551">
        <f t="shared" si="9"/>
        <v>54.5</v>
      </c>
    </row>
    <row r="552" spans="10:16">
      <c r="J552" s="5"/>
      <c r="L552">
        <f>RAVLT_Delayed!M552</f>
        <v>8.9354143999999996E-2</v>
      </c>
      <c r="M552">
        <v>54.6</v>
      </c>
      <c r="O552">
        <f>ABS(L552-RAVLT_Delayed!$C$34)</f>
        <v>2.9053046871383597</v>
      </c>
      <c r="P552">
        <f t="shared" si="9"/>
        <v>54.6</v>
      </c>
    </row>
    <row r="553" spans="10:16">
      <c r="J553" s="5"/>
      <c r="L553">
        <f>RAVLT_Delayed!M553</f>
        <v>8.9919408000000006E-2</v>
      </c>
      <c r="M553">
        <v>54.7</v>
      </c>
      <c r="O553">
        <f>ABS(L553-RAVLT_Delayed!$C$34)</f>
        <v>2.9058699511383597</v>
      </c>
      <c r="P553">
        <f t="shared" si="9"/>
        <v>54.7</v>
      </c>
    </row>
    <row r="554" spans="10:16">
      <c r="J554" s="5"/>
      <c r="L554">
        <f>RAVLT_Delayed!M554</f>
        <v>9.0484672000000002E-2</v>
      </c>
      <c r="M554">
        <v>54.8</v>
      </c>
      <c r="O554">
        <f>ABS(L554-RAVLT_Delayed!$C$34)</f>
        <v>2.9064352151383597</v>
      </c>
      <c r="P554">
        <f t="shared" si="9"/>
        <v>54.8</v>
      </c>
    </row>
    <row r="555" spans="10:16">
      <c r="J555" s="5"/>
      <c r="L555">
        <f>RAVLT_Delayed!M555</f>
        <v>9.1126064000000007E-2</v>
      </c>
      <c r="M555">
        <v>54.9</v>
      </c>
      <c r="O555">
        <f>ABS(L555-RAVLT_Delayed!$C$34)</f>
        <v>2.9070766071383596</v>
      </c>
      <c r="P555">
        <f t="shared" si="9"/>
        <v>54.9</v>
      </c>
    </row>
    <row r="556" spans="10:16">
      <c r="J556" s="5"/>
      <c r="L556">
        <f>RAVLT_Delayed!M556</f>
        <v>9.1834799999999994E-2</v>
      </c>
      <c r="M556">
        <v>55</v>
      </c>
      <c r="O556">
        <f>ABS(L556-RAVLT_Delayed!$C$34)</f>
        <v>2.9077853431383596</v>
      </c>
      <c r="P556">
        <f t="shared" si="9"/>
        <v>55</v>
      </c>
    </row>
    <row r="557" spans="10:16">
      <c r="J557" s="5"/>
      <c r="L557">
        <f>RAVLT_Delayed!M557</f>
        <v>9.2543535999999996E-2</v>
      </c>
      <c r="M557">
        <v>55.1</v>
      </c>
      <c r="O557">
        <f>ABS(L557-RAVLT_Delayed!$C$34)</f>
        <v>2.9084940791383596</v>
      </c>
      <c r="P557">
        <f t="shared" si="9"/>
        <v>55.1</v>
      </c>
    </row>
    <row r="558" spans="10:16">
      <c r="J558" s="5"/>
      <c r="L558">
        <f>RAVLT_Delayed!M558</f>
        <v>9.3111728000000005E-2</v>
      </c>
      <c r="M558">
        <v>55.2</v>
      </c>
      <c r="O558">
        <f>ABS(L558-RAVLT_Delayed!$C$34)</f>
        <v>2.9090622711383594</v>
      </c>
      <c r="P558">
        <f t="shared" si="9"/>
        <v>55.2</v>
      </c>
    </row>
    <row r="559" spans="10:16">
      <c r="J559" s="5"/>
      <c r="L559">
        <f>RAVLT_Delayed!M559</f>
        <v>9.3676992000000001E-2</v>
      </c>
      <c r="M559">
        <v>55.3</v>
      </c>
      <c r="O559">
        <f>ABS(L559-RAVLT_Delayed!$C$34)</f>
        <v>2.9096275351383594</v>
      </c>
      <c r="P559">
        <f t="shared" si="9"/>
        <v>55.3</v>
      </c>
    </row>
    <row r="560" spans="10:16">
      <c r="J560" s="5"/>
      <c r="L560">
        <f>RAVLT_Delayed!M560</f>
        <v>9.4451584000000005E-2</v>
      </c>
      <c r="M560">
        <v>55.4</v>
      </c>
      <c r="O560">
        <f>ABS(L560-RAVLT_Delayed!$C$34)</f>
        <v>2.9104021271383598</v>
      </c>
      <c r="P560">
        <f t="shared" si="9"/>
        <v>55.4</v>
      </c>
    </row>
    <row r="561" spans="10:16">
      <c r="J561" s="5"/>
      <c r="L561">
        <f>RAVLT_Delayed!M561</f>
        <v>9.5505280000000095E-2</v>
      </c>
      <c r="M561">
        <v>55.5</v>
      </c>
      <c r="O561">
        <f>ABS(L561-RAVLT_Delayed!$C$34)</f>
        <v>2.9114558231383598</v>
      </c>
      <c r="P561">
        <f t="shared" si="9"/>
        <v>55.5</v>
      </c>
    </row>
    <row r="562" spans="10:16">
      <c r="J562" s="5"/>
      <c r="L562">
        <f>RAVLT_Delayed!M562</f>
        <v>9.6558976000000102E-2</v>
      </c>
      <c r="M562">
        <v>55.6</v>
      </c>
      <c r="O562">
        <f>ABS(L562-RAVLT_Delayed!$C$34)</f>
        <v>2.9125095191383599</v>
      </c>
      <c r="P562">
        <f t="shared" si="9"/>
        <v>55.6</v>
      </c>
    </row>
    <row r="563" spans="10:16">
      <c r="J563" s="5"/>
      <c r="L563">
        <f>RAVLT_Delayed!M563</f>
        <v>9.7482984000000106E-2</v>
      </c>
      <c r="M563">
        <v>55.7</v>
      </c>
      <c r="O563">
        <f>ABS(L563-RAVLT_Delayed!$C$34)</f>
        <v>2.9134335271383596</v>
      </c>
      <c r="P563">
        <f t="shared" si="9"/>
        <v>55.7</v>
      </c>
    </row>
    <row r="564" spans="10:16">
      <c r="J564" s="5"/>
      <c r="L564">
        <f>RAVLT_Delayed!M564</f>
        <v>9.8388896000000003E-2</v>
      </c>
      <c r="M564">
        <v>55.8</v>
      </c>
      <c r="O564">
        <f>ABS(L564-RAVLT_Delayed!$C$34)</f>
        <v>2.9143394391383595</v>
      </c>
      <c r="P564">
        <f t="shared" si="9"/>
        <v>55.8</v>
      </c>
    </row>
    <row r="565" spans="10:16">
      <c r="J565" s="5"/>
      <c r="L565">
        <f>RAVLT_Delayed!M565</f>
        <v>0.100248536</v>
      </c>
      <c r="M565">
        <v>55.9</v>
      </c>
      <c r="O565">
        <f>ABS(L565-RAVLT_Delayed!$C$34)</f>
        <v>2.9161990791383596</v>
      </c>
      <c r="P565">
        <f t="shared" si="9"/>
        <v>55.9</v>
      </c>
    </row>
    <row r="566" spans="10:16">
      <c r="J566" s="5"/>
      <c r="L566">
        <f>RAVLT_Delayed!M566</f>
        <v>0.10407524</v>
      </c>
      <c r="M566">
        <v>56</v>
      </c>
      <c r="O566">
        <f>ABS(L566-RAVLT_Delayed!$C$34)</f>
        <v>2.9200257831383594</v>
      </c>
      <c r="P566">
        <f t="shared" si="9"/>
        <v>56</v>
      </c>
    </row>
    <row r="567" spans="10:16">
      <c r="J567" s="5"/>
      <c r="L567">
        <f>RAVLT_Delayed!M567</f>
        <v>0.107901944</v>
      </c>
      <c r="M567">
        <v>56.1</v>
      </c>
      <c r="O567">
        <f>ABS(L567-RAVLT_Delayed!$C$34)</f>
        <v>2.9238524871383595</v>
      </c>
      <c r="P567">
        <f t="shared" si="9"/>
        <v>56.1</v>
      </c>
    </row>
    <row r="568" spans="10:16">
      <c r="J568" s="5"/>
      <c r="L568">
        <f>RAVLT_Delayed!M568</f>
        <v>0.11071906400000001</v>
      </c>
      <c r="M568">
        <v>56.2</v>
      </c>
      <c r="O568">
        <f>ABS(L568-RAVLT_Delayed!$C$34)</f>
        <v>2.9266696071383596</v>
      </c>
      <c r="P568">
        <f t="shared" si="9"/>
        <v>56.2</v>
      </c>
    </row>
    <row r="569" spans="10:16">
      <c r="J569" s="5"/>
      <c r="L569">
        <f>RAVLT_Delayed!M569</f>
        <v>0.113243936</v>
      </c>
      <c r="M569">
        <v>56.3</v>
      </c>
      <c r="O569">
        <f>ABS(L569-RAVLT_Delayed!$C$34)</f>
        <v>2.9291944791383595</v>
      </c>
      <c r="P569">
        <f t="shared" si="9"/>
        <v>56.3</v>
      </c>
    </row>
    <row r="570" spans="10:16">
      <c r="J570" s="5"/>
      <c r="L570">
        <f>RAVLT_Delayed!M570</f>
        <v>0.115202</v>
      </c>
      <c r="M570">
        <v>56.4</v>
      </c>
      <c r="O570">
        <f>ABS(L570-RAVLT_Delayed!$C$34)</f>
        <v>2.9311525431383596</v>
      </c>
      <c r="P570">
        <f t="shared" si="9"/>
        <v>56.4</v>
      </c>
    </row>
    <row r="571" spans="10:16">
      <c r="J571" s="5"/>
      <c r="L571">
        <f>RAVLT_Delayed!M571</f>
        <v>0.115202</v>
      </c>
      <c r="M571">
        <v>56.5</v>
      </c>
      <c r="O571">
        <f>ABS(L571-RAVLT_Delayed!$C$34)</f>
        <v>2.9311525431383596</v>
      </c>
      <c r="P571">
        <f t="shared" si="9"/>
        <v>56.5</v>
      </c>
    </row>
    <row r="572" spans="10:16">
      <c r="J572" s="5"/>
      <c r="L572">
        <f>RAVLT_Delayed!M572</f>
        <v>0.115202</v>
      </c>
      <c r="M572">
        <v>56.6</v>
      </c>
      <c r="O572">
        <f>ABS(L572-RAVLT_Delayed!$C$34)</f>
        <v>2.9311525431383596</v>
      </c>
      <c r="P572">
        <f t="shared" si="9"/>
        <v>56.6</v>
      </c>
    </row>
    <row r="573" spans="10:16">
      <c r="J573" s="5"/>
      <c r="L573">
        <f>RAVLT_Delayed!M573</f>
        <v>0.117627632</v>
      </c>
      <c r="M573">
        <v>56.7</v>
      </c>
      <c r="O573">
        <f>ABS(L573-RAVLT_Delayed!$C$34)</f>
        <v>2.9335781751383596</v>
      </c>
      <c r="P573">
        <f t="shared" si="9"/>
        <v>56.7</v>
      </c>
    </row>
    <row r="574" spans="10:16">
      <c r="J574" s="5"/>
      <c r="L574">
        <f>RAVLT_Delayed!M574</f>
        <v>0.121229328</v>
      </c>
      <c r="M574">
        <v>56.8</v>
      </c>
      <c r="O574">
        <f>ABS(L574-RAVLT_Delayed!$C$34)</f>
        <v>2.9371798711383597</v>
      </c>
      <c r="P574">
        <f t="shared" si="9"/>
        <v>56.8</v>
      </c>
    </row>
    <row r="575" spans="10:16">
      <c r="J575" s="5"/>
      <c r="L575">
        <f>RAVLT_Delayed!M575</f>
        <v>0.12494247999999999</v>
      </c>
      <c r="M575">
        <v>56.9</v>
      </c>
      <c r="O575">
        <f>ABS(L575-RAVLT_Delayed!$C$34)</f>
        <v>2.9408930231383597</v>
      </c>
      <c r="P575">
        <f t="shared" si="9"/>
        <v>56.9</v>
      </c>
    </row>
    <row r="576" spans="10:16">
      <c r="J576" s="5"/>
      <c r="L576">
        <f>RAVLT_Delayed!M576</f>
        <v>0.1294544</v>
      </c>
      <c r="M576">
        <v>57</v>
      </c>
      <c r="O576">
        <f>ABS(L576-RAVLT_Delayed!$C$34)</f>
        <v>2.9454049431383598</v>
      </c>
      <c r="P576">
        <f t="shared" si="9"/>
        <v>57</v>
      </c>
    </row>
    <row r="577" spans="10:16">
      <c r="J577" s="5"/>
      <c r="L577">
        <f>RAVLT_Delayed!M577</f>
        <v>0.13396632</v>
      </c>
      <c r="M577">
        <v>57.1</v>
      </c>
      <c r="O577">
        <f>ABS(L577-RAVLT_Delayed!$C$34)</f>
        <v>2.9499168631383594</v>
      </c>
      <c r="P577">
        <f t="shared" si="9"/>
        <v>57.1</v>
      </c>
    </row>
    <row r="578" spans="10:16">
      <c r="J578" s="5"/>
      <c r="L578">
        <f>RAVLT_Delayed!M578</f>
        <v>0.13742454400000001</v>
      </c>
      <c r="M578">
        <v>57.2</v>
      </c>
      <c r="O578">
        <f>ABS(L578-RAVLT_Delayed!$C$34)</f>
        <v>2.9533750871383595</v>
      </c>
      <c r="P578">
        <f t="shared" si="9"/>
        <v>57.2</v>
      </c>
    </row>
    <row r="579" spans="10:16">
      <c r="J579" s="5"/>
      <c r="L579">
        <f>RAVLT_Delayed!M579</f>
        <v>0.14009249600000001</v>
      </c>
      <c r="M579">
        <v>57.3</v>
      </c>
      <c r="O579">
        <f>ABS(L579-RAVLT_Delayed!$C$34)</f>
        <v>2.9560430391383594</v>
      </c>
      <c r="P579">
        <f t="shared" si="9"/>
        <v>57.3</v>
      </c>
    </row>
    <row r="580" spans="10:16">
      <c r="J580" s="5"/>
      <c r="L580">
        <f>RAVLT_Delayed!M580</f>
        <v>0.142710592</v>
      </c>
      <c r="M580">
        <v>57.4</v>
      </c>
      <c r="O580">
        <f>ABS(L580-RAVLT_Delayed!$C$34)</f>
        <v>2.9586611351383594</v>
      </c>
      <c r="P580">
        <f t="shared" si="9"/>
        <v>57.4</v>
      </c>
    </row>
    <row r="581" spans="10:16">
      <c r="J581" s="5"/>
      <c r="L581">
        <f>RAVLT_Delayed!M581</f>
        <v>0.1429356</v>
      </c>
      <c r="M581">
        <v>57.5</v>
      </c>
      <c r="O581">
        <f>ABS(L581-RAVLT_Delayed!$C$34)</f>
        <v>2.9588861431383595</v>
      </c>
      <c r="P581">
        <f t="shared" si="9"/>
        <v>57.5</v>
      </c>
    </row>
    <row r="582" spans="10:16">
      <c r="J582" s="5"/>
      <c r="L582">
        <f>RAVLT_Delayed!M582</f>
        <v>0.14316060799999999</v>
      </c>
      <c r="M582">
        <v>57.6</v>
      </c>
      <c r="O582">
        <f>ABS(L582-RAVLT_Delayed!$C$34)</f>
        <v>2.9591111511383597</v>
      </c>
      <c r="P582">
        <f t="shared" si="9"/>
        <v>57.6</v>
      </c>
    </row>
    <row r="583" spans="10:16">
      <c r="J583" s="5"/>
      <c r="L583">
        <f>RAVLT_Delayed!M583</f>
        <v>0.14652667999999899</v>
      </c>
      <c r="M583">
        <v>57.7</v>
      </c>
      <c r="O583">
        <f>ABS(L583-RAVLT_Delayed!$C$34)</f>
        <v>2.9624772231383587</v>
      </c>
      <c r="P583">
        <f t="shared" ref="P583:P646" si="10">M583</f>
        <v>57.7</v>
      </c>
    </row>
    <row r="584" spans="10:16">
      <c r="J584" s="5"/>
      <c r="L584">
        <f>RAVLT_Delayed!M584</f>
        <v>0.15344352</v>
      </c>
      <c r="M584">
        <v>57.8</v>
      </c>
      <c r="O584">
        <f>ABS(L584-RAVLT_Delayed!$C$34)</f>
        <v>2.9693940631383597</v>
      </c>
      <c r="P584">
        <f t="shared" si="10"/>
        <v>57.8</v>
      </c>
    </row>
    <row r="585" spans="10:16">
      <c r="J585" s="5"/>
      <c r="L585">
        <f>RAVLT_Delayed!M585</f>
        <v>0.16036036000000001</v>
      </c>
      <c r="M585">
        <v>57.9</v>
      </c>
      <c r="O585">
        <f>ABS(L585-RAVLT_Delayed!$C$34)</f>
        <v>2.9763109031383594</v>
      </c>
      <c r="P585">
        <f t="shared" si="10"/>
        <v>57.9</v>
      </c>
    </row>
    <row r="586" spans="10:16">
      <c r="J586" s="5"/>
      <c r="L586">
        <f>RAVLT_Delayed!M586</f>
        <v>0.16157588000000001</v>
      </c>
      <c r="M586">
        <v>58</v>
      </c>
      <c r="O586">
        <f>ABS(L586-RAVLT_Delayed!$C$34)</f>
        <v>2.9775264231383596</v>
      </c>
      <c r="P586">
        <f t="shared" si="10"/>
        <v>58</v>
      </c>
    </row>
    <row r="587" spans="10:16">
      <c r="J587" s="5"/>
      <c r="L587">
        <f>RAVLT_Delayed!M587</f>
        <v>0.16228461599999999</v>
      </c>
      <c r="M587">
        <v>58.1</v>
      </c>
      <c r="O587">
        <f>ABS(L587-RAVLT_Delayed!$C$34)</f>
        <v>2.9782351591383596</v>
      </c>
      <c r="P587">
        <f t="shared" si="10"/>
        <v>58.1</v>
      </c>
    </row>
    <row r="588" spans="10:16">
      <c r="J588" s="5"/>
      <c r="L588">
        <f>RAVLT_Delayed!M588</f>
        <v>0.16339856799999999</v>
      </c>
      <c r="M588">
        <v>58.2</v>
      </c>
      <c r="O588">
        <f>ABS(L588-RAVLT_Delayed!$C$34)</f>
        <v>2.9793491111383594</v>
      </c>
      <c r="P588">
        <f t="shared" si="10"/>
        <v>58.2</v>
      </c>
    </row>
    <row r="589" spans="10:16">
      <c r="J589" s="5"/>
      <c r="L589">
        <f>RAVLT_Delayed!M589</f>
        <v>0.16521039200000001</v>
      </c>
      <c r="M589">
        <v>58.3</v>
      </c>
      <c r="O589">
        <f>ABS(L589-RAVLT_Delayed!$C$34)</f>
        <v>2.9811609351383597</v>
      </c>
      <c r="P589">
        <f t="shared" si="10"/>
        <v>58.3</v>
      </c>
    </row>
    <row r="590" spans="10:16">
      <c r="J590" s="5"/>
      <c r="L590">
        <f>RAVLT_Delayed!M590</f>
        <v>0.167022216</v>
      </c>
      <c r="M590">
        <v>58.4</v>
      </c>
      <c r="O590">
        <f>ABS(L590-RAVLT_Delayed!$C$34)</f>
        <v>2.9829727591383595</v>
      </c>
      <c r="P590">
        <f t="shared" si="10"/>
        <v>58.4</v>
      </c>
    </row>
    <row r="591" spans="10:16">
      <c r="J591" s="5"/>
      <c r="L591">
        <f>RAVLT_Delayed!M591</f>
        <v>0.16869932000000001</v>
      </c>
      <c r="M591">
        <v>58.5</v>
      </c>
      <c r="O591">
        <f>ABS(L591-RAVLT_Delayed!$C$34)</f>
        <v>2.9846498631383596</v>
      </c>
      <c r="P591">
        <f t="shared" si="10"/>
        <v>58.5</v>
      </c>
    </row>
    <row r="592" spans="10:16">
      <c r="J592" s="5"/>
      <c r="L592">
        <f>RAVLT_Delayed!M592</f>
        <v>0.17034611199999999</v>
      </c>
      <c r="M592">
        <v>58.6</v>
      </c>
      <c r="O592">
        <f>ABS(L592-RAVLT_Delayed!$C$34)</f>
        <v>2.9862966551383594</v>
      </c>
      <c r="P592">
        <f t="shared" si="10"/>
        <v>58.6</v>
      </c>
    </row>
    <row r="593" spans="10:16">
      <c r="J593" s="5"/>
      <c r="L593">
        <f>RAVLT_Delayed!M593</f>
        <v>0.17346086399999999</v>
      </c>
      <c r="M593">
        <v>58.7</v>
      </c>
      <c r="O593">
        <f>ABS(L593-RAVLT_Delayed!$C$34)</f>
        <v>2.9894114071383595</v>
      </c>
      <c r="P593">
        <f t="shared" si="10"/>
        <v>58.7</v>
      </c>
    </row>
    <row r="594" spans="10:16">
      <c r="J594" s="5"/>
      <c r="L594">
        <f>RAVLT_Delayed!M594</f>
        <v>0.180640736</v>
      </c>
      <c r="M594">
        <v>58.8</v>
      </c>
      <c r="O594">
        <f>ABS(L594-RAVLT_Delayed!$C$34)</f>
        <v>2.9965912791383595</v>
      </c>
      <c r="P594">
        <f t="shared" si="10"/>
        <v>58.8</v>
      </c>
    </row>
    <row r="595" spans="10:16">
      <c r="J595" s="5"/>
      <c r="L595">
        <f>RAVLT_Delayed!M595</f>
        <v>0.187820608</v>
      </c>
      <c r="M595">
        <v>58.9</v>
      </c>
      <c r="O595">
        <f>ABS(L595-RAVLT_Delayed!$C$34)</f>
        <v>3.0037711511383596</v>
      </c>
      <c r="P595">
        <f t="shared" si="10"/>
        <v>58.9</v>
      </c>
    </row>
    <row r="596" spans="10:16">
      <c r="J596" s="5"/>
      <c r="L596">
        <f>RAVLT_Delayed!M596</f>
        <v>0.19051908000000001</v>
      </c>
      <c r="M596">
        <v>59</v>
      </c>
      <c r="O596">
        <f>ABS(L596-RAVLT_Delayed!$C$34)</f>
        <v>3.0064696231383596</v>
      </c>
      <c r="P596">
        <f t="shared" si="10"/>
        <v>59</v>
      </c>
    </row>
    <row r="597" spans="10:16">
      <c r="J597" s="5"/>
      <c r="L597">
        <f>RAVLT_Delayed!M597</f>
        <v>0.19142499199999999</v>
      </c>
      <c r="M597">
        <v>59.1</v>
      </c>
      <c r="O597">
        <f>ABS(L597-RAVLT_Delayed!$C$34)</f>
        <v>3.0073755351383595</v>
      </c>
      <c r="P597">
        <f t="shared" si="10"/>
        <v>59.1</v>
      </c>
    </row>
    <row r="598" spans="10:16">
      <c r="J598" s="5"/>
      <c r="L598">
        <f>RAVLT_Delayed!M598</f>
        <v>0.192563032</v>
      </c>
      <c r="M598">
        <v>59.2</v>
      </c>
      <c r="O598">
        <f>ABS(L598-RAVLT_Delayed!$C$34)</f>
        <v>3.0085135751383594</v>
      </c>
      <c r="P598">
        <f t="shared" si="10"/>
        <v>59.2</v>
      </c>
    </row>
    <row r="599" spans="10:16">
      <c r="J599" s="5"/>
      <c r="L599">
        <f>RAVLT_Delayed!M599</f>
        <v>0.19489072800000001</v>
      </c>
      <c r="M599">
        <v>59.3</v>
      </c>
      <c r="O599">
        <f>ABS(L599-RAVLT_Delayed!$C$34)</f>
        <v>3.0108412711383594</v>
      </c>
      <c r="P599">
        <f t="shared" si="10"/>
        <v>59.3</v>
      </c>
    </row>
    <row r="600" spans="10:16">
      <c r="J600" s="5"/>
      <c r="L600">
        <f>RAVLT_Delayed!M600</f>
        <v>0.197218424</v>
      </c>
      <c r="M600">
        <v>59.4</v>
      </c>
      <c r="O600">
        <f>ABS(L600-RAVLT_Delayed!$C$34)</f>
        <v>3.0131689671383595</v>
      </c>
      <c r="P600">
        <f t="shared" si="10"/>
        <v>59.4</v>
      </c>
    </row>
    <row r="601" spans="10:16">
      <c r="J601" s="5"/>
      <c r="L601">
        <f>RAVLT_Delayed!M601</f>
        <v>0.2005846</v>
      </c>
      <c r="M601">
        <v>59.5</v>
      </c>
      <c r="O601">
        <f>ABS(L601-RAVLT_Delayed!$C$34)</f>
        <v>3.0165351431383596</v>
      </c>
      <c r="P601">
        <f t="shared" si="10"/>
        <v>59.5</v>
      </c>
    </row>
    <row r="602" spans="10:16">
      <c r="J602" s="5"/>
      <c r="L602">
        <f>RAVLT_Delayed!M602</f>
        <v>0.20460848000000001</v>
      </c>
      <c r="M602">
        <v>59.6</v>
      </c>
      <c r="O602">
        <f>ABS(L602-RAVLT_Delayed!$C$34)</f>
        <v>3.0205590231383597</v>
      </c>
      <c r="P602">
        <f t="shared" si="10"/>
        <v>59.6</v>
      </c>
    </row>
    <row r="603" spans="10:16">
      <c r="J603" s="5"/>
      <c r="L603">
        <f>RAVLT_Delayed!M603</f>
        <v>0.20881823999999999</v>
      </c>
      <c r="M603">
        <v>59.7</v>
      </c>
      <c r="O603">
        <f>ABS(L603-RAVLT_Delayed!$C$34)</f>
        <v>3.0247687831383594</v>
      </c>
      <c r="P603">
        <f t="shared" si="10"/>
        <v>59.7</v>
      </c>
    </row>
    <row r="604" spans="10:16">
      <c r="J604" s="5"/>
      <c r="L604">
        <f>RAVLT_Delayed!M604</f>
        <v>0.21587816000000001</v>
      </c>
      <c r="M604">
        <v>59.8</v>
      </c>
      <c r="O604">
        <f>ABS(L604-RAVLT_Delayed!$C$34)</f>
        <v>3.0318287031383595</v>
      </c>
      <c r="P604">
        <f t="shared" si="10"/>
        <v>59.8</v>
      </c>
    </row>
    <row r="605" spans="10:16">
      <c r="J605" s="5"/>
      <c r="L605">
        <f>RAVLT_Delayed!M605</f>
        <v>0.22293808000000001</v>
      </c>
      <c r="M605">
        <v>59.9</v>
      </c>
      <c r="O605">
        <f>ABS(L605-RAVLT_Delayed!$C$34)</f>
        <v>3.0388886231383596</v>
      </c>
      <c r="P605">
        <f t="shared" si="10"/>
        <v>59.9</v>
      </c>
    </row>
    <row r="606" spans="10:16">
      <c r="J606" s="5"/>
      <c r="L606">
        <f>RAVLT_Delayed!M606</f>
        <v>0.2297708</v>
      </c>
      <c r="M606">
        <v>60</v>
      </c>
      <c r="O606">
        <f>ABS(L606-RAVLT_Delayed!$C$34)</f>
        <v>3.0457213431383594</v>
      </c>
      <c r="P606">
        <f t="shared" si="10"/>
        <v>60</v>
      </c>
    </row>
    <row r="607" spans="10:16">
      <c r="J607" s="5"/>
      <c r="L607">
        <f>RAVLT_Delayed!M607</f>
        <v>0.23638540799999999</v>
      </c>
      <c r="M607">
        <v>60.1</v>
      </c>
      <c r="O607">
        <f>ABS(L607-RAVLT_Delayed!$C$34)</f>
        <v>3.0523359511383594</v>
      </c>
      <c r="P607">
        <f t="shared" si="10"/>
        <v>60.1</v>
      </c>
    </row>
    <row r="608" spans="10:16">
      <c r="J608" s="5"/>
      <c r="L608">
        <f>RAVLT_Delayed!M608</f>
        <v>0.24300001600000001</v>
      </c>
      <c r="M608">
        <v>60.2</v>
      </c>
      <c r="O608">
        <f>ABS(L608-RAVLT_Delayed!$C$34)</f>
        <v>3.0589505591383594</v>
      </c>
      <c r="P608">
        <f t="shared" si="10"/>
        <v>60.2</v>
      </c>
    </row>
    <row r="609" spans="10:16">
      <c r="J609" s="5"/>
      <c r="L609">
        <f>RAVLT_Delayed!M609</f>
        <v>0.24449199999999999</v>
      </c>
      <c r="M609">
        <v>60.3</v>
      </c>
      <c r="O609">
        <f>ABS(L609-RAVLT_Delayed!$C$34)</f>
        <v>3.0604425431383597</v>
      </c>
      <c r="P609">
        <f t="shared" si="10"/>
        <v>60.3</v>
      </c>
    </row>
    <row r="610" spans="10:16">
      <c r="J610" s="5"/>
      <c r="L610">
        <f>RAVLT_Delayed!M610</f>
        <v>0.24576600000000001</v>
      </c>
      <c r="M610">
        <v>60.4</v>
      </c>
      <c r="O610">
        <f>ABS(L610-RAVLT_Delayed!$C$34)</f>
        <v>3.0617165431383597</v>
      </c>
      <c r="P610">
        <f t="shared" si="10"/>
        <v>60.4</v>
      </c>
    </row>
    <row r="611" spans="10:16">
      <c r="J611" s="5"/>
      <c r="L611">
        <f>RAVLT_Delayed!M611</f>
        <v>0.24741167999999999</v>
      </c>
      <c r="M611">
        <v>60.5</v>
      </c>
      <c r="O611">
        <f>ABS(L611-RAVLT_Delayed!$C$34)</f>
        <v>3.0633622231383595</v>
      </c>
      <c r="P611">
        <f t="shared" si="10"/>
        <v>60.5</v>
      </c>
    </row>
    <row r="612" spans="10:16">
      <c r="J612" s="5"/>
      <c r="L612">
        <f>RAVLT_Delayed!M612</f>
        <v>0.249596296</v>
      </c>
      <c r="M612">
        <v>60.6</v>
      </c>
      <c r="O612">
        <f>ABS(L612-RAVLT_Delayed!$C$34)</f>
        <v>3.0655468391383596</v>
      </c>
      <c r="P612">
        <f t="shared" si="10"/>
        <v>60.6</v>
      </c>
    </row>
    <row r="613" spans="10:16">
      <c r="J613" s="5"/>
      <c r="L613">
        <f>RAVLT_Delayed!M613</f>
        <v>0.25178091200000002</v>
      </c>
      <c r="M613">
        <v>60.7</v>
      </c>
      <c r="O613">
        <f>ABS(L613-RAVLT_Delayed!$C$34)</f>
        <v>3.0677314551383597</v>
      </c>
      <c r="P613">
        <f t="shared" si="10"/>
        <v>60.7</v>
      </c>
    </row>
    <row r="614" spans="10:16">
      <c r="J614" s="5"/>
      <c r="L614">
        <f>RAVLT_Delayed!M614</f>
        <v>0.25238498399999998</v>
      </c>
      <c r="M614">
        <v>60.8</v>
      </c>
      <c r="O614">
        <f>ABS(L614-RAVLT_Delayed!$C$34)</f>
        <v>3.0683355271383594</v>
      </c>
      <c r="P614">
        <f t="shared" si="10"/>
        <v>60.8</v>
      </c>
    </row>
    <row r="615" spans="10:16">
      <c r="J615" s="5"/>
      <c r="L615">
        <f>RAVLT_Delayed!M615</f>
        <v>0.25272563199999998</v>
      </c>
      <c r="M615">
        <v>60.9</v>
      </c>
      <c r="O615">
        <f>ABS(L615-RAVLT_Delayed!$C$34)</f>
        <v>3.0686761751383598</v>
      </c>
      <c r="P615">
        <f t="shared" si="10"/>
        <v>60.9</v>
      </c>
    </row>
    <row r="616" spans="10:16">
      <c r="J616" s="5"/>
      <c r="L616">
        <f>RAVLT_Delayed!M616</f>
        <v>0.25402064000000002</v>
      </c>
      <c r="M616">
        <v>61</v>
      </c>
      <c r="O616">
        <f>ABS(L616-RAVLT_Delayed!$C$34)</f>
        <v>3.0699711831383594</v>
      </c>
      <c r="P616">
        <f t="shared" si="10"/>
        <v>61</v>
      </c>
    </row>
    <row r="617" spans="10:16">
      <c r="J617" s="5"/>
      <c r="L617">
        <f>RAVLT_Delayed!M617</f>
        <v>0.25747886399999997</v>
      </c>
      <c r="M617">
        <v>61.1</v>
      </c>
      <c r="O617">
        <f>ABS(L617-RAVLT_Delayed!$C$34)</f>
        <v>3.0734294071383594</v>
      </c>
      <c r="P617">
        <f t="shared" si="10"/>
        <v>61.1</v>
      </c>
    </row>
    <row r="618" spans="10:16">
      <c r="J618" s="5"/>
      <c r="L618">
        <f>RAVLT_Delayed!M618</f>
        <v>0.26093708799999998</v>
      </c>
      <c r="M618">
        <v>61.2</v>
      </c>
      <c r="O618">
        <f>ABS(L618-RAVLT_Delayed!$C$34)</f>
        <v>3.0768876311383595</v>
      </c>
      <c r="P618">
        <f t="shared" si="10"/>
        <v>61.2</v>
      </c>
    </row>
    <row r="619" spans="10:16">
      <c r="J619" s="5"/>
      <c r="L619">
        <f>RAVLT_Delayed!M619</f>
        <v>0.26328442400000002</v>
      </c>
      <c r="M619">
        <v>61.3</v>
      </c>
      <c r="O619">
        <f>ABS(L619-RAVLT_Delayed!$C$34)</f>
        <v>3.0792349671383596</v>
      </c>
      <c r="P619">
        <f t="shared" si="10"/>
        <v>61.3</v>
      </c>
    </row>
    <row r="620" spans="10:16">
      <c r="J620" s="5"/>
      <c r="L620">
        <f>RAVLT_Delayed!M620</f>
        <v>0.26527147200000001</v>
      </c>
      <c r="M620">
        <v>61.4</v>
      </c>
      <c r="O620">
        <f>ABS(L620-RAVLT_Delayed!$C$34)</f>
        <v>3.0812220151383594</v>
      </c>
      <c r="P620">
        <f t="shared" si="10"/>
        <v>61.4</v>
      </c>
    </row>
    <row r="621" spans="10:16">
      <c r="J621" s="5"/>
      <c r="L621">
        <f>RAVLT_Delayed!M621</f>
        <v>0.26781884</v>
      </c>
      <c r="M621">
        <v>61.5</v>
      </c>
      <c r="O621">
        <f>ABS(L621-RAVLT_Delayed!$C$34)</f>
        <v>3.0837693831383595</v>
      </c>
      <c r="P621">
        <f t="shared" si="10"/>
        <v>61.5</v>
      </c>
    </row>
    <row r="622" spans="10:16">
      <c r="J622" s="5"/>
      <c r="L622">
        <f>RAVLT_Delayed!M622</f>
        <v>0.27255145600000003</v>
      </c>
      <c r="M622">
        <v>61.6</v>
      </c>
      <c r="O622">
        <f>ABS(L622-RAVLT_Delayed!$C$34)</f>
        <v>3.0885019991383595</v>
      </c>
      <c r="P622">
        <f t="shared" si="10"/>
        <v>61.6</v>
      </c>
    </row>
    <row r="623" spans="10:16">
      <c r="J623" s="5"/>
      <c r="L623">
        <f>RAVLT_Delayed!M623</f>
        <v>0.27728407199999999</v>
      </c>
      <c r="M623">
        <v>61.7</v>
      </c>
      <c r="O623">
        <f>ABS(L623-RAVLT_Delayed!$C$34)</f>
        <v>3.0932346151383596</v>
      </c>
      <c r="P623">
        <f t="shared" si="10"/>
        <v>61.7</v>
      </c>
    </row>
    <row r="624" spans="10:16">
      <c r="J624" s="5"/>
      <c r="L624">
        <f>RAVLT_Delayed!M624</f>
        <v>0.28199876800000001</v>
      </c>
      <c r="M624">
        <v>61.8</v>
      </c>
      <c r="O624">
        <f>ABS(L624-RAVLT_Delayed!$C$34)</f>
        <v>3.0979493111383594</v>
      </c>
      <c r="P624">
        <f t="shared" si="10"/>
        <v>61.8</v>
      </c>
    </row>
    <row r="625" spans="10:16">
      <c r="J625" s="5"/>
      <c r="L625">
        <f>RAVLT_Delayed!M625</f>
        <v>0.28670394399999999</v>
      </c>
      <c r="M625">
        <v>61.9</v>
      </c>
      <c r="O625">
        <f>ABS(L625-RAVLT_Delayed!$C$34)</f>
        <v>3.1026544871383597</v>
      </c>
      <c r="P625">
        <f t="shared" si="10"/>
        <v>61.9</v>
      </c>
    </row>
    <row r="626" spans="10:16">
      <c r="J626" s="5"/>
      <c r="L626">
        <f>RAVLT_Delayed!M626</f>
        <v>0.29131151999999999</v>
      </c>
      <c r="M626">
        <v>62</v>
      </c>
      <c r="O626">
        <f>ABS(L626-RAVLT_Delayed!$C$34)</f>
        <v>3.1072620631383594</v>
      </c>
      <c r="P626">
        <f t="shared" si="10"/>
        <v>62</v>
      </c>
    </row>
    <row r="627" spans="10:16">
      <c r="J627" s="5"/>
      <c r="L627">
        <f>RAVLT_Delayed!M627</f>
        <v>0.29506021599999999</v>
      </c>
      <c r="M627">
        <v>62.1</v>
      </c>
      <c r="O627">
        <f>ABS(L627-RAVLT_Delayed!$C$34)</f>
        <v>3.1110107591383596</v>
      </c>
      <c r="P627">
        <f t="shared" si="10"/>
        <v>62.1</v>
      </c>
    </row>
    <row r="628" spans="10:16">
      <c r="J628" s="5"/>
      <c r="L628">
        <f>RAVLT_Delayed!M628</f>
        <v>0.29880891199999998</v>
      </c>
      <c r="M628">
        <v>62.2</v>
      </c>
      <c r="O628">
        <f>ABS(L628-RAVLT_Delayed!$C$34)</f>
        <v>3.1147594551383597</v>
      </c>
      <c r="P628">
        <f t="shared" si="10"/>
        <v>62.2</v>
      </c>
    </row>
    <row r="629" spans="10:16">
      <c r="J629" s="5"/>
      <c r="L629">
        <f>RAVLT_Delayed!M629</f>
        <v>0.30239776800000001</v>
      </c>
      <c r="M629">
        <v>62.3</v>
      </c>
      <c r="O629">
        <f>ABS(L629-RAVLT_Delayed!$C$34)</f>
        <v>3.1183483111383596</v>
      </c>
      <c r="P629">
        <f t="shared" si="10"/>
        <v>62.3</v>
      </c>
    </row>
    <row r="630" spans="10:16">
      <c r="J630" s="5"/>
      <c r="L630">
        <f>RAVLT_Delayed!M630</f>
        <v>0.30585638399999998</v>
      </c>
      <c r="M630">
        <v>62.4</v>
      </c>
      <c r="O630">
        <f>ABS(L630-RAVLT_Delayed!$C$34)</f>
        <v>3.1218069271383597</v>
      </c>
      <c r="P630">
        <f t="shared" si="10"/>
        <v>62.4</v>
      </c>
    </row>
    <row r="631" spans="10:16">
      <c r="J631" s="5"/>
      <c r="L631">
        <f>RAVLT_Delayed!M631</f>
        <v>0.30931500000000001</v>
      </c>
      <c r="M631">
        <v>62.5</v>
      </c>
      <c r="O631">
        <f>ABS(L631-RAVLT_Delayed!$C$34)</f>
        <v>3.1252655431383598</v>
      </c>
      <c r="P631">
        <f t="shared" si="10"/>
        <v>62.5</v>
      </c>
    </row>
    <row r="632" spans="10:16">
      <c r="J632" s="5"/>
      <c r="L632">
        <f>RAVLT_Delayed!M632</f>
        <v>0.31819144799999999</v>
      </c>
      <c r="M632">
        <v>62.6</v>
      </c>
      <c r="O632">
        <f>ABS(L632-RAVLT_Delayed!$C$34)</f>
        <v>3.1341419911383595</v>
      </c>
      <c r="P632">
        <f t="shared" si="10"/>
        <v>62.6</v>
      </c>
    </row>
    <row r="633" spans="10:16">
      <c r="J633" s="5"/>
      <c r="L633">
        <f>RAVLT_Delayed!M633</f>
        <v>0.32706789600000002</v>
      </c>
      <c r="M633">
        <v>62.7</v>
      </c>
      <c r="O633">
        <f>ABS(L633-RAVLT_Delayed!$C$34)</f>
        <v>3.1430184391383595</v>
      </c>
      <c r="P633">
        <f t="shared" si="10"/>
        <v>62.7</v>
      </c>
    </row>
    <row r="634" spans="10:16">
      <c r="J634" s="5"/>
      <c r="L634">
        <f>RAVLT_Delayed!M634</f>
        <v>0.332124264</v>
      </c>
      <c r="M634">
        <v>62.8</v>
      </c>
      <c r="O634">
        <f>ABS(L634-RAVLT_Delayed!$C$34)</f>
        <v>3.1480748071383595</v>
      </c>
      <c r="P634">
        <f t="shared" si="10"/>
        <v>62.8</v>
      </c>
    </row>
    <row r="635" spans="10:16">
      <c r="J635" s="5"/>
      <c r="L635">
        <f>RAVLT_Delayed!M635</f>
        <v>0.33249235199999999</v>
      </c>
      <c r="M635">
        <v>62.9</v>
      </c>
      <c r="O635">
        <f>ABS(L635-RAVLT_Delayed!$C$34)</f>
        <v>3.1484428951383596</v>
      </c>
      <c r="P635">
        <f t="shared" si="10"/>
        <v>62.9</v>
      </c>
    </row>
    <row r="636" spans="10:16">
      <c r="J636" s="5"/>
      <c r="L636">
        <f>RAVLT_Delayed!M636</f>
        <v>0.33286043999999998</v>
      </c>
      <c r="M636">
        <v>63</v>
      </c>
      <c r="O636">
        <f>ABS(L636-RAVLT_Delayed!$C$34)</f>
        <v>3.1488109831383597</v>
      </c>
      <c r="P636">
        <f t="shared" si="10"/>
        <v>63</v>
      </c>
    </row>
    <row r="637" spans="10:16">
      <c r="J637" s="5"/>
      <c r="L637">
        <f>RAVLT_Delayed!M637</f>
        <v>0.33674747199999999</v>
      </c>
      <c r="M637">
        <v>63.1</v>
      </c>
      <c r="O637">
        <f>ABS(L637-RAVLT_Delayed!$C$34)</f>
        <v>3.1526980151383595</v>
      </c>
      <c r="P637">
        <f t="shared" si="10"/>
        <v>63.1</v>
      </c>
    </row>
    <row r="638" spans="10:16">
      <c r="J638" s="5"/>
      <c r="L638">
        <f>RAVLT_Delayed!M638</f>
        <v>0.34103438400000002</v>
      </c>
      <c r="M638">
        <v>63.2</v>
      </c>
      <c r="O638">
        <f>ABS(L638-RAVLT_Delayed!$C$34)</f>
        <v>3.1569849271383594</v>
      </c>
      <c r="P638">
        <f t="shared" si="10"/>
        <v>63.2</v>
      </c>
    </row>
    <row r="639" spans="10:16">
      <c r="J639" s="5"/>
      <c r="L639">
        <f>RAVLT_Delayed!M639</f>
        <v>0.346037608</v>
      </c>
      <c r="M639">
        <v>63.3</v>
      </c>
      <c r="O639">
        <f>ABS(L639-RAVLT_Delayed!$C$34)</f>
        <v>3.1619881511383596</v>
      </c>
      <c r="P639">
        <f t="shared" si="10"/>
        <v>63.3</v>
      </c>
    </row>
    <row r="640" spans="10:16">
      <c r="J640" s="5"/>
      <c r="L640">
        <f>RAVLT_Delayed!M640</f>
        <v>0.35238918400000002</v>
      </c>
      <c r="M640">
        <v>63.4</v>
      </c>
      <c r="O640">
        <f>ABS(L640-RAVLT_Delayed!$C$34)</f>
        <v>3.1683397271383598</v>
      </c>
      <c r="P640">
        <f t="shared" si="10"/>
        <v>63.4</v>
      </c>
    </row>
    <row r="641" spans="10:16">
      <c r="J641" s="5"/>
      <c r="L641">
        <f>RAVLT_Delayed!M641</f>
        <v>0.35874075999999999</v>
      </c>
      <c r="M641">
        <v>63.5</v>
      </c>
      <c r="O641">
        <f>ABS(L641-RAVLT_Delayed!$C$34)</f>
        <v>3.1746913031383595</v>
      </c>
      <c r="P641">
        <f t="shared" si="10"/>
        <v>63.5</v>
      </c>
    </row>
    <row r="642" spans="10:16">
      <c r="J642" s="5"/>
      <c r="L642">
        <f>RAVLT_Delayed!M642</f>
        <v>0.36030812800000001</v>
      </c>
      <c r="M642">
        <v>63.6</v>
      </c>
      <c r="O642">
        <f>ABS(L642-RAVLT_Delayed!$C$34)</f>
        <v>3.1762586711383598</v>
      </c>
      <c r="P642">
        <f t="shared" si="10"/>
        <v>63.6</v>
      </c>
    </row>
    <row r="643" spans="10:16">
      <c r="J643" s="5"/>
      <c r="L643">
        <f>RAVLT_Delayed!M643</f>
        <v>0.360648776</v>
      </c>
      <c r="M643">
        <v>63.7</v>
      </c>
      <c r="O643">
        <f>ABS(L643-RAVLT_Delayed!$C$34)</f>
        <v>3.1765993191383597</v>
      </c>
      <c r="P643">
        <f t="shared" si="10"/>
        <v>63.7</v>
      </c>
    </row>
    <row r="644" spans="10:16">
      <c r="J644" s="5"/>
      <c r="L644">
        <f>RAVLT_Delayed!M644</f>
        <v>0.36198158400000002</v>
      </c>
      <c r="M644">
        <v>63.8</v>
      </c>
      <c r="O644">
        <f>ABS(L644-RAVLT_Delayed!$C$34)</f>
        <v>3.1779321271383596</v>
      </c>
      <c r="P644">
        <f t="shared" si="10"/>
        <v>63.8</v>
      </c>
    </row>
    <row r="645" spans="10:16">
      <c r="J645" s="5"/>
      <c r="L645">
        <f>RAVLT_Delayed!M645</f>
        <v>0.36637355199999999</v>
      </c>
      <c r="M645">
        <v>63.9</v>
      </c>
      <c r="O645">
        <f>ABS(L645-RAVLT_Delayed!$C$34)</f>
        <v>3.1823240951383598</v>
      </c>
      <c r="P645">
        <f t="shared" si="10"/>
        <v>63.9</v>
      </c>
    </row>
    <row r="646" spans="10:16">
      <c r="J646" s="5"/>
      <c r="L646">
        <f>RAVLT_Delayed!M646</f>
        <v>0.37076552000000002</v>
      </c>
      <c r="M646">
        <v>64</v>
      </c>
      <c r="O646">
        <f>ABS(L646-RAVLT_Delayed!$C$34)</f>
        <v>3.1867160631383595</v>
      </c>
      <c r="P646">
        <f t="shared" si="10"/>
        <v>64</v>
      </c>
    </row>
    <row r="647" spans="10:16">
      <c r="J647" s="5"/>
      <c r="L647">
        <f>RAVLT_Delayed!M647</f>
        <v>0.37547708800000001</v>
      </c>
      <c r="M647">
        <v>64.099999999999994</v>
      </c>
      <c r="O647">
        <f>ABS(L647-RAVLT_Delayed!$C$34)</f>
        <v>3.1914276311383594</v>
      </c>
      <c r="P647">
        <f t="shared" ref="P647:P710" si="11">M647</f>
        <v>64.099999999999994</v>
      </c>
    </row>
    <row r="648" spans="10:16">
      <c r="J648" s="5"/>
      <c r="L648">
        <f>RAVLT_Delayed!M648</f>
        <v>0.38032965600000002</v>
      </c>
      <c r="M648">
        <v>64.2</v>
      </c>
      <c r="O648">
        <f>ABS(L648-RAVLT_Delayed!$C$34)</f>
        <v>3.1962801991383598</v>
      </c>
      <c r="P648">
        <f t="shared" si="11"/>
        <v>64.2</v>
      </c>
    </row>
    <row r="649" spans="10:16">
      <c r="J649" s="5"/>
      <c r="L649">
        <f>RAVLT_Delayed!M649</f>
        <v>0.38539636799999999</v>
      </c>
      <c r="M649">
        <v>64.3</v>
      </c>
      <c r="O649">
        <f>ABS(L649-RAVLT_Delayed!$C$34)</f>
        <v>3.2013469111383595</v>
      </c>
      <c r="P649">
        <f t="shared" si="11"/>
        <v>64.3</v>
      </c>
    </row>
    <row r="650" spans="10:16">
      <c r="J650" s="5"/>
      <c r="L650">
        <f>RAVLT_Delayed!M650</f>
        <v>0.39174794400000001</v>
      </c>
      <c r="M650">
        <v>64.400000000000006</v>
      </c>
      <c r="O650">
        <f>ABS(L650-RAVLT_Delayed!$C$34)</f>
        <v>3.2076984871383596</v>
      </c>
      <c r="P650">
        <f t="shared" si="11"/>
        <v>64.400000000000006</v>
      </c>
    </row>
    <row r="651" spans="10:16">
      <c r="J651" s="5"/>
      <c r="L651">
        <f>RAVLT_Delayed!M651</f>
        <v>0.39809951999999998</v>
      </c>
      <c r="M651">
        <v>64.5</v>
      </c>
      <c r="O651">
        <f>ABS(L651-RAVLT_Delayed!$C$34)</f>
        <v>3.2140500631383597</v>
      </c>
      <c r="P651">
        <f t="shared" si="11"/>
        <v>64.5</v>
      </c>
    </row>
    <row r="652" spans="10:16">
      <c r="J652" s="5"/>
      <c r="L652">
        <f>RAVLT_Delayed!M652</f>
        <v>0.40111122399999999</v>
      </c>
      <c r="M652">
        <v>64.599999999999994</v>
      </c>
      <c r="O652">
        <f>ABS(L652-RAVLT_Delayed!$C$34)</f>
        <v>3.2170617671383597</v>
      </c>
      <c r="P652">
        <f t="shared" si="11"/>
        <v>64.599999999999994</v>
      </c>
    </row>
    <row r="653" spans="10:16">
      <c r="J653" s="5"/>
      <c r="L653">
        <f>RAVLT_Delayed!M653</f>
        <v>0.40181956800000002</v>
      </c>
      <c r="M653">
        <v>64.7</v>
      </c>
      <c r="O653">
        <f>ABS(L653-RAVLT_Delayed!$C$34)</f>
        <v>3.2177701111383596</v>
      </c>
      <c r="P653">
        <f t="shared" si="11"/>
        <v>64.7</v>
      </c>
    </row>
    <row r="654" spans="10:16">
      <c r="J654" s="5"/>
      <c r="L654">
        <f>RAVLT_Delayed!M654</f>
        <v>0.40256508000000002</v>
      </c>
      <c r="M654">
        <v>64.8</v>
      </c>
      <c r="O654">
        <f>ABS(L654-RAVLT_Delayed!$C$34)</f>
        <v>3.2185156231383596</v>
      </c>
      <c r="P654">
        <f t="shared" si="11"/>
        <v>64.8</v>
      </c>
    </row>
    <row r="655" spans="10:16">
      <c r="J655" s="5"/>
      <c r="L655">
        <f>RAVLT_Delayed!M655</f>
        <v>0.40418404000000002</v>
      </c>
      <c r="M655">
        <v>64.900000000000006</v>
      </c>
      <c r="O655">
        <f>ABS(L655-RAVLT_Delayed!$C$34)</f>
        <v>3.2201345831383597</v>
      </c>
      <c r="P655">
        <f t="shared" si="11"/>
        <v>64.900000000000006</v>
      </c>
    </row>
    <row r="656" spans="10:16">
      <c r="J656" s="5"/>
      <c r="L656">
        <f>RAVLT_Delayed!M656</f>
        <v>0.40580300000000002</v>
      </c>
      <c r="M656">
        <v>65</v>
      </c>
      <c r="O656">
        <f>ABS(L656-RAVLT_Delayed!$C$34)</f>
        <v>3.2217535431383597</v>
      </c>
      <c r="P656">
        <f t="shared" si="11"/>
        <v>65</v>
      </c>
    </row>
    <row r="657" spans="10:16">
      <c r="J657" s="5"/>
      <c r="L657">
        <f>RAVLT_Delayed!M657</f>
        <v>0.40725299999999998</v>
      </c>
      <c r="M657">
        <v>65.099999999999994</v>
      </c>
      <c r="O657">
        <f>ABS(L657-RAVLT_Delayed!$C$34)</f>
        <v>3.2232035431383594</v>
      </c>
      <c r="P657">
        <f t="shared" si="11"/>
        <v>65.099999999999994</v>
      </c>
    </row>
    <row r="658" spans="10:16">
      <c r="J658" s="5"/>
      <c r="L658">
        <f>RAVLT_Delayed!M658</f>
        <v>0.40852699999999997</v>
      </c>
      <c r="M658">
        <v>65.2</v>
      </c>
      <c r="O658">
        <f>ABS(L658-RAVLT_Delayed!$C$34)</f>
        <v>3.2244775431383594</v>
      </c>
      <c r="P658">
        <f t="shared" si="11"/>
        <v>65.2</v>
      </c>
    </row>
    <row r="659" spans="10:16">
      <c r="J659" s="5"/>
      <c r="L659">
        <f>RAVLT_Delayed!M659</f>
        <v>0.40980100000000003</v>
      </c>
      <c r="M659">
        <v>65.3</v>
      </c>
      <c r="O659">
        <f>ABS(L659-RAVLT_Delayed!$C$34)</f>
        <v>3.2257515431383594</v>
      </c>
      <c r="P659">
        <f t="shared" si="11"/>
        <v>65.3</v>
      </c>
    </row>
    <row r="660" spans="10:16">
      <c r="J660" s="5"/>
      <c r="L660">
        <f>RAVLT_Delayed!M660</f>
        <v>0.41118760799999998</v>
      </c>
      <c r="M660">
        <v>65.400000000000006</v>
      </c>
      <c r="O660">
        <f>ABS(L660-RAVLT_Delayed!$C$34)</f>
        <v>3.2271381511383597</v>
      </c>
      <c r="P660">
        <f t="shared" si="11"/>
        <v>65.400000000000006</v>
      </c>
    </row>
    <row r="661" spans="10:16">
      <c r="J661" s="5"/>
      <c r="L661">
        <f>RAVLT_Delayed!M661</f>
        <v>0.41258156000000001</v>
      </c>
      <c r="M661">
        <v>65.5</v>
      </c>
      <c r="O661">
        <f>ABS(L661-RAVLT_Delayed!$C$34)</f>
        <v>3.2285321031383596</v>
      </c>
      <c r="P661">
        <f t="shared" si="11"/>
        <v>65.5</v>
      </c>
    </row>
    <row r="662" spans="10:16">
      <c r="J662" s="5"/>
      <c r="L662">
        <f>RAVLT_Delayed!M662</f>
        <v>0.41365433600000001</v>
      </c>
      <c r="M662">
        <v>65.599999999999994</v>
      </c>
      <c r="O662">
        <f>ABS(L662-RAVLT_Delayed!$C$34)</f>
        <v>3.2296048791383596</v>
      </c>
      <c r="P662">
        <f t="shared" si="11"/>
        <v>65.599999999999994</v>
      </c>
    </row>
    <row r="663" spans="10:16">
      <c r="J663" s="5"/>
      <c r="L663">
        <f>RAVLT_Delayed!M663</f>
        <v>0.41421999199999998</v>
      </c>
      <c r="M663">
        <v>65.7</v>
      </c>
      <c r="O663">
        <f>ABS(L663-RAVLT_Delayed!$C$34)</f>
        <v>3.2301705351383596</v>
      </c>
      <c r="P663">
        <f t="shared" si="11"/>
        <v>65.7</v>
      </c>
    </row>
    <row r="664" spans="10:16">
      <c r="J664" s="5"/>
      <c r="L664">
        <f>RAVLT_Delayed!M664</f>
        <v>0.41478564800000001</v>
      </c>
      <c r="M664">
        <v>65.8</v>
      </c>
      <c r="O664">
        <f>ABS(L664-RAVLT_Delayed!$C$34)</f>
        <v>3.2307361911383596</v>
      </c>
      <c r="P664">
        <f t="shared" si="11"/>
        <v>65.8</v>
      </c>
    </row>
    <row r="665" spans="10:16">
      <c r="J665" s="5"/>
      <c r="L665">
        <f>RAVLT_Delayed!M665</f>
        <v>0.41824492000000002</v>
      </c>
      <c r="M665">
        <v>65.900000000000006</v>
      </c>
      <c r="O665">
        <f>ABS(L665-RAVLT_Delayed!$C$34)</f>
        <v>3.2341954631383594</v>
      </c>
      <c r="P665">
        <f t="shared" si="11"/>
        <v>65.900000000000006</v>
      </c>
    </row>
    <row r="666" spans="10:16">
      <c r="J666" s="5"/>
      <c r="L666">
        <f>RAVLT_Delayed!M666</f>
        <v>0.4222688</v>
      </c>
      <c r="M666">
        <v>66</v>
      </c>
      <c r="O666">
        <f>ABS(L666-RAVLT_Delayed!$C$34)</f>
        <v>3.2382193431383595</v>
      </c>
      <c r="P666">
        <f t="shared" si="11"/>
        <v>66</v>
      </c>
    </row>
    <row r="667" spans="10:16">
      <c r="J667" s="5"/>
      <c r="L667">
        <f>RAVLT_Delayed!M667</f>
        <v>0.42524816799999998</v>
      </c>
      <c r="M667">
        <v>66.099999999999994</v>
      </c>
      <c r="O667">
        <f>ABS(L667-RAVLT_Delayed!$C$34)</f>
        <v>3.2411987111383596</v>
      </c>
      <c r="P667">
        <f t="shared" si="11"/>
        <v>66.099999999999994</v>
      </c>
    </row>
    <row r="668" spans="10:16">
      <c r="J668" s="5"/>
      <c r="L668">
        <f>RAVLT_Delayed!M668</f>
        <v>0.42561625600000003</v>
      </c>
      <c r="M668">
        <v>66.2</v>
      </c>
      <c r="O668">
        <f>ABS(L668-RAVLT_Delayed!$C$34)</f>
        <v>3.2415667991383597</v>
      </c>
      <c r="P668">
        <f t="shared" si="11"/>
        <v>66.2</v>
      </c>
    </row>
    <row r="669" spans="10:16">
      <c r="J669" s="5"/>
      <c r="L669">
        <f>RAVLT_Delayed!M669</f>
        <v>0.42598434400000001</v>
      </c>
      <c r="M669">
        <v>66.3</v>
      </c>
      <c r="O669">
        <f>ABS(L669-RAVLT_Delayed!$C$34)</f>
        <v>3.2419348871383598</v>
      </c>
      <c r="P669">
        <f t="shared" si="11"/>
        <v>66.3</v>
      </c>
    </row>
    <row r="670" spans="10:16">
      <c r="J670" s="5"/>
      <c r="L670">
        <f>RAVLT_Delayed!M670</f>
        <v>0.42608200000000002</v>
      </c>
      <c r="M670">
        <v>66.400000000000006</v>
      </c>
      <c r="O670">
        <f>ABS(L670-RAVLT_Delayed!$C$34)</f>
        <v>3.2420325431383596</v>
      </c>
      <c r="P670">
        <f t="shared" si="11"/>
        <v>66.400000000000006</v>
      </c>
    </row>
    <row r="671" spans="10:16">
      <c r="J671" s="5"/>
      <c r="L671">
        <f>RAVLT_Delayed!M671</f>
        <v>0.42608200000000002</v>
      </c>
      <c r="M671">
        <v>66.5</v>
      </c>
      <c r="O671">
        <f>ABS(L671-RAVLT_Delayed!$C$34)</f>
        <v>3.2420325431383596</v>
      </c>
      <c r="P671">
        <f t="shared" si="11"/>
        <v>66.5</v>
      </c>
    </row>
    <row r="672" spans="10:16">
      <c r="J672" s="5"/>
      <c r="L672">
        <f>RAVLT_Delayed!M672</f>
        <v>0.42789085599999999</v>
      </c>
      <c r="M672">
        <v>66.599999999999994</v>
      </c>
      <c r="O672">
        <f>ABS(L672-RAVLT_Delayed!$C$34)</f>
        <v>3.2438413991383594</v>
      </c>
      <c r="P672">
        <f t="shared" si="11"/>
        <v>66.599999999999994</v>
      </c>
    </row>
    <row r="673" spans="10:16">
      <c r="J673" s="5"/>
      <c r="L673">
        <f>RAVLT_Delayed!M673</f>
        <v>0.43773907200000001</v>
      </c>
      <c r="M673">
        <v>66.7</v>
      </c>
      <c r="O673">
        <f>ABS(L673-RAVLT_Delayed!$C$34)</f>
        <v>3.2536896151383594</v>
      </c>
      <c r="P673">
        <f t="shared" si="11"/>
        <v>66.7</v>
      </c>
    </row>
    <row r="674" spans="10:16">
      <c r="J674" s="5"/>
      <c r="L674">
        <f>RAVLT_Delayed!M674</f>
        <v>0.44758728800000003</v>
      </c>
      <c r="M674">
        <v>66.8</v>
      </c>
      <c r="O674">
        <f>ABS(L674-RAVLT_Delayed!$C$34)</f>
        <v>3.2635378311383594</v>
      </c>
      <c r="P674">
        <f t="shared" si="11"/>
        <v>66.8</v>
      </c>
    </row>
    <row r="675" spans="10:16">
      <c r="J675" s="5"/>
      <c r="L675">
        <f>RAVLT_Delayed!M675</f>
        <v>0.45251096800000001</v>
      </c>
      <c r="M675">
        <v>66.900000000000006</v>
      </c>
      <c r="O675">
        <f>ABS(L675-RAVLT_Delayed!$C$34)</f>
        <v>3.2684615111383595</v>
      </c>
      <c r="P675">
        <f t="shared" si="11"/>
        <v>66.900000000000006</v>
      </c>
    </row>
    <row r="676" spans="10:16">
      <c r="J676" s="5"/>
      <c r="L676">
        <f>RAVLT_Delayed!M676</f>
        <v>0.45457523999999999</v>
      </c>
      <c r="M676">
        <v>67</v>
      </c>
      <c r="O676">
        <f>ABS(L676-RAVLT_Delayed!$C$34)</f>
        <v>3.2705257831383596</v>
      </c>
      <c r="P676">
        <f t="shared" si="11"/>
        <v>67</v>
      </c>
    </row>
    <row r="677" spans="10:16">
      <c r="J677" s="5"/>
      <c r="L677">
        <f>RAVLT_Delayed!M677</f>
        <v>0.45673496800000002</v>
      </c>
      <c r="M677">
        <v>67.099999999999994</v>
      </c>
      <c r="O677">
        <f>ABS(L677-RAVLT_Delayed!$C$34)</f>
        <v>3.2726855111383597</v>
      </c>
      <c r="P677">
        <f t="shared" si="11"/>
        <v>67.099999999999994</v>
      </c>
    </row>
    <row r="678" spans="10:16">
      <c r="J678" s="5"/>
      <c r="L678">
        <f>RAVLT_Delayed!M678</f>
        <v>0.45996857600000002</v>
      </c>
      <c r="M678">
        <v>67.2</v>
      </c>
      <c r="O678">
        <f>ABS(L678-RAVLT_Delayed!$C$34)</f>
        <v>3.2759191191383596</v>
      </c>
      <c r="P678">
        <f t="shared" si="11"/>
        <v>67.2</v>
      </c>
    </row>
    <row r="679" spans="10:16">
      <c r="J679" s="5"/>
      <c r="L679">
        <f>RAVLT_Delayed!M679</f>
        <v>0.46320218400000002</v>
      </c>
      <c r="M679">
        <v>67.3</v>
      </c>
      <c r="O679">
        <f>ABS(L679-RAVLT_Delayed!$C$34)</f>
        <v>3.2791527271383596</v>
      </c>
      <c r="P679">
        <f t="shared" si="11"/>
        <v>67.3</v>
      </c>
    </row>
    <row r="680" spans="10:16">
      <c r="J680" s="5"/>
      <c r="L680">
        <f>RAVLT_Delayed!M680</f>
        <v>0.466179328</v>
      </c>
      <c r="M680">
        <v>67.400000000000006</v>
      </c>
      <c r="O680">
        <f>ABS(L680-RAVLT_Delayed!$C$34)</f>
        <v>3.2821298711383595</v>
      </c>
      <c r="P680">
        <f t="shared" si="11"/>
        <v>67.400000000000006</v>
      </c>
    </row>
    <row r="681" spans="10:16">
      <c r="J681" s="5"/>
      <c r="L681">
        <f>RAVLT_Delayed!M681</f>
        <v>0.4689296</v>
      </c>
      <c r="M681">
        <v>67.5</v>
      </c>
      <c r="O681">
        <f>ABS(L681-RAVLT_Delayed!$C$34)</f>
        <v>3.2848801431383596</v>
      </c>
      <c r="P681">
        <f t="shared" si="11"/>
        <v>67.5</v>
      </c>
    </row>
    <row r="682" spans="10:16">
      <c r="J682" s="5"/>
      <c r="L682">
        <f>RAVLT_Delayed!M682</f>
        <v>0.471679872</v>
      </c>
      <c r="M682">
        <v>67.599999999999994</v>
      </c>
      <c r="O682">
        <f>ABS(L682-RAVLT_Delayed!$C$34)</f>
        <v>3.2876304151383597</v>
      </c>
      <c r="P682">
        <f t="shared" si="11"/>
        <v>67.599999999999994</v>
      </c>
    </row>
    <row r="683" spans="10:16">
      <c r="J683" s="5"/>
      <c r="L683">
        <f>RAVLT_Delayed!M683</f>
        <v>0.47209619200000003</v>
      </c>
      <c r="M683">
        <v>67.7</v>
      </c>
      <c r="O683">
        <f>ABS(L683-RAVLT_Delayed!$C$34)</f>
        <v>3.2880467351383595</v>
      </c>
      <c r="P683">
        <f t="shared" si="11"/>
        <v>67.7</v>
      </c>
    </row>
    <row r="684" spans="10:16">
      <c r="J684" s="5"/>
      <c r="L684">
        <f>RAVLT_Delayed!M684</f>
        <v>0.472463888</v>
      </c>
      <c r="M684">
        <v>67.8</v>
      </c>
      <c r="O684">
        <f>ABS(L684-RAVLT_Delayed!$C$34)</f>
        <v>3.2884144311383596</v>
      </c>
      <c r="P684">
        <f t="shared" si="11"/>
        <v>67.8</v>
      </c>
    </row>
    <row r="685" spans="10:16">
      <c r="J685" s="5"/>
      <c r="L685">
        <f>RAVLT_Delayed!M685</f>
        <v>0.47306241599999999</v>
      </c>
      <c r="M685">
        <v>67.900000000000006</v>
      </c>
      <c r="O685">
        <f>ABS(L685-RAVLT_Delayed!$C$34)</f>
        <v>3.2890129591383594</v>
      </c>
      <c r="P685">
        <f t="shared" si="11"/>
        <v>67.900000000000006</v>
      </c>
    </row>
    <row r="686" spans="10:16">
      <c r="J686" s="5"/>
      <c r="L686">
        <f>RAVLT_Delayed!M686</f>
        <v>0.47396872000000001</v>
      </c>
      <c r="M686">
        <v>68</v>
      </c>
      <c r="O686">
        <f>ABS(L686-RAVLT_Delayed!$C$34)</f>
        <v>3.2899192631383594</v>
      </c>
      <c r="P686">
        <f t="shared" si="11"/>
        <v>68</v>
      </c>
    </row>
    <row r="687" spans="10:16">
      <c r="J687" s="5"/>
      <c r="L687">
        <f>RAVLT_Delayed!M687</f>
        <v>0.47487502399999998</v>
      </c>
      <c r="M687">
        <v>68.099999999999994</v>
      </c>
      <c r="O687">
        <f>ABS(L687-RAVLT_Delayed!$C$34)</f>
        <v>3.2908255671383597</v>
      </c>
      <c r="P687">
        <f t="shared" si="11"/>
        <v>68.099999999999994</v>
      </c>
    </row>
    <row r="688" spans="10:16">
      <c r="J688" s="5"/>
      <c r="L688">
        <f>RAVLT_Delayed!M688</f>
        <v>0.47498600000000002</v>
      </c>
      <c r="M688">
        <v>68.2</v>
      </c>
      <c r="O688">
        <f>ABS(L688-RAVLT_Delayed!$C$34)</f>
        <v>3.2909365431383595</v>
      </c>
      <c r="P688">
        <f t="shared" si="11"/>
        <v>68.2</v>
      </c>
    </row>
    <row r="689" spans="10:16">
      <c r="J689" s="5"/>
      <c r="L689">
        <f>RAVLT_Delayed!M689</f>
        <v>0.47498600000000002</v>
      </c>
      <c r="M689">
        <v>68.3</v>
      </c>
      <c r="O689">
        <f>ABS(L689-RAVLT_Delayed!$C$34)</f>
        <v>3.2909365431383595</v>
      </c>
      <c r="P689">
        <f t="shared" si="11"/>
        <v>68.3</v>
      </c>
    </row>
    <row r="690" spans="10:16">
      <c r="J690" s="5"/>
      <c r="L690">
        <f>RAVLT_Delayed!M690</f>
        <v>0.47556135999999999</v>
      </c>
      <c r="M690">
        <v>68.400000000000006</v>
      </c>
      <c r="O690">
        <f>ABS(L690-RAVLT_Delayed!$C$34)</f>
        <v>3.2915119031383595</v>
      </c>
      <c r="P690">
        <f t="shared" si="11"/>
        <v>68.400000000000006</v>
      </c>
    </row>
    <row r="691" spans="10:16">
      <c r="J691" s="5"/>
      <c r="L691">
        <f>RAVLT_Delayed!M691</f>
        <v>0.47732340000000001</v>
      </c>
      <c r="M691">
        <v>68.5</v>
      </c>
      <c r="O691">
        <f>ABS(L691-RAVLT_Delayed!$C$34)</f>
        <v>3.2932739431383595</v>
      </c>
      <c r="P691">
        <f t="shared" si="11"/>
        <v>68.5</v>
      </c>
    </row>
    <row r="692" spans="10:16">
      <c r="J692" s="5"/>
      <c r="L692">
        <f>RAVLT_Delayed!M692</f>
        <v>0.47908543999999997</v>
      </c>
      <c r="M692">
        <v>68.599999999999994</v>
      </c>
      <c r="O692">
        <f>ABS(L692-RAVLT_Delayed!$C$34)</f>
        <v>3.2950359831383595</v>
      </c>
      <c r="P692">
        <f t="shared" si="11"/>
        <v>68.599999999999994</v>
      </c>
    </row>
    <row r="693" spans="10:16">
      <c r="J693" s="5"/>
      <c r="L693">
        <f>RAVLT_Delayed!M693</f>
        <v>0.48440640800000001</v>
      </c>
      <c r="M693">
        <v>68.7</v>
      </c>
      <c r="O693">
        <f>ABS(L693-RAVLT_Delayed!$C$34)</f>
        <v>3.3003569511383595</v>
      </c>
      <c r="P693">
        <f t="shared" si="11"/>
        <v>68.7</v>
      </c>
    </row>
    <row r="694" spans="10:16">
      <c r="J694" s="5"/>
      <c r="L694">
        <f>RAVLT_Delayed!M694</f>
        <v>0.49075759200000002</v>
      </c>
      <c r="M694">
        <v>68.8</v>
      </c>
      <c r="O694">
        <f>ABS(L694-RAVLT_Delayed!$C$34)</f>
        <v>3.3067081351383596</v>
      </c>
      <c r="P694">
        <f t="shared" si="11"/>
        <v>68.8</v>
      </c>
    </row>
    <row r="695" spans="10:16">
      <c r="J695" s="5"/>
      <c r="L695">
        <f>RAVLT_Delayed!M695</f>
        <v>0.49604643999999998</v>
      </c>
      <c r="M695">
        <v>68.900000000000006</v>
      </c>
      <c r="O695">
        <f>ABS(L695-RAVLT_Delayed!$C$34)</f>
        <v>3.3119969831383598</v>
      </c>
      <c r="P695">
        <f t="shared" si="11"/>
        <v>68.900000000000006</v>
      </c>
    </row>
    <row r="696" spans="10:16">
      <c r="J696" s="5"/>
      <c r="L696">
        <f>RAVLT_Delayed!M696</f>
        <v>0.49766539999999998</v>
      </c>
      <c r="M696">
        <v>69</v>
      </c>
      <c r="O696">
        <f>ABS(L696-RAVLT_Delayed!$C$34)</f>
        <v>3.3136159431383594</v>
      </c>
      <c r="P696">
        <f t="shared" si="11"/>
        <v>69</v>
      </c>
    </row>
    <row r="697" spans="10:16">
      <c r="J697" s="5"/>
      <c r="L697">
        <f>RAVLT_Delayed!M697</f>
        <v>0.49928435999999998</v>
      </c>
      <c r="M697">
        <v>69.099999999999994</v>
      </c>
      <c r="O697">
        <f>ABS(L697-RAVLT_Delayed!$C$34)</f>
        <v>3.3152349031383594</v>
      </c>
      <c r="P697">
        <f t="shared" si="11"/>
        <v>69.099999999999994</v>
      </c>
    </row>
    <row r="698" spans="10:16">
      <c r="J698" s="5"/>
      <c r="L698">
        <f>RAVLT_Delayed!M698</f>
        <v>0.49981300000000001</v>
      </c>
      <c r="M698">
        <v>69.2</v>
      </c>
      <c r="O698">
        <f>ABS(L698-RAVLT_Delayed!$C$34)</f>
        <v>3.3157635431383596</v>
      </c>
      <c r="P698">
        <f t="shared" si="11"/>
        <v>69.2</v>
      </c>
    </row>
    <row r="699" spans="10:16">
      <c r="J699" s="5"/>
      <c r="L699">
        <f>RAVLT_Delayed!M699</f>
        <v>0.49981300000000001</v>
      </c>
      <c r="M699">
        <v>69.3</v>
      </c>
      <c r="O699">
        <f>ABS(L699-RAVLT_Delayed!$C$34)</f>
        <v>3.3157635431383596</v>
      </c>
      <c r="P699">
        <f t="shared" si="11"/>
        <v>69.3</v>
      </c>
    </row>
    <row r="700" spans="10:16">
      <c r="J700" s="5"/>
      <c r="L700">
        <f>RAVLT_Delayed!M700</f>
        <v>0.49992397599999999</v>
      </c>
      <c r="M700">
        <v>69.400000000000006</v>
      </c>
      <c r="O700">
        <f>ABS(L700-RAVLT_Delayed!$C$34)</f>
        <v>3.3158745191383594</v>
      </c>
      <c r="P700">
        <f t="shared" si="11"/>
        <v>69.400000000000006</v>
      </c>
    </row>
    <row r="701" spans="10:16">
      <c r="J701" s="5"/>
      <c r="L701">
        <f>RAVLT_Delayed!M701</f>
        <v>0.50083027999999996</v>
      </c>
      <c r="M701">
        <v>69.5</v>
      </c>
      <c r="O701">
        <f>ABS(L701-RAVLT_Delayed!$C$34)</f>
        <v>3.3167808231383598</v>
      </c>
      <c r="P701">
        <f t="shared" si="11"/>
        <v>69.5</v>
      </c>
    </row>
    <row r="702" spans="10:16">
      <c r="J702" s="5"/>
      <c r="L702">
        <f>RAVLT_Delayed!M702</f>
        <v>0.50173658399999999</v>
      </c>
      <c r="M702">
        <v>69.599999999999994</v>
      </c>
      <c r="O702">
        <f>ABS(L702-RAVLT_Delayed!$C$34)</f>
        <v>3.3176871271383597</v>
      </c>
      <c r="P702">
        <f t="shared" si="11"/>
        <v>69.599999999999994</v>
      </c>
    </row>
    <row r="703" spans="10:16">
      <c r="J703" s="5"/>
      <c r="L703">
        <f>RAVLT_Delayed!M703</f>
        <v>0.50478500000000104</v>
      </c>
      <c r="M703">
        <v>69.7</v>
      </c>
      <c r="O703">
        <f>ABS(L703-RAVLT_Delayed!$C$34)</f>
        <v>3.3207355431383605</v>
      </c>
      <c r="P703">
        <f t="shared" si="11"/>
        <v>69.7</v>
      </c>
    </row>
    <row r="704" spans="10:16">
      <c r="J704" s="5"/>
      <c r="L704">
        <f>RAVLT_Delayed!M704</f>
        <v>0.509440000000001</v>
      </c>
      <c r="M704">
        <v>69.8</v>
      </c>
      <c r="O704">
        <f>ABS(L704-RAVLT_Delayed!$C$34)</f>
        <v>3.3253905431383606</v>
      </c>
      <c r="P704">
        <f t="shared" si="11"/>
        <v>69.8</v>
      </c>
    </row>
    <row r="705" spans="10:16">
      <c r="J705" s="5"/>
      <c r="L705">
        <f>RAVLT_Delayed!M705</f>
        <v>0.51404213600000004</v>
      </c>
      <c r="M705">
        <v>69.900000000000006</v>
      </c>
      <c r="O705">
        <f>ABS(L705-RAVLT_Delayed!$C$34)</f>
        <v>3.3299926791383596</v>
      </c>
      <c r="P705">
        <f t="shared" si="11"/>
        <v>69.900000000000006</v>
      </c>
    </row>
    <row r="706" spans="10:16">
      <c r="J706" s="5"/>
      <c r="L706">
        <f>RAVLT_Delayed!M706</f>
        <v>0.51610679999999998</v>
      </c>
      <c r="M706">
        <v>70</v>
      </c>
      <c r="O706">
        <f>ABS(L706-RAVLT_Delayed!$C$34)</f>
        <v>3.3320573431383593</v>
      </c>
      <c r="P706">
        <f t="shared" si="11"/>
        <v>70</v>
      </c>
    </row>
    <row r="707" spans="10:16">
      <c r="J707" s="5"/>
      <c r="L707">
        <f>RAVLT_Delayed!M707</f>
        <v>0.51817146400000003</v>
      </c>
      <c r="M707">
        <v>70.099999999999994</v>
      </c>
      <c r="O707">
        <f>ABS(L707-RAVLT_Delayed!$C$34)</f>
        <v>3.3341220071383595</v>
      </c>
      <c r="P707">
        <f t="shared" si="11"/>
        <v>70.099999999999994</v>
      </c>
    </row>
    <row r="708" spans="10:16">
      <c r="J708" s="5"/>
      <c r="L708">
        <f>RAVLT_Delayed!M708</f>
        <v>0.52127904000000003</v>
      </c>
      <c r="M708">
        <v>70.2</v>
      </c>
      <c r="O708">
        <f>ABS(L708-RAVLT_Delayed!$C$34)</f>
        <v>3.3372295831383596</v>
      </c>
      <c r="P708">
        <f t="shared" si="11"/>
        <v>70.2</v>
      </c>
    </row>
    <row r="709" spans="10:16">
      <c r="J709" s="5"/>
      <c r="L709">
        <f>RAVLT_Delayed!M709</f>
        <v>0.52556555999999999</v>
      </c>
      <c r="M709">
        <v>70.3</v>
      </c>
      <c r="O709">
        <f>ABS(L709-RAVLT_Delayed!$C$34)</f>
        <v>3.3415161031383596</v>
      </c>
      <c r="P709">
        <f t="shared" si="11"/>
        <v>70.3</v>
      </c>
    </row>
    <row r="710" spans="10:16">
      <c r="J710" s="5"/>
      <c r="L710">
        <f>RAVLT_Delayed!M710</f>
        <v>0.52985207999999995</v>
      </c>
      <c r="M710">
        <v>70.400000000000006</v>
      </c>
      <c r="O710">
        <f>ABS(L710-RAVLT_Delayed!$C$34)</f>
        <v>3.3458026231383595</v>
      </c>
      <c r="P710">
        <f t="shared" si="11"/>
        <v>70.400000000000006</v>
      </c>
    </row>
    <row r="711" spans="10:16">
      <c r="J711" s="5"/>
      <c r="L711">
        <f>RAVLT_Delayed!M711</f>
        <v>0.53486111999999897</v>
      </c>
      <c r="M711">
        <v>70.5</v>
      </c>
      <c r="O711">
        <f>ABS(L711-RAVLT_Delayed!$C$34)</f>
        <v>3.3508116631383587</v>
      </c>
      <c r="P711">
        <f t="shared" ref="P711:P774" si="12">M711</f>
        <v>70.5</v>
      </c>
    </row>
    <row r="712" spans="10:16">
      <c r="J712" s="5"/>
      <c r="L712">
        <f>RAVLT_Delayed!M712</f>
        <v>0.53993438400000004</v>
      </c>
      <c r="M712">
        <v>70.599999999999994</v>
      </c>
      <c r="O712">
        <f>ABS(L712-RAVLT_Delayed!$C$34)</f>
        <v>3.3558849271383595</v>
      </c>
      <c r="P712">
        <f t="shared" si="12"/>
        <v>70.599999999999994</v>
      </c>
    </row>
    <row r="713" spans="10:16">
      <c r="J713" s="5"/>
      <c r="L713">
        <f>RAVLT_Delayed!M713</f>
        <v>0.54612451200000001</v>
      </c>
      <c r="M713">
        <v>70.7</v>
      </c>
      <c r="O713">
        <f>ABS(L713-RAVLT_Delayed!$C$34)</f>
        <v>3.3620750551383596</v>
      </c>
      <c r="P713">
        <f t="shared" si="12"/>
        <v>70.7</v>
      </c>
    </row>
    <row r="714" spans="10:16">
      <c r="J714" s="5"/>
      <c r="L714">
        <f>RAVLT_Delayed!M714</f>
        <v>0.55423812800000005</v>
      </c>
      <c r="M714">
        <v>70.8</v>
      </c>
      <c r="O714">
        <f>ABS(L714-RAVLT_Delayed!$C$34)</f>
        <v>3.3701886711383597</v>
      </c>
      <c r="P714">
        <f t="shared" si="12"/>
        <v>70.8</v>
      </c>
    </row>
    <row r="715" spans="10:16">
      <c r="J715" s="5"/>
      <c r="L715">
        <f>RAVLT_Delayed!M715</f>
        <v>0.56235174399999999</v>
      </c>
      <c r="M715">
        <v>70.900000000000006</v>
      </c>
      <c r="O715">
        <f>ABS(L715-RAVLT_Delayed!$C$34)</f>
        <v>3.3783022871383594</v>
      </c>
      <c r="P715">
        <f t="shared" si="12"/>
        <v>70.900000000000006</v>
      </c>
    </row>
    <row r="716" spans="10:16">
      <c r="J716" s="5"/>
      <c r="L716">
        <f>RAVLT_Delayed!M716</f>
        <v>0.56666536000000001</v>
      </c>
      <c r="M716">
        <v>71</v>
      </c>
      <c r="O716">
        <f>ABS(L716-RAVLT_Delayed!$C$34)</f>
        <v>3.3826159031383596</v>
      </c>
      <c r="P716">
        <f t="shared" si="12"/>
        <v>71</v>
      </c>
    </row>
    <row r="717" spans="10:16">
      <c r="J717" s="5"/>
      <c r="L717">
        <f>RAVLT_Delayed!M717</f>
        <v>0.57012397599999998</v>
      </c>
      <c r="M717">
        <v>71.099999999999994</v>
      </c>
      <c r="O717">
        <f>ABS(L717-RAVLT_Delayed!$C$34)</f>
        <v>3.3860745191383597</v>
      </c>
      <c r="P717">
        <f t="shared" si="12"/>
        <v>71.099999999999994</v>
      </c>
    </row>
    <row r="718" spans="10:16">
      <c r="J718" s="5"/>
      <c r="L718">
        <f>RAVLT_Delayed!M718</f>
        <v>0.57309452000000005</v>
      </c>
      <c r="M718">
        <v>71.2</v>
      </c>
      <c r="O718">
        <f>ABS(L718-RAVLT_Delayed!$C$34)</f>
        <v>3.3890450631383597</v>
      </c>
      <c r="P718">
        <f t="shared" si="12"/>
        <v>71.2</v>
      </c>
    </row>
    <row r="719" spans="10:16">
      <c r="J719" s="5"/>
      <c r="L719">
        <f>RAVLT_Delayed!M719</f>
        <v>0.57471348</v>
      </c>
      <c r="M719">
        <v>71.3</v>
      </c>
      <c r="O719">
        <f>ABS(L719-RAVLT_Delayed!$C$34)</f>
        <v>3.3906640231383598</v>
      </c>
      <c r="P719">
        <f t="shared" si="12"/>
        <v>71.3</v>
      </c>
    </row>
    <row r="720" spans="10:16">
      <c r="J720" s="5"/>
      <c r="L720">
        <f>RAVLT_Delayed!M720</f>
        <v>0.57633243999999995</v>
      </c>
      <c r="M720">
        <v>71.400000000000006</v>
      </c>
      <c r="O720">
        <f>ABS(L720-RAVLT_Delayed!$C$34)</f>
        <v>3.3922829831383594</v>
      </c>
      <c r="P720">
        <f t="shared" si="12"/>
        <v>71.400000000000006</v>
      </c>
    </row>
    <row r="721" spans="10:16">
      <c r="J721" s="5"/>
      <c r="L721">
        <f>RAVLT_Delayed!M721</f>
        <v>0.57744207999999997</v>
      </c>
      <c r="M721">
        <v>71.5</v>
      </c>
      <c r="O721">
        <f>ABS(L721-RAVLT_Delayed!$C$34)</f>
        <v>3.3933926231383595</v>
      </c>
      <c r="P721">
        <f t="shared" si="12"/>
        <v>71.5</v>
      </c>
    </row>
    <row r="722" spans="10:16">
      <c r="J722" s="5"/>
      <c r="L722">
        <f>RAVLT_Delayed!M722</f>
        <v>0.57834799199999998</v>
      </c>
      <c r="M722">
        <v>71.599999999999994</v>
      </c>
      <c r="O722">
        <f>ABS(L722-RAVLT_Delayed!$C$34)</f>
        <v>3.3942985351383594</v>
      </c>
      <c r="P722">
        <f t="shared" si="12"/>
        <v>71.599999999999994</v>
      </c>
    </row>
    <row r="723" spans="10:16">
      <c r="J723" s="5"/>
      <c r="L723">
        <f>RAVLT_Delayed!M723</f>
        <v>0.57916609600000002</v>
      </c>
      <c r="M723">
        <v>71.7</v>
      </c>
      <c r="O723">
        <f>ABS(L723-RAVLT_Delayed!$C$34)</f>
        <v>3.3951166391383598</v>
      </c>
      <c r="P723">
        <f t="shared" si="12"/>
        <v>71.7</v>
      </c>
    </row>
    <row r="724" spans="10:16">
      <c r="J724" s="5"/>
      <c r="L724">
        <f>RAVLT_Delayed!M724</f>
        <v>0.57953418400000001</v>
      </c>
      <c r="M724">
        <v>71.8</v>
      </c>
      <c r="O724">
        <f>ABS(L724-RAVLT_Delayed!$C$34)</f>
        <v>3.3954847271383595</v>
      </c>
      <c r="P724">
        <f t="shared" si="12"/>
        <v>71.8</v>
      </c>
    </row>
    <row r="725" spans="10:16">
      <c r="J725" s="5"/>
      <c r="L725">
        <f>RAVLT_Delayed!M725</f>
        <v>0.579902272</v>
      </c>
      <c r="M725">
        <v>71.900000000000006</v>
      </c>
      <c r="O725">
        <f>ABS(L725-RAVLT_Delayed!$C$34)</f>
        <v>3.3958528151383596</v>
      </c>
      <c r="P725">
        <f t="shared" si="12"/>
        <v>71.900000000000006</v>
      </c>
    </row>
    <row r="726" spans="10:16">
      <c r="J726" s="5"/>
      <c r="L726">
        <f>RAVLT_Delayed!M726</f>
        <v>0.58039107999999995</v>
      </c>
      <c r="M726">
        <v>72</v>
      </c>
      <c r="O726">
        <f>ABS(L726-RAVLT_Delayed!$C$34)</f>
        <v>3.3963416231383596</v>
      </c>
      <c r="P726">
        <f t="shared" si="12"/>
        <v>72</v>
      </c>
    </row>
    <row r="727" spans="10:16">
      <c r="J727" s="5"/>
      <c r="L727">
        <f>RAVLT_Delayed!M727</f>
        <v>0.58095634399999996</v>
      </c>
      <c r="M727">
        <v>72.099999999999994</v>
      </c>
      <c r="O727">
        <f>ABS(L727-RAVLT_Delayed!$C$34)</f>
        <v>3.3969068871383596</v>
      </c>
      <c r="P727">
        <f t="shared" si="12"/>
        <v>72.099999999999994</v>
      </c>
    </row>
    <row r="728" spans="10:16">
      <c r="J728" s="5"/>
      <c r="L728">
        <f>RAVLT_Delayed!M728</f>
        <v>0.581606976</v>
      </c>
      <c r="M728">
        <v>72.2</v>
      </c>
      <c r="O728">
        <f>ABS(L728-RAVLT_Delayed!$C$34)</f>
        <v>3.3975575191383598</v>
      </c>
      <c r="P728">
        <f t="shared" si="12"/>
        <v>72.2</v>
      </c>
    </row>
    <row r="729" spans="10:16">
      <c r="J729" s="5"/>
      <c r="L729">
        <f>RAVLT_Delayed!M729</f>
        <v>0.58356658400000005</v>
      </c>
      <c r="M729">
        <v>72.3</v>
      </c>
      <c r="O729">
        <f>ABS(L729-RAVLT_Delayed!$C$34)</f>
        <v>3.3995171271383597</v>
      </c>
      <c r="P729">
        <f t="shared" si="12"/>
        <v>72.3</v>
      </c>
    </row>
    <row r="730" spans="10:16">
      <c r="J730" s="5"/>
      <c r="L730">
        <f>RAVLT_Delayed!M730</f>
        <v>0.585526192</v>
      </c>
      <c r="M730">
        <v>72.400000000000006</v>
      </c>
      <c r="O730">
        <f>ABS(L730-RAVLT_Delayed!$C$34)</f>
        <v>3.4014767351383597</v>
      </c>
      <c r="P730">
        <f t="shared" si="12"/>
        <v>72.400000000000006</v>
      </c>
    </row>
    <row r="731" spans="10:16">
      <c r="J731" s="5"/>
      <c r="L731">
        <f>RAVLT_Delayed!M731</f>
        <v>0.59062559999999997</v>
      </c>
      <c r="M731">
        <v>72.5</v>
      </c>
      <c r="O731">
        <f>ABS(L731-RAVLT_Delayed!$C$34)</f>
        <v>3.4065761431383597</v>
      </c>
      <c r="P731">
        <f t="shared" si="12"/>
        <v>72.5</v>
      </c>
    </row>
    <row r="732" spans="10:16">
      <c r="J732" s="5"/>
      <c r="L732">
        <f>RAVLT_Delayed!M732</f>
        <v>0.59873921600000002</v>
      </c>
      <c r="M732">
        <v>72.599999999999994</v>
      </c>
      <c r="O732">
        <f>ABS(L732-RAVLT_Delayed!$C$34)</f>
        <v>3.4146897591383594</v>
      </c>
      <c r="P732">
        <f t="shared" si="12"/>
        <v>72.599999999999994</v>
      </c>
    </row>
    <row r="733" spans="10:16">
      <c r="J733" s="5"/>
      <c r="L733">
        <f>RAVLT_Delayed!M733</f>
        <v>0.60685283199999995</v>
      </c>
      <c r="M733">
        <v>72.7</v>
      </c>
      <c r="O733">
        <f>ABS(L733-RAVLT_Delayed!$C$34)</f>
        <v>3.4228033751383595</v>
      </c>
      <c r="P733">
        <f t="shared" si="12"/>
        <v>72.7</v>
      </c>
    </row>
    <row r="734" spans="10:16">
      <c r="J734" s="5"/>
      <c r="L734">
        <f>RAVLT_Delayed!M734</f>
        <v>0.61104364</v>
      </c>
      <c r="M734">
        <v>72.8</v>
      </c>
      <c r="O734">
        <f>ABS(L734-RAVLT_Delayed!$C$34)</f>
        <v>3.4269941831383597</v>
      </c>
      <c r="P734">
        <f t="shared" si="12"/>
        <v>72.8</v>
      </c>
    </row>
    <row r="735" spans="10:16">
      <c r="J735" s="5"/>
      <c r="L735">
        <f>RAVLT_Delayed!M735</f>
        <v>0.61506751999999998</v>
      </c>
      <c r="M735">
        <v>72.900000000000006</v>
      </c>
      <c r="O735">
        <f>ABS(L735-RAVLT_Delayed!$C$34)</f>
        <v>3.4310180631383593</v>
      </c>
      <c r="P735">
        <f t="shared" si="12"/>
        <v>72.900000000000006</v>
      </c>
    </row>
    <row r="736" spans="10:16">
      <c r="J736" s="5"/>
      <c r="L736">
        <f>RAVLT_Delayed!M736</f>
        <v>0.62151155999999896</v>
      </c>
      <c r="M736">
        <v>73</v>
      </c>
      <c r="O736">
        <f>ABS(L736-RAVLT_Delayed!$C$34)</f>
        <v>3.4374621031383583</v>
      </c>
      <c r="P736">
        <f t="shared" si="12"/>
        <v>73</v>
      </c>
    </row>
    <row r="737" spans="10:16">
      <c r="J737" s="5"/>
      <c r="L737">
        <f>RAVLT_Delayed!M737</f>
        <v>0.63146483200000003</v>
      </c>
      <c r="M737">
        <v>73.099999999999994</v>
      </c>
      <c r="O737">
        <f>ABS(L737-RAVLT_Delayed!$C$34)</f>
        <v>3.4474153751383598</v>
      </c>
      <c r="P737">
        <f t="shared" si="12"/>
        <v>73.099999999999994</v>
      </c>
    </row>
    <row r="738" spans="10:16">
      <c r="J738" s="5"/>
      <c r="L738">
        <f>RAVLT_Delayed!M738</f>
        <v>0.64141810399999999</v>
      </c>
      <c r="M738">
        <v>73.2</v>
      </c>
      <c r="O738">
        <f>ABS(L738-RAVLT_Delayed!$C$34)</f>
        <v>3.4573686471383596</v>
      </c>
      <c r="P738">
        <f t="shared" si="12"/>
        <v>73.2</v>
      </c>
    </row>
    <row r="739" spans="10:16">
      <c r="J739" s="5"/>
      <c r="L739">
        <f>RAVLT_Delayed!M739</f>
        <v>0.644519328</v>
      </c>
      <c r="M739">
        <v>73.3</v>
      </c>
      <c r="O739">
        <f>ABS(L739-RAVLT_Delayed!$C$34)</f>
        <v>3.4604698711383595</v>
      </c>
      <c r="P739">
        <f t="shared" si="12"/>
        <v>73.3</v>
      </c>
    </row>
    <row r="740" spans="10:16">
      <c r="J740" s="5"/>
      <c r="L740">
        <f>RAVLT_Delayed!M740</f>
        <v>0.64647854400000004</v>
      </c>
      <c r="M740">
        <v>73.400000000000006</v>
      </c>
      <c r="O740">
        <f>ABS(L740-RAVLT_Delayed!$C$34)</f>
        <v>3.4624290871383598</v>
      </c>
      <c r="P740">
        <f t="shared" si="12"/>
        <v>73.400000000000006</v>
      </c>
    </row>
    <row r="741" spans="10:16">
      <c r="J741" s="5"/>
      <c r="L741">
        <f>RAVLT_Delayed!M741</f>
        <v>0.64918260000000005</v>
      </c>
      <c r="M741">
        <v>73.5</v>
      </c>
      <c r="O741">
        <f>ABS(L741-RAVLT_Delayed!$C$34)</f>
        <v>3.4651331431383596</v>
      </c>
      <c r="P741">
        <f t="shared" si="12"/>
        <v>73.5</v>
      </c>
    </row>
    <row r="742" spans="10:16">
      <c r="J742" s="5"/>
      <c r="L742">
        <f>RAVLT_Delayed!M742</f>
        <v>0.65357496000000004</v>
      </c>
      <c r="M742">
        <v>73.599999999999994</v>
      </c>
      <c r="O742">
        <f>ABS(L742-RAVLT_Delayed!$C$34)</f>
        <v>3.4695255031383594</v>
      </c>
      <c r="P742">
        <f t="shared" si="12"/>
        <v>73.599999999999994</v>
      </c>
    </row>
    <row r="743" spans="10:16">
      <c r="J743" s="5"/>
      <c r="L743">
        <f>RAVLT_Delayed!M743</f>
        <v>0.65796732000000002</v>
      </c>
      <c r="M743">
        <v>73.7</v>
      </c>
      <c r="O743">
        <f>ABS(L743-RAVLT_Delayed!$C$34)</f>
        <v>3.4739178631383596</v>
      </c>
      <c r="P743">
        <f t="shared" si="12"/>
        <v>73.7</v>
      </c>
    </row>
    <row r="744" spans="10:16">
      <c r="J744" s="5"/>
      <c r="L744">
        <f>RAVLT_Delayed!M744</f>
        <v>0.67127519999999996</v>
      </c>
      <c r="M744">
        <v>73.8</v>
      </c>
      <c r="O744">
        <f>ABS(L744-RAVLT_Delayed!$C$34)</f>
        <v>3.4872257431383593</v>
      </c>
      <c r="P744">
        <f t="shared" si="12"/>
        <v>73.8</v>
      </c>
    </row>
    <row r="745" spans="10:16">
      <c r="J745" s="5"/>
      <c r="L745">
        <f>RAVLT_Delayed!M745</f>
        <v>0.68747459999999905</v>
      </c>
      <c r="M745">
        <v>73.900000000000006</v>
      </c>
      <c r="O745">
        <f>ABS(L745-RAVLT_Delayed!$C$34)</f>
        <v>3.5034251431383585</v>
      </c>
      <c r="P745">
        <f t="shared" si="12"/>
        <v>73.900000000000006</v>
      </c>
    </row>
    <row r="746" spans="10:16">
      <c r="J746" s="5"/>
      <c r="L746">
        <f>RAVLT_Delayed!M746</f>
        <v>0.70048343999999996</v>
      </c>
      <c r="M746">
        <v>74</v>
      </c>
      <c r="O746">
        <f>ABS(L746-RAVLT_Delayed!$C$34)</f>
        <v>3.5164339831383593</v>
      </c>
      <c r="P746">
        <f t="shared" si="12"/>
        <v>74</v>
      </c>
    </row>
    <row r="747" spans="10:16">
      <c r="J747" s="5"/>
      <c r="L747">
        <f>RAVLT_Delayed!M747</f>
        <v>0.70104909599999998</v>
      </c>
      <c r="M747">
        <v>74.099999999999994</v>
      </c>
      <c r="O747">
        <f>ABS(L747-RAVLT_Delayed!$C$34)</f>
        <v>3.5169996391383593</v>
      </c>
      <c r="P747">
        <f t="shared" si="12"/>
        <v>74.099999999999994</v>
      </c>
    </row>
    <row r="748" spans="10:16">
      <c r="J748" s="5"/>
      <c r="L748">
        <f>RAVLT_Delayed!M748</f>
        <v>0.70161475200000001</v>
      </c>
      <c r="M748">
        <v>74.2</v>
      </c>
      <c r="O748">
        <f>ABS(L748-RAVLT_Delayed!$C$34)</f>
        <v>3.5175652951383594</v>
      </c>
      <c r="P748">
        <f t="shared" si="12"/>
        <v>74.2</v>
      </c>
    </row>
    <row r="749" spans="10:16">
      <c r="J749" s="5"/>
      <c r="L749">
        <f>RAVLT_Delayed!M749</f>
        <v>0.70338155999999996</v>
      </c>
      <c r="M749">
        <v>74.3</v>
      </c>
      <c r="O749">
        <f>ABS(L749-RAVLT_Delayed!$C$34)</f>
        <v>3.5193321031383595</v>
      </c>
      <c r="P749">
        <f t="shared" si="12"/>
        <v>74.3</v>
      </c>
    </row>
    <row r="750" spans="10:16">
      <c r="J750" s="5"/>
      <c r="L750">
        <f>RAVLT_Delayed!M750</f>
        <v>0.70578647999999999</v>
      </c>
      <c r="M750">
        <v>74.400000000000006</v>
      </c>
      <c r="O750">
        <f>ABS(L750-RAVLT_Delayed!$C$34)</f>
        <v>3.5217370231383596</v>
      </c>
      <c r="P750">
        <f t="shared" si="12"/>
        <v>74.400000000000006</v>
      </c>
    </row>
    <row r="751" spans="10:16">
      <c r="J751" s="5"/>
      <c r="L751">
        <f>RAVLT_Delayed!M751</f>
        <v>0.70799579999999995</v>
      </c>
      <c r="M751">
        <v>74.5</v>
      </c>
      <c r="O751">
        <f>ABS(L751-RAVLT_Delayed!$C$34)</f>
        <v>3.5239463431383595</v>
      </c>
      <c r="P751">
        <f t="shared" si="12"/>
        <v>74.5</v>
      </c>
    </row>
    <row r="752" spans="10:16">
      <c r="J752" s="5"/>
      <c r="L752">
        <f>RAVLT_Delayed!M752</f>
        <v>0.70848383999999998</v>
      </c>
      <c r="M752">
        <v>74.599999999999994</v>
      </c>
      <c r="O752">
        <f>ABS(L752-RAVLT_Delayed!$C$34)</f>
        <v>3.5244343831383596</v>
      </c>
      <c r="P752">
        <f t="shared" si="12"/>
        <v>74.599999999999994</v>
      </c>
    </row>
    <row r="753" spans="10:16">
      <c r="J753" s="5"/>
      <c r="L753">
        <f>RAVLT_Delayed!M753</f>
        <v>0.70897188</v>
      </c>
      <c r="M753">
        <v>74.7</v>
      </c>
      <c r="O753">
        <f>ABS(L753-RAVLT_Delayed!$C$34)</f>
        <v>3.5249224231383596</v>
      </c>
      <c r="P753">
        <f t="shared" si="12"/>
        <v>74.7</v>
      </c>
    </row>
    <row r="754" spans="10:16">
      <c r="J754" s="5"/>
      <c r="L754">
        <f>RAVLT_Delayed!M754</f>
        <v>0.711284256</v>
      </c>
      <c r="M754">
        <v>74.8</v>
      </c>
      <c r="O754">
        <f>ABS(L754-RAVLT_Delayed!$C$34)</f>
        <v>3.5272347991383595</v>
      </c>
      <c r="P754">
        <f t="shared" si="12"/>
        <v>74.8</v>
      </c>
    </row>
    <row r="755" spans="10:16">
      <c r="J755" s="5"/>
      <c r="L755">
        <f>RAVLT_Delayed!M755</f>
        <v>0.71508312799999996</v>
      </c>
      <c r="M755">
        <v>74.900000000000006</v>
      </c>
      <c r="O755">
        <f>ABS(L755-RAVLT_Delayed!$C$34)</f>
        <v>3.5310336711383594</v>
      </c>
      <c r="P755">
        <f t="shared" si="12"/>
        <v>74.900000000000006</v>
      </c>
    </row>
    <row r="756" spans="10:16">
      <c r="J756" s="5"/>
      <c r="L756">
        <f>RAVLT_Delayed!M756</f>
        <v>0.71888200000000002</v>
      </c>
      <c r="M756">
        <v>75</v>
      </c>
      <c r="O756">
        <f>ABS(L756-RAVLT_Delayed!$C$34)</f>
        <v>3.5348325431383598</v>
      </c>
      <c r="P756">
        <f t="shared" si="12"/>
        <v>75</v>
      </c>
    </row>
    <row r="757" spans="10:16">
      <c r="J757" s="5"/>
      <c r="L757">
        <f>RAVLT_Delayed!M757</f>
        <v>0.71888200000000002</v>
      </c>
      <c r="M757">
        <v>75.099999999999994</v>
      </c>
      <c r="O757">
        <f>ABS(L757-RAVLT_Delayed!$C$34)</f>
        <v>3.5348325431383598</v>
      </c>
      <c r="P757">
        <f t="shared" si="12"/>
        <v>75.099999999999994</v>
      </c>
    </row>
    <row r="758" spans="10:16">
      <c r="J758" s="5"/>
      <c r="L758">
        <f>RAVLT_Delayed!M758</f>
        <v>0.71888200000000002</v>
      </c>
      <c r="M758">
        <v>75.2</v>
      </c>
      <c r="O758">
        <f>ABS(L758-RAVLT_Delayed!$C$34)</f>
        <v>3.5348325431383598</v>
      </c>
      <c r="P758">
        <f t="shared" si="12"/>
        <v>75.2</v>
      </c>
    </row>
    <row r="759" spans="10:16">
      <c r="J759" s="5"/>
      <c r="L759">
        <f>RAVLT_Delayed!M759</f>
        <v>0.71992708800000005</v>
      </c>
      <c r="M759">
        <v>75.3</v>
      </c>
      <c r="O759">
        <f>ABS(L759-RAVLT_Delayed!$C$34)</f>
        <v>3.5358776311383595</v>
      </c>
      <c r="P759">
        <f t="shared" si="12"/>
        <v>75.3</v>
      </c>
    </row>
    <row r="760" spans="10:16">
      <c r="J760" s="5"/>
      <c r="L760">
        <f>RAVLT_Delayed!M760</f>
        <v>0.72225478399999998</v>
      </c>
      <c r="M760">
        <v>75.400000000000006</v>
      </c>
      <c r="O760">
        <f>ABS(L760-RAVLT_Delayed!$C$34)</f>
        <v>3.5382053271383596</v>
      </c>
      <c r="P760">
        <f t="shared" si="12"/>
        <v>75.400000000000006</v>
      </c>
    </row>
    <row r="761" spans="10:16">
      <c r="J761" s="5"/>
      <c r="L761">
        <f>RAVLT_Delayed!M761</f>
        <v>0.72458248000000003</v>
      </c>
      <c r="M761">
        <v>75.5</v>
      </c>
      <c r="O761">
        <f>ABS(L761-RAVLT_Delayed!$C$34)</f>
        <v>3.5405330231383596</v>
      </c>
      <c r="P761">
        <f t="shared" si="12"/>
        <v>75.5</v>
      </c>
    </row>
    <row r="762" spans="10:16">
      <c r="J762" s="5"/>
      <c r="L762">
        <f>RAVLT_Delayed!M762</f>
        <v>0.72792534399999997</v>
      </c>
      <c r="M762">
        <v>75.599999999999994</v>
      </c>
      <c r="O762">
        <f>ABS(L762-RAVLT_Delayed!$C$34)</f>
        <v>3.5438758871383595</v>
      </c>
      <c r="P762">
        <f t="shared" si="12"/>
        <v>75.599999999999994</v>
      </c>
    </row>
    <row r="763" spans="10:16">
      <c r="J763" s="5"/>
      <c r="L763">
        <f>RAVLT_Delayed!M763</f>
        <v>0.73138356800000004</v>
      </c>
      <c r="M763">
        <v>75.7</v>
      </c>
      <c r="O763">
        <f>ABS(L763-RAVLT_Delayed!$C$34)</f>
        <v>3.5473341111383596</v>
      </c>
      <c r="P763">
        <f t="shared" si="12"/>
        <v>75.7</v>
      </c>
    </row>
    <row r="764" spans="10:16">
      <c r="J764" s="5"/>
      <c r="L764">
        <f>RAVLT_Delayed!M764</f>
        <v>0.73366892800000005</v>
      </c>
      <c r="M764">
        <v>75.8</v>
      </c>
      <c r="O764">
        <f>ABS(L764-RAVLT_Delayed!$C$34)</f>
        <v>3.5496194711383597</v>
      </c>
      <c r="P764">
        <f t="shared" si="12"/>
        <v>75.8</v>
      </c>
    </row>
    <row r="765" spans="10:16">
      <c r="J765" s="5"/>
      <c r="L765">
        <f>RAVLT_Delayed!M765</f>
        <v>0.73374654399999995</v>
      </c>
      <c r="M765">
        <v>75.900000000000006</v>
      </c>
      <c r="O765">
        <f>ABS(L765-RAVLT_Delayed!$C$34)</f>
        <v>3.5496970871383597</v>
      </c>
      <c r="P765">
        <f t="shared" si="12"/>
        <v>75.900000000000006</v>
      </c>
    </row>
    <row r="766" spans="10:16">
      <c r="J766" s="5"/>
      <c r="L766">
        <f>RAVLT_Delayed!M766</f>
        <v>0.73382415999999995</v>
      </c>
      <c r="M766">
        <v>76</v>
      </c>
      <c r="O766">
        <f>ABS(L766-RAVLT_Delayed!$C$34)</f>
        <v>3.5497747031383593</v>
      </c>
      <c r="P766">
        <f t="shared" si="12"/>
        <v>76</v>
      </c>
    </row>
    <row r="767" spans="10:16">
      <c r="J767" s="5"/>
      <c r="L767">
        <f>RAVLT_Delayed!M767</f>
        <v>0.73928377599999995</v>
      </c>
      <c r="M767">
        <v>76.099999999999994</v>
      </c>
      <c r="O767">
        <f>ABS(L767-RAVLT_Delayed!$C$34)</f>
        <v>3.5552343191383597</v>
      </c>
      <c r="P767">
        <f t="shared" si="12"/>
        <v>76.099999999999994</v>
      </c>
    </row>
    <row r="768" spans="10:16">
      <c r="J768" s="5"/>
      <c r="L768">
        <f>RAVLT_Delayed!M768</f>
        <v>0.746123392</v>
      </c>
      <c r="M768">
        <v>76.2</v>
      </c>
      <c r="O768">
        <f>ABS(L768-RAVLT_Delayed!$C$34)</f>
        <v>3.5620739351383595</v>
      </c>
      <c r="P768">
        <f t="shared" si="12"/>
        <v>76.2</v>
      </c>
    </row>
    <row r="769" spans="10:16">
      <c r="J769" s="5"/>
      <c r="L769">
        <f>RAVLT_Delayed!M769</f>
        <v>0.75207990400000002</v>
      </c>
      <c r="M769">
        <v>76.3</v>
      </c>
      <c r="O769">
        <f>ABS(L769-RAVLT_Delayed!$C$34)</f>
        <v>3.5680304471383595</v>
      </c>
      <c r="P769">
        <f t="shared" si="12"/>
        <v>76.3</v>
      </c>
    </row>
    <row r="770" spans="10:16">
      <c r="J770" s="5"/>
      <c r="L770">
        <f>RAVLT_Delayed!M770</f>
        <v>0.75531351199999996</v>
      </c>
      <c r="M770">
        <v>76.400000000000006</v>
      </c>
      <c r="O770">
        <f>ABS(L770-RAVLT_Delayed!$C$34)</f>
        <v>3.5712640551383594</v>
      </c>
      <c r="P770">
        <f t="shared" si="12"/>
        <v>76.400000000000006</v>
      </c>
    </row>
    <row r="771" spans="10:16">
      <c r="J771" s="5"/>
      <c r="L771">
        <f>RAVLT_Delayed!M771</f>
        <v>0.75854712000000002</v>
      </c>
      <c r="M771">
        <v>76.5</v>
      </c>
      <c r="O771">
        <f>ABS(L771-RAVLT_Delayed!$C$34)</f>
        <v>3.5744976631383594</v>
      </c>
      <c r="P771">
        <f t="shared" si="12"/>
        <v>76.5</v>
      </c>
    </row>
    <row r="772" spans="10:16">
      <c r="J772" s="5"/>
      <c r="L772">
        <f>RAVLT_Delayed!M772</f>
        <v>0.76438186399999997</v>
      </c>
      <c r="M772">
        <v>76.599999999999994</v>
      </c>
      <c r="O772">
        <f>ABS(L772-RAVLT_Delayed!$C$34)</f>
        <v>3.5803324071383598</v>
      </c>
      <c r="P772">
        <f t="shared" si="12"/>
        <v>76.599999999999994</v>
      </c>
    </row>
    <row r="773" spans="10:16">
      <c r="J773" s="5"/>
      <c r="L773">
        <f>RAVLT_Delayed!M773</f>
        <v>0.77136416799999996</v>
      </c>
      <c r="M773">
        <v>76.7</v>
      </c>
      <c r="O773">
        <f>ABS(L773-RAVLT_Delayed!$C$34)</f>
        <v>3.5873147111383594</v>
      </c>
      <c r="P773">
        <f t="shared" si="12"/>
        <v>76.7</v>
      </c>
    </row>
    <row r="774" spans="10:16">
      <c r="J774" s="5"/>
      <c r="L774">
        <f>RAVLT_Delayed!M774</f>
        <v>0.77810589600000002</v>
      </c>
      <c r="M774">
        <v>76.8</v>
      </c>
      <c r="O774">
        <f>ABS(L774-RAVLT_Delayed!$C$34)</f>
        <v>3.5940564391383596</v>
      </c>
      <c r="P774">
        <f t="shared" si="12"/>
        <v>76.8</v>
      </c>
    </row>
    <row r="775" spans="10:16">
      <c r="J775" s="5"/>
      <c r="L775">
        <f>RAVLT_Delayed!M775</f>
        <v>0.78340416800000001</v>
      </c>
      <c r="M775">
        <v>76.900000000000006</v>
      </c>
      <c r="O775">
        <f>ABS(L775-RAVLT_Delayed!$C$34)</f>
        <v>3.5993547111383597</v>
      </c>
      <c r="P775">
        <f t="shared" ref="P775:P838" si="13">M775</f>
        <v>76.900000000000006</v>
      </c>
    </row>
    <row r="776" spans="10:16">
      <c r="J776" s="5"/>
      <c r="L776">
        <f>RAVLT_Delayed!M776</f>
        <v>0.78870244</v>
      </c>
      <c r="M776">
        <v>77</v>
      </c>
      <c r="O776">
        <f>ABS(L776-RAVLT_Delayed!$C$34)</f>
        <v>3.6046529831383598</v>
      </c>
      <c r="P776">
        <f t="shared" si="13"/>
        <v>77</v>
      </c>
    </row>
    <row r="777" spans="10:16">
      <c r="J777" s="5"/>
      <c r="L777">
        <f>RAVLT_Delayed!M777</f>
        <v>0.79168999200000001</v>
      </c>
      <c r="M777">
        <v>77.099999999999994</v>
      </c>
      <c r="O777">
        <f>ABS(L777-RAVLT_Delayed!$C$34)</f>
        <v>3.6076405351383594</v>
      </c>
      <c r="P777">
        <f t="shared" si="13"/>
        <v>77.099999999999994</v>
      </c>
    </row>
    <row r="778" spans="10:16">
      <c r="J778" s="5"/>
      <c r="L778">
        <f>RAVLT_Delayed!M778</f>
        <v>0.79308394400000004</v>
      </c>
      <c r="M778">
        <v>77.2</v>
      </c>
      <c r="O778">
        <f>ABS(L778-RAVLT_Delayed!$C$34)</f>
        <v>3.6090344871383597</v>
      </c>
      <c r="P778">
        <f t="shared" si="13"/>
        <v>77.2</v>
      </c>
    </row>
    <row r="779" spans="10:16">
      <c r="J779" s="5"/>
      <c r="L779">
        <f>RAVLT_Delayed!M779</f>
        <v>0.794548264</v>
      </c>
      <c r="M779">
        <v>77.3</v>
      </c>
      <c r="O779">
        <f>ABS(L779-RAVLT_Delayed!$C$34)</f>
        <v>3.6104988071383595</v>
      </c>
      <c r="P779">
        <f t="shared" si="13"/>
        <v>77.3</v>
      </c>
    </row>
    <row r="780" spans="10:16">
      <c r="J780" s="5"/>
      <c r="L780">
        <f>RAVLT_Delayed!M780</f>
        <v>0.79766623199999998</v>
      </c>
      <c r="M780">
        <v>77.400000000000006</v>
      </c>
      <c r="O780">
        <f>ABS(L780-RAVLT_Delayed!$C$34)</f>
        <v>3.6136167751383597</v>
      </c>
      <c r="P780">
        <f t="shared" si="13"/>
        <v>77.400000000000006</v>
      </c>
    </row>
    <row r="781" spans="10:16">
      <c r="J781" s="5"/>
      <c r="L781">
        <f>RAVLT_Delayed!M781</f>
        <v>0.80078419999999995</v>
      </c>
      <c r="M781">
        <v>77.5</v>
      </c>
      <c r="O781">
        <f>ABS(L781-RAVLT_Delayed!$C$34)</f>
        <v>3.6167347431383594</v>
      </c>
      <c r="P781">
        <f t="shared" si="13"/>
        <v>77.5</v>
      </c>
    </row>
    <row r="782" spans="10:16">
      <c r="J782" s="5"/>
      <c r="L782">
        <f>RAVLT_Delayed!M782</f>
        <v>0.80423567200000001</v>
      </c>
      <c r="M782">
        <v>77.599999999999994</v>
      </c>
      <c r="O782">
        <f>ABS(L782-RAVLT_Delayed!$C$34)</f>
        <v>3.6201862151383595</v>
      </c>
      <c r="P782">
        <f t="shared" si="13"/>
        <v>77.599999999999994</v>
      </c>
    </row>
    <row r="783" spans="10:16">
      <c r="J783" s="5"/>
      <c r="L783">
        <f>RAVLT_Delayed!M783</f>
        <v>0.80803454399999997</v>
      </c>
      <c r="M783">
        <v>77.7</v>
      </c>
      <c r="O783">
        <f>ABS(L783-RAVLT_Delayed!$C$34)</f>
        <v>3.6239850871383594</v>
      </c>
      <c r="P783">
        <f t="shared" si="13"/>
        <v>77.7</v>
      </c>
    </row>
    <row r="784" spans="10:16">
      <c r="J784" s="5"/>
      <c r="L784">
        <f>RAVLT_Delayed!M784</f>
        <v>0.81183341600000003</v>
      </c>
      <c r="M784">
        <v>77.8</v>
      </c>
      <c r="O784">
        <f>ABS(L784-RAVLT_Delayed!$C$34)</f>
        <v>3.6277839591383598</v>
      </c>
      <c r="P784">
        <f t="shared" si="13"/>
        <v>77.8</v>
      </c>
    </row>
    <row r="785" spans="10:16">
      <c r="J785" s="5"/>
      <c r="L785">
        <f>RAVLT_Delayed!M785</f>
        <v>0.81326200000000004</v>
      </c>
      <c r="M785">
        <v>77.900000000000006</v>
      </c>
      <c r="O785">
        <f>ABS(L785-RAVLT_Delayed!$C$34)</f>
        <v>3.6292125431383595</v>
      </c>
      <c r="P785">
        <f t="shared" si="13"/>
        <v>77.900000000000006</v>
      </c>
    </row>
    <row r="786" spans="10:16">
      <c r="J786" s="5"/>
      <c r="L786">
        <f>RAVLT_Delayed!M786</f>
        <v>0.81453600000000004</v>
      </c>
      <c r="M786">
        <v>78</v>
      </c>
      <c r="O786">
        <f>ABS(L786-RAVLT_Delayed!$C$34)</f>
        <v>3.6304865431383595</v>
      </c>
      <c r="P786">
        <f t="shared" si="13"/>
        <v>78</v>
      </c>
    </row>
    <row r="787" spans="10:16">
      <c r="J787" s="5"/>
      <c r="L787">
        <f>RAVLT_Delayed!M787</f>
        <v>0.81742758400000004</v>
      </c>
      <c r="M787">
        <v>78.099999999999994</v>
      </c>
      <c r="O787">
        <f>ABS(L787-RAVLT_Delayed!$C$34)</f>
        <v>3.6333781271383598</v>
      </c>
      <c r="P787">
        <f t="shared" si="13"/>
        <v>78.099999999999994</v>
      </c>
    </row>
    <row r="788" spans="10:16">
      <c r="J788" s="5"/>
      <c r="L788">
        <f>RAVLT_Delayed!M788</f>
        <v>0.82287324799999995</v>
      </c>
      <c r="M788">
        <v>78.2</v>
      </c>
      <c r="O788">
        <f>ABS(L788-RAVLT_Delayed!$C$34)</f>
        <v>3.6388237911383596</v>
      </c>
      <c r="P788">
        <f t="shared" si="13"/>
        <v>78.2</v>
      </c>
    </row>
    <row r="789" spans="10:16">
      <c r="J789" s="5"/>
      <c r="L789">
        <f>RAVLT_Delayed!M789</f>
        <v>0.82831891200000096</v>
      </c>
      <c r="M789">
        <v>78.3</v>
      </c>
      <c r="O789">
        <f>ABS(L789-RAVLT_Delayed!$C$34)</f>
        <v>3.6442694551383603</v>
      </c>
      <c r="P789">
        <f t="shared" si="13"/>
        <v>78.3</v>
      </c>
    </row>
    <row r="790" spans="10:16">
      <c r="J790" s="5"/>
      <c r="L790">
        <f>RAVLT_Delayed!M790</f>
        <v>0.83037436799999997</v>
      </c>
      <c r="M790">
        <v>78.400000000000006</v>
      </c>
      <c r="O790">
        <f>ABS(L790-RAVLT_Delayed!$C$34)</f>
        <v>3.6463249111383593</v>
      </c>
      <c r="P790">
        <f t="shared" si="13"/>
        <v>78.400000000000006</v>
      </c>
    </row>
    <row r="791" spans="10:16">
      <c r="J791" s="5"/>
      <c r="L791">
        <f>RAVLT_Delayed!M791</f>
        <v>0.83176832000000001</v>
      </c>
      <c r="M791">
        <v>78.5</v>
      </c>
      <c r="O791">
        <f>ABS(L791-RAVLT_Delayed!$C$34)</f>
        <v>3.6477188631383597</v>
      </c>
      <c r="P791">
        <f t="shared" si="13"/>
        <v>78.5</v>
      </c>
    </row>
    <row r="792" spans="10:16">
      <c r="J792" s="5"/>
      <c r="L792">
        <f>RAVLT_Delayed!M792</f>
        <v>0.83395456000000001</v>
      </c>
      <c r="M792">
        <v>78.599999999999994</v>
      </c>
      <c r="O792">
        <f>ABS(L792-RAVLT_Delayed!$C$34)</f>
        <v>3.6499051031383596</v>
      </c>
      <c r="P792">
        <f t="shared" si="13"/>
        <v>78.599999999999994</v>
      </c>
    </row>
    <row r="793" spans="10:16">
      <c r="J793" s="5"/>
      <c r="L793">
        <f>RAVLT_Delayed!M793</f>
        <v>0.83812151999999995</v>
      </c>
      <c r="M793">
        <v>78.7</v>
      </c>
      <c r="O793">
        <f>ABS(L793-RAVLT_Delayed!$C$34)</f>
        <v>3.6540720631383596</v>
      </c>
      <c r="P793">
        <f t="shared" si="13"/>
        <v>78.7</v>
      </c>
    </row>
    <row r="794" spans="10:16">
      <c r="J794" s="5"/>
      <c r="L794">
        <f>RAVLT_Delayed!M794</f>
        <v>0.84228848000000001</v>
      </c>
      <c r="M794">
        <v>78.8</v>
      </c>
      <c r="O794">
        <f>ABS(L794-RAVLT_Delayed!$C$34)</f>
        <v>3.6582390231383597</v>
      </c>
      <c r="P794">
        <f t="shared" si="13"/>
        <v>78.8</v>
      </c>
    </row>
    <row r="795" spans="10:16">
      <c r="J795" s="5"/>
      <c r="L795">
        <f>RAVLT_Delayed!M795</f>
        <v>0.84541460800000001</v>
      </c>
      <c r="M795">
        <v>78.900000000000006</v>
      </c>
      <c r="O795">
        <f>ABS(L795-RAVLT_Delayed!$C$34)</f>
        <v>3.6613651511383596</v>
      </c>
      <c r="P795">
        <f t="shared" si="13"/>
        <v>78.900000000000006</v>
      </c>
    </row>
    <row r="796" spans="10:16">
      <c r="J796" s="5"/>
      <c r="L796">
        <f>RAVLT_Delayed!M796</f>
        <v>0.84816488000000001</v>
      </c>
      <c r="M796">
        <v>79</v>
      </c>
      <c r="O796">
        <f>ABS(L796-RAVLT_Delayed!$C$34)</f>
        <v>3.6641154231383597</v>
      </c>
      <c r="P796">
        <f t="shared" si="13"/>
        <v>79</v>
      </c>
    </row>
    <row r="797" spans="10:16">
      <c r="J797" s="5"/>
      <c r="L797">
        <f>RAVLT_Delayed!M797</f>
        <v>0.851858856</v>
      </c>
      <c r="M797">
        <v>79.099999999999994</v>
      </c>
      <c r="O797">
        <f>ABS(L797-RAVLT_Delayed!$C$34)</f>
        <v>3.6678093991383598</v>
      </c>
      <c r="P797">
        <f t="shared" si="13"/>
        <v>79.099999999999994</v>
      </c>
    </row>
    <row r="798" spans="10:16">
      <c r="J798" s="5"/>
      <c r="L798">
        <f>RAVLT_Delayed!M798</f>
        <v>0.859747072</v>
      </c>
      <c r="M798">
        <v>79.2</v>
      </c>
      <c r="O798">
        <f>ABS(L798-RAVLT_Delayed!$C$34)</f>
        <v>3.6756976151383594</v>
      </c>
      <c r="P798">
        <f t="shared" si="13"/>
        <v>79.2</v>
      </c>
    </row>
    <row r="799" spans="10:16">
      <c r="J799" s="5"/>
      <c r="L799">
        <f>RAVLT_Delayed!M799</f>
        <v>0.867635288</v>
      </c>
      <c r="M799">
        <v>79.3</v>
      </c>
      <c r="O799">
        <f>ABS(L799-RAVLT_Delayed!$C$34)</f>
        <v>3.6835858311383598</v>
      </c>
      <c r="P799">
        <f t="shared" si="13"/>
        <v>79.3</v>
      </c>
    </row>
    <row r="800" spans="10:16">
      <c r="J800" s="5"/>
      <c r="L800">
        <f>RAVLT_Delayed!M800</f>
        <v>0.87455134400000001</v>
      </c>
      <c r="M800">
        <v>79.400000000000006</v>
      </c>
      <c r="O800">
        <f>ABS(L800-RAVLT_Delayed!$C$34)</f>
        <v>3.6905018871383595</v>
      </c>
      <c r="P800">
        <f t="shared" si="13"/>
        <v>79.400000000000006</v>
      </c>
    </row>
    <row r="801" spans="10:16">
      <c r="J801" s="5"/>
      <c r="L801">
        <f>RAVLT_Delayed!M801</f>
        <v>0.88090292000000103</v>
      </c>
      <c r="M801">
        <v>79.5</v>
      </c>
      <c r="O801">
        <f>ABS(L801-RAVLT_Delayed!$C$34)</f>
        <v>3.6968534631383605</v>
      </c>
      <c r="P801">
        <f t="shared" si="13"/>
        <v>79.5</v>
      </c>
    </row>
    <row r="802" spans="10:16">
      <c r="J802" s="5"/>
      <c r="L802">
        <f>RAVLT_Delayed!M802</f>
        <v>0.88683999999999996</v>
      </c>
      <c r="M802">
        <v>79.599999999999994</v>
      </c>
      <c r="O802">
        <f>ABS(L802-RAVLT_Delayed!$C$34)</f>
        <v>3.7027905431383594</v>
      </c>
      <c r="P802">
        <f t="shared" si="13"/>
        <v>79.599999999999994</v>
      </c>
    </row>
    <row r="803" spans="10:16">
      <c r="J803" s="5"/>
      <c r="L803">
        <f>RAVLT_Delayed!M803</f>
        <v>0.88811399999999996</v>
      </c>
      <c r="M803">
        <v>79.7</v>
      </c>
      <c r="O803">
        <f>ABS(L803-RAVLT_Delayed!$C$34)</f>
        <v>3.7040645431383594</v>
      </c>
      <c r="P803">
        <f t="shared" si="13"/>
        <v>79.7</v>
      </c>
    </row>
    <row r="804" spans="10:16">
      <c r="J804" s="5"/>
      <c r="L804">
        <f>RAVLT_Delayed!M804</f>
        <v>0.88938799999999996</v>
      </c>
      <c r="M804">
        <v>79.8</v>
      </c>
      <c r="O804">
        <f>ABS(L804-RAVLT_Delayed!$C$34)</f>
        <v>3.7053385431383594</v>
      </c>
      <c r="P804">
        <f t="shared" si="13"/>
        <v>79.8</v>
      </c>
    </row>
    <row r="805" spans="10:16">
      <c r="J805" s="5"/>
      <c r="L805">
        <f>RAVLT_Delayed!M805</f>
        <v>0.89114518399999998</v>
      </c>
      <c r="M805">
        <v>79.900000000000006</v>
      </c>
      <c r="O805">
        <f>ABS(L805-RAVLT_Delayed!$C$34)</f>
        <v>3.7070957271383596</v>
      </c>
      <c r="P805">
        <f t="shared" si="13"/>
        <v>79.900000000000006</v>
      </c>
    </row>
    <row r="806" spans="10:16">
      <c r="J806" s="5"/>
      <c r="L806">
        <f>RAVLT_Delayed!M806</f>
        <v>0.89332979999999995</v>
      </c>
      <c r="M806">
        <v>80</v>
      </c>
      <c r="O806">
        <f>ABS(L806-RAVLT_Delayed!$C$34)</f>
        <v>3.7092803431383596</v>
      </c>
      <c r="P806">
        <f t="shared" si="13"/>
        <v>80</v>
      </c>
    </row>
    <row r="807" spans="10:16">
      <c r="J807" s="5"/>
      <c r="L807">
        <f>RAVLT_Delayed!M807</f>
        <v>0.89551441600000004</v>
      </c>
      <c r="M807">
        <v>80.099999999999994</v>
      </c>
      <c r="O807">
        <f>ABS(L807-RAVLT_Delayed!$C$34)</f>
        <v>3.7114649591383597</v>
      </c>
      <c r="P807">
        <f t="shared" si="13"/>
        <v>80.099999999999994</v>
      </c>
    </row>
    <row r="808" spans="10:16">
      <c r="J808" s="5"/>
      <c r="L808">
        <f>RAVLT_Delayed!M808</f>
        <v>0.89680700000000002</v>
      </c>
      <c r="M808">
        <v>80.2</v>
      </c>
      <c r="O808">
        <f>ABS(L808-RAVLT_Delayed!$C$34)</f>
        <v>3.7127575431383595</v>
      </c>
      <c r="P808">
        <f t="shared" si="13"/>
        <v>80.2</v>
      </c>
    </row>
    <row r="809" spans="10:16">
      <c r="J809" s="5"/>
      <c r="L809">
        <f>RAVLT_Delayed!M809</f>
        <v>0.89808100000000002</v>
      </c>
      <c r="M809">
        <v>80.3</v>
      </c>
      <c r="O809">
        <f>ABS(L809-RAVLT_Delayed!$C$34)</f>
        <v>3.7140315431383595</v>
      </c>
      <c r="P809">
        <f t="shared" si="13"/>
        <v>80.3</v>
      </c>
    </row>
    <row r="810" spans="10:16">
      <c r="J810" s="5"/>
      <c r="L810">
        <f>RAVLT_Delayed!M810</f>
        <v>0.89905142400000004</v>
      </c>
      <c r="M810">
        <v>80.400000000000006</v>
      </c>
      <c r="O810">
        <f>ABS(L810-RAVLT_Delayed!$C$34)</f>
        <v>3.7150019671383596</v>
      </c>
      <c r="P810">
        <f t="shared" si="13"/>
        <v>80.400000000000006</v>
      </c>
    </row>
    <row r="811" spans="10:16">
      <c r="J811" s="5"/>
      <c r="L811">
        <f>RAVLT_Delayed!M811</f>
        <v>0.89961707999999996</v>
      </c>
      <c r="M811">
        <v>80.5</v>
      </c>
      <c r="O811">
        <f>ABS(L811-RAVLT_Delayed!$C$34)</f>
        <v>3.7155676231383596</v>
      </c>
      <c r="P811">
        <f t="shared" si="13"/>
        <v>80.5</v>
      </c>
    </row>
    <row r="812" spans="10:16">
      <c r="J812" s="5"/>
      <c r="L812">
        <f>RAVLT_Delayed!M812</f>
        <v>0.90018273599999998</v>
      </c>
      <c r="M812">
        <v>80.599999999999994</v>
      </c>
      <c r="O812">
        <f>ABS(L812-RAVLT_Delayed!$C$34)</f>
        <v>3.7161332791383597</v>
      </c>
      <c r="P812">
        <f t="shared" si="13"/>
        <v>80.599999999999994</v>
      </c>
    </row>
    <row r="813" spans="10:16">
      <c r="J813" s="5"/>
      <c r="L813">
        <f>RAVLT_Delayed!M813</f>
        <v>0.90117632800000003</v>
      </c>
      <c r="M813">
        <v>80.7</v>
      </c>
      <c r="O813">
        <f>ABS(L813-RAVLT_Delayed!$C$34)</f>
        <v>3.7171268711383596</v>
      </c>
      <c r="P813">
        <f t="shared" si="13"/>
        <v>80.7</v>
      </c>
    </row>
    <row r="814" spans="10:16">
      <c r="J814" s="5"/>
      <c r="L814">
        <f>RAVLT_Delayed!M814</f>
        <v>0.90222963199999995</v>
      </c>
      <c r="M814">
        <v>80.8</v>
      </c>
      <c r="O814">
        <f>ABS(L814-RAVLT_Delayed!$C$34)</f>
        <v>3.7181801751383596</v>
      </c>
      <c r="P814">
        <f t="shared" si="13"/>
        <v>80.8</v>
      </c>
    </row>
    <row r="815" spans="10:16">
      <c r="J815" s="5"/>
      <c r="L815">
        <f>RAVLT_Delayed!M815</f>
        <v>0.903234808</v>
      </c>
      <c r="M815">
        <v>80.900000000000006</v>
      </c>
      <c r="O815">
        <f>ABS(L815-RAVLT_Delayed!$C$34)</f>
        <v>3.7191853511383597</v>
      </c>
      <c r="P815">
        <f t="shared" si="13"/>
        <v>80.900000000000006</v>
      </c>
    </row>
    <row r="816" spans="10:16">
      <c r="J816" s="5"/>
      <c r="L816">
        <f>RAVLT_Delayed!M816</f>
        <v>0.90414072000000001</v>
      </c>
      <c r="M816">
        <v>81</v>
      </c>
      <c r="O816">
        <f>ABS(L816-RAVLT_Delayed!$C$34)</f>
        <v>3.7200912631383596</v>
      </c>
      <c r="P816">
        <f t="shared" si="13"/>
        <v>81</v>
      </c>
    </row>
    <row r="817" spans="10:16">
      <c r="J817" s="5"/>
      <c r="L817">
        <f>RAVLT_Delayed!M817</f>
        <v>0.90504663200000002</v>
      </c>
      <c r="M817">
        <v>81.099999999999994</v>
      </c>
      <c r="O817">
        <f>ABS(L817-RAVLT_Delayed!$C$34)</f>
        <v>3.7209971751383595</v>
      </c>
      <c r="P817">
        <f t="shared" si="13"/>
        <v>81.099999999999994</v>
      </c>
    </row>
    <row r="818" spans="10:16">
      <c r="J818" s="5"/>
      <c r="L818">
        <f>RAVLT_Delayed!M818</f>
        <v>0.90705515199999998</v>
      </c>
      <c r="M818">
        <v>81.2</v>
      </c>
      <c r="O818">
        <f>ABS(L818-RAVLT_Delayed!$C$34)</f>
        <v>3.7230056951383594</v>
      </c>
      <c r="P818">
        <f t="shared" si="13"/>
        <v>81.2</v>
      </c>
    </row>
    <row r="819" spans="10:16">
      <c r="J819" s="5"/>
      <c r="L819">
        <f>RAVLT_Delayed!M819</f>
        <v>0.90938284800000002</v>
      </c>
      <c r="M819">
        <v>81.3</v>
      </c>
      <c r="O819">
        <f>ABS(L819-RAVLT_Delayed!$C$34)</f>
        <v>3.7253333911383595</v>
      </c>
      <c r="P819">
        <f t="shared" si="13"/>
        <v>81.3</v>
      </c>
    </row>
    <row r="820" spans="10:16">
      <c r="J820" s="5"/>
      <c r="L820">
        <f>RAVLT_Delayed!M820</f>
        <v>0.911710456</v>
      </c>
      <c r="M820">
        <v>81.400000000000006</v>
      </c>
      <c r="O820">
        <f>ABS(L820-RAVLT_Delayed!$C$34)</f>
        <v>3.7276609991383598</v>
      </c>
      <c r="P820">
        <f t="shared" si="13"/>
        <v>81.400000000000006</v>
      </c>
    </row>
    <row r="821" spans="10:16">
      <c r="J821" s="5"/>
      <c r="L821">
        <f>RAVLT_Delayed!M821</f>
        <v>0.91403776000000003</v>
      </c>
      <c r="M821">
        <v>81.5</v>
      </c>
      <c r="O821">
        <f>ABS(L821-RAVLT_Delayed!$C$34)</f>
        <v>3.7299883031383594</v>
      </c>
      <c r="P821">
        <f t="shared" si="13"/>
        <v>81.5</v>
      </c>
    </row>
    <row r="822" spans="10:16">
      <c r="J822" s="5"/>
      <c r="L822">
        <f>RAVLT_Delayed!M822</f>
        <v>0.91636506399999995</v>
      </c>
      <c r="M822">
        <v>81.599999999999994</v>
      </c>
      <c r="O822">
        <f>ABS(L822-RAVLT_Delayed!$C$34)</f>
        <v>3.7323156071383594</v>
      </c>
      <c r="P822">
        <f t="shared" si="13"/>
        <v>81.599999999999994</v>
      </c>
    </row>
    <row r="823" spans="10:16">
      <c r="J823" s="5"/>
      <c r="L823">
        <f>RAVLT_Delayed!M823</f>
        <v>0.91826759199999997</v>
      </c>
      <c r="M823">
        <v>81.7</v>
      </c>
      <c r="O823">
        <f>ABS(L823-RAVLT_Delayed!$C$34)</f>
        <v>3.7342181351383594</v>
      </c>
      <c r="P823">
        <f t="shared" si="13"/>
        <v>81.7</v>
      </c>
    </row>
    <row r="824" spans="10:16">
      <c r="J824" s="5"/>
      <c r="L824">
        <f>RAVLT_Delayed!M824</f>
        <v>0.91996416800000003</v>
      </c>
      <c r="M824">
        <v>81.8</v>
      </c>
      <c r="O824">
        <f>ABS(L824-RAVLT_Delayed!$C$34)</f>
        <v>3.7359147111383595</v>
      </c>
      <c r="P824">
        <f t="shared" si="13"/>
        <v>81.8</v>
      </c>
    </row>
    <row r="825" spans="10:16">
      <c r="J825" s="5"/>
      <c r="L825">
        <f>RAVLT_Delayed!M825</f>
        <v>0.92145299999999997</v>
      </c>
      <c r="M825">
        <v>81.900000000000006</v>
      </c>
      <c r="O825">
        <f>ABS(L825-RAVLT_Delayed!$C$34)</f>
        <v>3.7374035431383597</v>
      </c>
      <c r="P825">
        <f t="shared" si="13"/>
        <v>81.900000000000006</v>
      </c>
    </row>
    <row r="826" spans="10:16">
      <c r="J826" s="5"/>
      <c r="L826">
        <f>RAVLT_Delayed!M826</f>
        <v>0.92145299999999997</v>
      </c>
      <c r="M826">
        <v>82</v>
      </c>
      <c r="O826">
        <f>ABS(L826-RAVLT_Delayed!$C$34)</f>
        <v>3.7374035431383597</v>
      </c>
      <c r="P826">
        <f t="shared" si="13"/>
        <v>82</v>
      </c>
    </row>
    <row r="827" spans="10:16">
      <c r="J827" s="5"/>
      <c r="L827">
        <f>RAVLT_Delayed!M827</f>
        <v>0.92145299999999997</v>
      </c>
      <c r="M827">
        <v>82.1</v>
      </c>
      <c r="O827">
        <f>ABS(L827-RAVLT_Delayed!$C$34)</f>
        <v>3.7374035431383597</v>
      </c>
      <c r="P827">
        <f t="shared" si="13"/>
        <v>82.1</v>
      </c>
    </row>
    <row r="828" spans="10:16">
      <c r="J828" s="5"/>
      <c r="L828">
        <f>RAVLT_Delayed!M828</f>
        <v>0.92166333600000006</v>
      </c>
      <c r="M828">
        <v>82.2</v>
      </c>
      <c r="O828">
        <f>ABS(L828-RAVLT_Delayed!$C$34)</f>
        <v>3.7376138791383595</v>
      </c>
      <c r="P828">
        <f t="shared" si="13"/>
        <v>82.2</v>
      </c>
    </row>
    <row r="829" spans="10:16">
      <c r="J829" s="5"/>
      <c r="L829">
        <f>RAVLT_Delayed!M829</f>
        <v>0.92203142400000004</v>
      </c>
      <c r="M829">
        <v>82.3</v>
      </c>
      <c r="O829">
        <f>ABS(L829-RAVLT_Delayed!$C$34)</f>
        <v>3.7379819671383596</v>
      </c>
      <c r="P829">
        <f t="shared" si="13"/>
        <v>82.3</v>
      </c>
    </row>
    <row r="830" spans="10:16">
      <c r="J830" s="5"/>
      <c r="L830">
        <f>RAVLT_Delayed!M830</f>
        <v>0.92267510400000097</v>
      </c>
      <c r="M830">
        <v>82.4</v>
      </c>
      <c r="O830">
        <f>ABS(L830-RAVLT_Delayed!$C$34)</f>
        <v>3.7386256471383605</v>
      </c>
      <c r="P830">
        <f t="shared" si="13"/>
        <v>82.4</v>
      </c>
    </row>
    <row r="831" spans="10:16">
      <c r="J831" s="5"/>
      <c r="L831">
        <f>RAVLT_Delayed!M831</f>
        <v>0.93654720000000102</v>
      </c>
      <c r="M831">
        <v>82.5</v>
      </c>
      <c r="O831">
        <f>ABS(L831-RAVLT_Delayed!$C$34)</f>
        <v>3.7524977431383606</v>
      </c>
      <c r="P831">
        <f t="shared" si="13"/>
        <v>82.5</v>
      </c>
    </row>
    <row r="832" spans="10:16">
      <c r="J832" s="5"/>
      <c r="L832">
        <f>RAVLT_Delayed!M832</f>
        <v>0.95041929600000097</v>
      </c>
      <c r="M832">
        <v>82.6</v>
      </c>
      <c r="O832">
        <f>ABS(L832-RAVLT_Delayed!$C$34)</f>
        <v>3.7663698391383607</v>
      </c>
      <c r="P832">
        <f t="shared" si="13"/>
        <v>82.6</v>
      </c>
    </row>
    <row r="833" spans="10:16">
      <c r="J833" s="5"/>
      <c r="L833">
        <f>RAVLT_Delayed!M833</f>
        <v>0.95913791999999998</v>
      </c>
      <c r="M833">
        <v>82.7</v>
      </c>
      <c r="O833">
        <f>ABS(L833-RAVLT_Delayed!$C$34)</f>
        <v>3.7750884631383594</v>
      </c>
      <c r="P833">
        <f t="shared" si="13"/>
        <v>82.7</v>
      </c>
    </row>
    <row r="834" spans="10:16">
      <c r="J834" s="5"/>
      <c r="L834">
        <f>RAVLT_Delayed!M834</f>
        <v>0.96203088000000003</v>
      </c>
      <c r="M834">
        <v>82.8</v>
      </c>
      <c r="O834">
        <f>ABS(L834-RAVLT_Delayed!$C$34)</f>
        <v>3.7779814231383595</v>
      </c>
      <c r="P834">
        <f t="shared" si="13"/>
        <v>82.8</v>
      </c>
    </row>
    <row r="835" spans="10:16">
      <c r="J835" s="5"/>
      <c r="L835">
        <f>RAVLT_Delayed!M835</f>
        <v>0.96492383999999998</v>
      </c>
      <c r="M835">
        <v>82.9</v>
      </c>
      <c r="O835">
        <f>ABS(L835-RAVLT_Delayed!$C$34)</f>
        <v>3.7808743831383596</v>
      </c>
      <c r="P835">
        <f t="shared" si="13"/>
        <v>82.9</v>
      </c>
    </row>
    <row r="836" spans="10:16">
      <c r="J836" s="5"/>
      <c r="L836">
        <f>RAVLT_Delayed!M836</f>
        <v>0.96950628000000005</v>
      </c>
      <c r="M836">
        <v>83</v>
      </c>
      <c r="O836">
        <f>ABS(L836-RAVLT_Delayed!$C$34)</f>
        <v>3.7854568231383596</v>
      </c>
      <c r="P836">
        <f t="shared" si="13"/>
        <v>83</v>
      </c>
    </row>
    <row r="837" spans="10:16">
      <c r="J837" s="5"/>
      <c r="L837">
        <f>RAVLT_Delayed!M837</f>
        <v>0.97423889600000002</v>
      </c>
      <c r="M837">
        <v>83.1</v>
      </c>
      <c r="O837">
        <f>ABS(L837-RAVLT_Delayed!$C$34)</f>
        <v>3.7901894391383597</v>
      </c>
      <c r="P837">
        <f t="shared" si="13"/>
        <v>83.1</v>
      </c>
    </row>
    <row r="838" spans="10:16">
      <c r="J838" s="5"/>
      <c r="L838">
        <f>RAVLT_Delayed!M838</f>
        <v>0.97761992799999997</v>
      </c>
      <c r="M838">
        <v>83.2</v>
      </c>
      <c r="O838">
        <f>ABS(L838-RAVLT_Delayed!$C$34)</f>
        <v>3.7935704711383593</v>
      </c>
      <c r="P838">
        <f t="shared" si="13"/>
        <v>83.2</v>
      </c>
    </row>
    <row r="839" spans="10:16">
      <c r="J839" s="5"/>
      <c r="L839">
        <f>RAVLT_Delayed!M839</f>
        <v>0.978673232</v>
      </c>
      <c r="M839">
        <v>83.3</v>
      </c>
      <c r="O839">
        <f>ABS(L839-RAVLT_Delayed!$C$34)</f>
        <v>3.7946237751383594</v>
      </c>
      <c r="P839">
        <f t="shared" ref="P839:P902" si="14">M839</f>
        <v>83.3</v>
      </c>
    </row>
    <row r="840" spans="10:16">
      <c r="J840" s="5"/>
      <c r="L840">
        <f>RAVLT_Delayed!M840</f>
        <v>0.97972653600000004</v>
      </c>
      <c r="M840">
        <v>83.4</v>
      </c>
      <c r="O840">
        <f>ABS(L840-RAVLT_Delayed!$C$34)</f>
        <v>3.7956770791383594</v>
      </c>
      <c r="P840">
        <f t="shared" si="14"/>
        <v>83.4</v>
      </c>
    </row>
    <row r="841" spans="10:16">
      <c r="J841" s="5"/>
      <c r="L841">
        <f>RAVLT_Delayed!M841</f>
        <v>0.99292959999999997</v>
      </c>
      <c r="M841">
        <v>83.5</v>
      </c>
      <c r="O841">
        <f>ABS(L841-RAVLT_Delayed!$C$34)</f>
        <v>3.8088801431383597</v>
      </c>
      <c r="P841">
        <f t="shared" si="14"/>
        <v>83.5</v>
      </c>
    </row>
    <row r="842" spans="10:16">
      <c r="J842" s="5"/>
      <c r="L842">
        <f>RAVLT_Delayed!M842</f>
        <v>1.0088663600000001</v>
      </c>
      <c r="M842">
        <v>83.6</v>
      </c>
      <c r="O842">
        <f>ABS(L842-RAVLT_Delayed!$C$34)</f>
        <v>3.8248169031383599</v>
      </c>
      <c r="P842">
        <f t="shared" si="14"/>
        <v>83.6</v>
      </c>
    </row>
    <row r="843" spans="10:16">
      <c r="J843" s="5"/>
      <c r="L843">
        <f>RAVLT_Delayed!M843</f>
        <v>1.020575</v>
      </c>
      <c r="M843">
        <v>83.7</v>
      </c>
      <c r="O843">
        <f>ABS(L843-RAVLT_Delayed!$C$34)</f>
        <v>3.8365255431383596</v>
      </c>
      <c r="P843">
        <f t="shared" si="14"/>
        <v>83.7</v>
      </c>
    </row>
    <row r="844" spans="10:16">
      <c r="J844" s="5"/>
      <c r="L844">
        <f>RAVLT_Delayed!M844</f>
        <v>1.020575</v>
      </c>
      <c r="M844">
        <v>83.8</v>
      </c>
      <c r="O844">
        <f>ABS(L844-RAVLT_Delayed!$C$34)</f>
        <v>3.8365255431383596</v>
      </c>
      <c r="P844">
        <f t="shared" si="14"/>
        <v>83.8</v>
      </c>
    </row>
    <row r="845" spans="10:16">
      <c r="J845" s="5"/>
      <c r="L845">
        <f>RAVLT_Delayed!M845</f>
        <v>1.020575</v>
      </c>
      <c r="M845">
        <v>83.9</v>
      </c>
      <c r="O845">
        <f>ABS(L845-RAVLT_Delayed!$C$34)</f>
        <v>3.8365255431383596</v>
      </c>
      <c r="P845">
        <f t="shared" si="14"/>
        <v>83.9</v>
      </c>
    </row>
    <row r="846" spans="10:16">
      <c r="J846" s="5"/>
      <c r="L846">
        <f>RAVLT_Delayed!M846</f>
        <v>1.02288472</v>
      </c>
      <c r="M846">
        <v>84</v>
      </c>
      <c r="O846">
        <f>ABS(L846-RAVLT_Delayed!$C$34)</f>
        <v>3.8388352631383595</v>
      </c>
      <c r="P846">
        <f t="shared" si="14"/>
        <v>84</v>
      </c>
    </row>
    <row r="847" spans="10:16">
      <c r="J847" s="5"/>
      <c r="L847">
        <f>RAVLT_Delayed!M847</f>
        <v>1.0261183279999999</v>
      </c>
      <c r="M847">
        <v>84.1</v>
      </c>
      <c r="O847">
        <f>ABS(L847-RAVLT_Delayed!$C$34)</f>
        <v>3.8420688711383595</v>
      </c>
      <c r="P847">
        <f t="shared" si="14"/>
        <v>84.1</v>
      </c>
    </row>
    <row r="848" spans="10:16">
      <c r="J848" s="5"/>
      <c r="L848">
        <f>RAVLT_Delayed!M848</f>
        <v>1.0288840319999999</v>
      </c>
      <c r="M848">
        <v>84.2</v>
      </c>
      <c r="O848">
        <f>ABS(L848-RAVLT_Delayed!$C$34)</f>
        <v>3.8448345751383597</v>
      </c>
      <c r="P848">
        <f t="shared" si="14"/>
        <v>84.2</v>
      </c>
    </row>
    <row r="849" spans="10:16">
      <c r="J849" s="5"/>
      <c r="L849">
        <f>RAVLT_Delayed!M849</f>
        <v>1.029251728</v>
      </c>
      <c r="M849">
        <v>84.3</v>
      </c>
      <c r="O849">
        <f>ABS(L849-RAVLT_Delayed!$C$34)</f>
        <v>3.8452022711383593</v>
      </c>
      <c r="P849">
        <f t="shared" si="14"/>
        <v>84.3</v>
      </c>
    </row>
    <row r="850" spans="10:16">
      <c r="J850" s="5"/>
      <c r="L850">
        <f>RAVLT_Delayed!M850</f>
        <v>1.0296194240000001</v>
      </c>
      <c r="M850">
        <v>84.4</v>
      </c>
      <c r="O850">
        <f>ABS(L850-RAVLT_Delayed!$C$34)</f>
        <v>3.8455699671383599</v>
      </c>
      <c r="P850">
        <f t="shared" si="14"/>
        <v>84.4</v>
      </c>
    </row>
    <row r="851" spans="10:16">
      <c r="J851" s="5"/>
      <c r="L851">
        <f>RAVLT_Delayed!M851</f>
        <v>1.0298829599999999</v>
      </c>
      <c r="M851">
        <v>84.5</v>
      </c>
      <c r="O851">
        <f>ABS(L851-RAVLT_Delayed!$C$34)</f>
        <v>3.8458335031383593</v>
      </c>
      <c r="P851">
        <f t="shared" si="14"/>
        <v>84.5</v>
      </c>
    </row>
    <row r="852" spans="10:16">
      <c r="J852" s="5"/>
      <c r="L852">
        <f>RAVLT_Delayed!M852</f>
        <v>1.0300805280000001</v>
      </c>
      <c r="M852">
        <v>84.6</v>
      </c>
      <c r="O852">
        <f>ABS(L852-RAVLT_Delayed!$C$34)</f>
        <v>3.8460310711383596</v>
      </c>
      <c r="P852">
        <f t="shared" si="14"/>
        <v>84.6</v>
      </c>
    </row>
    <row r="853" spans="10:16">
      <c r="J853" s="5"/>
      <c r="L853">
        <f>RAVLT_Delayed!M853</f>
        <v>1.0316184960000001</v>
      </c>
      <c r="M853">
        <v>84.7</v>
      </c>
      <c r="O853">
        <f>ABS(L853-RAVLT_Delayed!$C$34)</f>
        <v>3.8475690391383597</v>
      </c>
      <c r="P853">
        <f t="shared" si="14"/>
        <v>84.7</v>
      </c>
    </row>
    <row r="854" spans="10:16">
      <c r="J854" s="5"/>
      <c r="L854">
        <f>RAVLT_Delayed!M854</f>
        <v>1.0537092640000001</v>
      </c>
      <c r="M854">
        <v>84.8</v>
      </c>
      <c r="O854">
        <f>ABS(L854-RAVLT_Delayed!$C$34)</f>
        <v>3.8696598071383597</v>
      </c>
      <c r="P854">
        <f t="shared" si="14"/>
        <v>84.8</v>
      </c>
    </row>
    <row r="855" spans="10:16">
      <c r="J855" s="5"/>
      <c r="L855">
        <f>RAVLT_Delayed!M855</f>
        <v>1.0758000320000001</v>
      </c>
      <c r="M855">
        <v>84.9</v>
      </c>
      <c r="O855">
        <f>ABS(L855-RAVLT_Delayed!$C$34)</f>
        <v>3.8917505751383596</v>
      </c>
      <c r="P855">
        <f t="shared" si="14"/>
        <v>84.9</v>
      </c>
    </row>
    <row r="856" spans="10:16">
      <c r="J856" s="5"/>
      <c r="L856">
        <f>RAVLT_Delayed!M856</f>
        <v>1.0888072</v>
      </c>
      <c r="M856">
        <v>85</v>
      </c>
      <c r="O856">
        <f>ABS(L856-RAVLT_Delayed!$C$34)</f>
        <v>3.9047577431383598</v>
      </c>
      <c r="P856">
        <f t="shared" si="14"/>
        <v>85</v>
      </c>
    </row>
    <row r="857" spans="10:16">
      <c r="J857" s="5"/>
      <c r="L857">
        <f>RAVLT_Delayed!M857</f>
        <v>1.093094112</v>
      </c>
      <c r="M857">
        <v>85.1</v>
      </c>
      <c r="O857">
        <f>ABS(L857-RAVLT_Delayed!$C$34)</f>
        <v>3.9090446551383593</v>
      </c>
      <c r="P857">
        <f t="shared" si="14"/>
        <v>85.1</v>
      </c>
    </row>
    <row r="858" spans="10:16">
      <c r="J858" s="5"/>
      <c r="L858">
        <f>RAVLT_Delayed!M858</f>
        <v>1.0973810239999999</v>
      </c>
      <c r="M858">
        <v>85.2</v>
      </c>
      <c r="O858">
        <f>ABS(L858-RAVLT_Delayed!$C$34)</f>
        <v>3.9133315671383597</v>
      </c>
      <c r="P858">
        <f t="shared" si="14"/>
        <v>85.2</v>
      </c>
    </row>
    <row r="859" spans="10:16">
      <c r="J859" s="5"/>
      <c r="L859">
        <f>RAVLT_Delayed!M859</f>
        <v>1.100873448</v>
      </c>
      <c r="M859">
        <v>85.3</v>
      </c>
      <c r="O859">
        <f>ABS(L859-RAVLT_Delayed!$C$34)</f>
        <v>3.9168239911383598</v>
      </c>
      <c r="P859">
        <f t="shared" si="14"/>
        <v>85.3</v>
      </c>
    </row>
    <row r="860" spans="10:16">
      <c r="J860" s="5"/>
      <c r="L860">
        <f>RAVLT_Delayed!M860</f>
        <v>1.1043320640000001</v>
      </c>
      <c r="M860">
        <v>85.4</v>
      </c>
      <c r="O860">
        <f>ABS(L860-RAVLT_Delayed!$C$34)</f>
        <v>3.9202826071383594</v>
      </c>
      <c r="P860">
        <f t="shared" si="14"/>
        <v>85.4</v>
      </c>
    </row>
    <row r="861" spans="10:16">
      <c r="J861" s="5"/>
      <c r="L861">
        <f>RAVLT_Delayed!M861</f>
        <v>1.106379</v>
      </c>
      <c r="M861">
        <v>85.5</v>
      </c>
      <c r="O861">
        <f>ABS(L861-RAVLT_Delayed!$C$34)</f>
        <v>3.9223295431383596</v>
      </c>
      <c r="P861">
        <f t="shared" si="14"/>
        <v>85.5</v>
      </c>
    </row>
    <row r="862" spans="10:16">
      <c r="J862" s="5"/>
      <c r="L862">
        <f>RAVLT_Delayed!M862</f>
        <v>1.106379</v>
      </c>
      <c r="M862">
        <v>85.6</v>
      </c>
      <c r="O862">
        <f>ABS(L862-RAVLT_Delayed!$C$34)</f>
        <v>3.9223295431383596</v>
      </c>
      <c r="P862">
        <f t="shared" si="14"/>
        <v>85.6</v>
      </c>
    </row>
    <row r="863" spans="10:16">
      <c r="J863" s="5"/>
      <c r="L863">
        <f>RAVLT_Delayed!M863</f>
        <v>1.106379</v>
      </c>
      <c r="M863">
        <v>85.7</v>
      </c>
      <c r="O863">
        <f>ABS(L863-RAVLT_Delayed!$C$34)</f>
        <v>3.9223295431383596</v>
      </c>
      <c r="P863">
        <f t="shared" si="14"/>
        <v>85.7</v>
      </c>
    </row>
    <row r="864" spans="10:16">
      <c r="J864" s="5"/>
      <c r="L864">
        <f>RAVLT_Delayed!M864</f>
        <v>1.1065016400000001</v>
      </c>
      <c r="M864">
        <v>85.8</v>
      </c>
      <c r="O864">
        <f>ABS(L864-RAVLT_Delayed!$C$34)</f>
        <v>3.9224521831383594</v>
      </c>
      <c r="P864">
        <f t="shared" si="14"/>
        <v>85.8</v>
      </c>
    </row>
    <row r="865" spans="10:16">
      <c r="J865" s="5"/>
      <c r="L865">
        <f>RAVLT_Delayed!M865</f>
        <v>1.10664472</v>
      </c>
      <c r="M865">
        <v>85.9</v>
      </c>
      <c r="O865">
        <f>ABS(L865-RAVLT_Delayed!$C$34)</f>
        <v>3.9225952631383594</v>
      </c>
      <c r="P865">
        <f t="shared" si="14"/>
        <v>85.9</v>
      </c>
    </row>
    <row r="866" spans="10:16">
      <c r="J866" s="5"/>
      <c r="L866">
        <f>RAVLT_Delayed!M866</f>
        <v>1.1069170399999999</v>
      </c>
      <c r="M866">
        <v>86</v>
      </c>
      <c r="O866">
        <f>ABS(L866-RAVLT_Delayed!$C$34)</f>
        <v>3.9228675831383595</v>
      </c>
      <c r="P866">
        <f t="shared" si="14"/>
        <v>86</v>
      </c>
    </row>
    <row r="867" spans="10:16">
      <c r="J867" s="5"/>
      <c r="L867">
        <f>RAVLT_Delayed!M867</f>
        <v>1.1074823039999999</v>
      </c>
      <c r="M867">
        <v>86.1</v>
      </c>
      <c r="O867">
        <f>ABS(L867-RAVLT_Delayed!$C$34)</f>
        <v>3.9234328471383595</v>
      </c>
      <c r="P867">
        <f t="shared" si="14"/>
        <v>86.1</v>
      </c>
    </row>
    <row r="868" spans="10:16">
      <c r="J868" s="5"/>
      <c r="L868">
        <f>RAVLT_Delayed!M868</f>
        <v>1.1080475679999999</v>
      </c>
      <c r="M868">
        <v>86.2</v>
      </c>
      <c r="O868">
        <f>ABS(L868-RAVLT_Delayed!$C$34)</f>
        <v>3.9239981111383595</v>
      </c>
      <c r="P868">
        <f t="shared" si="14"/>
        <v>86.2</v>
      </c>
    </row>
    <row r="869" spans="10:16">
      <c r="J869" s="5"/>
      <c r="L869">
        <f>RAVLT_Delayed!M869</f>
        <v>1.128787896</v>
      </c>
      <c r="M869">
        <v>86.3</v>
      </c>
      <c r="O869">
        <f>ABS(L869-RAVLT_Delayed!$C$34)</f>
        <v>3.9447384391383595</v>
      </c>
      <c r="P869">
        <f t="shared" si="14"/>
        <v>86.3</v>
      </c>
    </row>
    <row r="870" spans="10:16">
      <c r="J870" s="5"/>
      <c r="L870">
        <f>RAVLT_Delayed!M870</f>
        <v>1.156071488</v>
      </c>
      <c r="M870">
        <v>86.4</v>
      </c>
      <c r="O870">
        <f>ABS(L870-RAVLT_Delayed!$C$34)</f>
        <v>3.9720220311383594</v>
      </c>
      <c r="P870">
        <f t="shared" si="14"/>
        <v>86.4</v>
      </c>
    </row>
    <row r="871" spans="10:16">
      <c r="J871" s="5"/>
      <c r="L871">
        <f>RAVLT_Delayed!M871</f>
        <v>1.17834828</v>
      </c>
      <c r="M871">
        <v>86.5</v>
      </c>
      <c r="O871">
        <f>ABS(L871-RAVLT_Delayed!$C$34)</f>
        <v>3.9942988231383598</v>
      </c>
      <c r="P871">
        <f t="shared" si="14"/>
        <v>86.5</v>
      </c>
    </row>
    <row r="872" spans="10:16">
      <c r="J872" s="5"/>
      <c r="L872">
        <f>RAVLT_Delayed!M872</f>
        <v>1.1810985519999999</v>
      </c>
      <c r="M872">
        <v>86.6</v>
      </c>
      <c r="O872">
        <f>ABS(L872-RAVLT_Delayed!$C$34)</f>
        <v>3.9970490951383595</v>
      </c>
      <c r="P872">
        <f t="shared" si="14"/>
        <v>86.6</v>
      </c>
    </row>
    <row r="873" spans="10:16">
      <c r="J873" s="5"/>
      <c r="L873">
        <f>RAVLT_Delayed!M873</f>
        <v>1.183848824</v>
      </c>
      <c r="M873">
        <v>86.7</v>
      </c>
      <c r="O873">
        <f>ABS(L873-RAVLT_Delayed!$C$34)</f>
        <v>3.9997993671383596</v>
      </c>
      <c r="P873">
        <f t="shared" si="14"/>
        <v>86.7</v>
      </c>
    </row>
    <row r="874" spans="10:16">
      <c r="J874" s="5"/>
      <c r="L874">
        <f>RAVLT_Delayed!M874</f>
        <v>1.185635</v>
      </c>
      <c r="M874">
        <v>86.8</v>
      </c>
      <c r="O874">
        <f>ABS(L874-RAVLT_Delayed!$C$34)</f>
        <v>4.0015855431383596</v>
      </c>
      <c r="P874">
        <f t="shared" si="14"/>
        <v>86.8</v>
      </c>
    </row>
    <row r="875" spans="10:16">
      <c r="J875" s="5"/>
      <c r="L875">
        <f>RAVLT_Delayed!M875</f>
        <v>1.186909</v>
      </c>
      <c r="M875">
        <v>86.9</v>
      </c>
      <c r="O875">
        <f>ABS(L875-RAVLT_Delayed!$C$34)</f>
        <v>4.00285954313836</v>
      </c>
      <c r="P875">
        <f t="shared" si="14"/>
        <v>86.9</v>
      </c>
    </row>
    <row r="876" spans="10:16">
      <c r="J876" s="5"/>
      <c r="L876">
        <f>RAVLT_Delayed!M876</f>
        <v>1.1893990000000001</v>
      </c>
      <c r="M876">
        <v>87</v>
      </c>
      <c r="O876">
        <f>ABS(L876-RAVLT_Delayed!$C$34)</f>
        <v>4.0053495431383599</v>
      </c>
      <c r="P876">
        <f t="shared" si="14"/>
        <v>87</v>
      </c>
    </row>
    <row r="877" spans="10:16">
      <c r="J877" s="5"/>
      <c r="L877">
        <f>RAVLT_Delayed!M877</f>
        <v>1.2025897999999999</v>
      </c>
      <c r="M877">
        <v>87.1</v>
      </c>
      <c r="O877">
        <f>ABS(L877-RAVLT_Delayed!$C$34)</f>
        <v>4.0185403431383593</v>
      </c>
      <c r="P877">
        <f t="shared" si="14"/>
        <v>87.1</v>
      </c>
    </row>
    <row r="878" spans="10:16">
      <c r="J878" s="5"/>
      <c r="L878">
        <f>RAVLT_Delayed!M878</f>
        <v>1.2157806</v>
      </c>
      <c r="M878">
        <v>87.2</v>
      </c>
      <c r="O878">
        <f>ABS(L878-RAVLT_Delayed!$C$34)</f>
        <v>4.0317311431383596</v>
      </c>
      <c r="P878">
        <f t="shared" si="14"/>
        <v>87.2</v>
      </c>
    </row>
    <row r="879" spans="10:16">
      <c r="J879" s="5"/>
      <c r="L879">
        <f>RAVLT_Delayed!M879</f>
        <v>1.222014688</v>
      </c>
      <c r="M879">
        <v>87.3</v>
      </c>
      <c r="O879">
        <f>ABS(L879-RAVLT_Delayed!$C$34)</f>
        <v>4.0379652311383598</v>
      </c>
      <c r="P879">
        <f t="shared" si="14"/>
        <v>87.3</v>
      </c>
    </row>
    <row r="880" spans="10:16">
      <c r="J880" s="5"/>
      <c r="L880">
        <f>RAVLT_Delayed!M880</f>
        <v>1.222580344</v>
      </c>
      <c r="M880">
        <v>87.4</v>
      </c>
      <c r="O880">
        <f>ABS(L880-RAVLT_Delayed!$C$34)</f>
        <v>4.0385308871383598</v>
      </c>
      <c r="P880">
        <f t="shared" si="14"/>
        <v>87.4</v>
      </c>
    </row>
    <row r="881" spans="10:16">
      <c r="J881" s="5"/>
      <c r="L881">
        <f>RAVLT_Delayed!M881</f>
        <v>1.2231460000000001</v>
      </c>
      <c r="M881">
        <v>87.5</v>
      </c>
      <c r="O881">
        <f>ABS(L881-RAVLT_Delayed!$C$34)</f>
        <v>4.0390965431383599</v>
      </c>
      <c r="P881">
        <f t="shared" si="14"/>
        <v>87.5</v>
      </c>
    </row>
    <row r="882" spans="10:16">
      <c r="J882" s="5"/>
      <c r="L882">
        <f>RAVLT_Delayed!M882</f>
        <v>1.2236293359999999</v>
      </c>
      <c r="M882">
        <v>87.6</v>
      </c>
      <c r="O882">
        <f>ABS(L882-RAVLT_Delayed!$C$34)</f>
        <v>4.0395798791383593</v>
      </c>
      <c r="P882">
        <f t="shared" si="14"/>
        <v>87.6</v>
      </c>
    </row>
    <row r="883" spans="10:16">
      <c r="J883" s="5"/>
      <c r="L883">
        <f>RAVLT_Delayed!M883</f>
        <v>1.224112672</v>
      </c>
      <c r="M883">
        <v>87.7</v>
      </c>
      <c r="O883">
        <f>ABS(L883-RAVLT_Delayed!$C$34)</f>
        <v>4.0400632151383595</v>
      </c>
      <c r="P883">
        <f t="shared" si="14"/>
        <v>87.7</v>
      </c>
    </row>
    <row r="884" spans="10:16">
      <c r="J884" s="5"/>
      <c r="L884">
        <f>RAVLT_Delayed!M884</f>
        <v>1.231280312</v>
      </c>
      <c r="M884">
        <v>87.8</v>
      </c>
      <c r="O884">
        <f>ABS(L884-RAVLT_Delayed!$C$34)</f>
        <v>4.0472308551383591</v>
      </c>
      <c r="P884">
        <f t="shared" si="14"/>
        <v>87.8</v>
      </c>
    </row>
    <row r="885" spans="10:16">
      <c r="J885" s="5"/>
      <c r="L885">
        <f>RAVLT_Delayed!M885</f>
        <v>1.246651416</v>
      </c>
      <c r="M885">
        <v>87.9</v>
      </c>
      <c r="O885">
        <f>ABS(L885-RAVLT_Delayed!$C$34)</f>
        <v>4.0626019591383598</v>
      </c>
      <c r="P885">
        <f t="shared" si="14"/>
        <v>87.9</v>
      </c>
    </row>
    <row r="886" spans="10:16">
      <c r="J886" s="5"/>
      <c r="L886">
        <f>RAVLT_Delayed!M886</f>
        <v>1.2620225199999999</v>
      </c>
      <c r="M886">
        <v>88</v>
      </c>
      <c r="O886">
        <f>ABS(L886-RAVLT_Delayed!$C$34)</f>
        <v>4.0779730631383595</v>
      </c>
      <c r="P886">
        <f t="shared" si="14"/>
        <v>88</v>
      </c>
    </row>
    <row r="887" spans="10:16">
      <c r="J887" s="5"/>
      <c r="L887">
        <f>RAVLT_Delayed!M887</f>
        <v>1.2724001519999999</v>
      </c>
      <c r="M887">
        <v>88.1</v>
      </c>
      <c r="O887">
        <f>ABS(L887-RAVLT_Delayed!$C$34)</f>
        <v>4.0883506951383595</v>
      </c>
      <c r="P887">
        <f t="shared" si="14"/>
        <v>88.1</v>
      </c>
    </row>
    <row r="888" spans="10:16">
      <c r="J888" s="5"/>
      <c r="L888">
        <f>RAVLT_Delayed!M888</f>
        <v>1.2822103439999999</v>
      </c>
      <c r="M888">
        <v>88.2</v>
      </c>
      <c r="O888">
        <f>ABS(L888-RAVLT_Delayed!$C$34)</f>
        <v>4.0981608871383592</v>
      </c>
      <c r="P888">
        <f t="shared" si="14"/>
        <v>88.2</v>
      </c>
    </row>
    <row r="889" spans="10:16">
      <c r="J889" s="5"/>
      <c r="L889">
        <f>RAVLT_Delayed!M889</f>
        <v>1.289374928</v>
      </c>
      <c r="M889">
        <v>88.3</v>
      </c>
      <c r="O889">
        <f>ABS(L889-RAVLT_Delayed!$C$34)</f>
        <v>4.1053254711383591</v>
      </c>
      <c r="P889">
        <f t="shared" si="14"/>
        <v>88.3</v>
      </c>
    </row>
    <row r="890" spans="10:16">
      <c r="J890" s="5"/>
      <c r="L890">
        <f>RAVLT_Delayed!M890</f>
        <v>1.2915595440000001</v>
      </c>
      <c r="M890">
        <v>88.4</v>
      </c>
      <c r="O890">
        <f>ABS(L890-RAVLT_Delayed!$C$34)</f>
        <v>4.1075100871383601</v>
      </c>
      <c r="P890">
        <f t="shared" si="14"/>
        <v>88.4</v>
      </c>
    </row>
    <row r="891" spans="10:16">
      <c r="J891" s="5"/>
      <c r="L891">
        <f>RAVLT_Delayed!M891</f>
        <v>1.2937441599999999</v>
      </c>
      <c r="M891">
        <v>88.5</v>
      </c>
      <c r="O891">
        <f>ABS(L891-RAVLT_Delayed!$C$34)</f>
        <v>4.1096947031383593</v>
      </c>
      <c r="P891">
        <f t="shared" si="14"/>
        <v>88.5</v>
      </c>
    </row>
    <row r="892" spans="10:16">
      <c r="J892" s="5"/>
      <c r="L892">
        <f>RAVLT_Delayed!M892</f>
        <v>1.296042344</v>
      </c>
      <c r="M892">
        <v>88.6</v>
      </c>
      <c r="O892">
        <f>ABS(L892-RAVLT_Delayed!$C$34)</f>
        <v>4.11199288713836</v>
      </c>
      <c r="P892">
        <f t="shared" si="14"/>
        <v>88.6</v>
      </c>
    </row>
    <row r="893" spans="10:16">
      <c r="J893" s="5"/>
      <c r="L893">
        <f>RAVLT_Delayed!M893</f>
        <v>1.298369648</v>
      </c>
      <c r="M893">
        <v>88.7</v>
      </c>
      <c r="O893">
        <f>ABS(L893-RAVLT_Delayed!$C$34)</f>
        <v>4.1143201911383596</v>
      </c>
      <c r="P893">
        <f t="shared" si="14"/>
        <v>88.7</v>
      </c>
    </row>
    <row r="894" spans="10:16">
      <c r="J894" s="5"/>
      <c r="L894">
        <f>RAVLT_Delayed!M894</f>
        <v>1.302786392</v>
      </c>
      <c r="M894">
        <v>88.8</v>
      </c>
      <c r="O894">
        <f>ABS(L894-RAVLT_Delayed!$C$34)</f>
        <v>4.1187369351383598</v>
      </c>
      <c r="P894">
        <f t="shared" si="14"/>
        <v>88.8</v>
      </c>
    </row>
    <row r="895" spans="10:16">
      <c r="J895" s="5"/>
      <c r="L895">
        <f>RAVLT_Delayed!M895</f>
        <v>1.3136455760000001</v>
      </c>
      <c r="M895">
        <v>88.9</v>
      </c>
      <c r="O895">
        <f>ABS(L895-RAVLT_Delayed!$C$34)</f>
        <v>4.1295961191383599</v>
      </c>
      <c r="P895">
        <f t="shared" si="14"/>
        <v>88.9</v>
      </c>
    </row>
    <row r="896" spans="10:16">
      <c r="J896" s="5"/>
      <c r="L896">
        <f>RAVLT_Delayed!M896</f>
        <v>1.3245047599999999</v>
      </c>
      <c r="M896">
        <v>89</v>
      </c>
      <c r="O896">
        <f>ABS(L896-RAVLT_Delayed!$C$34)</f>
        <v>4.14045530313836</v>
      </c>
      <c r="P896">
        <f t="shared" si="14"/>
        <v>89</v>
      </c>
    </row>
    <row r="897" spans="10:16">
      <c r="J897" s="5"/>
      <c r="L897">
        <f>RAVLT_Delayed!M897</f>
        <v>1.328559864</v>
      </c>
      <c r="M897">
        <v>89.1</v>
      </c>
      <c r="O897">
        <f>ABS(L897-RAVLT_Delayed!$C$34)</f>
        <v>4.1445104071383598</v>
      </c>
      <c r="P897">
        <f t="shared" si="14"/>
        <v>89.1</v>
      </c>
    </row>
    <row r="898" spans="10:16">
      <c r="J898" s="5"/>
      <c r="L898">
        <f>RAVLT_Delayed!M898</f>
        <v>1.3296131680000001</v>
      </c>
      <c r="M898">
        <v>89.2</v>
      </c>
      <c r="O898">
        <f>ABS(L898-RAVLT_Delayed!$C$34)</f>
        <v>4.1455637111383599</v>
      </c>
      <c r="P898">
        <f t="shared" si="14"/>
        <v>89.2</v>
      </c>
    </row>
    <row r="899" spans="10:16">
      <c r="J899" s="5"/>
      <c r="L899">
        <f>RAVLT_Delayed!M899</f>
        <v>1.330516</v>
      </c>
      <c r="M899">
        <v>89.3</v>
      </c>
      <c r="O899">
        <f>ABS(L899-RAVLT_Delayed!$C$34)</f>
        <v>4.1464665431383594</v>
      </c>
      <c r="P899">
        <f t="shared" si="14"/>
        <v>89.3</v>
      </c>
    </row>
    <row r="900" spans="10:16">
      <c r="J900" s="5"/>
      <c r="L900">
        <f>RAVLT_Delayed!M900</f>
        <v>1.330516</v>
      </c>
      <c r="M900">
        <v>89.4</v>
      </c>
      <c r="O900">
        <f>ABS(L900-RAVLT_Delayed!$C$34)</f>
        <v>4.1464665431383594</v>
      </c>
      <c r="P900">
        <f t="shared" si="14"/>
        <v>89.4</v>
      </c>
    </row>
    <row r="901" spans="10:16">
      <c r="J901" s="5"/>
      <c r="L901">
        <f>RAVLT_Delayed!M901</f>
        <v>1.330516</v>
      </c>
      <c r="M901">
        <v>89.5</v>
      </c>
      <c r="O901">
        <f>ABS(L901-RAVLT_Delayed!$C$34)</f>
        <v>4.1464665431383594</v>
      </c>
      <c r="P901">
        <f t="shared" si="14"/>
        <v>89.5</v>
      </c>
    </row>
    <row r="902" spans="10:16">
      <c r="J902" s="5"/>
      <c r="L902">
        <f>RAVLT_Delayed!M902</f>
        <v>1.3318936159999999</v>
      </c>
      <c r="M902">
        <v>89.6</v>
      </c>
      <c r="O902">
        <f>ABS(L902-RAVLT_Delayed!$C$34)</f>
        <v>4.1478441591383595</v>
      </c>
      <c r="P902">
        <f t="shared" si="14"/>
        <v>89.6</v>
      </c>
    </row>
    <row r="903" spans="10:16">
      <c r="J903" s="5"/>
      <c r="L903">
        <f>RAVLT_Delayed!M903</f>
        <v>1.3342213119999999</v>
      </c>
      <c r="M903">
        <v>89.7</v>
      </c>
      <c r="O903">
        <f>ABS(L903-RAVLT_Delayed!$C$34)</f>
        <v>4.1501718551383595</v>
      </c>
      <c r="P903">
        <f t="shared" ref="P903:P966" si="15">M903</f>
        <v>89.7</v>
      </c>
    </row>
    <row r="904" spans="10:16">
      <c r="J904" s="5"/>
      <c r="L904">
        <f>RAVLT_Delayed!M904</f>
        <v>1.3366702399999999</v>
      </c>
      <c r="M904">
        <v>89.8</v>
      </c>
      <c r="O904">
        <f>ABS(L904-RAVLT_Delayed!$C$34)</f>
        <v>4.1526207831383593</v>
      </c>
      <c r="P904">
        <f t="shared" si="15"/>
        <v>89.8</v>
      </c>
    </row>
    <row r="905" spans="10:16">
      <c r="J905" s="5"/>
      <c r="L905">
        <f>RAVLT_Delayed!M905</f>
        <v>1.34196812</v>
      </c>
      <c r="M905">
        <v>89.9</v>
      </c>
      <c r="O905">
        <f>ABS(L905-RAVLT_Delayed!$C$34)</f>
        <v>4.1579186631383598</v>
      </c>
      <c r="P905">
        <f t="shared" si="15"/>
        <v>89.9</v>
      </c>
    </row>
    <row r="906" spans="10:16">
      <c r="J906" s="5"/>
      <c r="L906">
        <f>RAVLT_Delayed!M906</f>
        <v>1.3472660000000001</v>
      </c>
      <c r="M906">
        <v>90</v>
      </c>
      <c r="O906">
        <f>ABS(L906-RAVLT_Delayed!$C$34)</f>
        <v>4.1632165431383594</v>
      </c>
      <c r="P906">
        <f t="shared" si="15"/>
        <v>90</v>
      </c>
    </row>
    <row r="907" spans="10:16">
      <c r="J907" s="5"/>
      <c r="L907">
        <f>RAVLT_Delayed!M907</f>
        <v>1.3515528080000001</v>
      </c>
      <c r="M907">
        <v>90.1</v>
      </c>
      <c r="O907">
        <f>ABS(L907-RAVLT_Delayed!$C$34)</f>
        <v>4.1675033511383592</v>
      </c>
      <c r="P907">
        <f t="shared" si="15"/>
        <v>90.1</v>
      </c>
    </row>
    <row r="908" spans="10:16">
      <c r="J908" s="5"/>
      <c r="L908">
        <f>RAVLT_Delayed!M908</f>
        <v>1.354786416</v>
      </c>
      <c r="M908">
        <v>90.2</v>
      </c>
      <c r="O908">
        <f>ABS(L908-RAVLT_Delayed!$C$34)</f>
        <v>4.1707369591383596</v>
      </c>
      <c r="P908">
        <f t="shared" si="15"/>
        <v>90.2</v>
      </c>
    </row>
    <row r="909" spans="10:16">
      <c r="J909" s="5"/>
      <c r="L909">
        <f>RAVLT_Delayed!M909</f>
        <v>1.358020024</v>
      </c>
      <c r="M909">
        <v>90.3</v>
      </c>
      <c r="O909">
        <f>ABS(L909-RAVLT_Delayed!$C$34)</f>
        <v>4.17397056713836</v>
      </c>
      <c r="P909">
        <f t="shared" si="15"/>
        <v>90.3</v>
      </c>
    </row>
    <row r="910" spans="10:16">
      <c r="J910" s="5"/>
      <c r="L910">
        <f>RAVLT_Delayed!M910</f>
        <v>1.361923024</v>
      </c>
      <c r="M910">
        <v>90.4</v>
      </c>
      <c r="O910">
        <f>ABS(L910-RAVLT_Delayed!$C$34)</f>
        <v>4.1778735671383593</v>
      </c>
      <c r="P910">
        <f t="shared" si="15"/>
        <v>90.4</v>
      </c>
    </row>
    <row r="911" spans="10:16">
      <c r="J911" s="5"/>
      <c r="L911">
        <f>RAVLT_Delayed!M911</f>
        <v>1.3658696800000001</v>
      </c>
      <c r="M911">
        <v>90.5</v>
      </c>
      <c r="O911">
        <f>ABS(L911-RAVLT_Delayed!$C$34)</f>
        <v>4.1818202231383594</v>
      </c>
      <c r="P911">
        <f t="shared" si="15"/>
        <v>90.5</v>
      </c>
    </row>
    <row r="912" spans="10:16">
      <c r="J912" s="5"/>
      <c r="L912">
        <f>RAVLT_Delayed!M912</f>
        <v>1.371783368</v>
      </c>
      <c r="M912">
        <v>90.6</v>
      </c>
      <c r="O912">
        <f>ABS(L912-RAVLT_Delayed!$C$34)</f>
        <v>4.1877339111383591</v>
      </c>
      <c r="P912">
        <f t="shared" si="15"/>
        <v>90.6</v>
      </c>
    </row>
    <row r="913" spans="10:16">
      <c r="J913" s="5"/>
      <c r="L913">
        <f>RAVLT_Delayed!M913</f>
        <v>1.3808028960000001</v>
      </c>
      <c r="M913">
        <v>90.7</v>
      </c>
      <c r="O913">
        <f>ABS(L913-RAVLT_Delayed!$C$34)</f>
        <v>4.1967534391383596</v>
      </c>
      <c r="P913">
        <f t="shared" si="15"/>
        <v>90.7</v>
      </c>
    </row>
    <row r="914" spans="10:16">
      <c r="J914" s="5"/>
      <c r="L914">
        <f>RAVLT_Delayed!M914</f>
        <v>1.3898224239999999</v>
      </c>
      <c r="M914">
        <v>90.8</v>
      </c>
      <c r="O914">
        <f>ABS(L914-RAVLT_Delayed!$C$34)</f>
        <v>4.2057729671383592</v>
      </c>
      <c r="P914">
        <f t="shared" si="15"/>
        <v>90.8</v>
      </c>
    </row>
    <row r="915" spans="10:16">
      <c r="J915" s="5"/>
      <c r="L915">
        <f>RAVLT_Delayed!M915</f>
        <v>1.3939039120000001</v>
      </c>
      <c r="M915">
        <v>90.9</v>
      </c>
      <c r="O915">
        <f>ABS(L915-RAVLT_Delayed!$C$34)</f>
        <v>4.2098544551383599</v>
      </c>
      <c r="P915">
        <f t="shared" si="15"/>
        <v>90.9</v>
      </c>
    </row>
    <row r="916" spans="10:16">
      <c r="J916" s="5"/>
      <c r="L916">
        <f>RAVLT_Delayed!M916</f>
        <v>1.39702188</v>
      </c>
      <c r="M916">
        <v>91</v>
      </c>
      <c r="O916">
        <f>ABS(L916-RAVLT_Delayed!$C$34)</f>
        <v>4.2129724231383596</v>
      </c>
      <c r="P916">
        <f t="shared" si="15"/>
        <v>91</v>
      </c>
    </row>
    <row r="917" spans="10:16">
      <c r="J917" s="5"/>
      <c r="L917">
        <f>RAVLT_Delayed!M917</f>
        <v>1.399249</v>
      </c>
      <c r="M917">
        <v>91.1</v>
      </c>
      <c r="O917">
        <f>ABS(L917-RAVLT_Delayed!$C$34)</f>
        <v>4.2151995431383593</v>
      </c>
      <c r="P917">
        <f t="shared" si="15"/>
        <v>91.1</v>
      </c>
    </row>
    <row r="918" spans="10:16">
      <c r="J918" s="5"/>
      <c r="L918">
        <f>RAVLT_Delayed!M918</f>
        <v>1.399249</v>
      </c>
      <c r="M918">
        <v>91.2</v>
      </c>
      <c r="O918">
        <f>ABS(L918-RAVLT_Delayed!$C$34)</f>
        <v>4.2151995431383593</v>
      </c>
      <c r="P918">
        <f t="shared" si="15"/>
        <v>91.2</v>
      </c>
    </row>
    <row r="919" spans="10:16">
      <c r="J919" s="5"/>
      <c r="L919">
        <f>RAVLT_Delayed!M919</f>
        <v>1.399249</v>
      </c>
      <c r="M919">
        <v>91.3</v>
      </c>
      <c r="O919">
        <f>ABS(L919-RAVLT_Delayed!$C$34)</f>
        <v>4.2151995431383593</v>
      </c>
      <c r="P919">
        <f t="shared" si="15"/>
        <v>91.3</v>
      </c>
    </row>
    <row r="920" spans="10:16">
      <c r="J920" s="5"/>
      <c r="L920">
        <f>RAVLT_Delayed!M920</f>
        <v>1.400185</v>
      </c>
      <c r="M920">
        <v>91.4</v>
      </c>
      <c r="O920">
        <f>ABS(L920-RAVLT_Delayed!$C$34)</f>
        <v>4.2161355431383596</v>
      </c>
      <c r="P920">
        <f t="shared" si="15"/>
        <v>91.4</v>
      </c>
    </row>
    <row r="921" spans="10:16">
      <c r="J921" s="5"/>
      <c r="L921">
        <f>RAVLT_Delayed!M921</f>
        <v>1.401459</v>
      </c>
      <c r="M921">
        <v>91.5</v>
      </c>
      <c r="O921">
        <f>ABS(L921-RAVLT_Delayed!$C$34)</f>
        <v>4.2174095431383591</v>
      </c>
      <c r="P921">
        <f t="shared" si="15"/>
        <v>91.5</v>
      </c>
    </row>
    <row r="922" spans="10:16">
      <c r="J922" s="5"/>
      <c r="L922">
        <f>RAVLT_Delayed!M922</f>
        <v>1.4035203919999999</v>
      </c>
      <c r="M922">
        <v>91.6</v>
      </c>
      <c r="O922">
        <f>ABS(L922-RAVLT_Delayed!$C$34)</f>
        <v>4.219470935138359</v>
      </c>
      <c r="P922">
        <f t="shared" si="15"/>
        <v>91.6</v>
      </c>
    </row>
    <row r="923" spans="10:16">
      <c r="J923" s="5"/>
      <c r="L923">
        <f>RAVLT_Delayed!M923</f>
        <v>1.4090813040000001</v>
      </c>
      <c r="M923">
        <v>91.7</v>
      </c>
      <c r="O923">
        <f>ABS(L923-RAVLT_Delayed!$C$34)</f>
        <v>4.2250318471383599</v>
      </c>
      <c r="P923">
        <f t="shared" si="15"/>
        <v>91.7</v>
      </c>
    </row>
    <row r="924" spans="10:16">
      <c r="J924" s="5"/>
      <c r="L924">
        <f>RAVLT_Delayed!M924</f>
        <v>1.4146422160000001</v>
      </c>
      <c r="M924">
        <v>91.8</v>
      </c>
      <c r="O924">
        <f>ABS(L924-RAVLT_Delayed!$C$34)</f>
        <v>4.2305927591383599</v>
      </c>
      <c r="P924">
        <f t="shared" si="15"/>
        <v>91.8</v>
      </c>
    </row>
    <row r="925" spans="10:16">
      <c r="J925" s="5"/>
      <c r="L925">
        <f>RAVLT_Delayed!M925</f>
        <v>1.419897344</v>
      </c>
      <c r="M925">
        <v>91.9</v>
      </c>
      <c r="O925">
        <f>ABS(L925-RAVLT_Delayed!$C$34)</f>
        <v>4.2358478871383598</v>
      </c>
      <c r="P925">
        <f t="shared" si="15"/>
        <v>91.9</v>
      </c>
    </row>
    <row r="926" spans="10:16">
      <c r="J926" s="5"/>
      <c r="L926">
        <f>RAVLT_Delayed!M926</f>
        <v>1.4249749199999999</v>
      </c>
      <c r="M926">
        <v>92</v>
      </c>
      <c r="O926">
        <f>ABS(L926-RAVLT_Delayed!$C$34)</f>
        <v>4.2409254631383595</v>
      </c>
      <c r="P926">
        <f t="shared" si="15"/>
        <v>92</v>
      </c>
    </row>
    <row r="927" spans="10:16">
      <c r="J927" s="5"/>
      <c r="L927">
        <f>RAVLT_Delayed!M927</f>
        <v>1.4297420000000001</v>
      </c>
      <c r="M927">
        <v>92.1</v>
      </c>
      <c r="O927">
        <f>ABS(L927-RAVLT_Delayed!$C$34)</f>
        <v>4.2456925431383592</v>
      </c>
      <c r="P927">
        <f t="shared" si="15"/>
        <v>92.1</v>
      </c>
    </row>
    <row r="928" spans="10:16">
      <c r="J928" s="5"/>
      <c r="L928">
        <f>RAVLT_Delayed!M928</f>
        <v>1.4310160000000001</v>
      </c>
      <c r="M928">
        <v>92.2</v>
      </c>
      <c r="O928">
        <f>ABS(L928-RAVLT_Delayed!$C$34)</f>
        <v>4.2469665431383596</v>
      </c>
      <c r="P928">
        <f t="shared" si="15"/>
        <v>92.2</v>
      </c>
    </row>
    <row r="929" spans="10:16">
      <c r="J929" s="5"/>
      <c r="L929">
        <f>RAVLT_Delayed!M929</f>
        <v>1.4322900000000001</v>
      </c>
      <c r="M929">
        <v>92.3</v>
      </c>
      <c r="O929">
        <f>ABS(L929-RAVLT_Delayed!$C$34)</f>
        <v>4.2482405431383601</v>
      </c>
      <c r="P929">
        <f t="shared" si="15"/>
        <v>92.3</v>
      </c>
    </row>
    <row r="930" spans="10:16">
      <c r="J930" s="5"/>
      <c r="L930">
        <f>RAVLT_Delayed!M930</f>
        <v>1.436738912</v>
      </c>
      <c r="M930">
        <v>92.4</v>
      </c>
      <c r="O930">
        <f>ABS(L930-RAVLT_Delayed!$C$34)</f>
        <v>4.2526894551383592</v>
      </c>
      <c r="P930">
        <f t="shared" si="15"/>
        <v>92.4</v>
      </c>
    </row>
    <row r="931" spans="10:16">
      <c r="J931" s="5"/>
      <c r="L931">
        <f>RAVLT_Delayed!M931</f>
        <v>1.4439964000000001</v>
      </c>
      <c r="M931">
        <v>92.5</v>
      </c>
      <c r="O931">
        <f>ABS(L931-RAVLT_Delayed!$C$34)</f>
        <v>4.2599469431383596</v>
      </c>
      <c r="P931">
        <f t="shared" si="15"/>
        <v>92.5</v>
      </c>
    </row>
    <row r="932" spans="10:16">
      <c r="J932" s="5"/>
      <c r="L932">
        <f>RAVLT_Delayed!M932</f>
        <v>1.4512538880000001</v>
      </c>
      <c r="M932">
        <v>92.6</v>
      </c>
      <c r="O932">
        <f>ABS(L932-RAVLT_Delayed!$C$34)</f>
        <v>4.2672044311383601</v>
      </c>
      <c r="P932">
        <f t="shared" si="15"/>
        <v>92.6</v>
      </c>
    </row>
    <row r="933" spans="10:16">
      <c r="J933" s="5"/>
      <c r="L933">
        <f>RAVLT_Delayed!M933</f>
        <v>1.455123728</v>
      </c>
      <c r="M933">
        <v>92.7</v>
      </c>
      <c r="O933">
        <f>ABS(L933-RAVLT_Delayed!$C$34)</f>
        <v>4.2710742711383594</v>
      </c>
      <c r="P933">
        <f t="shared" si="15"/>
        <v>92.7</v>
      </c>
    </row>
    <row r="934" spans="10:16">
      <c r="J934" s="5"/>
      <c r="L934">
        <f>RAVLT_Delayed!M934</f>
        <v>1.458922992</v>
      </c>
      <c r="M934">
        <v>92.8</v>
      </c>
      <c r="O934">
        <f>ABS(L934-RAVLT_Delayed!$C$34)</f>
        <v>4.2748735351383598</v>
      </c>
      <c r="P934">
        <f t="shared" si="15"/>
        <v>92.8</v>
      </c>
    </row>
    <row r="935" spans="10:16">
      <c r="J935" s="5"/>
      <c r="L935">
        <f>RAVLT_Delayed!M935</f>
        <v>1.463185432</v>
      </c>
      <c r="M935">
        <v>92.9</v>
      </c>
      <c r="O935">
        <f>ABS(L935-RAVLT_Delayed!$C$34)</f>
        <v>4.2791359751383595</v>
      </c>
      <c r="P935">
        <f t="shared" si="15"/>
        <v>92.9</v>
      </c>
    </row>
    <row r="936" spans="10:16">
      <c r="J936" s="5"/>
      <c r="L936">
        <f>RAVLT_Delayed!M936</f>
        <v>1.4680654399999999</v>
      </c>
      <c r="M936">
        <v>93</v>
      </c>
      <c r="O936">
        <f>ABS(L936-RAVLT_Delayed!$C$34)</f>
        <v>4.2840159831383593</v>
      </c>
      <c r="P936">
        <f t="shared" si="15"/>
        <v>93</v>
      </c>
    </row>
    <row r="937" spans="10:16">
      <c r="J937" s="5"/>
      <c r="L937">
        <f>RAVLT_Delayed!M937</f>
        <v>1.4729454479999999</v>
      </c>
      <c r="M937">
        <v>93.1</v>
      </c>
      <c r="O937">
        <f>ABS(L937-RAVLT_Delayed!$C$34)</f>
        <v>4.2888959911383591</v>
      </c>
      <c r="P937">
        <f t="shared" si="15"/>
        <v>93.1</v>
      </c>
    </row>
    <row r="938" spans="10:16">
      <c r="J938" s="5"/>
      <c r="L938">
        <f>RAVLT_Delayed!M938</f>
        <v>1.479347312</v>
      </c>
      <c r="M938">
        <v>93.2</v>
      </c>
      <c r="O938">
        <f>ABS(L938-RAVLT_Delayed!$C$34)</f>
        <v>4.2952978551383598</v>
      </c>
      <c r="P938">
        <f t="shared" si="15"/>
        <v>93.2</v>
      </c>
    </row>
    <row r="939" spans="10:16">
      <c r="J939" s="5"/>
      <c r="L939">
        <f>RAVLT_Delayed!M939</f>
        <v>1.485961528</v>
      </c>
      <c r="M939">
        <v>93.3</v>
      </c>
      <c r="O939">
        <f>ABS(L939-RAVLT_Delayed!$C$34)</f>
        <v>4.3019120711383598</v>
      </c>
      <c r="P939">
        <f t="shared" si="15"/>
        <v>93.3</v>
      </c>
    </row>
    <row r="940" spans="10:16">
      <c r="J940" s="5"/>
      <c r="L940">
        <f>RAVLT_Delayed!M940</f>
        <v>1.494979968</v>
      </c>
      <c r="M940">
        <v>93.4</v>
      </c>
      <c r="O940">
        <f>ABS(L940-RAVLT_Delayed!$C$34)</f>
        <v>4.3109305111383591</v>
      </c>
      <c r="P940">
        <f t="shared" si="15"/>
        <v>93.4</v>
      </c>
    </row>
    <row r="941" spans="10:16">
      <c r="J941" s="5"/>
      <c r="L941">
        <f>RAVLT_Delayed!M941</f>
        <v>1.50895712</v>
      </c>
      <c r="M941">
        <v>93.5</v>
      </c>
      <c r="O941">
        <f>ABS(L941-RAVLT_Delayed!$C$34)</f>
        <v>4.3249076631383598</v>
      </c>
      <c r="P941">
        <f t="shared" si="15"/>
        <v>93.5</v>
      </c>
    </row>
    <row r="942" spans="10:16">
      <c r="J942" s="5"/>
      <c r="L942">
        <f>RAVLT_Delayed!M942</f>
        <v>1.5229342720000001</v>
      </c>
      <c r="M942">
        <v>93.6</v>
      </c>
      <c r="O942">
        <f>ABS(L942-RAVLT_Delayed!$C$34)</f>
        <v>4.3388848151383597</v>
      </c>
      <c r="P942">
        <f t="shared" si="15"/>
        <v>93.6</v>
      </c>
    </row>
    <row r="943" spans="10:16">
      <c r="J943" s="5"/>
      <c r="L943">
        <f>RAVLT_Delayed!M943</f>
        <v>1.5330667360000001</v>
      </c>
      <c r="M943">
        <v>93.7</v>
      </c>
      <c r="O943">
        <f>ABS(L943-RAVLT_Delayed!$C$34)</f>
        <v>4.3490172791383594</v>
      </c>
      <c r="P943">
        <f t="shared" si="15"/>
        <v>93.7</v>
      </c>
    </row>
    <row r="944" spans="10:16">
      <c r="J944" s="5"/>
      <c r="L944">
        <f>RAVLT_Delayed!M944</f>
        <v>1.5420862639999999</v>
      </c>
      <c r="M944">
        <v>93.8</v>
      </c>
      <c r="O944">
        <f>ABS(L944-RAVLT_Delayed!$C$34)</f>
        <v>4.3580368071383599</v>
      </c>
      <c r="P944">
        <f t="shared" si="15"/>
        <v>93.8</v>
      </c>
    </row>
    <row r="945" spans="10:16">
      <c r="J945" s="5"/>
      <c r="L945">
        <f>RAVLT_Delayed!M945</f>
        <v>1.549857424</v>
      </c>
      <c r="M945">
        <v>93.9</v>
      </c>
      <c r="O945">
        <f>ABS(L945-RAVLT_Delayed!$C$34)</f>
        <v>4.3658079671383598</v>
      </c>
      <c r="P945">
        <f t="shared" si="15"/>
        <v>93.9</v>
      </c>
    </row>
    <row r="946" spans="10:16">
      <c r="J946" s="5"/>
      <c r="L946">
        <f>RAVLT_Delayed!M946</f>
        <v>1.5533160399999999</v>
      </c>
      <c r="M946">
        <v>94</v>
      </c>
      <c r="O946">
        <f>ABS(L946-RAVLT_Delayed!$C$34)</f>
        <v>4.3692665831383595</v>
      </c>
      <c r="P946">
        <f t="shared" si="15"/>
        <v>94</v>
      </c>
    </row>
    <row r="947" spans="10:16">
      <c r="J947" s="5"/>
      <c r="L947">
        <f>RAVLT_Delayed!M947</f>
        <v>1.556774656</v>
      </c>
      <c r="M947">
        <v>94.1</v>
      </c>
      <c r="O947">
        <f>ABS(L947-RAVLT_Delayed!$C$34)</f>
        <v>4.37272519913836</v>
      </c>
      <c r="P947">
        <f t="shared" si="15"/>
        <v>94.1</v>
      </c>
    </row>
    <row r="948" spans="10:16">
      <c r="J948" s="5"/>
      <c r="L948">
        <f>RAVLT_Delayed!M948</f>
        <v>1.562181592</v>
      </c>
      <c r="M948">
        <v>94.2</v>
      </c>
      <c r="O948">
        <f>ABS(L948-RAVLT_Delayed!$C$34)</f>
        <v>4.37813213513836</v>
      </c>
      <c r="P948">
        <f t="shared" si="15"/>
        <v>94.2</v>
      </c>
    </row>
    <row r="949" spans="10:16">
      <c r="J949" s="5"/>
      <c r="L949">
        <f>RAVLT_Delayed!M949</f>
        <v>1.5685331680000001</v>
      </c>
      <c r="M949">
        <v>94.3</v>
      </c>
      <c r="O949">
        <f>ABS(L949-RAVLT_Delayed!$C$34)</f>
        <v>4.3844837111383601</v>
      </c>
      <c r="P949">
        <f t="shared" si="15"/>
        <v>94.3</v>
      </c>
    </row>
    <row r="950" spans="10:16">
      <c r="J950" s="5"/>
      <c r="L950">
        <f>RAVLT_Delayed!M950</f>
        <v>1.5752356240000001</v>
      </c>
      <c r="M950">
        <v>94.4</v>
      </c>
      <c r="O950">
        <f>ABS(L950-RAVLT_Delayed!$C$34)</f>
        <v>4.3911861671383594</v>
      </c>
      <c r="P950">
        <f t="shared" si="15"/>
        <v>94.4</v>
      </c>
    </row>
    <row r="951" spans="10:16">
      <c r="J951" s="5"/>
      <c r="L951">
        <f>RAVLT_Delayed!M951</f>
        <v>1.58445272</v>
      </c>
      <c r="M951">
        <v>94.5</v>
      </c>
      <c r="O951">
        <f>ABS(L951-RAVLT_Delayed!$C$34)</f>
        <v>4.4004032631383598</v>
      </c>
      <c r="P951">
        <f t="shared" si="15"/>
        <v>94.5</v>
      </c>
    </row>
    <row r="952" spans="10:16">
      <c r="J952" s="5"/>
      <c r="L952">
        <f>RAVLT_Delayed!M952</f>
        <v>1.593669816</v>
      </c>
      <c r="M952">
        <v>94.6</v>
      </c>
      <c r="O952">
        <f>ABS(L952-RAVLT_Delayed!$C$34)</f>
        <v>4.4096203591383594</v>
      </c>
      <c r="P952">
        <f t="shared" si="15"/>
        <v>94.6</v>
      </c>
    </row>
    <row r="953" spans="10:16">
      <c r="J953" s="5"/>
      <c r="L953">
        <f>RAVLT_Delayed!M953</f>
        <v>1.6072157119999999</v>
      </c>
      <c r="M953">
        <v>94.7</v>
      </c>
      <c r="O953">
        <f>ABS(L953-RAVLT_Delayed!$C$34)</f>
        <v>4.4231662551383595</v>
      </c>
      <c r="P953">
        <f t="shared" si="15"/>
        <v>94.7</v>
      </c>
    </row>
    <row r="954" spans="10:16">
      <c r="J954" s="5"/>
      <c r="L954">
        <f>RAVLT_Delayed!M954</f>
        <v>1.624008208</v>
      </c>
      <c r="M954">
        <v>94.8</v>
      </c>
      <c r="O954">
        <f>ABS(L954-RAVLT_Delayed!$C$34)</f>
        <v>4.4399587511383594</v>
      </c>
      <c r="P954">
        <f t="shared" si="15"/>
        <v>94.8</v>
      </c>
    </row>
    <row r="955" spans="10:16">
      <c r="J955" s="5"/>
      <c r="L955">
        <f>RAVLT_Delayed!M955</f>
        <v>1.6405315039999999</v>
      </c>
      <c r="M955">
        <v>94.9</v>
      </c>
      <c r="O955">
        <f>ABS(L955-RAVLT_Delayed!$C$34)</f>
        <v>4.4564820471383593</v>
      </c>
      <c r="P955">
        <f t="shared" si="15"/>
        <v>94.9</v>
      </c>
    </row>
    <row r="956" spans="10:16">
      <c r="J956" s="5"/>
      <c r="L956">
        <f>RAVLT_Delayed!M956</f>
        <v>1.6441332</v>
      </c>
      <c r="M956">
        <v>95</v>
      </c>
      <c r="O956">
        <f>ABS(L956-RAVLT_Delayed!$C$34)</f>
        <v>4.4600837431383598</v>
      </c>
      <c r="P956">
        <f t="shared" si="15"/>
        <v>95</v>
      </c>
    </row>
    <row r="957" spans="10:16">
      <c r="J957" s="5"/>
      <c r="L957">
        <f>RAVLT_Delayed!M957</f>
        <v>1.647734896</v>
      </c>
      <c r="M957">
        <v>95.1</v>
      </c>
      <c r="O957">
        <f>ABS(L957-RAVLT_Delayed!$C$34)</f>
        <v>4.4636854391383594</v>
      </c>
      <c r="P957">
        <f t="shared" si="15"/>
        <v>95.1</v>
      </c>
    </row>
    <row r="958" spans="10:16">
      <c r="J958" s="5"/>
      <c r="L958">
        <f>RAVLT_Delayed!M958</f>
        <v>1.649911328</v>
      </c>
      <c r="M958">
        <v>95.2</v>
      </c>
      <c r="O958">
        <f>ABS(L958-RAVLT_Delayed!$C$34)</f>
        <v>4.46586187113836</v>
      </c>
      <c r="P958">
        <f t="shared" si="15"/>
        <v>95.2</v>
      </c>
    </row>
    <row r="959" spans="10:16">
      <c r="J959" s="5"/>
      <c r="L959">
        <f>RAVLT_Delayed!M959</f>
        <v>1.650476592</v>
      </c>
      <c r="M959">
        <v>95.3</v>
      </c>
      <c r="O959">
        <f>ABS(L959-RAVLT_Delayed!$C$34)</f>
        <v>4.4664271351383595</v>
      </c>
      <c r="P959">
        <f t="shared" si="15"/>
        <v>95.3</v>
      </c>
    </row>
    <row r="960" spans="10:16">
      <c r="J960" s="5"/>
      <c r="L960">
        <f>RAVLT_Delayed!M960</f>
        <v>1.651041856</v>
      </c>
      <c r="M960">
        <v>95.4</v>
      </c>
      <c r="O960">
        <f>ABS(L960-RAVLT_Delayed!$C$34)</f>
        <v>4.4669923991383591</v>
      </c>
      <c r="P960">
        <f t="shared" si="15"/>
        <v>95.4</v>
      </c>
    </row>
    <row r="961" spans="10:16">
      <c r="J961" s="5"/>
      <c r="L961">
        <f>RAVLT_Delayed!M961</f>
        <v>1.65937124</v>
      </c>
      <c r="M961">
        <v>95.5</v>
      </c>
      <c r="O961">
        <f>ABS(L961-RAVLT_Delayed!$C$34)</f>
        <v>4.4753217831383596</v>
      </c>
      <c r="P961">
        <f t="shared" si="15"/>
        <v>95.5</v>
      </c>
    </row>
    <row r="962" spans="10:16">
      <c r="J962" s="5"/>
      <c r="L962">
        <f>RAVLT_Delayed!M962</f>
        <v>1.6683907680000001</v>
      </c>
      <c r="M962">
        <v>95.6</v>
      </c>
      <c r="O962">
        <f>ABS(L962-RAVLT_Delayed!$C$34)</f>
        <v>4.4843413111383601</v>
      </c>
      <c r="P962">
        <f t="shared" si="15"/>
        <v>95.6</v>
      </c>
    </row>
    <row r="963" spans="10:16">
      <c r="J963" s="5"/>
      <c r="L963">
        <f>RAVLT_Delayed!M963</f>
        <v>1.68119332</v>
      </c>
      <c r="M963">
        <v>95.7</v>
      </c>
      <c r="O963">
        <f>ABS(L963-RAVLT_Delayed!$C$34)</f>
        <v>4.4971438631383593</v>
      </c>
      <c r="P963">
        <f t="shared" si="15"/>
        <v>95.7</v>
      </c>
    </row>
    <row r="964" spans="10:16">
      <c r="J964" s="5"/>
      <c r="L964">
        <f>RAVLT_Delayed!M964</f>
        <v>1.7005110800000001</v>
      </c>
      <c r="M964">
        <v>95.8</v>
      </c>
      <c r="O964">
        <f>ABS(L964-RAVLT_Delayed!$C$34)</f>
        <v>4.5164616231383601</v>
      </c>
      <c r="P964">
        <f t="shared" si="15"/>
        <v>95.8</v>
      </c>
    </row>
    <row r="965" spans="10:16">
      <c r="J965" s="5"/>
      <c r="L965">
        <f>RAVLT_Delayed!M965</f>
        <v>1.7198288399999999</v>
      </c>
      <c r="M965">
        <v>95.9</v>
      </c>
      <c r="O965">
        <f>ABS(L965-RAVLT_Delayed!$C$34)</f>
        <v>4.5357793831383599</v>
      </c>
      <c r="P965">
        <f t="shared" si="15"/>
        <v>95.9</v>
      </c>
    </row>
    <row r="966" spans="10:16">
      <c r="J966" s="5"/>
      <c r="L966">
        <f>RAVLT_Delayed!M966</f>
        <v>1.73448644</v>
      </c>
      <c r="M966">
        <v>96</v>
      </c>
      <c r="O966">
        <f>ABS(L966-RAVLT_Delayed!$C$34)</f>
        <v>4.5504369831383595</v>
      </c>
      <c r="P966">
        <f t="shared" si="15"/>
        <v>96</v>
      </c>
    </row>
    <row r="967" spans="10:16">
      <c r="J967" s="5"/>
      <c r="L967">
        <f>RAVLT_Delayed!M967</f>
        <v>1.7480955039999999</v>
      </c>
      <c r="M967">
        <v>96.1</v>
      </c>
      <c r="O967">
        <f>ABS(L967-RAVLT_Delayed!$C$34)</f>
        <v>4.5640460471383593</v>
      </c>
      <c r="P967">
        <f t="shared" ref="P967:P1006" si="16">M967</f>
        <v>96.1</v>
      </c>
    </row>
    <row r="968" spans="10:16">
      <c r="J968" s="5"/>
      <c r="L968">
        <f>RAVLT_Delayed!M968</f>
        <v>1.7602464879999999</v>
      </c>
      <c r="M968">
        <v>96.2</v>
      </c>
      <c r="O968">
        <f>ABS(L968-RAVLT_Delayed!$C$34)</f>
        <v>4.57619703113836</v>
      </c>
      <c r="P968">
        <f t="shared" si="16"/>
        <v>96.2</v>
      </c>
    </row>
    <row r="969" spans="10:16">
      <c r="J969" s="5"/>
      <c r="L969">
        <f>RAVLT_Delayed!M969</f>
        <v>1.7683597120000001</v>
      </c>
      <c r="M969">
        <v>96.3</v>
      </c>
      <c r="O969">
        <f>ABS(L969-RAVLT_Delayed!$C$34)</f>
        <v>4.5843102551383597</v>
      </c>
      <c r="P969">
        <f t="shared" si="16"/>
        <v>96.3</v>
      </c>
    </row>
    <row r="970" spans="10:16">
      <c r="J970" s="5"/>
      <c r="L970">
        <f>RAVLT_Delayed!M970</f>
        <v>1.776472936</v>
      </c>
      <c r="M970">
        <v>96.4</v>
      </c>
      <c r="O970">
        <f>ABS(L970-RAVLT_Delayed!$C$34)</f>
        <v>4.5924234791383594</v>
      </c>
      <c r="P970">
        <f t="shared" si="16"/>
        <v>96.4</v>
      </c>
    </row>
    <row r="971" spans="10:16">
      <c r="J971" s="5"/>
      <c r="L971">
        <f>RAVLT_Delayed!M971</f>
        <v>1.7889625600000001</v>
      </c>
      <c r="M971">
        <v>96.5</v>
      </c>
      <c r="O971">
        <f>ABS(L971-RAVLT_Delayed!$C$34)</f>
        <v>4.6049131031383599</v>
      </c>
      <c r="P971">
        <f t="shared" si="16"/>
        <v>96.5</v>
      </c>
    </row>
    <row r="972" spans="10:16">
      <c r="J972" s="5"/>
      <c r="L972">
        <f>RAVLT_Delayed!M972</f>
        <v>1.803202744</v>
      </c>
      <c r="M972">
        <v>96.6</v>
      </c>
      <c r="O972">
        <f>ABS(L972-RAVLT_Delayed!$C$34)</f>
        <v>4.61915328713836</v>
      </c>
      <c r="P972">
        <f t="shared" si="16"/>
        <v>96.6</v>
      </c>
    </row>
    <row r="973" spans="10:16">
      <c r="J973" s="5"/>
      <c r="L973">
        <f>RAVLT_Delayed!M973</f>
        <v>1.81645528</v>
      </c>
      <c r="M973">
        <v>96.7</v>
      </c>
      <c r="O973">
        <f>ABS(L973-RAVLT_Delayed!$C$34)</f>
        <v>4.6324058231383596</v>
      </c>
      <c r="P973">
        <f t="shared" si="16"/>
        <v>96.7</v>
      </c>
    </row>
    <row r="974" spans="10:16">
      <c r="J974" s="5"/>
      <c r="L974">
        <f>RAVLT_Delayed!M974</f>
        <v>1.8246461199999999</v>
      </c>
      <c r="M974">
        <v>96.8</v>
      </c>
      <c r="O974">
        <f>ABS(L974-RAVLT_Delayed!$C$34)</f>
        <v>4.6405966631383597</v>
      </c>
      <c r="P974">
        <f t="shared" si="16"/>
        <v>96.8</v>
      </c>
    </row>
    <row r="975" spans="10:16">
      <c r="J975" s="5"/>
      <c r="L975">
        <f>RAVLT_Delayed!M975</f>
        <v>1.8328369600000001</v>
      </c>
      <c r="M975">
        <v>96.9</v>
      </c>
      <c r="O975">
        <f>ABS(L975-RAVLT_Delayed!$C$34)</f>
        <v>4.6487875031383599</v>
      </c>
      <c r="P975">
        <f t="shared" si="16"/>
        <v>96.9</v>
      </c>
    </row>
    <row r="976" spans="10:16">
      <c r="J976" s="5"/>
      <c r="L976">
        <f>RAVLT_Delayed!M976</f>
        <v>1.8503038000000001</v>
      </c>
      <c r="M976">
        <v>97</v>
      </c>
      <c r="O976">
        <f>ABS(L976-RAVLT_Delayed!$C$34)</f>
        <v>4.6662543431383599</v>
      </c>
      <c r="P976">
        <f t="shared" si="16"/>
        <v>97</v>
      </c>
    </row>
    <row r="977" spans="10:16">
      <c r="J977" s="5"/>
      <c r="L977">
        <f>RAVLT_Delayed!M977</f>
        <v>1.87364544</v>
      </c>
      <c r="M977">
        <v>97.1</v>
      </c>
      <c r="O977">
        <f>ABS(L977-RAVLT_Delayed!$C$34)</f>
        <v>4.6895959831383598</v>
      </c>
      <c r="P977">
        <f t="shared" si="16"/>
        <v>97.1</v>
      </c>
    </row>
    <row r="978" spans="10:16">
      <c r="J978" s="5"/>
      <c r="L978">
        <f>RAVLT_Delayed!M978</f>
        <v>1.8956360240000001</v>
      </c>
      <c r="M978">
        <v>97.2</v>
      </c>
      <c r="O978">
        <f>ABS(L978-RAVLT_Delayed!$C$34)</f>
        <v>4.7115865671383599</v>
      </c>
      <c r="P978">
        <f t="shared" si="16"/>
        <v>97.2</v>
      </c>
    </row>
    <row r="979" spans="10:16">
      <c r="J979" s="5"/>
      <c r="L979">
        <f>RAVLT_Delayed!M979</f>
        <v>1.8969104160000001</v>
      </c>
      <c r="M979">
        <v>97.3</v>
      </c>
      <c r="O979">
        <f>ABS(L979-RAVLT_Delayed!$C$34)</f>
        <v>4.7128609591383599</v>
      </c>
      <c r="P979">
        <f t="shared" si="16"/>
        <v>97.3</v>
      </c>
    </row>
    <row r="980" spans="10:16">
      <c r="J980" s="5"/>
      <c r="L980">
        <f>RAVLT_Delayed!M980</f>
        <v>1.8981848079999999</v>
      </c>
      <c r="M980">
        <v>97.4</v>
      </c>
      <c r="O980">
        <f>ABS(L980-RAVLT_Delayed!$C$34)</f>
        <v>4.7141353511383599</v>
      </c>
      <c r="P980">
        <f t="shared" si="16"/>
        <v>97.4</v>
      </c>
    </row>
    <row r="981" spans="10:16">
      <c r="J981" s="5"/>
      <c r="L981">
        <f>RAVLT_Delayed!M981</f>
        <v>1.9205715999999999</v>
      </c>
      <c r="M981">
        <v>97.5</v>
      </c>
      <c r="O981">
        <f>ABS(L981-RAVLT_Delayed!$C$34)</f>
        <v>4.7365221431383597</v>
      </c>
      <c r="P981">
        <f t="shared" si="16"/>
        <v>97.5</v>
      </c>
    </row>
    <row r="982" spans="10:16">
      <c r="J982" s="5"/>
      <c r="L982">
        <f>RAVLT_Delayed!M982</f>
        <v>1.963226296</v>
      </c>
      <c r="M982">
        <v>97.6</v>
      </c>
      <c r="O982">
        <f>ABS(L982-RAVLT_Delayed!$C$34)</f>
        <v>4.7791768391383593</v>
      </c>
      <c r="P982">
        <f t="shared" si="16"/>
        <v>97.6</v>
      </c>
    </row>
    <row r="983" spans="10:16">
      <c r="J983" s="5"/>
      <c r="L983">
        <f>RAVLT_Delayed!M983</f>
        <v>2.0058809919999998</v>
      </c>
      <c r="M983">
        <v>97.7</v>
      </c>
      <c r="O983">
        <f>ABS(L983-RAVLT_Delayed!$C$34)</f>
        <v>4.8218315351383598</v>
      </c>
      <c r="P983">
        <f t="shared" si="16"/>
        <v>97.7</v>
      </c>
    </row>
    <row r="984" spans="10:16">
      <c r="J984" s="5"/>
      <c r="L984">
        <f>RAVLT_Delayed!M984</f>
        <v>2.0089590560000001</v>
      </c>
      <c r="M984">
        <v>97.8</v>
      </c>
      <c r="O984">
        <f>ABS(L984-RAVLT_Delayed!$C$34)</f>
        <v>4.8249095991383602</v>
      </c>
      <c r="P984">
        <f t="shared" si="16"/>
        <v>97.8</v>
      </c>
    </row>
    <row r="985" spans="10:16">
      <c r="J985" s="5"/>
      <c r="L985">
        <f>RAVLT_Delayed!M985</f>
        <v>2.0103530080000001</v>
      </c>
      <c r="M985">
        <v>97.9</v>
      </c>
      <c r="O985">
        <f>ABS(L985-RAVLT_Delayed!$C$34)</f>
        <v>4.8263035511383592</v>
      </c>
      <c r="P985">
        <f t="shared" si="16"/>
        <v>97.9</v>
      </c>
    </row>
    <row r="986" spans="10:16">
      <c r="J986" s="5"/>
      <c r="L986">
        <f>RAVLT_Delayed!M986</f>
        <v>2.0315615199999999</v>
      </c>
      <c r="M986">
        <v>98</v>
      </c>
      <c r="O986">
        <f>ABS(L986-RAVLT_Delayed!$C$34)</f>
        <v>4.8475120631383595</v>
      </c>
      <c r="P986">
        <f t="shared" si="16"/>
        <v>98</v>
      </c>
    </row>
    <row r="987" spans="10:16">
      <c r="J987" s="5"/>
      <c r="L987">
        <f>RAVLT_Delayed!M987</f>
        <v>2.0815011440000002</v>
      </c>
      <c r="M987">
        <v>98.1</v>
      </c>
      <c r="O987">
        <f>ABS(L987-RAVLT_Delayed!$C$34)</f>
        <v>4.8974516871383598</v>
      </c>
      <c r="P987">
        <f t="shared" si="16"/>
        <v>98.1</v>
      </c>
    </row>
    <row r="988" spans="10:16">
      <c r="J988" s="5"/>
      <c r="L988">
        <f>RAVLT_Delayed!M988</f>
        <v>2.131440768</v>
      </c>
      <c r="M988">
        <v>98.2</v>
      </c>
      <c r="O988">
        <f>ABS(L988-RAVLT_Delayed!$C$34)</f>
        <v>4.9473913111383592</v>
      </c>
      <c r="P988">
        <f t="shared" si="16"/>
        <v>98.2</v>
      </c>
    </row>
    <row r="989" spans="10:16">
      <c r="J989" s="5"/>
      <c r="L989">
        <f>RAVLT_Delayed!M989</f>
        <v>2.146498888</v>
      </c>
      <c r="M989">
        <v>98.3</v>
      </c>
      <c r="O989">
        <f>ABS(L989-RAVLT_Delayed!$C$34)</f>
        <v>4.96244943113836</v>
      </c>
      <c r="P989">
        <f t="shared" si="16"/>
        <v>98.3</v>
      </c>
    </row>
    <row r="990" spans="10:16">
      <c r="J990" s="5"/>
      <c r="L990">
        <f>RAVLT_Delayed!M990</f>
        <v>2.1557434240000002</v>
      </c>
      <c r="M990">
        <v>98.4</v>
      </c>
      <c r="O990">
        <f>ABS(L990-RAVLT_Delayed!$C$34)</f>
        <v>4.9716939671383598</v>
      </c>
      <c r="P990">
        <f t="shared" si="16"/>
        <v>98.4</v>
      </c>
    </row>
    <row r="991" spans="10:16">
      <c r="J991" s="5"/>
      <c r="L991">
        <f>RAVLT_Delayed!M991</f>
        <v>2.1676363599999999</v>
      </c>
      <c r="M991">
        <v>98.5</v>
      </c>
      <c r="O991">
        <f>ABS(L991-RAVLT_Delayed!$C$34)</f>
        <v>4.9835869031383595</v>
      </c>
      <c r="P991">
        <f t="shared" si="16"/>
        <v>98.5</v>
      </c>
    </row>
    <row r="992" spans="10:16">
      <c r="J992" s="5"/>
      <c r="L992">
        <f>RAVLT_Delayed!M992</f>
        <v>2.1855323360000001</v>
      </c>
      <c r="M992">
        <v>98.6</v>
      </c>
      <c r="O992">
        <f>ABS(L992-RAVLT_Delayed!$C$34)</f>
        <v>5.0014828791383596</v>
      </c>
      <c r="P992">
        <f t="shared" si="16"/>
        <v>98.6</v>
      </c>
    </row>
    <row r="993" spans="10:16">
      <c r="J993" s="5"/>
      <c r="L993">
        <f>RAVLT_Delayed!M993</f>
        <v>2.2034283119999998</v>
      </c>
      <c r="M993">
        <v>98.7</v>
      </c>
      <c r="O993">
        <f>ABS(L993-RAVLT_Delayed!$C$34)</f>
        <v>5.0193788551383598</v>
      </c>
      <c r="P993">
        <f t="shared" si="16"/>
        <v>98.7</v>
      </c>
    </row>
    <row r="994" spans="10:16">
      <c r="J994" s="5"/>
      <c r="L994">
        <f>RAVLT_Delayed!M994</f>
        <v>2.2971121280000002</v>
      </c>
      <c r="M994">
        <v>98.8</v>
      </c>
      <c r="O994">
        <f>ABS(L994-RAVLT_Delayed!$C$34)</f>
        <v>5.1130626711383602</v>
      </c>
      <c r="P994">
        <f t="shared" si="16"/>
        <v>98.8</v>
      </c>
    </row>
    <row r="995" spans="10:16">
      <c r="J995" s="5"/>
      <c r="L995">
        <f>RAVLT_Delayed!M995</f>
        <v>2.4153757840000001</v>
      </c>
      <c r="M995">
        <v>98.9</v>
      </c>
      <c r="O995">
        <f>ABS(L995-RAVLT_Delayed!$C$34)</f>
        <v>5.2313263271383601</v>
      </c>
      <c r="P995">
        <f t="shared" si="16"/>
        <v>98.9</v>
      </c>
    </row>
    <row r="996" spans="10:16">
      <c r="J996" s="5"/>
      <c r="L996">
        <f>RAVLT_Delayed!M996</f>
        <v>2.5102389600000001</v>
      </c>
      <c r="M996">
        <v>99</v>
      </c>
      <c r="O996">
        <f>ABS(L996-RAVLT_Delayed!$C$34)</f>
        <v>5.3261895031383597</v>
      </c>
      <c r="P996">
        <f t="shared" si="16"/>
        <v>99</v>
      </c>
    </row>
    <row r="997" spans="10:16">
      <c r="J997" s="5"/>
      <c r="L997">
        <f>RAVLT_Delayed!M997</f>
        <v>2.5138402640000002</v>
      </c>
      <c r="M997">
        <v>99.1</v>
      </c>
      <c r="O997">
        <f>ABS(L997-RAVLT_Delayed!$C$34)</f>
        <v>5.3297908071383597</v>
      </c>
      <c r="P997">
        <f t="shared" si="16"/>
        <v>99.1</v>
      </c>
    </row>
    <row r="998" spans="10:16">
      <c r="J998" s="5"/>
      <c r="L998">
        <f>RAVLT_Delayed!M998</f>
        <v>2.5174415680000002</v>
      </c>
      <c r="M998">
        <v>99.2</v>
      </c>
      <c r="O998">
        <f>ABS(L998-RAVLT_Delayed!$C$34)</f>
        <v>5.3333921111383598</v>
      </c>
      <c r="P998">
        <f t="shared" si="16"/>
        <v>99.2</v>
      </c>
    </row>
    <row r="999" spans="10:16">
      <c r="J999" s="5"/>
      <c r="L999">
        <f>RAVLT_Delayed!M999</f>
        <v>2.5666239279999901</v>
      </c>
      <c r="M999">
        <v>99.3</v>
      </c>
      <c r="O999">
        <f>ABS(L999-RAVLT_Delayed!$C$34)</f>
        <v>5.3825744711383496</v>
      </c>
      <c r="P999">
        <f t="shared" si="16"/>
        <v>99.3</v>
      </c>
    </row>
    <row r="1000" spans="10:16">
      <c r="J1000" s="5"/>
      <c r="L1000">
        <f>RAVLT_Delayed!M1000</f>
        <v>2.6400212239999998</v>
      </c>
      <c r="M1000">
        <v>99.4</v>
      </c>
      <c r="O1000">
        <f>ABS(L1000-RAVLT_Delayed!$C$34)</f>
        <v>5.4559717671383599</v>
      </c>
      <c r="P1000">
        <f t="shared" si="16"/>
        <v>99.4</v>
      </c>
    </row>
    <row r="1001" spans="10:16">
      <c r="J1001" s="5"/>
      <c r="L1001">
        <f>RAVLT_Delayed!M1001</f>
        <v>2.71054196</v>
      </c>
      <c r="M1001">
        <v>99.5</v>
      </c>
      <c r="O1001">
        <f>ABS(L1001-RAVLT_Delayed!$C$34)</f>
        <v>5.5264925031383596</v>
      </c>
      <c r="P1001">
        <f t="shared" si="16"/>
        <v>99.5</v>
      </c>
    </row>
    <row r="1002" spans="10:16">
      <c r="J1002" s="5"/>
      <c r="L1002">
        <f>RAVLT_Delayed!M1002</f>
        <v>2.7557489679999998</v>
      </c>
      <c r="M1002">
        <v>99.6</v>
      </c>
      <c r="O1002">
        <f>ABS(L1002-RAVLT_Delayed!$C$34)</f>
        <v>5.5716995111383589</v>
      </c>
      <c r="P1002">
        <f t="shared" si="16"/>
        <v>99.6</v>
      </c>
    </row>
    <row r="1003" spans="10:16">
      <c r="J1003" s="5"/>
      <c r="L1003">
        <f>RAVLT_Delayed!M1003</f>
        <v>2.800955976</v>
      </c>
      <c r="M1003">
        <v>99.7</v>
      </c>
      <c r="O1003">
        <f>ABS(L1003-RAVLT_Delayed!$C$34)</f>
        <v>5.6169065191383591</v>
      </c>
      <c r="P1003">
        <f t="shared" si="16"/>
        <v>99.7</v>
      </c>
    </row>
    <row r="1004" spans="10:16">
      <c r="J1004" s="5"/>
      <c r="L1004">
        <f>RAVLT_Delayed!M1004</f>
        <v>2.8757590880000001</v>
      </c>
      <c r="M1004">
        <v>99.8</v>
      </c>
      <c r="O1004">
        <f>ABS(L1004-RAVLT_Delayed!$C$34)</f>
        <v>5.6917096311383597</v>
      </c>
      <c r="P1004">
        <f t="shared" si="16"/>
        <v>99.8</v>
      </c>
    </row>
    <row r="1005" spans="10:16">
      <c r="J1005" s="5"/>
      <c r="L1005">
        <f>RAVLT_Delayed!M1005</f>
        <v>2.974677544</v>
      </c>
      <c r="M1005">
        <v>99.9</v>
      </c>
      <c r="O1005">
        <f>ABS(L1005-RAVLT_Delayed!$C$34)</f>
        <v>5.7906280871383595</v>
      </c>
      <c r="P1005">
        <f t="shared" si="16"/>
        <v>99.9</v>
      </c>
    </row>
    <row r="1006" spans="10:16">
      <c r="J1006" s="5"/>
      <c r="L1006">
        <f>RAVLT_Delayed!M1006</f>
        <v>3.0735960000000002</v>
      </c>
      <c r="M1006">
        <v>100</v>
      </c>
      <c r="O1006">
        <f>ABS(L1006-RAVLT_Delayed!$C$34)</f>
        <v>5.8895465431383602</v>
      </c>
      <c r="P1006">
        <f t="shared" si="16"/>
        <v>100</v>
      </c>
    </row>
    <row r="1007" spans="10:16">
      <c r="J1007" s="5"/>
    </row>
    <row r="1008" spans="10:16">
      <c r="J100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19</vt:i4>
      </vt:variant>
    </vt:vector>
  </HeadingPairs>
  <TitlesOfParts>
    <vt:vector size="19" baseType="lpstr">
      <vt:lpstr>Normative data</vt:lpstr>
      <vt:lpstr>RAVLT_Learning</vt:lpstr>
      <vt:lpstr>SEM</vt:lpstr>
      <vt:lpstr>SD_PERC_SEM</vt:lpstr>
      <vt:lpstr>FONO</vt:lpstr>
      <vt:lpstr>SD_PERC_FONO</vt:lpstr>
      <vt:lpstr>TMTB</vt:lpstr>
      <vt:lpstr>SD_PERC_TMTB</vt:lpstr>
      <vt:lpstr>TMTA</vt:lpstr>
      <vt:lpstr>SD_PERC_TMTA</vt:lpstr>
      <vt:lpstr>DigInv</vt:lpstr>
      <vt:lpstr>DigDir</vt:lpstr>
      <vt:lpstr>SD_PERC_DigInv</vt:lpstr>
      <vt:lpstr>SD_PERC_DigDir</vt:lpstr>
      <vt:lpstr>RAVLT_Rec</vt:lpstr>
      <vt:lpstr>SD_PERC_RAVLTL</vt:lpstr>
      <vt:lpstr>RAVLT_Delayed</vt:lpstr>
      <vt:lpstr>SD_PERC_RAVLTR</vt:lpstr>
      <vt:lpstr>SD_PERC_RAVLTD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Wim Van der Elst</dc:creator>
  <cp:lastModifiedBy>Usuario de Windows</cp:lastModifiedBy>
  <dcterms:created xsi:type="dcterms:W3CDTF">2021-08-09T13:37:41Z</dcterms:created>
  <dcterms:modified xsi:type="dcterms:W3CDTF">2026-02-25T03:02:26Z</dcterms:modified>
</cp:coreProperties>
</file>